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URAHAN (DI ISI)" sheetId="1" r:id="rId4"/>
    <sheet state="visible" name="PUSK ( RUMUS )" sheetId="2" r:id="rId5"/>
    <sheet state="visible" name=" KEC ( RUMUS )" sheetId="3" r:id="rId6"/>
  </sheets>
  <definedNames>
    <definedName name="RentangBernama1">'KELURAHAN (DI ISI)'!$H:$H</definedName>
  </definedNames>
  <calcPr/>
</workbook>
</file>

<file path=xl/sharedStrings.xml><?xml version="1.0" encoding="utf-8"?>
<sst xmlns="http://schemas.openxmlformats.org/spreadsheetml/2006/main" count="1596" uniqueCount="348">
  <si>
    <t>p</t>
  </si>
  <si>
    <t>NO</t>
  </si>
  <si>
    <t>KECAMATAN</t>
  </si>
  <si>
    <t>ID KEC DAN KELUR</t>
  </si>
  <si>
    <t>PUSKESMAS</t>
  </si>
  <si>
    <t>KELURAHAN</t>
  </si>
  <si>
    <t>Jml Posyd</t>
  </si>
  <si>
    <t>Balita yang ada</t>
  </si>
  <si>
    <t>KENDALI 0-59 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</si>
  <si>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</si>
  <si>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</si>
  <si>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</si>
  <si>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</si>
  <si>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</si>
  <si>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</si>
  <si>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</si>
  <si>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</si>
  <si>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OKTOBER</t>
  </si>
  <si>
    <t>NOVEMBER</t>
  </si>
  <si>
    <t>DESEMBER</t>
  </si>
  <si>
    <t>KENDALI</t>
  </si>
  <si>
    <t>KENDALI DATA DARI FEB-DES</t>
  </si>
  <si>
    <t>SELISIH</t>
  </si>
  <si>
    <t>Total Balita Stunting</t>
  </si>
  <si>
    <t>Jumlah Balita Stunting Kelompok Umur</t>
  </si>
  <si>
    <t>Stunting Kasus Baru</t>
  </si>
  <si>
    <t>Lulus Stunting</t>
  </si>
  <si>
    <t>Stunting Kasus Lama</t>
  </si>
  <si>
    <t>Jumlah Balita JUNI 2022</t>
  </si>
  <si>
    <t>Jumlah Balita Stunting Kasus Lama</t>
  </si>
  <si>
    <t>Jumlah Balita Stunting Baru</t>
  </si>
  <si>
    <t>Jumlah Balita Lulus  Stunting Membaik</t>
  </si>
  <si>
    <t>Jumlah Balita Lulus ( Pindah )</t>
  </si>
  <si>
    <t>Jumlah Balita Lulus Umur</t>
  </si>
  <si>
    <t>Stunting Meninggal</t>
  </si>
  <si>
    <t>Jumlah Balita Lulus  Stunting</t>
  </si>
  <si>
    <t>Jumlah Balita JULI 2022</t>
  </si>
  <si>
    <t>Jumlah Balita AGUSTUS 2022</t>
  </si>
  <si>
    <t>Jumlah Baduta Agustus 2022</t>
  </si>
  <si>
    <t>Jumlah Balita (S) OKTOBER 2022</t>
  </si>
  <si>
    <t>Jumlah Baduta (S) SEPTEMBER 2022</t>
  </si>
  <si>
    <t>Balita Ditimbang (D) SEPTEMBER 2022</t>
  </si>
  <si>
    <t>Baduta Ditimbang (D) SEPTEMBER 2022</t>
  </si>
  <si>
    <t>Total 0-23 Stunting</t>
  </si>
  <si>
    <t>Total 24-59 Stunting</t>
  </si>
  <si>
    <t>Jumlah Baduta Lulus Stunting</t>
  </si>
  <si>
    <t>Jumlah Baduta (S) OKTOBER 2022</t>
  </si>
  <si>
    <t>Balita Ditimbang (D) OKTOBER 2022</t>
  </si>
  <si>
    <t>Baduta Ditimbang (D) OKTOBER 2022</t>
  </si>
  <si>
    <t>Jumlah Balita (S) NOVEMBER 2022</t>
  </si>
  <si>
    <t>Jumlah Baduta (S) NOVEMBER 2022</t>
  </si>
  <si>
    <t>Balita Ditimbang (D) NOVEMBER 2022</t>
  </si>
  <si>
    <t>Baduta Ditimbang (D) NOVEMBER 2022</t>
  </si>
  <si>
    <t>Kendali Ditimbang (EPPGBM)
KOLOM KOSONG</t>
  </si>
  <si>
    <t>KENDALI STUNTING EPPGBM</t>
  </si>
  <si>
    <t>Jumlah Balita (S) DESEMBER 2022</t>
  </si>
  <si>
    <t>Jumlah Baduta (S) DESEMBER 2022</t>
  </si>
  <si>
    <t>Balita Ditimbang (D) DESEMBER 2022</t>
  </si>
  <si>
    <t>Baduta Ditimbang (D) DESEMBER 2022</t>
  </si>
  <si>
    <t>KENDALI STUNTING BADUTA EPPGBM</t>
  </si>
  <si>
    <t>JAN</t>
  </si>
  <si>
    <t>FEB</t>
  </si>
  <si>
    <t>MAR</t>
  </si>
  <si>
    <t>APR</t>
  </si>
  <si>
    <t>MEI</t>
  </si>
  <si>
    <t>AGT</t>
  </si>
  <si>
    <t>SEPT</t>
  </si>
  <si>
    <t>OKT</t>
  </si>
  <si>
    <t>NOV</t>
  </si>
  <si>
    <t>DES</t>
  </si>
  <si>
    <t>0-6</t>
  </si>
  <si>
    <t>6-11</t>
  </si>
  <si>
    <t>12-23</t>
  </si>
  <si>
    <t>24-59</t>
  </si>
  <si>
    <t>&gt; 59</t>
  </si>
  <si>
    <t>0-59</t>
  </si>
  <si>
    <t>SEMARANG TENGAH</t>
  </si>
  <si>
    <t>MIROTO</t>
  </si>
  <si>
    <t>Miroto</t>
  </si>
  <si>
    <t>Brumbungan</t>
  </si>
  <si>
    <t>Jagalan</t>
  </si>
  <si>
    <t>PONCOL</t>
  </si>
  <si>
    <t>Kranggan</t>
  </si>
  <si>
    <t>Gabahan</t>
  </si>
  <si>
    <t>Kembangsari</t>
  </si>
  <si>
    <t>Sekayu</t>
  </si>
  <si>
    <t>Pandansari</t>
  </si>
  <si>
    <t>Bangunharjo</t>
  </si>
  <si>
    <t>Kauman</t>
  </si>
  <si>
    <t>Purwodinatan</t>
  </si>
  <si>
    <t>Karangkidul</t>
  </si>
  <si>
    <t>Pekunden</t>
  </si>
  <si>
    <t>Pendrikan Kidul</t>
  </si>
  <si>
    <t>Pendrikan Lor</t>
  </si>
  <si>
    <t>SEMARANG UTARA</t>
  </si>
  <si>
    <t>BANDARHARJO</t>
  </si>
  <si>
    <t>Bandarharjo</t>
  </si>
  <si>
    <t>BULU LOR</t>
  </si>
  <si>
    <t>Bulu Lor</t>
  </si>
  <si>
    <t>Plombokan</t>
  </si>
  <si>
    <t>Purwosari</t>
  </si>
  <si>
    <t>Kuningan</t>
  </si>
  <si>
    <t>Panggung Lor</t>
  </si>
  <si>
    <t>Panggung Kidul</t>
  </si>
  <si>
    <t>Tanjungmas</t>
  </si>
  <si>
    <t>Dadapsari</t>
  </si>
  <si>
    <t>SEMARANG TIMUR</t>
  </si>
  <si>
    <t>KARANGDORO</t>
  </si>
  <si>
    <t>Kemijen</t>
  </si>
  <si>
    <t>Rejomulyo</t>
  </si>
  <si>
    <t>Mlatibaru</t>
  </si>
  <si>
    <t>BUGANGAN</t>
  </si>
  <si>
    <t>kebon agung</t>
  </si>
  <si>
    <t>Mlatiharjo</t>
  </si>
  <si>
    <t>Bugangan</t>
  </si>
  <si>
    <t>HALMAHERA</t>
  </si>
  <si>
    <t>Sarirejo</t>
  </si>
  <si>
    <t>Rejosari</t>
  </si>
  <si>
    <t>Karangturi</t>
  </si>
  <si>
    <t>Karangtempel</t>
  </si>
  <si>
    <t>GAYAMSARI</t>
  </si>
  <si>
    <t>Tambakrejo</t>
  </si>
  <si>
    <t>Kaligawe</t>
  </si>
  <si>
    <t>Sawahbesar</t>
  </si>
  <si>
    <t>Sambirejo</t>
  </si>
  <si>
    <t>Siwalan</t>
  </si>
  <si>
    <t>Pandean Lamper</t>
  </si>
  <si>
    <t>Gayamsari</t>
  </si>
  <si>
    <t>GENUK</t>
  </si>
  <si>
    <t>BANGETAYU</t>
  </si>
  <si>
    <t>Sembungharjo</t>
  </si>
  <si>
    <t>Kudu</t>
  </si>
  <si>
    <t>Karangroto</t>
  </si>
  <si>
    <t>Genuksari</t>
  </si>
  <si>
    <t>Banjardowoi</t>
  </si>
  <si>
    <t>Gebangsari</t>
  </si>
  <si>
    <t>Trimulyo</t>
  </si>
  <si>
    <t>Penggaron Lor</t>
  </si>
  <si>
    <t>Muktiharjo Lor</t>
  </si>
  <si>
    <t>Bangetayu Kulon</t>
  </si>
  <si>
    <t>Bangetayu Wetan</t>
  </si>
  <si>
    <t>Terboyo Kulon</t>
  </si>
  <si>
    <t>Terboyo Wetan</t>
  </si>
  <si>
    <t>PEDURUNGAN</t>
  </si>
  <si>
    <t>TLOGOSARI WETAN</t>
  </si>
  <si>
    <t>Penggaron Kidul</t>
  </si>
  <si>
    <t>Tlogomulyo</t>
  </si>
  <si>
    <t>Tlogosari Wetan</t>
  </si>
  <si>
    <t>TLOGOSARI KULON</t>
  </si>
  <si>
    <t>Tlogosari Kulon</t>
  </si>
  <si>
    <t>Muktiharjo Kidul</t>
  </si>
  <si>
    <t>Plamongan Sari</t>
  </si>
  <si>
    <t>Gemah</t>
  </si>
  <si>
    <t>Pedurungan Kidul</t>
  </si>
  <si>
    <t>Pedurungan Lor</t>
  </si>
  <si>
    <t>Pedurungan Tengah</t>
  </si>
  <si>
    <t>Palebon</t>
  </si>
  <si>
    <t>Kalicari</t>
  </si>
  <si>
    <t>SEMARANG SELATAN</t>
  </si>
  <si>
    <t>PANDANARAN</t>
  </si>
  <si>
    <t>Randusari</t>
  </si>
  <si>
    <t>Bulustalan</t>
  </si>
  <si>
    <t>Barusari</t>
  </si>
  <si>
    <t>Mugassari</t>
  </si>
  <si>
    <t>Pleburan</t>
  </si>
  <si>
    <t>Wonodri</t>
  </si>
  <si>
    <t>LAMPER TENGAH</t>
  </si>
  <si>
    <t>Peterongan</t>
  </si>
  <si>
    <t>Lamper Lor</t>
  </si>
  <si>
    <t>Lamper Kidul</t>
  </si>
  <si>
    <t>Lamper Tengah</t>
  </si>
  <si>
    <t>CANDISARI</t>
  </si>
  <si>
    <t>KAGOK</t>
  </si>
  <si>
    <t>Candi</t>
  </si>
  <si>
    <t>CANDILAMA</t>
  </si>
  <si>
    <t>Jatingaleh</t>
  </si>
  <si>
    <t>Kaliwiru</t>
  </si>
  <si>
    <t>Jomblang</t>
  </si>
  <si>
    <t>Karanganyar Gunung</t>
  </si>
  <si>
    <t>Tegalsari</t>
  </si>
  <si>
    <t>Wonotingal</t>
  </si>
  <si>
    <t>GAJAHMUNGKUR</t>
  </si>
  <si>
    <t>PEGANDAN</t>
  </si>
  <si>
    <t>Karang Rejo</t>
  </si>
  <si>
    <t>Bendan Duwur</t>
  </si>
  <si>
    <t>Bendan Ngisor</t>
  </si>
  <si>
    <t>Sampangan</t>
  </si>
  <si>
    <t>Gajahmungkur</t>
  </si>
  <si>
    <t>Lempongsari</t>
  </si>
  <si>
    <t>Petompon</t>
  </si>
  <si>
    <t>Bendungan</t>
  </si>
  <si>
    <t>TEMBALANG</t>
  </si>
  <si>
    <t>ROWOSARI</t>
  </si>
  <si>
    <t>Meteseh</t>
  </si>
  <si>
    <t>Rowosari</t>
  </si>
  <si>
    <t>KEDUNGMUNDU</t>
  </si>
  <si>
    <t>Mangunharjo</t>
  </si>
  <si>
    <t>Bulusan</t>
  </si>
  <si>
    <t>Kramas</t>
  </si>
  <si>
    <t>Tembalang</t>
  </si>
  <si>
    <t>Jangli</t>
  </si>
  <si>
    <t xml:space="preserve">Tandang </t>
  </si>
  <si>
    <t>Kedungmundu</t>
  </si>
  <si>
    <t>Sendangguwo</t>
  </si>
  <si>
    <t>Sendangmulyo</t>
  </si>
  <si>
    <t>Sambiroto</t>
  </si>
  <si>
    <t>BANYUMANIK</t>
  </si>
  <si>
    <t>PUDAKPAYUNG</t>
  </si>
  <si>
    <t>Pudakpayung</t>
  </si>
  <si>
    <t>Gedawang</t>
  </si>
  <si>
    <t>PADANGSARI</t>
  </si>
  <si>
    <t>Jabungan</t>
  </si>
  <si>
    <t>Pedalangan</t>
  </si>
  <si>
    <t>SRONDOL</t>
  </si>
  <si>
    <t>Banyumanik</t>
  </si>
  <si>
    <t>Srondol Kulon</t>
  </si>
  <si>
    <t>Srondol Wetan</t>
  </si>
  <si>
    <t>NGESREP</t>
  </si>
  <si>
    <t>Ngesrep</t>
  </si>
  <si>
    <t>Tinjomoyo</t>
  </si>
  <si>
    <t>Padangsari</t>
  </si>
  <si>
    <t>Sumurboto</t>
  </si>
  <si>
    <t>GUNUNGPATI</t>
  </si>
  <si>
    <t>Pakintelan</t>
  </si>
  <si>
    <t>Plalangan</t>
  </si>
  <si>
    <t>Mangunsari</t>
  </si>
  <si>
    <t>Gunungpati</t>
  </si>
  <si>
    <t>Nongkosawit</t>
  </si>
  <si>
    <t>Pongangan</t>
  </si>
  <si>
    <t>SEKARAN</t>
  </si>
  <si>
    <t>Ngijo</t>
  </si>
  <si>
    <t>Patemon</t>
  </si>
  <si>
    <t>Sekaran</t>
  </si>
  <si>
    <t>Sukorejo</t>
  </si>
  <si>
    <t>Sadeng</t>
  </si>
  <si>
    <t>Cepoko</t>
  </si>
  <si>
    <t>Jatirejo</t>
  </si>
  <si>
    <t>Sumurejo</t>
  </si>
  <si>
    <t>Kalisegoro</t>
  </si>
  <si>
    <t>Kandri</t>
  </si>
  <si>
    <t>SEMARANG BARAT</t>
  </si>
  <si>
    <t>NGEMPLAK SIMONGAN</t>
  </si>
  <si>
    <t>Ngemplaksimongan</t>
  </si>
  <si>
    <t>MANYARAN</t>
  </si>
  <si>
    <t>Manyaran</t>
  </si>
  <si>
    <t>Krapyak</t>
  </si>
  <si>
    <t>LEBDOSARI</t>
  </si>
  <si>
    <t>Tambak Harjo</t>
  </si>
  <si>
    <t>Kalibanteng Kulon</t>
  </si>
  <si>
    <t>Kalibanteng Kidul</t>
  </si>
  <si>
    <t>Gisikdrono</t>
  </si>
  <si>
    <t>Bongsari</t>
  </si>
  <si>
    <t>KARANGAYU</t>
  </si>
  <si>
    <t>Bojongsalaman</t>
  </si>
  <si>
    <t>Salamanmloyo</t>
  </si>
  <si>
    <t>Cabean</t>
  </si>
  <si>
    <t>Karangayu</t>
  </si>
  <si>
    <t>KROBOKAN</t>
  </si>
  <si>
    <t>Krobokan</t>
  </si>
  <si>
    <t>Tawangmas</t>
  </si>
  <si>
    <t>Tawangsari</t>
  </si>
  <si>
    <t>Kembangarum</t>
  </si>
  <si>
    <t>MIJEN</t>
  </si>
  <si>
    <t>Cangkiran</t>
  </si>
  <si>
    <t>KARANGMALANG</t>
  </si>
  <si>
    <t>Bubakan</t>
  </si>
  <si>
    <t>Karangmalang</t>
  </si>
  <si>
    <t>Polaman</t>
  </si>
  <si>
    <t>Tambangan</t>
  </si>
  <si>
    <t>Wonolopo</t>
  </si>
  <si>
    <t>Mijen</t>
  </si>
  <si>
    <t>Jatibarang</t>
  </si>
  <si>
    <t>Kedungpani</t>
  </si>
  <si>
    <t>Ngadirgo</t>
  </si>
  <si>
    <t>Wonoplumbon</t>
  </si>
  <si>
    <t>Jatisari</t>
  </si>
  <si>
    <t>Pesantren</t>
  </si>
  <si>
    <t>NGALIYAN</t>
  </si>
  <si>
    <t>Gondoriyo</t>
  </si>
  <si>
    <t>Podorejo</t>
  </si>
  <si>
    <t>Bringin</t>
  </si>
  <si>
    <t>PURWOYOSO</t>
  </si>
  <si>
    <t>Purwoyoso</t>
  </si>
  <si>
    <t>Kalipancur</t>
  </si>
  <si>
    <t>Bambankerep</t>
  </si>
  <si>
    <t>Ngaliyan</t>
  </si>
  <si>
    <t>TAMBAK AJI</t>
  </si>
  <si>
    <t>Tambakaji</t>
  </si>
  <si>
    <t>Wonosari</t>
  </si>
  <si>
    <t>Wates</t>
  </si>
  <si>
    <t>TUGU</t>
  </si>
  <si>
    <t>KARANGANYAR</t>
  </si>
  <si>
    <t>Jerakah</t>
  </si>
  <si>
    <t>Tugurejo</t>
  </si>
  <si>
    <t>Karanganyar</t>
  </si>
  <si>
    <t>Randu Garut</t>
  </si>
  <si>
    <t>MANGKANG</t>
  </si>
  <si>
    <t>Mangkang Wetan</t>
  </si>
  <si>
    <t>Mangkang Kulon</t>
  </si>
  <si>
    <t>KOTA SEMARANG</t>
  </si>
  <si>
    <t>FIX</t>
  </si>
  <si>
    <t xml:space="preserve"> </t>
  </si>
  <si>
    <t>SEPTEMBER</t>
  </si>
  <si>
    <t>Jumlah Baduta AGUSTUS 2022</t>
  </si>
  <si>
    <t>Jumlah Balita SEPTEMBER 2022</t>
  </si>
  <si>
    <t>Jumlah Baduta SEPTEMBER 2022</t>
  </si>
  <si>
    <t>Total Stunting 0-23</t>
  </si>
  <si>
    <t>Total Stunting 24-59</t>
  </si>
  <si>
    <t>KENDALI DITIMBANG EPPGBM</t>
  </si>
  <si>
    <t>KENDALI STUNTING (EPPGBM)</t>
  </si>
  <si>
    <t>KENDALI BADUTA STUNTING (EPPGBM)</t>
  </si>
  <si>
    <t>KENDALI BADUTA STUNTING EPPGBM</t>
  </si>
  <si>
    <t>KENDALI DARI SIP (S)</t>
  </si>
  <si>
    <t>KENDALI DARI SIP (D)</t>
  </si>
  <si>
    <t>STUNTING DESEMBER EPPGBM</t>
  </si>
  <si>
    <t>Selisih</t>
  </si>
  <si>
    <t>Jumlah Balita DES</t>
  </si>
  <si>
    <t>Selisih Jml Balita</t>
  </si>
  <si>
    <t>Jumlah Baduta DES</t>
  </si>
  <si>
    <t>Selisih Jml Baduta</t>
  </si>
  <si>
    <t>Jumlah D Balita Okt</t>
  </si>
  <si>
    <t>Jumlah D Baduta Okt</t>
  </si>
  <si>
    <t>Poncol</t>
  </si>
  <si>
    <t>Halmahera</t>
  </si>
  <si>
    <t>Karangdoro</t>
  </si>
  <si>
    <t>Pandanaran</t>
  </si>
  <si>
    <t>Lamper Tgh</t>
  </si>
  <si>
    <t>Lebdosari</t>
  </si>
  <si>
    <t>Ngemplak Sm</t>
  </si>
  <si>
    <t>Candi Lama</t>
  </si>
  <si>
    <t>Kagok</t>
  </si>
  <si>
    <t>Pegandan</t>
  </si>
  <si>
    <t>Genuk</t>
  </si>
  <si>
    <t>Bangetayu</t>
  </si>
  <si>
    <t>Srondol</t>
  </si>
  <si>
    <t>Pudak Payung</t>
  </si>
  <si>
    <t>Karang Malang</t>
  </si>
  <si>
    <t>Mangkang</t>
  </si>
  <si>
    <t>BLM FIX</t>
  </si>
  <si>
    <t>kosong</t>
  </si>
  <si>
    <t>Semarang Tengah</t>
  </si>
  <si>
    <t>Semarang Utara</t>
  </si>
  <si>
    <t>Semarang Timur</t>
  </si>
  <si>
    <t>Semarang Selatan</t>
  </si>
  <si>
    <t>Semarang Barat</t>
  </si>
  <si>
    <t xml:space="preserve">Candisari </t>
  </si>
  <si>
    <t>Pedurungan</t>
  </si>
  <si>
    <t>Tugu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</si>
</sst>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  <font>
      <sz val="9.0"/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sz val="11.0"/>
      <color rgb="FFFF0000"/>
      <name val="Calibri"/>
    </font>
    <font>
      <color rgb="FF000000"/>
      <name val="Calibri"/>
    </font>
    <font>
      <sz val="11.0"/>
      <color rgb="FF434343"/>
      <name val="Calibri"/>
    </font>
    <font>
      <b/>
      <sz val="11.0"/>
      <color theme="1"/>
      <name val="Calibri"/>
    </font>
    <font>
      <sz val="12.0"/>
      <color rgb="FF000000"/>
      <name val="Calibri"/>
    </font>
    <font>
      <sz val="11.0"/>
      <color theme="1"/>
      <name val="Arial"/>
    </font>
    <font>
      <sz val="12.0"/>
      <color theme="1"/>
      <name val="Calibri"/>
    </font>
    <font>
      <color theme="1"/>
      <name val="Arial"/>
    </font>
    <font>
      <sz val="14.0"/>
      <color theme="1"/>
      <name val="Calibri"/>
    </font>
    <font>
      <sz val="14.0"/>
      <color rgb="FF000000"/>
      <name val="Calibri"/>
    </font>
    <font>
      <b/>
      <sz val="12.0"/>
      <color theme="1"/>
      <name val="Arial"/>
    </font>
  </fonts>
  <fills count="5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9900FF"/>
        <bgColor rgb="FF9900FF"/>
      </patternFill>
    </fill>
    <fill>
      <patternFill patternType="solid">
        <fgColor rgb="FFCC4125"/>
        <bgColor rgb="FFCC4125"/>
      </patternFill>
    </fill>
    <fill>
      <patternFill patternType="solid">
        <fgColor rgb="FF999999"/>
        <bgColor rgb="FF999999"/>
      </patternFill>
    </fill>
    <fill>
      <patternFill patternType="solid">
        <fgColor rgb="FF45818E"/>
        <bgColor rgb="FF45818E"/>
      </patternFill>
    </fill>
    <fill>
      <patternFill patternType="solid">
        <fgColor rgb="FFEAEF17"/>
        <bgColor rgb="FFEAEF17"/>
      </patternFill>
    </fill>
    <fill>
      <patternFill patternType="solid">
        <fgColor rgb="FFC5E0B3"/>
        <bgColor rgb="FFC5E0B3"/>
      </patternFill>
    </fill>
    <fill>
      <patternFill patternType="solid">
        <fgColor theme="5"/>
        <bgColor theme="5"/>
      </patternFill>
    </fill>
    <fill>
      <patternFill patternType="solid">
        <fgColor rgb="FFFFD965"/>
        <bgColor rgb="FFFFD965"/>
      </patternFill>
    </fill>
    <fill>
      <patternFill patternType="solid">
        <fgColor theme="8"/>
        <bgColor theme="8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CC0000"/>
        <bgColor rgb="FFCC0000"/>
      </patternFill>
    </fill>
    <fill>
      <patternFill patternType="solid">
        <fgColor rgb="FFDD7E6B"/>
        <bgColor rgb="FFDD7E6B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A8D08D"/>
        <bgColor rgb="FFA8D08D"/>
      </patternFill>
    </fill>
    <fill>
      <patternFill patternType="solid">
        <fgColor rgb="FFC9DAF8"/>
        <bgColor rgb="FFC9DAF8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D0E0E3"/>
        <bgColor rgb="FFD0E0E3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BDD7EE"/>
        <bgColor rgb="FFBDD7EE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DCCFDC"/>
        <bgColor rgb="FFDCCFD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4B083"/>
        <bgColor rgb="FFF4B083"/>
      </patternFill>
    </fill>
    <fill>
      <patternFill patternType="solid">
        <fgColor rgb="FF76A5AF"/>
        <bgColor rgb="FF76A5AF"/>
      </patternFill>
    </fill>
    <fill>
      <patternFill patternType="solid">
        <fgColor rgb="FF99CCFF"/>
        <bgColor rgb="FF99CCFF"/>
      </patternFill>
    </fill>
    <fill>
      <patternFill patternType="solid">
        <fgColor rgb="FFF7CAAC"/>
        <bgColor rgb="FFF7CAAC"/>
      </patternFill>
    </fill>
  </fills>
  <borders count="4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/>
    </border>
    <border>
      <left style="medium">
        <color rgb="FFCCCCCC"/>
      </lef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1" fillId="3" fontId="1" numFmtId="0" xfId="0" applyBorder="1" applyFill="1" applyFont="1"/>
    <xf borderId="1" fillId="4" fontId="1" numFmtId="0" xfId="0" applyBorder="1" applyFill="1" applyFont="1"/>
    <xf borderId="2" fillId="5" fontId="1" numFmtId="0" xfId="0" applyBorder="1" applyFill="1" applyFont="1"/>
    <xf borderId="3" fillId="5" fontId="1" numFmtId="0" xfId="0" applyBorder="1" applyFont="1"/>
    <xf borderId="4" fillId="6" fontId="1" numFmtId="0" xfId="0" applyAlignment="1" applyBorder="1" applyFill="1" applyFont="1">
      <alignment horizontal="center" vertical="center"/>
    </xf>
    <xf borderId="4" fillId="6" fontId="1" numFmtId="0" xfId="0" applyAlignment="1" applyBorder="1" applyFont="1">
      <alignment horizontal="center" shrinkToFit="0" vertical="center" wrapText="1"/>
    </xf>
    <xf borderId="5" fillId="5" fontId="1" numFmtId="0" xfId="0" applyAlignment="1" applyBorder="1" applyFont="1">
      <alignment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1" fillId="5" fontId="1" numFmtId="0" xfId="0" applyBorder="1" applyFont="1"/>
    <xf borderId="8" fillId="5" fontId="1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5" fontId="1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3" fillId="5" fontId="1" numFmtId="0" xfId="0" applyAlignment="1" applyBorder="1" applyFont="1">
      <alignment horizontal="center" shrinkToFit="0" vertical="center" wrapText="1"/>
    </xf>
    <xf borderId="14" fillId="3" fontId="3" numFmtId="0" xfId="0" applyBorder="1" applyFont="1"/>
    <xf borderId="15" fillId="0" fontId="2" numFmtId="0" xfId="0" applyBorder="1" applyFont="1"/>
    <xf borderId="1" fillId="3" fontId="3" numFmtId="0" xfId="0" applyBorder="1" applyFont="1"/>
    <xf borderId="8" fillId="7" fontId="1" numFmtId="0" xfId="0" applyAlignment="1" applyBorder="1" applyFill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8" fillId="8" fontId="1" numFmtId="0" xfId="0" applyAlignment="1" applyBorder="1" applyFill="1" applyFont="1">
      <alignment horizontal="center" vertical="center"/>
    </xf>
    <xf borderId="8" fillId="9" fontId="1" numFmtId="0" xfId="0" applyAlignment="1" applyBorder="1" applyFill="1" applyFont="1">
      <alignment horizontal="center" vertical="center"/>
    </xf>
    <xf borderId="16" fillId="7" fontId="1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6" fillId="10" fontId="1" numFmtId="0" xfId="0" applyAlignment="1" applyBorder="1" applyFill="1" applyFont="1">
      <alignment horizontal="center" readingOrder="0" shrinkToFit="0" vertical="center" wrapText="1"/>
    </xf>
    <xf borderId="16" fillId="11" fontId="1" numFmtId="0" xfId="0" applyAlignment="1" applyBorder="1" applyFill="1" applyFont="1">
      <alignment horizontal="center" readingOrder="0" shrinkToFit="0" vertical="center" wrapText="1"/>
    </xf>
    <xf borderId="8" fillId="12" fontId="1" numFmtId="0" xfId="0" applyAlignment="1" applyBorder="1" applyFill="1" applyFont="1">
      <alignment horizontal="center" readingOrder="0" shrinkToFit="0" vertical="center" wrapText="1"/>
    </xf>
    <xf borderId="8" fillId="13" fontId="1" numFmtId="0" xfId="0" applyAlignment="1" applyBorder="1" applyFill="1" applyFont="1">
      <alignment horizontal="center" readingOrder="0" shrinkToFit="0" vertical="center" wrapText="1"/>
    </xf>
    <xf borderId="8" fillId="14" fontId="1" numFmtId="0" xfId="0" applyAlignment="1" applyBorder="1" applyFill="1" applyFont="1">
      <alignment horizontal="center" readingOrder="0" shrinkToFit="0" vertical="center" wrapText="1"/>
    </xf>
    <xf borderId="8" fillId="15" fontId="1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shrinkToFit="0" vertical="center" wrapText="1"/>
    </xf>
    <xf quotePrefix="1" borderId="4" fillId="7" fontId="1" numFmtId="0" xfId="0" applyAlignment="1" applyBorder="1" applyFont="1">
      <alignment horizontal="center" shrinkToFit="0" vertical="center" wrapText="1"/>
    </xf>
    <xf quotePrefix="1" borderId="4" fillId="7" fontId="1" numFmtId="0" xfId="0" applyAlignment="1" applyBorder="1" applyFont="1">
      <alignment horizontal="center" vertical="center"/>
    </xf>
    <xf quotePrefix="1" borderId="4" fillId="3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8" fillId="6" fontId="1" numFmtId="0" xfId="0" applyAlignment="1" applyBorder="1" applyFont="1">
      <alignment horizontal="center" vertical="center"/>
    </xf>
    <xf quotePrefix="1" borderId="4" fillId="6" fontId="1" numFmtId="0" xfId="0" applyAlignment="1" applyBorder="1" applyFont="1">
      <alignment horizontal="center" shrinkToFit="0" vertical="center" wrapText="1"/>
    </xf>
    <xf quotePrefix="1" borderId="4" fillId="6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8" fillId="17" fontId="1" numFmtId="0" xfId="0" applyAlignment="1" applyBorder="1" applyFill="1" applyFont="1">
      <alignment horizontal="center" vertical="center"/>
    </xf>
    <xf quotePrefix="1" borderId="4" fillId="17" fontId="1" numFmtId="0" xfId="0" applyAlignment="1" applyBorder="1" applyFont="1">
      <alignment horizontal="center" shrinkToFit="0" vertical="center" wrapText="1"/>
    </xf>
    <xf quotePrefix="1" borderId="4" fillId="17" fontId="1" numFmtId="0" xfId="0" applyAlignment="1" applyBorder="1" applyFont="1">
      <alignment horizontal="center" vertical="center"/>
    </xf>
    <xf quotePrefix="1" borderId="4" fillId="8" fontId="1" numFmtId="0" xfId="0" applyAlignment="1" applyBorder="1" applyFont="1">
      <alignment horizontal="center" shrinkToFit="0" vertical="center" wrapText="1"/>
    </xf>
    <xf quotePrefix="1" borderId="4" fillId="8" fontId="1" numFmtId="0" xfId="0" applyAlignment="1" applyBorder="1" applyFont="1">
      <alignment horizontal="center" vertical="center"/>
    </xf>
    <xf quotePrefix="1" borderId="4" fillId="9" fontId="1" numFmtId="0" xfId="0" applyAlignment="1" applyBorder="1" applyFont="1">
      <alignment horizontal="center" shrinkToFit="0" vertical="center" wrapText="1"/>
    </xf>
    <xf quotePrefix="1" borderId="4" fillId="9" fontId="1" numFmtId="0" xfId="0" applyAlignment="1" applyBorder="1" applyFont="1">
      <alignment horizontal="center" vertical="center"/>
    </xf>
    <xf quotePrefix="1" borderId="19" fillId="3" fontId="1" numFmtId="0" xfId="0" applyAlignment="1" applyBorder="1" applyFont="1">
      <alignment horizontal="center" shrinkToFit="0" vertical="center" wrapText="1"/>
    </xf>
    <xf quotePrefix="1" borderId="4" fillId="18" fontId="1" numFmtId="0" xfId="0" applyAlignment="1" applyBorder="1" applyFill="1" applyFont="1">
      <alignment horizontal="center" shrinkToFit="0" vertical="center" wrapText="1"/>
    </xf>
    <xf borderId="20" fillId="7" fontId="1" numFmtId="0" xfId="0" applyAlignment="1" applyBorder="1" applyFont="1">
      <alignment horizontal="center" shrinkToFit="0" vertical="center" wrapText="1"/>
    </xf>
    <xf borderId="21" fillId="7" fontId="1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  <xf borderId="24" fillId="7" fontId="1" numFmtId="0" xfId="0" applyAlignment="1" applyBorder="1" applyFont="1">
      <alignment horizontal="center" shrinkToFit="0" vertical="center" wrapText="1"/>
    </xf>
    <xf borderId="24" fillId="7" fontId="1" numFmtId="0" xfId="0" applyAlignment="1" applyBorder="1" applyFont="1">
      <alignment shrinkToFit="0" vertical="center" wrapText="1"/>
    </xf>
    <xf quotePrefix="1" borderId="4" fillId="19" fontId="1" numFmtId="0" xfId="0" applyAlignment="1" applyBorder="1" applyFill="1" applyFont="1">
      <alignment horizontal="center" readingOrder="0" shrinkToFit="0" vertical="center" wrapText="1"/>
    </xf>
    <xf borderId="20" fillId="6" fontId="1" numFmtId="0" xfId="0" applyAlignment="1" applyBorder="1" applyFont="1">
      <alignment horizontal="center" shrinkToFit="0" vertical="center" wrapText="1"/>
    </xf>
    <xf borderId="21" fillId="10" fontId="1" numFmtId="0" xfId="0" applyAlignment="1" applyBorder="1" applyFont="1">
      <alignment horizontal="center" shrinkToFit="0" vertical="center" wrapText="1"/>
    </xf>
    <xf borderId="24" fillId="10" fontId="1" numFmtId="0" xfId="0" applyAlignment="1" applyBorder="1" applyFont="1">
      <alignment horizontal="center" shrinkToFit="0" vertical="center" wrapText="1"/>
    </xf>
    <xf borderId="24" fillId="10" fontId="1" numFmtId="0" xfId="0" applyAlignment="1" applyBorder="1" applyFont="1">
      <alignment shrinkToFit="0" vertical="center" wrapText="1"/>
    </xf>
    <xf quotePrefix="1" borderId="4" fillId="20" fontId="1" numFmtId="0" xfId="0" applyAlignment="1" applyBorder="1" applyFill="1" applyFont="1">
      <alignment horizontal="center" readingOrder="0" shrinkToFit="0" vertical="center" wrapText="1"/>
    </xf>
    <xf borderId="25" fillId="20" fontId="1" numFmtId="0" xfId="0" applyAlignment="1" applyBorder="1" applyFont="1">
      <alignment horizontal="center" readingOrder="0" shrinkToFit="0" vertical="center" wrapText="1"/>
    </xf>
    <xf borderId="20" fillId="21" fontId="1" numFmtId="0" xfId="0" applyAlignment="1" applyBorder="1" applyFill="1" applyFont="1">
      <alignment horizontal="center" shrinkToFit="0" vertical="center" wrapText="1"/>
    </xf>
    <xf borderId="21" fillId="11" fontId="1" numFmtId="0" xfId="0" applyAlignment="1" applyBorder="1" applyFont="1">
      <alignment horizontal="center" shrinkToFit="0" vertical="center" wrapText="1"/>
    </xf>
    <xf borderId="24" fillId="11" fontId="1" numFmtId="0" xfId="0" applyAlignment="1" applyBorder="1" applyFont="1">
      <alignment horizontal="center" shrinkToFit="0" vertical="center" wrapText="1"/>
    </xf>
    <xf borderId="21" fillId="11" fontId="1" numFmtId="0" xfId="0" applyAlignment="1" applyBorder="1" applyFont="1">
      <alignment shrinkToFit="0" vertical="center" wrapText="1"/>
    </xf>
    <xf quotePrefix="1" borderId="4" fillId="22" fontId="1" numFmtId="0" xfId="0" applyAlignment="1" applyBorder="1" applyFill="1" applyFont="1">
      <alignment horizontal="center" readingOrder="0" shrinkToFit="0" vertical="center" wrapText="1"/>
    </xf>
    <xf borderId="4" fillId="22" fontId="1" numFmtId="0" xfId="0" applyAlignment="1" applyBorder="1" applyFont="1">
      <alignment horizontal="center" readingOrder="0" shrinkToFit="0" vertical="center" wrapText="1"/>
    </xf>
    <xf borderId="4" fillId="23" fontId="1" numFmtId="0" xfId="0" applyAlignment="1" applyBorder="1" applyFill="1" applyFont="1">
      <alignment horizontal="center" shrinkToFit="0" vertical="center" wrapText="1"/>
    </xf>
    <xf borderId="4" fillId="23" fontId="1" numFmtId="0" xfId="0" applyAlignment="1" applyBorder="1" applyFont="1">
      <alignment horizontal="center" readingOrder="0" shrinkToFit="0" vertical="center" wrapText="1"/>
    </xf>
    <xf borderId="8" fillId="12" fontId="1" numFmtId="0" xfId="0" applyAlignment="1" applyBorder="1" applyFont="1">
      <alignment horizontal="center" shrinkToFit="0" vertical="center" wrapText="1"/>
    </xf>
    <xf borderId="2" fillId="12" fontId="1" numFmtId="0" xfId="0" applyAlignment="1" applyBorder="1" applyFont="1">
      <alignment horizontal="center" shrinkToFit="0" vertical="center" wrapText="1"/>
    </xf>
    <xf borderId="4" fillId="12" fontId="1" numFmtId="0" xfId="0" applyAlignment="1" applyBorder="1" applyFont="1">
      <alignment shrinkToFit="0" vertical="center" wrapText="1"/>
    </xf>
    <xf borderId="4" fillId="12" fontId="1" numFmtId="0" xfId="0" applyAlignment="1" applyBorder="1" applyFont="1">
      <alignment readingOrder="0" shrinkToFit="0" vertical="center" wrapText="1"/>
    </xf>
    <xf quotePrefix="1" borderId="4" fillId="24" fontId="1" numFmtId="0" xfId="0" applyAlignment="1" applyBorder="1" applyFill="1" applyFont="1">
      <alignment horizontal="center" readingOrder="0" shrinkToFit="0" vertical="center" wrapText="1"/>
    </xf>
    <xf borderId="4" fillId="24" fontId="1" numFmtId="0" xfId="0" applyAlignment="1" applyBorder="1" applyFont="1">
      <alignment horizontal="center" readingOrder="0" shrinkToFit="0" vertical="center" wrapText="1"/>
    </xf>
    <xf borderId="4" fillId="25" fontId="1" numFmtId="0" xfId="0" applyAlignment="1" applyBorder="1" applyFill="1" applyFont="1">
      <alignment horizontal="center" shrinkToFit="0" vertical="center" wrapText="1"/>
    </xf>
    <xf borderId="4" fillId="25" fontId="1" numFmtId="0" xfId="0" applyAlignment="1" applyBorder="1" applyFont="1">
      <alignment horizontal="center" readingOrder="0" shrinkToFit="0" vertical="center" wrapText="1"/>
    </xf>
    <xf borderId="8" fillId="13" fontId="1" numFmtId="0" xfId="0" applyAlignment="1" applyBorder="1" applyFont="1">
      <alignment horizontal="center" shrinkToFit="0" vertical="center" wrapText="1"/>
    </xf>
    <xf borderId="2" fillId="13" fontId="1" numFmtId="0" xfId="0" applyAlignment="1" applyBorder="1" applyFont="1">
      <alignment horizontal="center" shrinkToFit="0" vertical="center" wrapText="1"/>
    </xf>
    <xf borderId="4" fillId="13" fontId="1" numFmtId="0" xfId="0" applyAlignment="1" applyBorder="1" applyFont="1">
      <alignment shrinkToFit="0" vertical="center" wrapText="1"/>
    </xf>
    <xf borderId="4" fillId="13" fontId="1" numFmtId="0" xfId="0" applyAlignment="1" applyBorder="1" applyFont="1">
      <alignment readingOrder="0" shrinkToFit="0" vertical="center" wrapText="1"/>
    </xf>
    <xf quotePrefix="1" borderId="4" fillId="14" fontId="1" numFmtId="0" xfId="0" applyAlignment="1" applyBorder="1" applyFont="1">
      <alignment horizontal="center" readingOrder="0" shrinkToFit="0" vertical="center" wrapText="1"/>
    </xf>
    <xf borderId="4" fillId="14" fontId="1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4" fillId="14" fontId="1" numFmtId="0" xfId="0" applyAlignment="1" applyBorder="1" applyFont="1">
      <alignment horizontal="center" shrinkToFit="0" vertical="center" wrapText="1"/>
    </xf>
    <xf borderId="8" fillId="14" fontId="1" numFmtId="0" xfId="0" applyAlignment="1" applyBorder="1" applyFont="1">
      <alignment horizontal="center" shrinkToFit="0" vertical="center" wrapText="1"/>
    </xf>
    <xf borderId="2" fillId="14" fontId="1" numFmtId="0" xfId="0" applyAlignment="1" applyBorder="1" applyFont="1">
      <alignment horizontal="center" shrinkToFit="0" vertical="center" wrapText="1"/>
    </xf>
    <xf borderId="4" fillId="14" fontId="1" numFmtId="0" xfId="0" applyAlignment="1" applyBorder="1" applyFont="1">
      <alignment shrinkToFit="0" vertical="center" wrapText="1"/>
    </xf>
    <xf borderId="4" fillId="14" fontId="1" numFmtId="0" xfId="0" applyAlignment="1" applyBorder="1" applyFont="1">
      <alignment readingOrder="0" shrinkToFit="0" vertical="center" wrapText="1"/>
    </xf>
    <xf quotePrefix="1" borderId="4" fillId="15" fontId="1" numFmtId="0" xfId="0" applyAlignment="1" applyBorder="1" applyFont="1">
      <alignment horizontal="center" readingOrder="0" shrinkToFit="0" vertical="center" wrapText="1"/>
    </xf>
    <xf borderId="4" fillId="15" fontId="1" numFmtId="0" xfId="0" applyAlignment="1" applyBorder="1" applyFont="1">
      <alignment horizontal="center" readingOrder="0" shrinkToFit="0" vertical="center" wrapText="1"/>
    </xf>
    <xf borderId="4" fillId="15" fontId="4" numFmtId="0" xfId="0" applyAlignment="1" applyBorder="1" applyFont="1">
      <alignment horizontal="center" readingOrder="0" shrinkToFit="0" vertical="center" wrapText="1"/>
    </xf>
    <xf borderId="4" fillId="15" fontId="1" numFmtId="0" xfId="0" applyAlignment="1" applyBorder="1" applyFont="1">
      <alignment horizontal="center" shrinkToFit="0" vertical="center" wrapText="1"/>
    </xf>
    <xf borderId="8" fillId="15" fontId="1" numFmtId="0" xfId="0" applyAlignment="1" applyBorder="1" applyFont="1">
      <alignment horizontal="center" shrinkToFit="0" vertical="center" wrapText="1"/>
    </xf>
    <xf borderId="2" fillId="15" fontId="1" numFmtId="0" xfId="0" applyAlignment="1" applyBorder="1" applyFont="1">
      <alignment horizontal="center" shrinkToFit="0" vertical="center" wrapText="1"/>
    </xf>
    <xf borderId="4" fillId="15" fontId="1" numFmtId="0" xfId="0" applyAlignment="1" applyBorder="1" applyFont="1">
      <alignment shrinkToFit="0" vertical="center" wrapText="1"/>
    </xf>
    <xf borderId="4" fillId="15" fontId="1" numFmtId="0" xfId="0" applyAlignment="1" applyBorder="1" applyFont="1">
      <alignment readingOrder="0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26" fontId="1" numFmtId="0" xfId="0" applyAlignment="1" applyBorder="1" applyFill="1" applyFont="1">
      <alignment horizontal="center"/>
    </xf>
    <xf borderId="2" fillId="5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/>
    </xf>
    <xf borderId="26" fillId="0" fontId="2" numFmtId="0" xfId="0" applyBorder="1" applyFont="1"/>
    <xf quotePrefix="1" borderId="2" fillId="7" fontId="1" numFmtId="0" xfId="0" applyAlignment="1" applyBorder="1" applyFont="1">
      <alignment horizontal="center" vertical="center"/>
    </xf>
    <xf quotePrefix="1" borderId="2" fillId="6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shrinkToFit="0" vertical="center" wrapText="1"/>
    </xf>
    <xf quotePrefix="1" borderId="2" fillId="17" fontId="1" numFmtId="0" xfId="0" applyAlignment="1" applyBorder="1" applyFont="1">
      <alignment horizontal="center" vertical="center"/>
    </xf>
    <xf quotePrefix="1" borderId="2" fillId="8" fontId="1" numFmtId="0" xfId="0" applyAlignment="1" applyBorder="1" applyFont="1">
      <alignment horizontal="center" vertical="center"/>
    </xf>
    <xf quotePrefix="1" borderId="2" fillId="9" fontId="1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29" fillId="8" fontId="1" numFmtId="0" xfId="0" applyAlignment="1" applyBorder="1" applyFont="1">
      <alignment horizontal="center" shrinkToFit="0" vertical="center" wrapText="1"/>
    </xf>
    <xf quotePrefix="1" borderId="30" fillId="8" fontId="1" numFmtId="0" xfId="0" applyAlignment="1" applyBorder="1" applyFont="1">
      <alignment horizontal="center" shrinkToFit="0" vertical="center" wrapText="1"/>
    </xf>
    <xf borderId="30" fillId="8" fontId="1" numFmtId="0" xfId="0" applyAlignment="1" applyBorder="1" applyFont="1">
      <alignment horizontal="center" shrinkToFit="0" vertical="center" wrapText="1"/>
    </xf>
    <xf borderId="31" fillId="8" fontId="1" numFmtId="0" xfId="0" applyAlignment="1" applyBorder="1" applyFont="1">
      <alignment horizontal="center" shrinkToFit="0" vertical="center" wrapText="1"/>
    </xf>
    <xf borderId="29" fillId="27" fontId="1" numFmtId="0" xfId="0" applyAlignment="1" applyBorder="1" applyFill="1" applyFont="1">
      <alignment horizontal="center" shrinkToFit="0" vertical="center" wrapText="1"/>
    </xf>
    <xf quotePrefix="1" borderId="30" fillId="27" fontId="1" numFmtId="0" xfId="0" applyAlignment="1" applyBorder="1" applyFont="1">
      <alignment horizontal="center" shrinkToFit="0" vertical="center" wrapText="1"/>
    </xf>
    <xf borderId="30" fillId="27" fontId="1" numFmtId="0" xfId="0" applyAlignment="1" applyBorder="1" applyFont="1">
      <alignment horizontal="center" shrinkToFit="0" vertical="center" wrapText="1"/>
    </xf>
    <xf borderId="31" fillId="27" fontId="1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29" fillId="21" fontId="1" numFmtId="0" xfId="0" applyAlignment="1" applyBorder="1" applyFont="1">
      <alignment horizontal="center" shrinkToFit="0" vertical="center" wrapText="1"/>
    </xf>
    <xf quotePrefix="1" borderId="30" fillId="21" fontId="1" numFmtId="0" xfId="0" applyAlignment="1" applyBorder="1" applyFont="1">
      <alignment horizontal="center" shrinkToFit="0" vertical="center" wrapText="1"/>
    </xf>
    <xf borderId="30" fillId="21" fontId="1" numFmtId="0" xfId="0" applyAlignment="1" applyBorder="1" applyFont="1">
      <alignment horizontal="center" shrinkToFit="0" vertical="center" wrapText="1"/>
    </xf>
    <xf borderId="31" fillId="21" fontId="1" numFmtId="0" xfId="0" applyAlignment="1" applyBorder="1" applyFont="1">
      <alignment horizontal="center" shrinkToFit="0" vertical="center" wrapText="1"/>
    </xf>
    <xf borderId="32" fillId="21" fontId="1" numFmtId="0" xfId="0" applyAlignment="1" applyBorder="1" applyFont="1">
      <alignment horizontal="center" shrinkToFit="0" vertical="center" wrapText="1"/>
    </xf>
    <xf borderId="2" fillId="23" fontId="1" numFmtId="0" xfId="0" applyAlignment="1" applyBorder="1" applyFont="1">
      <alignment horizontal="center" shrinkToFit="0" vertical="center" wrapText="1"/>
    </xf>
    <xf quotePrefix="1" borderId="2" fillId="23" fontId="1" numFmtId="0" xfId="0" applyAlignment="1" applyBorder="1" applyFont="1">
      <alignment horizontal="center" shrinkToFit="0" vertical="center" wrapText="1"/>
    </xf>
    <xf borderId="2" fillId="25" fontId="1" numFmtId="0" xfId="0" applyAlignment="1" applyBorder="1" applyFont="1">
      <alignment horizontal="center" shrinkToFit="0" vertical="center" wrapText="1"/>
    </xf>
    <xf quotePrefix="1" borderId="2" fillId="25" fontId="1" numFmtId="0" xfId="0" applyAlignment="1" applyBorder="1" applyFont="1">
      <alignment horizontal="center" shrinkToFit="0" vertical="center" wrapText="1"/>
    </xf>
    <xf quotePrefix="1" borderId="2" fillId="14" fontId="1" numFmtId="0" xfId="0" applyAlignment="1" applyBorder="1" applyFont="1">
      <alignment horizontal="center" shrinkToFit="0" vertical="center" wrapText="1"/>
    </xf>
    <xf quotePrefix="1" borderId="2" fillId="15" fontId="1" numFmtId="0" xfId="0" applyAlignment="1" applyBorder="1" applyFont="1">
      <alignment horizontal="center" shrinkToFit="0" vertical="center" wrapText="1"/>
    </xf>
    <xf borderId="2" fillId="26" fontId="1" numFmtId="0" xfId="0" applyBorder="1" applyFont="1"/>
    <xf borderId="2" fillId="6" fontId="1" numFmtId="0" xfId="0" applyAlignment="1" applyBorder="1" applyFont="1">
      <alignment horizontal="center" vertical="center"/>
    </xf>
    <xf borderId="33" fillId="6" fontId="1" numFmtId="0" xfId="0" applyAlignment="1" applyBorder="1" applyFont="1">
      <alignment horizontal="center" vertical="center"/>
    </xf>
    <xf borderId="8" fillId="6" fontId="1" numFmtId="0" xfId="0" applyAlignment="1" applyBorder="1" applyFont="1">
      <alignment horizontal="center" readingOrder="0" vertical="center"/>
    </xf>
    <xf borderId="2" fillId="6" fontId="1" numFmtId="0" xfId="0" applyAlignment="1" applyBorder="1" applyFont="1">
      <alignment horizontal="center" readingOrder="0" vertical="center"/>
    </xf>
    <xf borderId="2" fillId="12" fontId="1" numFmtId="0" xfId="0" applyAlignment="1" applyBorder="1" applyFont="1">
      <alignment horizontal="center" readingOrder="0" vertical="center"/>
    </xf>
    <xf borderId="2" fillId="14" fontId="1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readingOrder="0" vertical="center"/>
    </xf>
    <xf borderId="2" fillId="28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ont="1">
      <alignment horizontal="center" vertical="center"/>
    </xf>
    <xf borderId="2" fillId="2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1" numFmtId="1" xfId="0" applyAlignment="1" applyBorder="1" applyFont="1" applyNumberFormat="1">
      <alignment horizontal="center"/>
    </xf>
    <xf borderId="2" fillId="3" fontId="1" numFmtId="1" xfId="0" applyAlignment="1" applyBorder="1" applyFont="1" applyNumberFormat="1">
      <alignment horizontal="center"/>
    </xf>
    <xf borderId="1" fillId="4" fontId="1" numFmtId="1" xfId="0" applyAlignment="1" applyBorder="1" applyFont="1" applyNumberFormat="1">
      <alignment horizontal="center"/>
    </xf>
    <xf borderId="2" fillId="0" fontId="1" numFmtId="1" xfId="0" applyBorder="1" applyFont="1" applyNumberFormat="1"/>
    <xf borderId="2" fillId="0" fontId="1" numFmtId="0" xfId="0" applyBorder="1" applyFont="1"/>
    <xf borderId="2" fillId="3" fontId="1" numFmtId="1" xfId="0" applyBorder="1" applyFont="1" applyNumberFormat="1"/>
    <xf borderId="2" fillId="4" fontId="1" numFmtId="0" xfId="0" applyBorder="1" applyFont="1"/>
    <xf borderId="33" fillId="3" fontId="1" numFmtId="1" xfId="0" applyBorder="1" applyFont="1" applyNumberFormat="1"/>
    <xf borderId="2" fillId="5" fontId="1" numFmtId="1" xfId="0" applyAlignment="1" applyBorder="1" applyFont="1" applyNumberFormat="1">
      <alignment readingOrder="0"/>
    </xf>
    <xf borderId="3" fillId="29" fontId="1" numFmtId="0" xfId="0" applyBorder="1" applyFill="1" applyFont="1"/>
    <xf borderId="2" fillId="0" fontId="1" numFmtId="0" xfId="0" applyAlignment="1" applyBorder="1" applyFont="1">
      <alignment readingOrder="0"/>
    </xf>
    <xf borderId="2" fillId="30" fontId="1" numFmtId="0" xfId="0" applyBorder="1" applyFill="1" applyFont="1"/>
    <xf borderId="2" fillId="5" fontId="1" numFmtId="0" xfId="0" applyAlignment="1" applyBorder="1" applyFont="1">
      <alignment readingOrder="0"/>
    </xf>
    <xf borderId="0" fillId="5" fontId="1" numFmtId="0" xfId="0" applyAlignment="1" applyFont="1">
      <alignment readingOrder="0"/>
    </xf>
    <xf borderId="0" fillId="29" fontId="1" numFmtId="0" xfId="0" applyFont="1"/>
    <xf borderId="0" fillId="30" fontId="1" numFmtId="0" xfId="0" applyFont="1"/>
    <xf borderId="2" fillId="31" fontId="1" numFmtId="0" xfId="0" applyAlignment="1" applyBorder="1" applyFill="1" applyFont="1">
      <alignment readingOrder="0"/>
    </xf>
    <xf borderId="2" fillId="6" fontId="1" numFmtId="0" xfId="0" applyAlignment="1" applyBorder="1" applyFont="1">
      <alignment readingOrder="0"/>
    </xf>
    <xf borderId="2" fillId="12" fontId="1" numFmtId="0" xfId="0" applyBorder="1" applyFont="1"/>
    <xf borderId="2" fillId="12" fontId="1" numFmtId="0" xfId="0" applyAlignment="1" applyBorder="1" applyFont="1">
      <alignment readingOrder="0"/>
    </xf>
    <xf borderId="2" fillId="31" fontId="3" numFmtId="0" xfId="0" applyAlignment="1" applyBorder="1" applyFont="1">
      <alignment horizontal="right" readingOrder="0" shrinkToFit="0" vertical="bottom" wrapText="0"/>
    </xf>
    <xf borderId="10" fillId="31" fontId="3" numFmtId="0" xfId="0" applyAlignment="1" applyBorder="1" applyFont="1">
      <alignment horizontal="right" readingOrder="0" shrinkToFit="0" vertical="bottom" wrapText="0"/>
    </xf>
    <xf borderId="2" fillId="6" fontId="3" numFmtId="0" xfId="0" applyAlignment="1" applyBorder="1" applyFont="1">
      <alignment horizontal="right" readingOrder="0" shrinkToFit="0" vertical="bottom" wrapText="0"/>
    </xf>
    <xf borderId="10" fillId="6" fontId="3" numFmtId="0" xfId="0" applyAlignment="1" applyBorder="1" applyFont="1">
      <alignment horizontal="right" readingOrder="0" shrinkToFit="0" vertical="bottom" wrapText="0"/>
    </xf>
    <xf borderId="2" fillId="24" fontId="1" numFmtId="0" xfId="0" applyBorder="1" applyFont="1"/>
    <xf borderId="2" fillId="24" fontId="1" numFmtId="0" xfId="0" applyAlignment="1" applyBorder="1" applyFont="1">
      <alignment readingOrder="0"/>
    </xf>
    <xf borderId="0" fillId="12" fontId="1" numFmtId="0" xfId="0" applyAlignment="1" applyFont="1">
      <alignment readingOrder="0"/>
    </xf>
    <xf borderId="2" fillId="14" fontId="1" numFmtId="0" xfId="0" applyBorder="1" applyFont="1"/>
    <xf borderId="2" fillId="14" fontId="3" numFmtId="0" xfId="0" applyAlignment="1" applyBorder="1" applyFont="1">
      <alignment horizontal="right" readingOrder="0" shrinkToFit="0" vertical="bottom" wrapText="0"/>
    </xf>
    <xf borderId="10" fillId="14" fontId="3" numFmtId="0" xfId="0" applyAlignment="1" applyBorder="1" applyFont="1">
      <alignment horizontal="right" readingOrder="0" shrinkToFit="0" vertical="bottom" wrapText="0"/>
    </xf>
    <xf borderId="0" fillId="4" fontId="3" numFmtId="0" xfId="0" applyAlignment="1" applyFont="1">
      <alignment horizontal="right" readingOrder="0" shrinkToFit="0" vertical="bottom" wrapText="0"/>
    </xf>
    <xf borderId="0" fillId="31" fontId="3" numFmtId="0" xfId="0" applyAlignment="1" applyFont="1">
      <alignment horizontal="right" readingOrder="0" shrinkToFit="0" vertical="bottom" wrapText="0"/>
    </xf>
    <xf borderId="2" fillId="4" fontId="3" numFmtId="0" xfId="0" applyAlignment="1" applyBorder="1" applyFont="1">
      <alignment horizontal="center" readingOrder="0" shrinkToFit="0" vertical="bottom" wrapText="0"/>
    </xf>
    <xf borderId="0" fillId="28" fontId="3" numFmtId="0" xfId="0" applyAlignment="1" applyFont="1">
      <alignment horizontal="center" readingOrder="0" shrinkToFit="0" vertical="bottom" wrapText="0"/>
    </xf>
    <xf borderId="2" fillId="28" fontId="3" numFmtId="0" xfId="0" applyAlignment="1" applyBorder="1" applyFont="1">
      <alignment horizontal="right" readingOrder="0" shrinkToFit="0" vertical="bottom" wrapText="0"/>
    </xf>
    <xf borderId="0" fillId="5" fontId="1" numFmtId="1" xfId="0" applyAlignment="1" applyFont="1" applyNumberFormat="1">
      <alignment horizontal="center" vertical="bottom"/>
    </xf>
    <xf borderId="2" fillId="5" fontId="1" numFmtId="1" xfId="0" applyBorder="1" applyFont="1" applyNumberFormat="1"/>
    <xf borderId="2" fillId="26" fontId="1" numFmtId="1" xfId="0" applyBorder="1" applyFont="1" applyNumberFormat="1"/>
    <xf borderId="1" fillId="3" fontId="1" numFmtId="1" xfId="0" applyBorder="1" applyFont="1" applyNumberFormat="1"/>
    <xf borderId="1" fillId="3" fontId="3" numFmtId="1" xfId="0" applyBorder="1" applyFont="1" applyNumberFormat="1"/>
    <xf borderId="1" fillId="32" fontId="1" numFmtId="1" xfId="0" applyAlignment="1" applyBorder="1" applyFill="1" applyFont="1" applyNumberFormat="1">
      <alignment horizontal="center"/>
    </xf>
    <xf borderId="2" fillId="32" fontId="1" numFmtId="1" xfId="0" applyAlignment="1" applyBorder="1" applyFont="1" applyNumberFormat="1">
      <alignment horizontal="center"/>
    </xf>
    <xf borderId="2" fillId="4" fontId="1" numFmtId="1" xfId="0" applyAlignment="1" applyBorder="1" applyFont="1" applyNumberFormat="1">
      <alignment horizontal="center"/>
    </xf>
    <xf borderId="3" fillId="29" fontId="1" numFmtId="1" xfId="0" applyBorder="1" applyFont="1" applyNumberFormat="1"/>
    <xf borderId="2" fillId="30" fontId="1" numFmtId="1" xfId="0" applyBorder="1" applyFont="1" applyNumberFormat="1"/>
    <xf borderId="26" fillId="31" fontId="3" numFmtId="0" xfId="0" applyAlignment="1" applyBorder="1" applyFont="1">
      <alignment horizontal="right" readingOrder="0" shrinkToFit="0" vertical="bottom" wrapText="0"/>
    </xf>
    <xf borderId="34" fillId="31" fontId="3" numFmtId="0" xfId="0" applyAlignment="1" applyBorder="1" applyFont="1">
      <alignment horizontal="right" readingOrder="0" shrinkToFit="0" vertical="bottom" wrapText="0"/>
    </xf>
    <xf borderId="26" fillId="6" fontId="3" numFmtId="0" xfId="0" applyAlignment="1" applyBorder="1" applyFont="1">
      <alignment horizontal="right" readingOrder="0" shrinkToFit="0" vertical="bottom" wrapText="0"/>
    </xf>
    <xf borderId="34" fillId="6" fontId="3" numFmtId="0" xfId="0" applyAlignment="1" applyBorder="1" applyFont="1">
      <alignment horizontal="right" readingOrder="0" shrinkToFit="0" vertical="bottom" wrapText="0"/>
    </xf>
    <xf borderId="2" fillId="12" fontId="1" numFmtId="0" xfId="0" applyAlignment="1" applyBorder="1" applyFont="1">
      <alignment readingOrder="0"/>
    </xf>
    <xf borderId="26" fillId="14" fontId="3" numFmtId="0" xfId="0" applyAlignment="1" applyBorder="1" applyFont="1">
      <alignment horizontal="right" readingOrder="0" shrinkToFit="0" vertical="bottom" wrapText="0"/>
    </xf>
    <xf borderId="34" fillId="14" fontId="3" numFmtId="0" xfId="0" applyAlignment="1" applyBorder="1" applyFont="1">
      <alignment horizontal="right" readingOrder="0" shrinkToFit="0" vertical="bottom" wrapText="0"/>
    </xf>
    <xf borderId="34" fillId="4" fontId="3" numFmtId="0" xfId="0" applyAlignment="1" applyBorder="1" applyFont="1">
      <alignment horizontal="right" readingOrder="0" shrinkToFit="0" vertical="bottom" wrapText="0"/>
    </xf>
    <xf borderId="2" fillId="5" fontId="1" numFmtId="1" xfId="0" applyAlignment="1" applyBorder="1" applyFont="1" applyNumberFormat="1">
      <alignment horizontal="center" vertical="bottom"/>
    </xf>
    <xf borderId="0" fillId="0" fontId="3" numFmtId="1" xfId="0" applyFont="1" applyNumberFormat="1"/>
    <xf borderId="9" fillId="0" fontId="1" numFmtId="0" xfId="0" applyAlignment="1" applyBorder="1" applyFont="1">
      <alignment horizontal="center"/>
    </xf>
    <xf borderId="26" fillId="31" fontId="3" numFmtId="0" xfId="0" applyAlignment="1" applyBorder="1" applyFont="1">
      <alignment readingOrder="0" shrinkToFit="0" vertical="bottom" wrapText="0"/>
    </xf>
    <xf borderId="34" fillId="31" fontId="3" numFmtId="0" xfId="0" applyAlignment="1" applyBorder="1" applyFont="1">
      <alignment readingOrder="0" shrinkToFit="0" vertical="bottom" wrapText="0"/>
    </xf>
    <xf borderId="26" fillId="6" fontId="3" numFmtId="0" xfId="0" applyAlignment="1" applyBorder="1" applyFont="1">
      <alignment readingOrder="0" shrinkToFit="0" vertical="bottom" wrapText="0"/>
    </xf>
    <xf borderId="34" fillId="6" fontId="3" numFmtId="0" xfId="0" applyAlignment="1" applyBorder="1" applyFont="1">
      <alignment readingOrder="0" shrinkToFit="0" vertical="bottom" wrapText="0"/>
    </xf>
    <xf borderId="2" fillId="31" fontId="1" numFmtId="0" xfId="0" applyAlignment="1" applyBorder="1" applyFont="1">
      <alignment readingOrder="0"/>
    </xf>
    <xf borderId="34" fillId="28" fontId="3" numFmtId="0" xfId="0" applyAlignment="1" applyBorder="1" applyFont="1">
      <alignment horizontal="right" readingOrder="0" shrinkToFit="0" vertical="bottom" wrapText="0"/>
    </xf>
    <xf borderId="2" fillId="0" fontId="1" numFmtId="1" xfId="0" applyAlignment="1" applyBorder="1" applyFont="1" applyNumberFormat="1">
      <alignment horizontal="center" readingOrder="0"/>
    </xf>
    <xf borderId="2" fillId="0" fontId="3" numFmtId="1" xfId="0" applyAlignment="1" applyBorder="1" applyFont="1" applyNumberFormat="1">
      <alignment horizontal="center"/>
    </xf>
    <xf borderId="2" fillId="4" fontId="1" numFmtId="1" xfId="0" applyAlignment="1" applyBorder="1" applyFont="1" applyNumberFormat="1">
      <alignment horizontal="right"/>
    </xf>
    <xf borderId="2" fillId="31" fontId="1" numFmtId="0" xfId="0" applyBorder="1" applyFont="1"/>
    <xf borderId="2" fillId="31" fontId="1" numFmtId="0" xfId="0" applyBorder="1" applyFont="1"/>
    <xf borderId="2" fillId="32" fontId="1" numFmtId="1" xfId="0" applyAlignment="1" applyBorder="1" applyFont="1" applyNumberFormat="1">
      <alignment horizontal="right"/>
    </xf>
    <xf borderId="2" fillId="3" fontId="5" numFmtId="0" xfId="0" applyAlignment="1" applyBorder="1" applyFont="1">
      <alignment horizontal="left" vertical="center"/>
    </xf>
    <xf borderId="2" fillId="3" fontId="1" numFmtId="0" xfId="0" applyAlignment="1" applyBorder="1" applyFont="1">
      <alignment horizontal="left"/>
    </xf>
    <xf borderId="2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2" fillId="3" fontId="3" numFmtId="0" xfId="0" applyAlignment="1" applyBorder="1" applyFont="1">
      <alignment horizontal="center"/>
    </xf>
    <xf borderId="2" fillId="3" fontId="1" numFmtId="1" xfId="0" applyAlignment="1" applyBorder="1" applyFont="1" applyNumberFormat="1">
      <alignment horizontal="center" readingOrder="0"/>
    </xf>
    <xf borderId="2" fillId="3" fontId="1" numFmtId="0" xfId="0" applyAlignment="1" applyBorder="1" applyFont="1">
      <alignment readingOrder="0"/>
    </xf>
    <xf borderId="2" fillId="3" fontId="1" numFmtId="0" xfId="0" applyBorder="1" applyFont="1"/>
    <xf borderId="2" fillId="3" fontId="1" numFmtId="0" xfId="0" applyAlignment="1" applyBorder="1" applyFont="1">
      <alignment horizontal="center" readingOrder="0"/>
    </xf>
    <xf borderId="33" fillId="3" fontId="1" numFmtId="1" xfId="0" applyAlignment="1" applyBorder="1" applyFont="1" applyNumberFormat="1">
      <alignment horizontal="center"/>
    </xf>
    <xf borderId="3" fillId="3" fontId="1" numFmtId="1" xfId="0" applyBorder="1" applyFont="1" applyNumberFormat="1"/>
    <xf borderId="2" fillId="3" fontId="1" numFmtId="1" xfId="0" applyAlignment="1" applyBorder="1" applyFont="1" applyNumberFormat="1">
      <alignment readingOrder="0"/>
    </xf>
    <xf borderId="3" fillId="3" fontId="1" numFmtId="0" xfId="0" applyBorder="1" applyFont="1"/>
    <xf borderId="0" fillId="3" fontId="1" numFmtId="0" xfId="0" applyFont="1"/>
    <xf borderId="2" fillId="14" fontId="1" numFmtId="0" xfId="0" applyAlignment="1" applyBorder="1" applyFont="1">
      <alignment readingOrder="0"/>
    </xf>
    <xf borderId="26" fillId="33" fontId="3" numFmtId="0" xfId="0" applyAlignment="1" applyBorder="1" applyFill="1" applyFont="1">
      <alignment horizontal="right" readingOrder="0" shrinkToFit="0" vertical="bottom" wrapText="0"/>
    </xf>
    <xf borderId="34" fillId="33" fontId="3" numFmtId="0" xfId="0" applyAlignment="1" applyBorder="1" applyFont="1">
      <alignment horizontal="right" readingOrder="0" shrinkToFit="0" vertical="bottom" wrapText="0"/>
    </xf>
    <xf borderId="2" fillId="3" fontId="1" numFmtId="1" xfId="0" applyAlignment="1" applyBorder="1" applyFont="1" applyNumberFormat="1">
      <alignment horizontal="center" vertical="bottom"/>
    </xf>
    <xf borderId="0" fillId="3" fontId="6" numFmtId="0" xfId="0" applyFont="1"/>
    <xf borderId="2" fillId="0" fontId="3" numFmtId="1" xfId="0" applyAlignment="1" applyBorder="1" applyFont="1" applyNumberFormat="1">
      <alignment horizontal="right"/>
    </xf>
    <xf borderId="2" fillId="0" fontId="1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2" fillId="3" fontId="1" numFmtId="1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right"/>
    </xf>
    <xf borderId="2" fillId="0" fontId="3" numFmtId="0" xfId="0" applyAlignment="1" applyBorder="1" applyFont="1">
      <alignment horizontal="left"/>
    </xf>
    <xf borderId="2" fillId="0" fontId="3" numFmtId="0" xfId="0" applyBorder="1" applyFont="1"/>
    <xf borderId="2" fillId="5" fontId="5" numFmtId="0" xfId="0" applyAlignment="1" applyBorder="1" applyFont="1">
      <alignment horizontal="left" vertical="center"/>
    </xf>
    <xf borderId="2" fillId="5" fontId="1" numFmtId="0" xfId="0" applyAlignment="1" applyBorder="1" applyFont="1">
      <alignment horizontal="left"/>
    </xf>
    <xf borderId="1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2" fillId="0" fontId="1" numFmtId="0" xfId="0" applyAlignment="1" applyBorder="1" applyFont="1">
      <alignment horizontal="right"/>
    </xf>
    <xf borderId="2" fillId="34" fontId="3" numFmtId="1" xfId="0" applyAlignment="1" applyBorder="1" applyFill="1" applyFont="1" applyNumberFormat="1">
      <alignment horizontal="right" readingOrder="0" shrinkToFit="0" vertical="bottom" wrapText="0"/>
    </xf>
    <xf borderId="10" fillId="34" fontId="3" numFmtId="1" xfId="0" applyAlignment="1" applyBorder="1" applyFont="1" applyNumberFormat="1">
      <alignment horizontal="right" readingOrder="0" shrinkToFit="0" vertical="bottom" wrapText="0"/>
    </xf>
    <xf borderId="26" fillId="34" fontId="3" numFmtId="1" xfId="0" applyAlignment="1" applyBorder="1" applyFont="1" applyNumberFormat="1">
      <alignment horizontal="right" readingOrder="0" shrinkToFit="0" vertical="bottom" wrapText="0"/>
    </xf>
    <xf borderId="34" fillId="34" fontId="3" numFmtId="1" xfId="0" applyAlignment="1" applyBorder="1" applyFont="1" applyNumberFormat="1">
      <alignment horizontal="right" readingOrder="0" shrinkToFit="0" vertical="bottom" wrapText="0"/>
    </xf>
    <xf borderId="2" fillId="32" fontId="5" numFmtId="0" xfId="0" applyAlignment="1" applyBorder="1" applyFont="1">
      <alignment horizontal="left" vertical="center"/>
    </xf>
    <xf borderId="2" fillId="32" fontId="1" numFmtId="0" xfId="0" applyAlignment="1" applyBorder="1" applyFont="1">
      <alignment horizontal="left"/>
    </xf>
    <xf borderId="2" fillId="32" fontId="1" numFmtId="0" xfId="0" applyAlignment="1" applyBorder="1" applyFont="1">
      <alignment horizontal="left" readingOrder="0"/>
    </xf>
    <xf borderId="2" fillId="32" fontId="1" numFmtId="0" xfId="0" applyAlignment="1" applyBorder="1" applyFont="1">
      <alignment horizontal="center"/>
    </xf>
    <xf borderId="9" fillId="32" fontId="1" numFmtId="0" xfId="0" applyAlignment="1" applyBorder="1" applyFont="1">
      <alignment horizontal="center"/>
    </xf>
    <xf borderId="2" fillId="32" fontId="1" numFmtId="1" xfId="0" applyBorder="1" applyFont="1" applyNumberFormat="1"/>
    <xf borderId="2" fillId="32" fontId="1" numFmtId="0" xfId="0" applyBorder="1" applyFont="1"/>
    <xf borderId="2" fillId="32" fontId="1" numFmtId="1" xfId="0" applyAlignment="1" applyBorder="1" applyFont="1" applyNumberFormat="1">
      <alignment readingOrder="0"/>
    </xf>
    <xf borderId="2" fillId="32" fontId="1" numFmtId="1" xfId="0" applyAlignment="1" applyBorder="1" applyFont="1" applyNumberFormat="1">
      <alignment horizontal="center" readingOrder="0"/>
    </xf>
    <xf borderId="2" fillId="32" fontId="1" numFmtId="0" xfId="0" applyAlignment="1" applyBorder="1" applyFont="1">
      <alignment readingOrder="0"/>
    </xf>
    <xf borderId="2" fillId="6" fontId="3" numFmtId="0" xfId="0" applyAlignment="1" applyBorder="1" applyFont="1">
      <alignment horizontal="right" readingOrder="0" shrinkToFit="0" vertical="bottom" wrapText="0"/>
    </xf>
    <xf borderId="10" fillId="6" fontId="3" numFmtId="0" xfId="0" applyAlignment="1" applyBorder="1" applyFont="1">
      <alignment horizontal="right" readingOrder="0" shrinkToFit="0" vertical="bottom" wrapText="0"/>
    </xf>
    <xf borderId="2" fillId="31" fontId="3" numFmtId="0" xfId="0" applyAlignment="1" applyBorder="1" applyFont="1">
      <alignment horizontal="right" readingOrder="0" shrinkToFit="0" vertical="bottom" wrapText="0"/>
    </xf>
    <xf borderId="10" fillId="31" fontId="3" numFmtId="0" xfId="0" applyAlignment="1" applyBorder="1" applyFont="1">
      <alignment horizontal="right" readingOrder="0" shrinkToFit="0" vertical="bottom" wrapText="0"/>
    </xf>
    <xf borderId="0" fillId="0" fontId="6" numFmtId="0" xfId="0" applyFont="1"/>
    <xf borderId="26" fillId="32" fontId="1" numFmtId="0" xfId="0" applyAlignment="1" applyBorder="1" applyFont="1">
      <alignment horizontal="center"/>
    </xf>
    <xf borderId="35" fillId="32" fontId="1" numFmtId="0" xfId="0" applyAlignment="1" applyBorder="1" applyFont="1">
      <alignment horizontal="center"/>
    </xf>
    <xf borderId="26" fillId="6" fontId="3" numFmtId="0" xfId="0" applyAlignment="1" applyBorder="1" applyFont="1">
      <alignment horizontal="right" readingOrder="0" shrinkToFit="0" vertical="bottom" wrapText="0"/>
    </xf>
    <xf borderId="34" fillId="6" fontId="3" numFmtId="0" xfId="0" applyAlignment="1" applyBorder="1" applyFont="1">
      <alignment horizontal="right" readingOrder="0" shrinkToFit="0" vertical="bottom" wrapText="0"/>
    </xf>
    <xf borderId="26" fillId="31" fontId="3" numFmtId="0" xfId="0" applyAlignment="1" applyBorder="1" applyFont="1">
      <alignment horizontal="right" readingOrder="0" shrinkToFit="0" vertical="bottom" wrapText="0"/>
    </xf>
    <xf borderId="34" fillId="31" fontId="3" numFmtId="0" xfId="0" applyAlignment="1" applyBorder="1" applyFont="1">
      <alignment horizontal="right" readingOrder="0" shrinkToFit="0" vertical="bottom" wrapText="0"/>
    </xf>
    <xf borderId="8" fillId="0" fontId="1" numFmtId="0" xfId="0" applyAlignment="1" applyBorder="1" applyFont="1">
      <alignment horizontal="center"/>
    </xf>
    <xf borderId="2" fillId="34" fontId="3" numFmtId="0" xfId="0" applyAlignment="1" applyBorder="1" applyFont="1">
      <alignment horizontal="right" readingOrder="0" shrinkToFit="0" vertical="bottom" wrapText="0"/>
    </xf>
    <xf borderId="10" fillId="34" fontId="3" numFmtId="0" xfId="0" applyAlignment="1" applyBorder="1" applyFont="1">
      <alignment horizontal="right" readingOrder="0" shrinkToFit="0" vertical="bottom" wrapText="0"/>
    </xf>
    <xf borderId="10" fillId="34" fontId="1" numFmtId="0" xfId="0" applyAlignment="1" applyBorder="1" applyFont="1">
      <alignment horizontal="right" readingOrder="0" shrinkToFit="0" vertical="bottom" wrapText="0"/>
    </xf>
    <xf borderId="26" fillId="34" fontId="3" numFmtId="0" xfId="0" applyAlignment="1" applyBorder="1" applyFont="1">
      <alignment horizontal="right" readingOrder="0" shrinkToFit="0" vertical="bottom" wrapText="0"/>
    </xf>
    <xf borderId="34" fillId="34" fontId="3" numFmtId="0" xfId="0" applyAlignment="1" applyBorder="1" applyFont="1">
      <alignment horizontal="right" readingOrder="0" shrinkToFit="0" vertical="bottom" wrapText="0"/>
    </xf>
    <xf borderId="34" fillId="34" fontId="1" numFmtId="0" xfId="0" applyAlignment="1" applyBorder="1" applyFont="1">
      <alignment horizontal="right" readingOrder="0" shrinkToFit="0" vertical="bottom" wrapText="0"/>
    </xf>
    <xf borderId="2" fillId="30" fontId="1" numFmtId="0" xfId="0" applyAlignment="1" applyBorder="1" applyFont="1">
      <alignment readingOrder="0"/>
    </xf>
    <xf borderId="34" fillId="31" fontId="3" numFmtId="0" xfId="0" applyAlignment="1" applyBorder="1" applyFont="1">
      <alignment shrinkToFit="0" vertical="bottom" wrapText="0"/>
    </xf>
    <xf borderId="2" fillId="31" fontId="1" numFmtId="0" xfId="0" applyAlignment="1" applyBorder="1" applyFont="1">
      <alignment horizontal="right" readingOrder="0" vertical="bottom"/>
    </xf>
    <xf borderId="10" fillId="31" fontId="1" numFmtId="0" xfId="0" applyAlignment="1" applyBorder="1" applyFont="1">
      <alignment horizontal="right" readingOrder="0" vertical="bottom"/>
    </xf>
    <xf borderId="10" fillId="31" fontId="1" numFmtId="0" xfId="0" applyAlignment="1" applyBorder="1" applyFont="1">
      <alignment readingOrder="0" vertical="bottom"/>
    </xf>
    <xf borderId="2" fillId="12" fontId="6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34" fillId="35" fontId="3" numFmtId="0" xfId="0" applyAlignment="1" applyBorder="1" applyFill="1" applyFont="1">
      <alignment horizontal="right" readingOrder="0" shrinkToFit="0" vertical="bottom" wrapText="0"/>
    </xf>
    <xf borderId="26" fillId="31" fontId="1" numFmtId="0" xfId="0" applyAlignment="1" applyBorder="1" applyFont="1">
      <alignment horizontal="right" readingOrder="0" vertical="bottom"/>
    </xf>
    <xf borderId="34" fillId="31" fontId="1" numFmtId="0" xfId="0" applyAlignment="1" applyBorder="1" applyFont="1">
      <alignment horizontal="right" readingOrder="0" vertical="bottom"/>
    </xf>
    <xf borderId="26" fillId="31" fontId="1" numFmtId="0" xfId="0" applyAlignment="1" applyBorder="1" applyFont="1">
      <alignment readingOrder="0" vertical="bottom"/>
    </xf>
    <xf borderId="34" fillId="31" fontId="1" numFmtId="0" xfId="0" applyAlignment="1" applyBorder="1" applyFont="1">
      <alignment readingOrder="0" vertical="bottom"/>
    </xf>
    <xf borderId="2" fillId="12" fontId="6" numFmtId="0" xfId="0" applyAlignment="1" applyBorder="1" applyFont="1">
      <alignment readingOrder="0"/>
    </xf>
    <xf borderId="34" fillId="31" fontId="1" numFmtId="0" xfId="0" applyAlignment="1" applyBorder="1" applyFont="1">
      <alignment horizontal="right" readingOrder="0" vertical="bottom"/>
    </xf>
    <xf borderId="2" fillId="36" fontId="1" numFmtId="0" xfId="0" applyAlignment="1" applyBorder="1" applyFill="1" applyFont="1">
      <alignment readingOrder="0"/>
    </xf>
    <xf borderId="0" fillId="28" fontId="7" numFmtId="0" xfId="0" applyAlignment="1" applyFont="1">
      <alignment horizontal="center" readingOrder="0" shrinkToFit="0" vertical="bottom" wrapText="0"/>
    </xf>
    <xf borderId="2" fillId="5" fontId="1" numFmtId="1" xfId="0" applyAlignment="1" applyBorder="1" applyFont="1" applyNumberFormat="1">
      <alignment horizontal="center" readingOrder="0" vertical="bottom"/>
    </xf>
    <xf borderId="2" fillId="3" fontId="3" numFmtId="1" xfId="0" applyAlignment="1" applyBorder="1" applyFont="1" applyNumberFormat="1">
      <alignment horizontal="center"/>
    </xf>
    <xf borderId="2" fillId="3" fontId="3" numFmtId="1" xfId="0" applyAlignment="1" applyBorder="1" applyFont="1" applyNumberFormat="1">
      <alignment horizontal="right"/>
    </xf>
    <xf borderId="2" fillId="4" fontId="3" numFmtId="0" xfId="0" applyAlignment="1" applyBorder="1" applyFont="1">
      <alignment horizontal="right"/>
    </xf>
    <xf borderId="33" fillId="3" fontId="3" numFmtId="1" xfId="0" applyAlignment="1" applyBorder="1" applyFont="1" applyNumberFormat="1">
      <alignment horizontal="right"/>
    </xf>
    <xf borderId="2" fillId="5" fontId="3" numFmtId="1" xfId="0" applyAlignment="1" applyBorder="1" applyFont="1" applyNumberFormat="1">
      <alignment horizontal="right" readingOrder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31" fontId="8" numFmtId="0" xfId="0" applyAlignment="1" applyBorder="1" applyFont="1">
      <alignment horizontal="right" readingOrder="0" shrinkToFit="0" vertical="bottom" wrapText="0"/>
    </xf>
    <xf borderId="2" fillId="6" fontId="8" numFmtId="0" xfId="0" applyAlignment="1" applyBorder="1" applyFont="1">
      <alignment horizontal="right" readingOrder="0" shrinkToFit="0" vertical="bottom" wrapText="0"/>
    </xf>
    <xf borderId="34" fillId="31" fontId="1" numFmtId="0" xfId="0" applyAlignment="1" applyBorder="1" applyFont="1">
      <alignment horizontal="right" readingOrder="0" shrinkToFit="0" vertical="bottom" wrapText="0"/>
    </xf>
    <xf borderId="8" fillId="31" fontId="3" numFmtId="0" xfId="0" applyAlignment="1" applyBorder="1" applyFont="1">
      <alignment horizontal="right" readingOrder="0" shrinkToFit="0" vertical="bottom" wrapText="0"/>
    </xf>
    <xf borderId="34" fillId="4" fontId="1" numFmtId="0" xfId="0" applyAlignment="1" applyBorder="1" applyFont="1">
      <alignment horizontal="right" readingOrder="0" shrinkToFit="0" vertical="bottom" wrapText="0"/>
    </xf>
    <xf borderId="8" fillId="4" fontId="3" numFmtId="0" xfId="0" applyAlignment="1" applyBorder="1" applyFont="1">
      <alignment horizontal="right" readingOrder="0" shrinkToFit="0" vertical="bottom" wrapText="0"/>
    </xf>
    <xf borderId="34" fillId="31" fontId="8" numFmtId="0" xfId="0" applyAlignment="1" applyBorder="1" applyFont="1">
      <alignment horizontal="right" readingOrder="0" shrinkToFit="0" vertical="bottom" wrapText="0"/>
    </xf>
    <xf borderId="34" fillId="31" fontId="8" numFmtId="0" xfId="0" applyAlignment="1" applyBorder="1" applyFont="1">
      <alignment horizontal="right" shrinkToFit="0" vertical="bottom" wrapText="0"/>
    </xf>
    <xf borderId="2" fillId="5" fontId="3" numFmtId="1" xfId="0" applyAlignment="1" applyBorder="1" applyFont="1" applyNumberFormat="1">
      <alignment horizontal="right"/>
    </xf>
    <xf borderId="2" fillId="0" fontId="3" numFmtId="0" xfId="0" applyAlignment="1" applyBorder="1" applyFont="1">
      <alignment horizontal="right" readingOrder="0"/>
    </xf>
    <xf borderId="36" fillId="31" fontId="3" numFmtId="0" xfId="0" applyAlignment="1" applyBorder="1" applyFont="1">
      <alignment horizontal="right" readingOrder="0" shrinkToFit="0" vertical="bottom" wrapText="0"/>
    </xf>
    <xf borderId="36" fillId="4" fontId="3" numFmtId="0" xfId="0" applyAlignment="1" applyBorder="1" applyFont="1">
      <alignment horizontal="right" readingOrder="0" shrinkToFit="0" vertical="bottom" wrapText="0"/>
    </xf>
    <xf borderId="8" fillId="0" fontId="1" numFmtId="0" xfId="0" applyAlignment="1" applyBorder="1" applyFont="1">
      <alignment horizontal="center" readingOrder="0"/>
    </xf>
    <xf borderId="34" fillId="31" fontId="9" numFmtId="0" xfId="0" applyAlignment="1" applyBorder="1" applyFont="1">
      <alignment horizontal="right" readingOrder="0" shrinkToFit="0" vertical="bottom" wrapText="0"/>
    </xf>
    <xf borderId="2" fillId="0" fontId="1" numFmtId="1" xfId="0" applyAlignment="1" applyBorder="1" applyFont="1" applyNumberFormat="1">
      <alignment horizontal="center" shrinkToFit="0" vertical="center" wrapText="1"/>
    </xf>
    <xf borderId="2" fillId="4" fontId="1" numFmtId="0" xfId="0" applyAlignment="1" applyBorder="1" applyFont="1">
      <alignment horizontal="center"/>
    </xf>
    <xf borderId="2" fillId="32" fontId="1" numFmtId="1" xfId="0" applyAlignment="1" applyBorder="1" applyFont="1" applyNumberFormat="1">
      <alignment horizontal="center" shrinkToFit="0" wrapText="1"/>
    </xf>
    <xf borderId="2" fillId="5" fontId="1" numFmtId="1" xfId="0" applyAlignment="1" applyBorder="1" applyFont="1" applyNumberFormat="1">
      <alignment horizontal="center"/>
    </xf>
    <xf borderId="10" fillId="12" fontId="3" numFmtId="0" xfId="0" applyAlignment="1" applyBorder="1" applyFont="1">
      <alignment horizontal="right" readingOrder="0" shrinkToFit="0" vertical="bottom" wrapText="0"/>
    </xf>
    <xf borderId="26" fillId="31" fontId="3" numFmtId="0" xfId="0" applyAlignment="1" applyBorder="1" applyFont="1">
      <alignment shrinkToFit="0" vertical="bottom" wrapText="0"/>
    </xf>
    <xf borderId="34" fillId="12" fontId="3" numFmtId="0" xfId="0" applyAlignment="1" applyBorder="1" applyFont="1">
      <alignment horizontal="right" readingOrder="0" shrinkToFit="0" vertical="bottom" wrapText="0"/>
    </xf>
    <xf borderId="2" fillId="37" fontId="5" numFmtId="0" xfId="0" applyAlignment="1" applyBorder="1" applyFill="1" applyFont="1">
      <alignment horizontal="left" vertical="center"/>
    </xf>
    <xf borderId="2" fillId="37" fontId="1" numFmtId="0" xfId="0" applyAlignment="1" applyBorder="1" applyFont="1">
      <alignment horizontal="left"/>
    </xf>
    <xf borderId="2" fillId="37" fontId="1" numFmtId="0" xfId="0" applyAlignment="1" applyBorder="1" applyFont="1">
      <alignment horizontal="center"/>
    </xf>
    <xf borderId="8" fillId="37" fontId="1" numFmtId="0" xfId="0" applyAlignment="1" applyBorder="1" applyFont="1">
      <alignment horizontal="center"/>
    </xf>
    <xf borderId="2" fillId="37" fontId="3" numFmtId="0" xfId="0" applyAlignment="1" applyBorder="1" applyFont="1">
      <alignment horizontal="center"/>
    </xf>
    <xf borderId="2" fillId="37" fontId="1" numFmtId="1" xfId="0" applyAlignment="1" applyBorder="1" applyFont="1" applyNumberFormat="1">
      <alignment horizontal="center"/>
    </xf>
    <xf borderId="2" fillId="37" fontId="1" numFmtId="1" xfId="0" applyBorder="1" applyFont="1" applyNumberFormat="1"/>
    <xf borderId="2" fillId="37" fontId="1" numFmtId="0" xfId="0" applyBorder="1" applyFont="1"/>
    <xf borderId="33" fillId="37" fontId="1" numFmtId="1" xfId="0" applyBorder="1" applyFont="1" applyNumberFormat="1"/>
    <xf borderId="2" fillId="37" fontId="1" numFmtId="1" xfId="0" applyAlignment="1" applyBorder="1" applyFont="1" applyNumberFormat="1">
      <alignment readingOrder="0"/>
    </xf>
    <xf borderId="3" fillId="37" fontId="1" numFmtId="1" xfId="0" applyBorder="1" applyFont="1" applyNumberFormat="1"/>
    <xf borderId="2" fillId="37" fontId="1" numFmtId="0" xfId="0" applyAlignment="1" applyBorder="1" applyFont="1">
      <alignment readingOrder="0"/>
    </xf>
    <xf borderId="3" fillId="37" fontId="1" numFmtId="0" xfId="0" applyBorder="1" applyFont="1"/>
    <xf borderId="0" fillId="37" fontId="1" numFmtId="0" xfId="0" applyFont="1"/>
    <xf borderId="34" fillId="31" fontId="3" numFmtId="0" xfId="0" applyAlignment="1" applyBorder="1" applyFont="1">
      <alignment shrinkToFit="0" vertical="bottom" wrapText="0"/>
    </xf>
    <xf borderId="2" fillId="37" fontId="1" numFmtId="1" xfId="0" applyAlignment="1" applyBorder="1" applyFont="1" applyNumberFormat="1">
      <alignment horizontal="center" vertical="bottom"/>
    </xf>
    <xf borderId="1" fillId="37" fontId="1" numFmtId="1" xfId="0" applyBorder="1" applyFont="1" applyNumberFormat="1"/>
    <xf borderId="1" fillId="37" fontId="3" numFmtId="1" xfId="0" applyBorder="1" applyFont="1" applyNumberFormat="1"/>
    <xf borderId="0" fillId="37" fontId="6" numFmtId="0" xfId="0" applyFont="1"/>
    <xf borderId="2" fillId="8" fontId="5" numFmtId="0" xfId="0" applyAlignment="1" applyBorder="1" applyFont="1">
      <alignment horizontal="left" vertical="center"/>
    </xf>
    <xf borderId="2" fillId="8" fontId="1" numFmtId="0" xfId="0" applyAlignment="1" applyBorder="1" applyFont="1">
      <alignment horizontal="left"/>
    </xf>
    <xf borderId="2" fillId="8" fontId="1" numFmtId="0" xfId="0" applyAlignment="1" applyBorder="1" applyFont="1">
      <alignment horizontal="center"/>
    </xf>
    <xf borderId="8" fillId="8" fontId="1" numFmtId="0" xfId="0" applyAlignment="1" applyBorder="1" applyFont="1">
      <alignment horizontal="center"/>
    </xf>
    <xf borderId="2" fillId="8" fontId="3" numFmtId="0" xfId="0" applyAlignment="1" applyBorder="1" applyFont="1">
      <alignment horizontal="center"/>
    </xf>
    <xf borderId="2" fillId="8" fontId="1" numFmtId="1" xfId="0" applyAlignment="1" applyBorder="1" applyFont="1" applyNumberFormat="1">
      <alignment horizontal="center"/>
    </xf>
    <xf borderId="2" fillId="8" fontId="1" numFmtId="1" xfId="0" applyBorder="1" applyFont="1" applyNumberFormat="1"/>
    <xf borderId="2" fillId="8" fontId="1" numFmtId="0" xfId="0" applyBorder="1" applyFont="1"/>
    <xf borderId="33" fillId="8" fontId="1" numFmtId="1" xfId="0" applyBorder="1" applyFont="1" applyNumberFormat="1"/>
    <xf borderId="2" fillId="8" fontId="1" numFmtId="1" xfId="0" applyAlignment="1" applyBorder="1" applyFont="1" applyNumberFormat="1">
      <alignment readingOrder="0"/>
    </xf>
    <xf borderId="3" fillId="8" fontId="1" numFmtId="1" xfId="0" applyBorder="1" applyFont="1" applyNumberFormat="1"/>
    <xf borderId="2" fillId="8" fontId="1" numFmtId="0" xfId="0" applyAlignment="1" applyBorder="1" applyFont="1">
      <alignment readingOrder="0"/>
    </xf>
    <xf borderId="3" fillId="8" fontId="1" numFmtId="0" xfId="0" applyBorder="1" applyFont="1"/>
    <xf borderId="0" fillId="8" fontId="1" numFmtId="0" xfId="0" applyFont="1"/>
    <xf borderId="2" fillId="8" fontId="1" numFmtId="1" xfId="0" applyAlignment="1" applyBorder="1" applyFont="1" applyNumberFormat="1">
      <alignment horizontal="center" vertical="bottom"/>
    </xf>
    <xf borderId="1" fillId="8" fontId="1" numFmtId="1" xfId="0" applyBorder="1" applyFont="1" applyNumberFormat="1"/>
    <xf borderId="1" fillId="8" fontId="3" numFmtId="1" xfId="0" applyBorder="1" applyFont="1" applyNumberFormat="1"/>
    <xf borderId="0" fillId="8" fontId="6" numFmtId="0" xfId="0" applyFont="1"/>
    <xf borderId="0" fillId="0" fontId="6" numFmtId="0" xfId="0" applyAlignment="1" applyFont="1">
      <alignment readingOrder="0"/>
    </xf>
    <xf borderId="2" fillId="31" fontId="1" numFmtId="0" xfId="0" applyAlignment="1" applyBorder="1" applyFont="1">
      <alignment horizontal="right" vertical="bottom"/>
    </xf>
    <xf borderId="10" fillId="31" fontId="1" numFmtId="0" xfId="0" applyAlignment="1" applyBorder="1" applyFont="1">
      <alignment horizontal="right" vertical="bottom"/>
    </xf>
    <xf borderId="2" fillId="31" fontId="1" numFmtId="0" xfId="0" applyAlignment="1" applyBorder="1" applyFont="1">
      <alignment horizontal="right" readingOrder="0" vertical="bottom"/>
    </xf>
    <xf borderId="10" fillId="31" fontId="1" numFmtId="0" xfId="0" applyAlignment="1" applyBorder="1" applyFont="1">
      <alignment horizontal="right" readingOrder="0" vertical="bottom"/>
    </xf>
    <xf borderId="1" fillId="38" fontId="3" numFmtId="1" xfId="0" applyBorder="1" applyFill="1" applyFont="1" applyNumberFormat="1"/>
    <xf borderId="26" fillId="31" fontId="1" numFmtId="0" xfId="0" applyAlignment="1" applyBorder="1" applyFont="1">
      <alignment horizontal="right" vertical="bottom"/>
    </xf>
    <xf borderId="34" fillId="31" fontId="1" numFmtId="0" xfId="0" applyAlignment="1" applyBorder="1" applyFont="1">
      <alignment horizontal="right" vertical="bottom"/>
    </xf>
    <xf borderId="26" fillId="31" fontId="1" numFmtId="0" xfId="0" applyAlignment="1" applyBorder="1" applyFont="1">
      <alignment horizontal="right" readingOrder="0" vertical="bottom"/>
    </xf>
    <xf borderId="33" fillId="32" fontId="1" numFmtId="0" xfId="0" applyAlignment="1" applyBorder="1" applyFont="1">
      <alignment horizontal="center"/>
    </xf>
    <xf borderId="2" fillId="32" fontId="3" numFmtId="0" xfId="0" applyAlignment="1" applyBorder="1" applyFont="1">
      <alignment horizontal="center"/>
    </xf>
    <xf borderId="2" fillId="34" fontId="3" numFmtId="0" xfId="0" applyAlignment="1" applyBorder="1" applyFont="1">
      <alignment horizontal="right" readingOrder="0" vertical="bottom"/>
    </xf>
    <xf borderId="2" fillId="34" fontId="1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2" fillId="31" fontId="10" numFmtId="0" xfId="0" applyAlignment="1" applyBorder="1" applyFont="1">
      <alignment readingOrder="0"/>
    </xf>
    <xf borderId="34" fillId="31" fontId="11" numFmtId="0" xfId="0" applyAlignment="1" applyBorder="1" applyFont="1">
      <alignment horizontal="right" readingOrder="0" shrinkToFit="0" vertical="bottom" wrapText="0"/>
    </xf>
    <xf borderId="1" fillId="32" fontId="1" numFmtId="1" xfId="0" applyBorder="1" applyFont="1" applyNumberFormat="1"/>
    <xf borderId="1" fillId="32" fontId="3" numFmtId="1" xfId="0" applyBorder="1" applyFont="1" applyNumberFormat="1"/>
    <xf borderId="2" fillId="38" fontId="5" numFmtId="0" xfId="0" applyAlignment="1" applyBorder="1" applyFont="1">
      <alignment horizontal="left" vertical="center"/>
    </xf>
    <xf borderId="2" fillId="38" fontId="1" numFmtId="0" xfId="0" applyAlignment="1" applyBorder="1" applyFont="1">
      <alignment horizontal="left"/>
    </xf>
    <xf borderId="2" fillId="38" fontId="1" numFmtId="0" xfId="0" applyAlignment="1" applyBorder="1" applyFont="1">
      <alignment horizontal="center"/>
    </xf>
    <xf borderId="33" fillId="38" fontId="1" numFmtId="0" xfId="0" applyAlignment="1" applyBorder="1" applyFont="1">
      <alignment horizontal="center"/>
    </xf>
    <xf borderId="2" fillId="38" fontId="3" numFmtId="0" xfId="0" applyAlignment="1" applyBorder="1" applyFont="1">
      <alignment horizontal="center"/>
    </xf>
    <xf borderId="2" fillId="38" fontId="1" numFmtId="1" xfId="0" applyAlignment="1" applyBorder="1" applyFont="1" applyNumberFormat="1">
      <alignment horizontal="center"/>
    </xf>
    <xf borderId="2" fillId="38" fontId="1" numFmtId="1" xfId="0" applyBorder="1" applyFont="1" applyNumberFormat="1"/>
    <xf borderId="2" fillId="38" fontId="1" numFmtId="0" xfId="0" applyBorder="1" applyFont="1"/>
    <xf borderId="33" fillId="38" fontId="1" numFmtId="1" xfId="0" applyBorder="1" applyFont="1" applyNumberFormat="1"/>
    <xf borderId="2" fillId="38" fontId="1" numFmtId="1" xfId="0" applyAlignment="1" applyBorder="1" applyFont="1" applyNumberFormat="1">
      <alignment readingOrder="0"/>
    </xf>
    <xf borderId="3" fillId="38" fontId="1" numFmtId="1" xfId="0" applyBorder="1" applyFont="1" applyNumberFormat="1"/>
    <xf borderId="2" fillId="38" fontId="1" numFmtId="0" xfId="0" applyAlignment="1" applyBorder="1" applyFont="1">
      <alignment readingOrder="0"/>
    </xf>
    <xf borderId="3" fillId="38" fontId="1" numFmtId="0" xfId="0" applyBorder="1" applyFont="1"/>
    <xf borderId="0" fillId="38" fontId="1" numFmtId="0" xfId="0" applyAlignment="1" applyFont="1">
      <alignment readingOrder="0"/>
    </xf>
    <xf borderId="0" fillId="38" fontId="1" numFmtId="0" xfId="0" applyFont="1"/>
    <xf borderId="2" fillId="38" fontId="1" numFmtId="1" xfId="0" applyAlignment="1" applyBorder="1" applyFont="1" applyNumberFormat="1">
      <alignment horizontal="center" vertical="bottom"/>
    </xf>
    <xf borderId="1" fillId="38" fontId="1" numFmtId="1" xfId="0" applyBorder="1" applyFont="1" applyNumberFormat="1"/>
    <xf borderId="0" fillId="38" fontId="6" numFmtId="0" xfId="0" applyFont="1"/>
    <xf borderId="2" fillId="38" fontId="1" numFmtId="0" xfId="0" applyAlignment="1" applyBorder="1" applyFont="1">
      <alignment horizontal="center" readingOrder="0"/>
    </xf>
    <xf borderId="2" fillId="38" fontId="3" numFmtId="0" xfId="0" applyAlignment="1" applyBorder="1" applyFont="1">
      <alignment horizontal="right" readingOrder="0" shrinkToFit="0" vertical="bottom" wrapText="0"/>
    </xf>
    <xf borderId="2" fillId="39" fontId="1" numFmtId="0" xfId="0" applyAlignment="1" applyBorder="1" applyFill="1" applyFont="1">
      <alignment horizontal="left"/>
    </xf>
    <xf borderId="2" fillId="39" fontId="1" numFmtId="0" xfId="0" applyAlignment="1" applyBorder="1" applyFont="1">
      <alignment horizontal="center"/>
    </xf>
    <xf borderId="8" fillId="39" fontId="1" numFmtId="0" xfId="0" applyAlignment="1" applyBorder="1" applyFont="1">
      <alignment horizontal="center"/>
    </xf>
    <xf borderId="2" fillId="39" fontId="3" numFmtId="0" xfId="0" applyAlignment="1" applyBorder="1" applyFont="1">
      <alignment horizontal="center"/>
    </xf>
    <xf borderId="2" fillId="39" fontId="1" numFmtId="1" xfId="0" applyAlignment="1" applyBorder="1" applyFont="1" applyNumberFormat="1">
      <alignment horizontal="center"/>
    </xf>
    <xf borderId="2" fillId="39" fontId="1" numFmtId="1" xfId="0" applyBorder="1" applyFont="1" applyNumberFormat="1"/>
    <xf borderId="2" fillId="39" fontId="1" numFmtId="0" xfId="0" applyBorder="1" applyFont="1"/>
    <xf borderId="33" fillId="39" fontId="1" numFmtId="1" xfId="0" applyBorder="1" applyFont="1" applyNumberFormat="1"/>
    <xf borderId="2" fillId="39" fontId="1" numFmtId="1" xfId="0" applyAlignment="1" applyBorder="1" applyFont="1" applyNumberFormat="1">
      <alignment readingOrder="0"/>
    </xf>
    <xf borderId="3" fillId="39" fontId="1" numFmtId="1" xfId="0" applyBorder="1" applyFont="1" applyNumberFormat="1"/>
    <xf borderId="2" fillId="39" fontId="1" numFmtId="0" xfId="0" applyAlignment="1" applyBorder="1" applyFont="1">
      <alignment readingOrder="0"/>
    </xf>
    <xf borderId="3" fillId="39" fontId="1" numFmtId="0" xfId="0" applyBorder="1" applyFont="1"/>
    <xf borderId="0" fillId="39" fontId="1" numFmtId="0" xfId="0" applyFont="1"/>
    <xf borderId="2" fillId="39" fontId="1" numFmtId="0" xfId="0" applyBorder="1" applyFont="1"/>
    <xf borderId="26" fillId="39" fontId="3" numFmtId="0" xfId="0" applyAlignment="1" applyBorder="1" applyFont="1">
      <alignment horizontal="right" readingOrder="0" shrinkToFit="0" vertical="bottom" wrapText="0"/>
    </xf>
    <xf borderId="34" fillId="39" fontId="3" numFmtId="0" xfId="0" applyAlignment="1" applyBorder="1" applyFont="1">
      <alignment horizontal="right" readingOrder="0" shrinkToFit="0" vertical="bottom" wrapText="0"/>
    </xf>
    <xf borderId="2" fillId="39" fontId="3" numFmtId="0" xfId="0" applyAlignment="1" applyBorder="1" applyFont="1">
      <alignment horizontal="center" readingOrder="0" shrinkToFit="0" vertical="bottom" wrapText="0"/>
    </xf>
    <xf borderId="2" fillId="39" fontId="5" numFmtId="0" xfId="0" applyAlignment="1" applyBorder="1" applyFont="1">
      <alignment horizontal="left" vertical="center"/>
    </xf>
    <xf borderId="0" fillId="0" fontId="3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2" fillId="40" fontId="5" numFmtId="0" xfId="0" applyAlignment="1" applyBorder="1" applyFill="1" applyFont="1">
      <alignment horizontal="left" vertical="center"/>
    </xf>
    <xf borderId="2" fillId="40" fontId="1" numFmtId="0" xfId="0" applyAlignment="1" applyBorder="1" applyFont="1">
      <alignment horizontal="left"/>
    </xf>
    <xf borderId="2" fillId="40" fontId="1" numFmtId="0" xfId="0" applyAlignment="1" applyBorder="1" applyFont="1">
      <alignment horizontal="center"/>
    </xf>
    <xf borderId="33" fillId="40" fontId="1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2" fillId="41" fontId="1" numFmtId="0" xfId="0" applyAlignment="1" applyBorder="1" applyFill="1" applyFont="1">
      <alignment readingOrder="0"/>
    </xf>
    <xf borderId="0" fillId="41" fontId="1" numFmtId="0" xfId="0" applyFont="1"/>
    <xf borderId="2" fillId="28" fontId="1" numFmtId="0" xfId="0" applyAlignment="1" applyBorder="1" applyFont="1">
      <alignment readingOrder="0"/>
    </xf>
    <xf borderId="34" fillId="42" fontId="3" numFmtId="0" xfId="0" applyAlignment="1" applyBorder="1" applyFill="1" applyFont="1">
      <alignment horizontal="right" readingOrder="0" shrinkToFit="0" vertical="bottom" wrapText="0"/>
    </xf>
    <xf borderId="34" fillId="42" fontId="11" numFmtId="0" xfId="0" applyAlignment="1" applyBorder="1" applyFont="1">
      <alignment horizontal="right" readingOrder="0" shrinkToFit="0" vertical="bottom" wrapText="0"/>
    </xf>
    <xf borderId="1" fillId="33" fontId="3" numFmtId="1" xfId="0" applyBorder="1" applyFont="1" applyNumberFormat="1"/>
    <xf borderId="2" fillId="40" fontId="1" numFmtId="0" xfId="0" applyAlignment="1" applyBorder="1" applyFont="1">
      <alignment horizontal="center" readingOrder="0"/>
    </xf>
    <xf borderId="2" fillId="0" fontId="3" numFmtId="1" xfId="0" applyBorder="1" applyFont="1" applyNumberFormat="1"/>
    <xf borderId="2" fillId="0" fontId="3" numFmtId="1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2" fillId="5" fontId="3" numFmtId="1" xfId="0" applyAlignment="1" applyBorder="1" applyFont="1" applyNumberFormat="1">
      <alignment readingOrder="0"/>
    </xf>
    <xf borderId="2" fillId="0" fontId="1" numFmtId="1" xfId="0" applyAlignment="1" applyBorder="1" applyFont="1" applyNumberFormat="1">
      <alignment readingOrder="0"/>
    </xf>
    <xf borderId="2" fillId="42" fontId="5" numFmtId="0" xfId="0" applyAlignment="1" applyBorder="1" applyFont="1">
      <alignment horizontal="left" vertical="center"/>
    </xf>
    <xf borderId="2" fillId="42" fontId="1" numFmtId="0" xfId="0" applyAlignment="1" applyBorder="1" applyFont="1">
      <alignment horizontal="left"/>
    </xf>
    <xf borderId="2" fillId="42" fontId="1" numFmtId="0" xfId="0" applyAlignment="1" applyBorder="1" applyFont="1">
      <alignment horizontal="center"/>
    </xf>
    <xf borderId="33" fillId="42" fontId="1" numFmtId="0" xfId="0" applyAlignment="1" applyBorder="1" applyFont="1">
      <alignment horizontal="center"/>
    </xf>
    <xf borderId="2" fillId="43" fontId="1" numFmtId="0" xfId="0" applyAlignment="1" applyBorder="1" applyFill="1" applyFont="1">
      <alignment readingOrder="0"/>
    </xf>
    <xf borderId="2" fillId="31" fontId="3" numFmtId="0" xfId="0" applyAlignment="1" applyBorder="1" applyFont="1">
      <alignment readingOrder="0"/>
    </xf>
    <xf borderId="2" fillId="43" fontId="5" numFmtId="0" xfId="0" applyAlignment="1" applyBorder="1" applyFont="1">
      <alignment horizontal="left" vertical="center"/>
    </xf>
    <xf borderId="2" fillId="43" fontId="1" numFmtId="0" xfId="0" applyAlignment="1" applyBorder="1" applyFont="1">
      <alignment horizontal="left"/>
    </xf>
    <xf borderId="2" fillId="43" fontId="1" numFmtId="0" xfId="0" applyAlignment="1" applyBorder="1" applyFont="1">
      <alignment horizontal="center"/>
    </xf>
    <xf borderId="33" fillId="43" fontId="1" numFmtId="0" xfId="0" applyAlignment="1" applyBorder="1" applyFont="1">
      <alignment horizontal="center"/>
    </xf>
    <xf borderId="2" fillId="44" fontId="5" numFmtId="0" xfId="0" applyAlignment="1" applyBorder="1" applyFill="1" applyFont="1">
      <alignment horizontal="left" vertical="center"/>
    </xf>
    <xf borderId="2" fillId="44" fontId="1" numFmtId="0" xfId="0" applyAlignment="1" applyBorder="1" applyFont="1">
      <alignment horizontal="left"/>
    </xf>
    <xf borderId="2" fillId="44" fontId="1" numFmtId="0" xfId="0" applyAlignment="1" applyBorder="1" applyFont="1">
      <alignment horizontal="center"/>
    </xf>
    <xf borderId="33" fillId="44" fontId="1" numFmtId="0" xfId="0" applyAlignment="1" applyBorder="1" applyFont="1">
      <alignment horizontal="center"/>
    </xf>
    <xf borderId="2" fillId="0" fontId="12" numFmtId="1" xfId="0" applyBorder="1" applyFont="1" applyNumberFormat="1"/>
    <xf borderId="2" fillId="0" fontId="12" numFmtId="0" xfId="0" applyBorder="1" applyFont="1"/>
    <xf borderId="2" fillId="45" fontId="3" numFmtId="0" xfId="0" applyAlignment="1" applyBorder="1" applyFill="1" applyFont="1">
      <alignment horizontal="right" readingOrder="0" shrinkToFit="0" vertical="bottom" wrapText="0"/>
    </xf>
    <xf borderId="26" fillId="0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2" fillId="5" fontId="1" numFmtId="1" xfId="0" applyAlignment="1" applyBorder="1" applyFont="1" applyNumberFormat="1">
      <alignment horizontal="center" readingOrder="0"/>
    </xf>
    <xf borderId="2" fillId="5" fontId="1" numFmtId="0" xfId="0" applyAlignment="1" applyBorder="1" applyFont="1">
      <alignment readingOrder="0"/>
    </xf>
    <xf borderId="0" fillId="0" fontId="1" numFmtId="0" xfId="0" applyAlignment="1" applyFont="1">
      <alignment horizontal="left"/>
    </xf>
    <xf borderId="2" fillId="31" fontId="13" numFmtId="0" xfId="0" applyAlignment="1" applyBorder="1" applyFont="1">
      <alignment readingOrder="0"/>
    </xf>
    <xf borderId="36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 readingOrder="0"/>
    </xf>
    <xf borderId="2" fillId="46" fontId="5" numFmtId="0" xfId="0" applyAlignment="1" applyBorder="1" applyFill="1" applyFont="1">
      <alignment horizontal="left" vertical="center"/>
    </xf>
    <xf borderId="2" fillId="46" fontId="1" numFmtId="0" xfId="0" applyAlignment="1" applyBorder="1" applyFont="1">
      <alignment horizontal="left"/>
    </xf>
    <xf borderId="2" fillId="46" fontId="1" numFmtId="0" xfId="0" applyAlignment="1" applyBorder="1" applyFont="1">
      <alignment horizontal="center"/>
    </xf>
    <xf borderId="33" fillId="46" fontId="1" numFmtId="1" xfId="0" applyAlignment="1" applyBorder="1" applyFont="1" applyNumberFormat="1">
      <alignment horizontal="center"/>
    </xf>
    <xf borderId="2" fillId="46" fontId="3" numFmtId="0" xfId="0" applyAlignment="1" applyBorder="1" applyFont="1">
      <alignment horizontal="center"/>
    </xf>
    <xf borderId="2" fillId="46" fontId="1" numFmtId="1" xfId="0" applyAlignment="1" applyBorder="1" applyFont="1" applyNumberFormat="1">
      <alignment horizontal="center"/>
    </xf>
    <xf borderId="2" fillId="46" fontId="1" numFmtId="1" xfId="0" applyBorder="1" applyFont="1" applyNumberFormat="1"/>
    <xf borderId="2" fillId="46" fontId="1" numFmtId="0" xfId="0" applyBorder="1" applyFont="1"/>
    <xf borderId="2" fillId="46" fontId="1" numFmtId="1" xfId="0" applyAlignment="1" applyBorder="1" applyFont="1" applyNumberFormat="1">
      <alignment readingOrder="0"/>
    </xf>
    <xf borderId="2" fillId="46" fontId="1" numFmtId="0" xfId="0" applyAlignment="1" applyBorder="1" applyFont="1">
      <alignment readingOrder="0"/>
    </xf>
    <xf borderId="2" fillId="46" fontId="1" numFmtId="0" xfId="0" applyBorder="1" applyFont="1"/>
    <xf borderId="0" fillId="27" fontId="6" numFmtId="0" xfId="0" applyAlignment="1" applyFont="1">
      <alignment readingOrder="0"/>
    </xf>
    <xf borderId="34" fillId="31" fontId="3" numFmtId="0" xfId="0" applyAlignment="1" applyBorder="1" applyFont="1">
      <alignment horizontal="right" shrinkToFit="0" vertical="bottom" wrapText="0"/>
    </xf>
    <xf borderId="2" fillId="0" fontId="1" numFmtId="1" xfId="0" applyAlignment="1" applyBorder="1" applyFont="1" applyNumberFormat="1">
      <alignment horizontal="right"/>
    </xf>
    <xf borderId="2" fillId="47" fontId="5" numFmtId="0" xfId="0" applyAlignment="1" applyBorder="1" applyFill="1" applyFont="1">
      <alignment horizontal="left" vertical="center"/>
    </xf>
    <xf borderId="2" fillId="47" fontId="1" numFmtId="0" xfId="0" applyAlignment="1" applyBorder="1" applyFont="1">
      <alignment horizontal="left"/>
    </xf>
    <xf borderId="2" fillId="31" fontId="14" numFmtId="0" xfId="0" applyAlignment="1" applyBorder="1" applyFont="1">
      <alignment horizontal="right" readingOrder="0" shrinkToFit="0" vertical="bottom" wrapText="0"/>
    </xf>
    <xf borderId="2" fillId="0" fontId="1" numFmtId="1" xfId="0" applyAlignment="1" applyBorder="1" applyFont="1" applyNumberFormat="1">
      <alignment horizontal="right" readingOrder="0"/>
    </xf>
    <xf borderId="2" fillId="0" fontId="1" numFmtId="0" xfId="0" applyAlignment="1" applyBorder="1" applyFont="1">
      <alignment horizontal="right" readingOrder="0"/>
    </xf>
    <xf borderId="2" fillId="7" fontId="5" numFmtId="0" xfId="0" applyAlignment="1" applyBorder="1" applyFont="1">
      <alignment horizontal="left" vertical="center"/>
    </xf>
    <xf borderId="2" fillId="7" fontId="1" numFmtId="0" xfId="0" applyAlignment="1" applyBorder="1" applyFont="1">
      <alignment horizontal="left"/>
    </xf>
    <xf borderId="2" fillId="4" fontId="3" numFmtId="0" xfId="0" applyAlignment="1" applyBorder="1" applyFont="1">
      <alignment horizontal="right" readingOrder="0" shrinkToFit="0" vertical="bottom" wrapText="0"/>
    </xf>
    <xf borderId="2" fillId="48" fontId="5" numFmtId="0" xfId="0" applyAlignment="1" applyBorder="1" applyFill="1" applyFont="1">
      <alignment horizontal="left" vertical="center"/>
    </xf>
    <xf borderId="2" fillId="48" fontId="1" numFmtId="0" xfId="0" applyAlignment="1" applyBorder="1" applyFont="1">
      <alignment horizontal="left"/>
    </xf>
    <xf borderId="2" fillId="49" fontId="1" numFmtId="0" xfId="0" applyAlignment="1" applyBorder="1" applyFill="1" applyFont="1">
      <alignment horizontal="center"/>
    </xf>
    <xf borderId="33" fillId="48" fontId="1" numFmtId="0" xfId="0" applyAlignment="1" applyBorder="1" applyFont="1">
      <alignment horizontal="center"/>
    </xf>
    <xf borderId="2" fillId="48" fontId="3" numFmtId="0" xfId="0" applyAlignment="1" applyBorder="1" applyFont="1">
      <alignment horizontal="center"/>
    </xf>
    <xf borderId="2" fillId="48" fontId="1" numFmtId="1" xfId="0" applyAlignment="1" applyBorder="1" applyFont="1" applyNumberFormat="1">
      <alignment horizontal="center"/>
    </xf>
    <xf borderId="2" fillId="48" fontId="1" numFmtId="1" xfId="0" applyBorder="1" applyFont="1" applyNumberFormat="1"/>
    <xf borderId="2" fillId="48" fontId="1" numFmtId="0" xfId="0" applyBorder="1" applyFont="1"/>
    <xf borderId="2" fillId="49" fontId="1" numFmtId="0" xfId="0" applyBorder="1" applyFont="1"/>
    <xf borderId="2" fillId="48" fontId="1" numFmtId="1" xfId="0" applyAlignment="1" applyBorder="1" applyFont="1" applyNumberFormat="1">
      <alignment readingOrder="0"/>
    </xf>
    <xf borderId="2" fillId="48" fontId="1" numFmtId="0" xfId="0" applyAlignment="1" applyBorder="1" applyFont="1">
      <alignment readingOrder="0"/>
    </xf>
    <xf borderId="26" fillId="50" fontId="3" numFmtId="0" xfId="0" applyAlignment="1" applyBorder="1" applyFill="1" applyFont="1">
      <alignment horizontal="right" readingOrder="0" shrinkToFit="0" vertical="bottom" wrapText="0"/>
    </xf>
    <xf borderId="34" fillId="50" fontId="3" numFmtId="0" xfId="0" applyAlignment="1" applyBorder="1" applyFont="1">
      <alignment horizontal="right" readingOrder="0" shrinkToFit="0" vertical="bottom" wrapText="0"/>
    </xf>
    <xf borderId="2" fillId="0" fontId="15" numFmtId="0" xfId="0" applyBorder="1" applyFont="1"/>
    <xf borderId="2" fillId="51" fontId="15" numFmtId="0" xfId="0" applyAlignment="1" applyBorder="1" applyFill="1" applyFont="1">
      <alignment horizontal="center"/>
    </xf>
    <xf borderId="33" fillId="51" fontId="15" numFmtId="0" xfId="0" applyAlignment="1" applyBorder="1" applyFont="1">
      <alignment horizontal="center"/>
    </xf>
    <xf borderId="2" fillId="51" fontId="10" numFmtId="0" xfId="0" applyAlignment="1" applyBorder="1" applyFont="1">
      <alignment horizontal="center" vertical="center"/>
    </xf>
    <xf borderId="2" fillId="51" fontId="10" numFmtId="1" xfId="0" applyAlignment="1" applyBorder="1" applyFont="1" applyNumberFormat="1">
      <alignment horizontal="center" vertical="center"/>
    </xf>
    <xf borderId="2" fillId="3" fontId="10" numFmtId="1" xfId="0" applyAlignment="1" applyBorder="1" applyFont="1" applyNumberFormat="1">
      <alignment horizontal="center" vertical="center"/>
    </xf>
    <xf borderId="2" fillId="4" fontId="10" numFmtId="1" xfId="0" applyAlignment="1" applyBorder="1" applyFont="1" applyNumberFormat="1">
      <alignment horizontal="center" vertical="center"/>
    </xf>
    <xf borderId="33" fillId="51" fontId="10" numFmtId="1" xfId="0" applyAlignment="1" applyBorder="1" applyFont="1" applyNumberFormat="1">
      <alignment horizontal="center" vertical="center"/>
    </xf>
    <xf borderId="2" fillId="5" fontId="10" numFmtId="1" xfId="0" applyAlignment="1" applyBorder="1" applyFont="1" applyNumberFormat="1">
      <alignment horizontal="center" vertical="center"/>
    </xf>
    <xf borderId="2" fillId="17" fontId="10" numFmtId="1" xfId="0" applyAlignment="1" applyBorder="1" applyFont="1" applyNumberFormat="1">
      <alignment horizontal="center" vertical="center"/>
    </xf>
    <xf borderId="2" fillId="12" fontId="1" numFmtId="1" xfId="0" applyAlignment="1" applyBorder="1" applyFont="1" applyNumberFormat="1">
      <alignment readingOrder="0"/>
    </xf>
    <xf borderId="3" fillId="51" fontId="10" numFmtId="1" xfId="0" applyAlignment="1" applyBorder="1" applyFont="1" applyNumberFormat="1">
      <alignment horizontal="center" vertical="center"/>
    </xf>
    <xf borderId="1" fillId="39" fontId="3" numFmtId="1" xfId="0" applyBorder="1" applyFont="1" applyNumberFormat="1"/>
    <xf borderId="1" fillId="51" fontId="10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/>
    </xf>
    <xf borderId="0" fillId="0" fontId="1" numFmtId="1" xfId="0" applyFont="1" applyNumberFormat="1"/>
    <xf borderId="1" fillId="4" fontId="1" numFmtId="1" xfId="0" applyBorder="1" applyFont="1" applyNumberFormat="1"/>
    <xf borderId="2" fillId="0" fontId="16" numFmtId="0" xfId="0" applyAlignment="1" applyBorder="1" applyFont="1">
      <alignment horizontal="right" readingOrder="0" vertical="bottom"/>
    </xf>
    <xf borderId="2" fillId="0" fontId="15" numFmtId="0" xfId="0" applyAlignment="1" applyBorder="1" applyFont="1">
      <alignment horizontal="right" readingOrder="0" vertical="bottom"/>
    </xf>
    <xf borderId="0" fillId="5" fontId="16" numFmtId="0" xfId="0" applyAlignment="1" applyFont="1">
      <alignment horizontal="right" readingOrder="0" vertical="bottom"/>
    </xf>
    <xf borderId="0" fillId="34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2" fillId="34" fontId="1" numFmtId="1" xfId="0" applyBorder="1" applyFont="1" applyNumberFormat="1"/>
    <xf borderId="2" fillId="5" fontId="1" numFmtId="0" xfId="0" applyAlignment="1" applyBorder="1" applyFont="1">
      <alignment horizontal="center" readingOrder="0"/>
    </xf>
    <xf borderId="2" fillId="34" fontId="1" numFmtId="0" xfId="0" applyAlignment="1" applyBorder="1" applyFont="1">
      <alignment horizontal="center"/>
    </xf>
    <xf borderId="2" fillId="34" fontId="1" numFmtId="0" xfId="0" applyBorder="1" applyFont="1"/>
    <xf borderId="1" fillId="4" fontId="1" numFmtId="0" xfId="0" applyAlignment="1" applyBorder="1" applyFont="1">
      <alignment readingOrder="0"/>
    </xf>
    <xf borderId="37" fillId="6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11" fillId="0" fontId="1" numFmtId="0" xfId="0" applyBorder="1" applyFont="1"/>
    <xf borderId="4" fillId="7" fontId="1" numFmtId="0" xfId="0" applyAlignment="1" applyBorder="1" applyFont="1">
      <alignment horizontal="center" readingOrder="0" shrinkToFit="0" vertical="center" wrapText="1"/>
    </xf>
    <xf borderId="4" fillId="6" fontId="1" numFmtId="0" xfId="0" applyAlignment="1" applyBorder="1" applyFont="1">
      <alignment horizontal="center" readingOrder="0" shrinkToFit="0" vertical="center" wrapText="1"/>
    </xf>
    <xf borderId="4" fillId="17" fontId="1" numFmtId="0" xfId="0" applyAlignment="1" applyBorder="1" applyFont="1">
      <alignment horizontal="center" shrinkToFit="0" vertical="center" wrapText="1"/>
    </xf>
    <xf borderId="4" fillId="17" fontId="1" numFmtId="0" xfId="0" applyAlignment="1" applyBorder="1" applyFont="1">
      <alignment horizontal="center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readingOrder="0"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4" fillId="9" fontId="1" numFmtId="0" xfId="0" applyAlignment="1" applyBorder="1" applyFont="1">
      <alignment horizontal="center" readingOrder="0" shrinkToFit="0" vertical="center" wrapText="1"/>
    </xf>
    <xf borderId="38" fillId="7" fontId="1" numFmtId="0" xfId="0" applyAlignment="1" applyBorder="1" applyFont="1">
      <alignment horizontal="center" shrinkToFit="0" vertical="center" wrapText="1"/>
    </xf>
    <xf borderId="39" fillId="7" fontId="1" numFmtId="0" xfId="0" applyAlignment="1" applyBorder="1" applyFont="1">
      <alignment horizontal="center" readingOrder="0" shrinkToFit="0" vertical="center" wrapText="1"/>
    </xf>
    <xf borderId="38" fillId="10" fontId="1" numFmtId="0" xfId="0" applyAlignment="1" applyBorder="1" applyFont="1">
      <alignment horizontal="center" shrinkToFit="0" vertical="center" wrapText="1"/>
    </xf>
    <xf borderId="39" fillId="10" fontId="1" numFmtId="0" xfId="0" applyAlignment="1" applyBorder="1" applyFont="1">
      <alignment horizontal="center" readingOrder="0" shrinkToFit="0" vertical="center" wrapText="1"/>
    </xf>
    <xf borderId="39" fillId="21" fontId="1" numFmtId="0" xfId="0" applyAlignment="1" applyBorder="1" applyFont="1">
      <alignment horizontal="center" readingOrder="0" shrinkToFit="0" vertical="center" wrapText="1"/>
    </xf>
    <xf borderId="24" fillId="11" fontId="1" numFmtId="0" xfId="0" applyAlignment="1" applyBorder="1" applyFont="1">
      <alignment shrinkToFit="0" vertical="center" wrapText="1"/>
    </xf>
    <xf borderId="2" fillId="3" fontId="1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26" fillId="0" fontId="1" numFmtId="0" xfId="0" applyBorder="1" applyFont="1"/>
    <xf borderId="40" fillId="0" fontId="2" numFmtId="0" xfId="0" applyBorder="1" applyFont="1"/>
    <xf borderId="41" fillId="0" fontId="2" numFmtId="0" xfId="0" applyBorder="1" applyFont="1"/>
    <xf borderId="8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2" fillId="47" fontId="1" numFmtId="0" xfId="0" applyAlignment="1" applyBorder="1" applyFont="1">
      <alignment horizontal="center"/>
    </xf>
    <xf borderId="2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2" fillId="5" fontId="3" numFmtId="0" xfId="0" applyAlignment="1" applyBorder="1" applyFont="1">
      <alignment horizontal="left"/>
    </xf>
    <xf borderId="2" fillId="52" fontId="1" numFmtId="1" xfId="0" applyAlignment="1" applyBorder="1" applyFill="1" applyFont="1" applyNumberFormat="1">
      <alignment horizontal="right" readingOrder="0"/>
    </xf>
    <xf borderId="2" fillId="52" fontId="1" numFmtId="1" xfId="0" applyAlignment="1" applyBorder="1" applyFont="1" applyNumberFormat="1">
      <alignment horizontal="right"/>
    </xf>
    <xf borderId="2" fillId="14" fontId="1" numFmtId="1" xfId="0" applyAlignment="1" applyBorder="1" applyFont="1" applyNumberFormat="1">
      <alignment horizontal="right"/>
    </xf>
    <xf borderId="2" fillId="28" fontId="1" numFmtId="1" xfId="0" applyAlignment="1" applyBorder="1" applyFont="1" applyNumberFormat="1">
      <alignment horizontal="right"/>
    </xf>
    <xf borderId="2" fillId="26" fontId="6" numFmtId="1" xfId="0" applyBorder="1" applyFont="1" applyNumberFormat="1"/>
    <xf borderId="0" fillId="47" fontId="6" numFmtId="1" xfId="0" applyFont="1" applyNumberFormat="1"/>
    <xf borderId="0" fillId="37" fontId="3" numFmtId="1" xfId="0" applyAlignment="1" applyFont="1" applyNumberFormat="1">
      <alignment horizontal="right" readingOrder="0" shrinkToFit="0" vertical="bottom" wrapText="0"/>
    </xf>
    <xf borderId="2" fillId="3" fontId="1" numFmtId="0" xfId="0" applyAlignment="1" applyBorder="1" applyFont="1">
      <alignment horizontal="center" readingOrder="0"/>
    </xf>
    <xf borderId="2" fillId="3" fontId="6" numFmtId="0" xfId="0" applyAlignment="1" applyBorder="1" applyFont="1">
      <alignment readingOrder="0"/>
    </xf>
    <xf borderId="2" fillId="3" fontId="6" numFmtId="1" xfId="0" applyBorder="1" applyFont="1" applyNumberFormat="1"/>
    <xf borderId="4" fillId="53" fontId="3" numFmtId="0" xfId="0" applyAlignment="1" applyBorder="1" applyFill="1" applyFont="1">
      <alignment horizontal="center" readingOrder="0" shrinkToFit="0" wrapText="0"/>
    </xf>
    <xf borderId="4" fillId="5" fontId="1" numFmtId="0" xfId="0" applyAlignment="1" applyBorder="1" applyFont="1">
      <alignment horizontal="center" readingOrder="0"/>
    </xf>
    <xf borderId="0" fillId="5" fontId="6" numFmtId="0" xfId="0" applyFont="1"/>
    <xf borderId="26" fillId="45" fontId="3" numFmtId="0" xfId="0" applyAlignment="1" applyBorder="1" applyFont="1">
      <alignment horizontal="right" readingOrder="0" shrinkToFit="0" vertical="bottom" wrapText="0"/>
    </xf>
    <xf borderId="11" fillId="53" fontId="3" numFmtId="0" xfId="0" applyAlignment="1" applyBorder="1" applyFont="1">
      <alignment horizontal="center" readingOrder="0" shrinkToFit="0" wrapText="0"/>
    </xf>
    <xf borderId="11" fillId="3" fontId="1" numFmtId="0" xfId="0" applyAlignment="1" applyBorder="1" applyFont="1">
      <alignment horizontal="center" readingOrder="0"/>
    </xf>
    <xf borderId="11" fillId="5" fontId="3" numFmtId="3" xfId="0" applyAlignment="1" applyBorder="1" applyFont="1" applyNumberFormat="1">
      <alignment horizontal="center" readingOrder="0" shrinkToFit="0" wrapText="0"/>
    </xf>
    <xf borderId="2" fillId="52" fontId="3" numFmtId="1" xfId="0" applyAlignment="1" applyBorder="1" applyFont="1" applyNumberFormat="1">
      <alignment horizontal="right" readingOrder="0"/>
    </xf>
    <xf borderId="2" fillId="52" fontId="3" numFmtId="1" xfId="0" applyAlignment="1" applyBorder="1" applyFont="1" applyNumberFormat="1">
      <alignment horizontal="right"/>
    </xf>
    <xf borderId="2" fillId="14" fontId="3" numFmtId="1" xfId="0" applyAlignment="1" applyBorder="1" applyFont="1" applyNumberFormat="1">
      <alignment horizontal="right"/>
    </xf>
    <xf borderId="2" fillId="4" fontId="3" numFmtId="1" xfId="0" applyAlignment="1" applyBorder="1" applyFont="1" applyNumberFormat="1">
      <alignment horizontal="right"/>
    </xf>
    <xf borderId="2" fillId="28" fontId="3" numFmtId="1" xfId="0" applyAlignment="1" applyBorder="1" applyFont="1" applyNumberFormat="1">
      <alignment horizontal="right"/>
    </xf>
    <xf borderId="11" fillId="3" fontId="3" numFmtId="3" xfId="0" applyAlignment="1" applyBorder="1" applyFont="1" applyNumberFormat="1">
      <alignment horizontal="center" readingOrder="0" shrinkToFit="0" wrapText="0"/>
    </xf>
    <xf borderId="0" fillId="34" fontId="6" numFmtId="0" xfId="0" applyFont="1"/>
    <xf borderId="11" fillId="34" fontId="1" numFmtId="0" xfId="0" applyAlignment="1" applyBorder="1" applyFont="1">
      <alignment horizontal="center" readingOrder="0"/>
    </xf>
    <xf borderId="11" fillId="5" fontId="3" numFmtId="0" xfId="0" applyAlignment="1" applyBorder="1" applyFont="1">
      <alignment horizontal="center" readingOrder="0" shrinkToFit="0" wrapText="0"/>
    </xf>
    <xf borderId="11" fillId="34" fontId="3" numFmtId="0" xfId="0" applyAlignment="1" applyBorder="1" applyFont="1">
      <alignment horizontal="center" readingOrder="0" shrinkToFit="0" wrapText="0"/>
    </xf>
    <xf borderId="11" fillId="53" fontId="3" numFmtId="3" xfId="0" applyAlignment="1" applyBorder="1" applyFont="1" applyNumberFormat="1">
      <alignment horizontal="center" readingOrder="0" shrinkToFit="0" wrapText="0"/>
    </xf>
    <xf borderId="11" fillId="3" fontId="1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left" readingOrder="0"/>
    </xf>
    <xf borderId="11" fillId="34" fontId="3" numFmtId="3" xfId="0" applyAlignment="1" applyBorder="1" applyFont="1" applyNumberFormat="1">
      <alignment horizontal="center" readingOrder="0" shrinkToFit="0" wrapText="0"/>
    </xf>
    <xf borderId="11" fillId="34" fontId="1" numFmtId="0" xfId="0" applyAlignment="1" applyBorder="1" applyFont="1">
      <alignment horizontal="center" readingOrder="0"/>
    </xf>
    <xf borderId="11" fillId="5" fontId="1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right"/>
    </xf>
    <xf borderId="2" fillId="5" fontId="1" numFmtId="0" xfId="0" applyAlignment="1" applyBorder="1" applyFont="1">
      <alignment horizontal="right"/>
    </xf>
    <xf borderId="2" fillId="5" fontId="1" numFmtId="1" xfId="0" applyAlignment="1" applyBorder="1" applyFont="1" applyNumberFormat="1">
      <alignment horizontal="right"/>
    </xf>
    <xf borderId="2" fillId="51" fontId="15" numFmtId="0" xfId="0" applyBorder="1" applyFont="1"/>
    <xf borderId="2" fillId="51" fontId="15" numFmtId="1" xfId="0" applyBorder="1" applyFont="1" applyNumberFormat="1"/>
    <xf borderId="2" fillId="51" fontId="15" numFmtId="1" xfId="0" applyAlignment="1" applyBorder="1" applyFont="1" applyNumberFormat="1">
      <alignment readingOrder="0"/>
    </xf>
    <xf borderId="0" fillId="5" fontId="15" numFmtId="1" xfId="0" applyFont="1" applyNumberFormat="1"/>
    <xf borderId="10" fillId="26" fontId="1" numFmtId="1" xfId="0" applyBorder="1" applyFont="1" applyNumberFormat="1"/>
    <xf borderId="0" fillId="0" fontId="6" numFmtId="1" xfId="0" applyFont="1" applyNumberFormat="1"/>
    <xf borderId="0" fillId="3" fontId="1" numFmtId="0" xfId="0" applyAlignment="1" applyFont="1">
      <alignment horizontal="center" readingOrder="0"/>
    </xf>
    <xf borderId="0" fillId="34" fontId="3" numFmtId="0" xfId="0" applyAlignment="1" applyFont="1">
      <alignment horizontal="right" readingOrder="0" shrinkToFit="0" vertical="bottom" wrapText="0"/>
    </xf>
    <xf borderId="2" fillId="3" fontId="6" numFmtId="0" xfId="0" applyAlignment="1" applyBorder="1" applyFont="1">
      <alignment horizontal="center" readingOrder="0"/>
    </xf>
    <xf borderId="0" fillId="5" fontId="3" numFmtId="0" xfId="0" applyAlignment="1" applyFont="1">
      <alignment horizontal="right" readingOrder="0" shrinkToFit="0" vertical="bottom" wrapText="0"/>
    </xf>
    <xf borderId="2" fillId="3" fontId="6" numFmtId="0" xfId="0" applyBorder="1" applyFont="1"/>
    <xf borderId="0" fillId="3" fontId="1" numFmtId="0" xfId="0" applyAlignment="1" applyFont="1">
      <alignment horizontal="center"/>
    </xf>
    <xf borderId="0" fillId="34" fontId="10" numFmtId="1" xfId="0" applyAlignment="1" applyFont="1" applyNumberFormat="1">
      <alignment horizontal="center" vertical="center"/>
    </xf>
    <xf borderId="1" fillId="2" fontId="1" numFmtId="0" xfId="0" applyBorder="1" applyFont="1"/>
    <xf borderId="8" fillId="14" fontId="10" numFmtId="0" xfId="0" applyAlignment="1" applyBorder="1" applyFont="1">
      <alignment horizontal="center" readingOrder="0" shrinkToFit="0" vertical="center" wrapText="1"/>
    </xf>
    <xf borderId="2" fillId="17" fontId="1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2" fillId="17" fontId="1" numFmtId="0" xfId="0" applyAlignment="1" applyBorder="1" applyFont="1">
      <alignment horizontal="center" shrinkToFit="0" vertical="center" wrapText="1"/>
    </xf>
    <xf borderId="2" fillId="8" fontId="1" numFmtId="0" xfId="0" applyAlignment="1" applyBorder="1" applyFont="1">
      <alignment horizontal="center" shrinkToFit="0" vertical="center" wrapText="1"/>
    </xf>
    <xf borderId="2" fillId="9" fontId="1" numFmtId="0" xfId="0" applyAlignment="1" applyBorder="1" applyFont="1">
      <alignment horizontal="center" shrinkToFit="0" vertical="center" wrapText="1"/>
    </xf>
    <xf borderId="29" fillId="6" fontId="1" numFmtId="0" xfId="0" applyAlignment="1" applyBorder="1" applyFont="1">
      <alignment horizontal="center" shrinkToFit="0" vertical="center" wrapText="1"/>
    </xf>
    <xf quotePrefix="1" borderId="30" fillId="6" fontId="1" numFmtId="0" xfId="0" applyAlignment="1" applyBorder="1" applyFont="1">
      <alignment horizontal="center" shrinkToFit="0" vertical="center" wrapText="1"/>
    </xf>
    <xf borderId="30" fillId="6" fontId="1" numFmtId="0" xfId="0" applyAlignment="1" applyBorder="1" applyFont="1">
      <alignment horizontal="center" shrinkToFit="0" vertical="center" wrapText="1"/>
    </xf>
    <xf borderId="31" fillId="6" fontId="1" numFmtId="0" xfId="0" applyAlignment="1" applyBorder="1" applyFont="1">
      <alignment horizontal="center" shrinkToFit="0" vertical="center" wrapText="1"/>
    </xf>
    <xf borderId="2" fillId="14" fontId="1" numFmtId="0" xfId="0" applyAlignment="1" applyBorder="1" applyFont="1">
      <alignment horizontal="center" readingOrder="0" shrinkToFit="0" vertical="center" wrapText="1"/>
    </xf>
    <xf borderId="2" fillId="15" fontId="1" numFmtId="0" xfId="0" applyAlignment="1" applyBorder="1" applyFont="1">
      <alignment horizontal="center" readingOrder="0" shrinkToFit="0" vertical="center" wrapText="1"/>
    </xf>
    <xf borderId="2" fillId="0" fontId="17" numFmtId="0" xfId="0" applyBorder="1" applyFont="1"/>
    <xf borderId="0" fillId="26" fontId="6" numFmtId="1" xfId="0" applyFont="1" applyNumberFormat="1"/>
    <xf borderId="4" fillId="0" fontId="3" numFmtId="0" xfId="0" applyAlignment="1" applyBorder="1" applyFont="1">
      <alignment horizontal="left"/>
    </xf>
    <xf borderId="4" fillId="0" fontId="1" numFmtId="0" xfId="0" applyAlignment="1" applyBorder="1" applyFont="1">
      <alignment horizontal="right"/>
    </xf>
    <xf borderId="37" fillId="5" fontId="1" numFmtId="0" xfId="0" applyAlignment="1" applyBorder="1" applyFont="1">
      <alignment horizontal="right"/>
    </xf>
    <xf borderId="4" fillId="0" fontId="1" numFmtId="1" xfId="0" applyAlignment="1" applyBorder="1" applyFont="1" applyNumberFormat="1">
      <alignment horizontal="right"/>
    </xf>
    <xf borderId="2" fillId="51" fontId="1" numFmtId="0" xfId="0" applyBorder="1" applyFont="1"/>
    <xf borderId="2" fillId="51" fontId="1" numFmtId="1" xfId="0" applyBorder="1" applyFont="1" applyNumberFormat="1"/>
    <xf borderId="2" fillId="54" fontId="1" numFmtId="1" xfId="0" applyBorder="1" applyFill="1" applyFont="1" applyNumberFormat="1"/>
    <xf borderId="2" fillId="54" fontId="6" numFmtId="1" xfId="0" applyBorder="1" applyFont="1" applyNumberFormat="1"/>
    <xf borderId="0" fillId="42" fontId="6" numFmtId="1" xfId="0" applyFont="1" applyNumberFormat="1"/>
    <xf borderId="0" fillId="0" fontId="6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8.57"/>
    <col customWidth="1" min="2" max="2" width="23.29"/>
    <col customWidth="1" min="3" max="3" width="10.86"/>
    <col customWidth="1" min="4" max="4" width="24.29"/>
    <col customWidth="1" min="5" max="5" width="15.57"/>
    <col customWidth="1" min="6" max="7" width="8.57"/>
    <col customWidth="1" min="8" max="18" width="14.43"/>
    <col customWidth="1" min="23" max="24" width="14.43"/>
    <col customWidth="1" min="31" max="32" width="14.43"/>
    <col customWidth="1" min="39" max="40" width="14.43"/>
    <col customWidth="1" min="47" max="47" width="14.43"/>
    <col customWidth="1" min="48" max="65" width="8.57"/>
    <col customWidth="1" min="66" max="66" width="13.57"/>
    <col customWidth="1" min="67" max="67" width="11.57"/>
    <col customWidth="1" min="68" max="96" width="13.86"/>
    <col customWidth="1" min="97" max="97" width="7.43"/>
    <col customWidth="1" min="98" max="98" width="7.29"/>
    <col customWidth="1" min="99" max="99" width="7.86"/>
    <col customWidth="1" min="100" max="100" width="7.57"/>
    <col customWidth="1" min="101" max="101" width="8.71"/>
    <col customWidth="1" min="102" max="102" width="5.14"/>
    <col customWidth="1" min="103" max="111" width="13.86"/>
    <col customWidth="1" min="112" max="112" width="17.43"/>
    <col customWidth="1" min="113" max="113" width="16.43"/>
    <col customWidth="1" min="114" max="169" width="13.86"/>
    <col customWidth="1" hidden="1" min="170" max="170" width="13.86"/>
    <col customWidth="1" min="171" max="198" width="13.86"/>
    <col customWidth="1" hidden="1" min="199" max="199" width="13.86"/>
    <col customWidth="1" min="200" max="224" width="13.86"/>
    <col customWidth="1" min="225" max="227" width="14.43"/>
    <col customWidth="1" min="228" max="232" width="6.57"/>
    <col customWidth="1" min="233" max="233" width="7.71"/>
    <col customWidth="1" min="234" max="239" width="6.57"/>
    <col customWidth="1" min="240" max="260" width="14.43"/>
    <col customWidth="1" min="261" max="323" width="18.71"/>
  </cols>
  <sheetData>
    <row r="1" ht="6.0" customHeight="1">
      <c r="A1" s="1" t="s">
        <v>0</v>
      </c>
      <c r="H1" s="2"/>
      <c r="I1" s="2"/>
      <c r="J1" s="2"/>
      <c r="K1" s="2"/>
      <c r="L1" s="3"/>
      <c r="M1" s="3"/>
      <c r="N1" s="3"/>
      <c r="O1" s="4"/>
      <c r="P1" s="5"/>
      <c r="Q1" s="3"/>
      <c r="R1" s="3"/>
      <c r="S1" s="3"/>
      <c r="W1" s="4"/>
      <c r="X1" s="5"/>
      <c r="AU1" s="3"/>
      <c r="AV1" s="6"/>
      <c r="AW1" s="7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3"/>
    </row>
    <row r="2" ht="5.25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9" t="s">
        <v>7</v>
      </c>
      <c r="H2" s="10"/>
      <c r="I2" s="11"/>
      <c r="J2" s="11"/>
      <c r="K2" s="11"/>
      <c r="L2" s="11"/>
      <c r="M2" s="11"/>
      <c r="N2" s="11"/>
      <c r="O2" s="12"/>
      <c r="P2" s="13"/>
      <c r="Q2" s="11"/>
      <c r="R2" s="14"/>
      <c r="S2" s="15"/>
      <c r="W2" s="4"/>
      <c r="X2" s="5"/>
      <c r="AU2" s="3"/>
      <c r="AV2" s="6"/>
      <c r="AW2" s="7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16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8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3"/>
    </row>
    <row r="3" ht="14.25" customHeight="1">
      <c r="A3" s="19"/>
      <c r="B3" s="19"/>
      <c r="C3" s="19"/>
      <c r="D3" s="19"/>
      <c r="E3" s="19"/>
      <c r="F3" s="19"/>
      <c r="G3" s="19"/>
      <c r="H3" s="20"/>
      <c r="I3" s="21"/>
      <c r="J3" s="21"/>
      <c r="K3" s="21"/>
      <c r="L3" s="21"/>
      <c r="M3" s="21"/>
      <c r="N3" s="21"/>
      <c r="O3" s="22"/>
      <c r="P3" s="23"/>
      <c r="Q3" s="21"/>
      <c r="R3" s="24"/>
      <c r="S3" s="15"/>
      <c r="W3" s="4"/>
      <c r="X3" s="5"/>
      <c r="AE3" s="4"/>
      <c r="AF3" s="5"/>
      <c r="AM3" s="4"/>
      <c r="AN3" s="5"/>
      <c r="AU3" s="4"/>
      <c r="AV3" s="6"/>
      <c r="AW3" s="7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4"/>
      <c r="JB3" s="25" t="s">
        <v>8</v>
      </c>
      <c r="JC3" s="26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</row>
    <row r="4" ht="22.5" customHeight="1">
      <c r="A4" s="19"/>
      <c r="B4" s="19"/>
      <c r="C4" s="19"/>
      <c r="D4" s="19"/>
      <c r="E4" s="19"/>
      <c r="F4" s="19"/>
      <c r="G4" s="19"/>
      <c r="H4" s="28" t="s">
        <v>9</v>
      </c>
      <c r="I4" s="17"/>
      <c r="J4" s="17"/>
      <c r="K4" s="17"/>
      <c r="L4" s="17"/>
      <c r="M4" s="17"/>
      <c r="N4" s="17"/>
      <c r="O4" s="18"/>
      <c r="P4" s="29" t="s">
        <v>10</v>
      </c>
      <c r="Q4" s="17"/>
      <c r="R4" s="17"/>
      <c r="S4" s="17"/>
      <c r="T4" s="17"/>
      <c r="U4" s="17"/>
      <c r="V4" s="17"/>
      <c r="W4" s="18"/>
      <c r="X4" s="29" t="s">
        <v>11</v>
      </c>
      <c r="Y4" s="17"/>
      <c r="Z4" s="17"/>
      <c r="AA4" s="17"/>
      <c r="AB4" s="17"/>
      <c r="AC4" s="17"/>
      <c r="AD4" s="17"/>
      <c r="AE4" s="18"/>
      <c r="AF4" s="30" t="s">
        <v>12</v>
      </c>
      <c r="AG4" s="17"/>
      <c r="AH4" s="17"/>
      <c r="AI4" s="17"/>
      <c r="AJ4" s="17"/>
      <c r="AK4" s="17"/>
      <c r="AL4" s="17"/>
      <c r="AM4" s="18"/>
      <c r="AN4" s="31" t="s">
        <v>13</v>
      </c>
      <c r="AO4" s="17"/>
      <c r="AP4" s="17"/>
      <c r="AQ4" s="17"/>
      <c r="AR4" s="17"/>
      <c r="AS4" s="17"/>
      <c r="AT4" s="17"/>
      <c r="AU4" s="18"/>
      <c r="AV4" s="32" t="s">
        <v>14</v>
      </c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4"/>
      <c r="BQ4" s="35" t="s">
        <v>15</v>
      </c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4"/>
      <c r="CL4" s="36" t="s">
        <v>16</v>
      </c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4"/>
      <c r="DH4" s="37">
        <v>33.0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8"/>
      <c r="EI4" s="38" t="s">
        <v>17</v>
      </c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8"/>
      <c r="FJ4" s="39" t="s">
        <v>18</v>
      </c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8"/>
      <c r="GM4" s="40" t="s">
        <v>19</v>
      </c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8"/>
      <c r="HQ4" s="6"/>
      <c r="HR4" s="6"/>
      <c r="HS4" s="6"/>
      <c r="HT4" s="6" t="s">
        <v>20</v>
      </c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41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5" t="s">
        <v>21</v>
      </c>
      <c r="JP4" s="26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 t="s">
        <v>22</v>
      </c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42"/>
      <c r="KR4" s="42"/>
      <c r="KS4" s="42"/>
      <c r="KT4" s="42"/>
      <c r="KU4" s="42"/>
      <c r="KV4" s="42"/>
      <c r="KW4" s="42"/>
      <c r="KX4" s="42"/>
      <c r="KY4" s="42"/>
      <c r="KZ4" s="42"/>
      <c r="LA4" s="42"/>
      <c r="LB4" s="42"/>
      <c r="LC4" s="42"/>
      <c r="LD4" s="41"/>
      <c r="LE4" s="41"/>
      <c r="LF4" s="41"/>
      <c r="LG4" s="41"/>
    </row>
    <row r="5" ht="30.75" customHeight="1">
      <c r="A5" s="19"/>
      <c r="B5" s="19"/>
      <c r="C5" s="19"/>
      <c r="D5" s="19"/>
      <c r="E5" s="19"/>
      <c r="F5" s="19"/>
      <c r="G5" s="19"/>
      <c r="H5" s="43" t="s">
        <v>23</v>
      </c>
      <c r="I5" s="28" t="s">
        <v>24</v>
      </c>
      <c r="J5" s="17"/>
      <c r="K5" s="17"/>
      <c r="L5" s="18"/>
      <c r="M5" s="44" t="s">
        <v>25</v>
      </c>
      <c r="N5" s="45" t="s">
        <v>26</v>
      </c>
      <c r="O5" s="46" t="s">
        <v>27</v>
      </c>
      <c r="P5" s="47" t="s">
        <v>23</v>
      </c>
      <c r="Q5" s="48" t="s">
        <v>24</v>
      </c>
      <c r="R5" s="17"/>
      <c r="S5" s="17"/>
      <c r="T5" s="18"/>
      <c r="U5" s="49" t="s">
        <v>25</v>
      </c>
      <c r="V5" s="50" t="s">
        <v>26</v>
      </c>
      <c r="W5" s="46" t="s">
        <v>27</v>
      </c>
      <c r="X5" s="51"/>
      <c r="Y5" s="52" t="s">
        <v>24</v>
      </c>
      <c r="Z5" s="17"/>
      <c r="AA5" s="17"/>
      <c r="AB5" s="18"/>
      <c r="AC5" s="53" t="s">
        <v>25</v>
      </c>
      <c r="AD5" s="54" t="s">
        <v>26</v>
      </c>
      <c r="AE5" s="46" t="s">
        <v>27</v>
      </c>
      <c r="AF5" s="51"/>
      <c r="AG5" s="30" t="s">
        <v>24</v>
      </c>
      <c r="AH5" s="17"/>
      <c r="AI5" s="17"/>
      <c r="AJ5" s="18"/>
      <c r="AK5" s="55" t="s">
        <v>25</v>
      </c>
      <c r="AL5" s="56" t="s">
        <v>26</v>
      </c>
      <c r="AM5" s="46" t="s">
        <v>27</v>
      </c>
      <c r="AN5" s="51"/>
      <c r="AO5" s="31" t="s">
        <v>24</v>
      </c>
      <c r="AP5" s="17"/>
      <c r="AQ5" s="17"/>
      <c r="AR5" s="18"/>
      <c r="AS5" s="57" t="s">
        <v>25</v>
      </c>
      <c r="AT5" s="58" t="s">
        <v>26</v>
      </c>
      <c r="AU5" s="59" t="s">
        <v>27</v>
      </c>
      <c r="AV5" s="60" t="s">
        <v>28</v>
      </c>
      <c r="AW5" s="61" t="s">
        <v>23</v>
      </c>
      <c r="AX5" s="62" t="s">
        <v>29</v>
      </c>
      <c r="AY5" s="63"/>
      <c r="AZ5" s="63"/>
      <c r="BA5" s="64"/>
      <c r="BB5" s="62" t="s">
        <v>30</v>
      </c>
      <c r="BC5" s="63"/>
      <c r="BD5" s="63"/>
      <c r="BE5" s="64"/>
      <c r="BF5" s="62" t="s">
        <v>31</v>
      </c>
      <c r="BG5" s="63"/>
      <c r="BH5" s="63"/>
      <c r="BI5" s="64"/>
      <c r="BJ5" s="62" t="s">
        <v>32</v>
      </c>
      <c r="BK5" s="63"/>
      <c r="BL5" s="63"/>
      <c r="BM5" s="64"/>
      <c r="BN5" s="65" t="s">
        <v>33</v>
      </c>
      <c r="BO5" s="65" t="s">
        <v>34</v>
      </c>
      <c r="BP5" s="66" t="s">
        <v>35</v>
      </c>
      <c r="BQ5" s="67" t="s">
        <v>36</v>
      </c>
      <c r="BR5" s="68" t="s">
        <v>23</v>
      </c>
      <c r="BS5" s="69" t="s">
        <v>29</v>
      </c>
      <c r="BT5" s="63"/>
      <c r="BU5" s="63"/>
      <c r="BV5" s="64"/>
      <c r="BW5" s="69" t="s">
        <v>30</v>
      </c>
      <c r="BX5" s="63"/>
      <c r="BY5" s="63"/>
      <c r="BZ5" s="64"/>
      <c r="CA5" s="69" t="s">
        <v>31</v>
      </c>
      <c r="CB5" s="63"/>
      <c r="CC5" s="63"/>
      <c r="CD5" s="64"/>
      <c r="CE5" s="69" t="s">
        <v>32</v>
      </c>
      <c r="CF5" s="63"/>
      <c r="CG5" s="63"/>
      <c r="CH5" s="64"/>
      <c r="CI5" s="70" t="s">
        <v>33</v>
      </c>
      <c r="CJ5" s="70" t="s">
        <v>34</v>
      </c>
      <c r="CK5" s="71" t="s">
        <v>35</v>
      </c>
      <c r="CL5" s="72" t="s">
        <v>37</v>
      </c>
      <c r="CM5" s="73" t="s">
        <v>38</v>
      </c>
      <c r="CN5" s="74" t="s">
        <v>23</v>
      </c>
      <c r="CO5" s="75" t="s">
        <v>29</v>
      </c>
      <c r="CP5" s="63"/>
      <c r="CQ5" s="63"/>
      <c r="CR5" s="64"/>
      <c r="CS5" s="75" t="s">
        <v>30</v>
      </c>
      <c r="CT5" s="63"/>
      <c r="CU5" s="63"/>
      <c r="CV5" s="64"/>
      <c r="CW5" s="75" t="s">
        <v>31</v>
      </c>
      <c r="CX5" s="63"/>
      <c r="CY5" s="63"/>
      <c r="CZ5" s="64"/>
      <c r="DA5" s="75" t="s">
        <v>32</v>
      </c>
      <c r="DB5" s="63"/>
      <c r="DC5" s="63"/>
      <c r="DD5" s="64"/>
      <c r="DE5" s="76" t="s">
        <v>33</v>
      </c>
      <c r="DF5" s="76" t="s">
        <v>34</v>
      </c>
      <c r="DG5" s="77" t="s">
        <v>35</v>
      </c>
      <c r="DH5" s="78" t="s">
        <v>39</v>
      </c>
      <c r="DI5" s="79" t="s">
        <v>40</v>
      </c>
      <c r="DJ5" s="79" t="s">
        <v>41</v>
      </c>
      <c r="DK5" s="79" t="s">
        <v>42</v>
      </c>
      <c r="DL5" s="80" t="s">
        <v>23</v>
      </c>
      <c r="DM5" s="81" t="s">
        <v>43</v>
      </c>
      <c r="DN5" s="81" t="s">
        <v>44</v>
      </c>
      <c r="DO5" s="82" t="s">
        <v>29</v>
      </c>
      <c r="DP5" s="17"/>
      <c r="DQ5" s="17"/>
      <c r="DR5" s="18"/>
      <c r="DS5" s="82" t="s">
        <v>30</v>
      </c>
      <c r="DT5" s="17"/>
      <c r="DU5" s="17"/>
      <c r="DV5" s="18"/>
      <c r="DW5" s="82" t="s">
        <v>31</v>
      </c>
      <c r="DX5" s="17"/>
      <c r="DY5" s="17"/>
      <c r="DZ5" s="18"/>
      <c r="EA5" s="82" t="s">
        <v>32</v>
      </c>
      <c r="EB5" s="17"/>
      <c r="EC5" s="17"/>
      <c r="ED5" s="18"/>
      <c r="EE5" s="83" t="s">
        <v>33</v>
      </c>
      <c r="EF5" s="83" t="s">
        <v>34</v>
      </c>
      <c r="EG5" s="84" t="s">
        <v>35</v>
      </c>
      <c r="EH5" s="85" t="s">
        <v>45</v>
      </c>
      <c r="EI5" s="86" t="s">
        <v>39</v>
      </c>
      <c r="EJ5" s="87" t="s">
        <v>46</v>
      </c>
      <c r="EK5" s="87" t="s">
        <v>47</v>
      </c>
      <c r="EL5" s="87" t="s">
        <v>48</v>
      </c>
      <c r="EM5" s="88" t="s">
        <v>23</v>
      </c>
      <c r="EN5" s="89" t="s">
        <v>43</v>
      </c>
      <c r="EO5" s="89" t="s">
        <v>44</v>
      </c>
      <c r="EP5" s="90" t="s">
        <v>29</v>
      </c>
      <c r="EQ5" s="17"/>
      <c r="ER5" s="17"/>
      <c r="ES5" s="18"/>
      <c r="ET5" s="90" t="s">
        <v>30</v>
      </c>
      <c r="EU5" s="17"/>
      <c r="EV5" s="17"/>
      <c r="EW5" s="18"/>
      <c r="EX5" s="90" t="s">
        <v>31</v>
      </c>
      <c r="EY5" s="17"/>
      <c r="EZ5" s="17"/>
      <c r="FA5" s="18"/>
      <c r="FB5" s="90" t="s">
        <v>32</v>
      </c>
      <c r="FC5" s="17"/>
      <c r="FD5" s="17"/>
      <c r="FE5" s="18"/>
      <c r="FF5" s="91" t="s">
        <v>33</v>
      </c>
      <c r="FG5" s="91" t="s">
        <v>34</v>
      </c>
      <c r="FH5" s="92" t="s">
        <v>35</v>
      </c>
      <c r="FI5" s="93" t="s">
        <v>45</v>
      </c>
      <c r="FJ5" s="94" t="s">
        <v>49</v>
      </c>
      <c r="FK5" s="95" t="s">
        <v>50</v>
      </c>
      <c r="FL5" s="95" t="s">
        <v>51</v>
      </c>
      <c r="FM5" s="95" t="s">
        <v>52</v>
      </c>
      <c r="FN5" s="96" t="s">
        <v>53</v>
      </c>
      <c r="FO5" s="97" t="s">
        <v>54</v>
      </c>
      <c r="FP5" s="98" t="s">
        <v>23</v>
      </c>
      <c r="FQ5" s="95" t="s">
        <v>43</v>
      </c>
      <c r="FR5" s="95" t="s">
        <v>44</v>
      </c>
      <c r="FS5" s="99" t="s">
        <v>29</v>
      </c>
      <c r="FT5" s="17"/>
      <c r="FU5" s="17"/>
      <c r="FV5" s="18"/>
      <c r="FW5" s="99" t="s">
        <v>30</v>
      </c>
      <c r="FX5" s="17"/>
      <c r="FY5" s="17"/>
      <c r="FZ5" s="18"/>
      <c r="GA5" s="99" t="s">
        <v>31</v>
      </c>
      <c r="GB5" s="17"/>
      <c r="GC5" s="17"/>
      <c r="GD5" s="18"/>
      <c r="GE5" s="99" t="s">
        <v>32</v>
      </c>
      <c r="GF5" s="17"/>
      <c r="GG5" s="17"/>
      <c r="GH5" s="18"/>
      <c r="GI5" s="100" t="s">
        <v>33</v>
      </c>
      <c r="GJ5" s="100" t="s">
        <v>34</v>
      </c>
      <c r="GK5" s="101" t="s">
        <v>35</v>
      </c>
      <c r="GL5" s="102" t="s">
        <v>45</v>
      </c>
      <c r="GM5" s="103" t="s">
        <v>55</v>
      </c>
      <c r="GN5" s="104" t="s">
        <v>56</v>
      </c>
      <c r="GO5" s="97" t="s">
        <v>57</v>
      </c>
      <c r="GP5" s="97" t="s">
        <v>58</v>
      </c>
      <c r="GQ5" s="105" t="s">
        <v>53</v>
      </c>
      <c r="GR5" s="97" t="s">
        <v>54</v>
      </c>
      <c r="GS5" s="97" t="s">
        <v>59</v>
      </c>
      <c r="GT5" s="106" t="s">
        <v>23</v>
      </c>
      <c r="GU5" s="104" t="s">
        <v>43</v>
      </c>
      <c r="GV5" s="104" t="s">
        <v>44</v>
      </c>
      <c r="GW5" s="107" t="s">
        <v>29</v>
      </c>
      <c r="GX5" s="17"/>
      <c r="GY5" s="17"/>
      <c r="GZ5" s="18"/>
      <c r="HA5" s="107" t="s">
        <v>30</v>
      </c>
      <c r="HB5" s="17"/>
      <c r="HC5" s="17"/>
      <c r="HD5" s="18"/>
      <c r="HE5" s="107" t="s">
        <v>31</v>
      </c>
      <c r="HF5" s="17"/>
      <c r="HG5" s="17"/>
      <c r="HH5" s="18"/>
      <c r="HI5" s="107" t="s">
        <v>32</v>
      </c>
      <c r="HJ5" s="17"/>
      <c r="HK5" s="17"/>
      <c r="HL5" s="18"/>
      <c r="HM5" s="108" t="s">
        <v>33</v>
      </c>
      <c r="HN5" s="108" t="s">
        <v>34</v>
      </c>
      <c r="HO5" s="109" t="s">
        <v>35</v>
      </c>
      <c r="HP5" s="110" t="s">
        <v>45</v>
      </c>
      <c r="HQ5" s="111"/>
      <c r="HR5" s="111"/>
      <c r="HS5" s="111"/>
      <c r="HT5" s="112" t="s">
        <v>60</v>
      </c>
      <c r="HU5" s="112" t="s">
        <v>61</v>
      </c>
      <c r="HV5" s="112" t="s">
        <v>62</v>
      </c>
      <c r="HW5" s="112" t="s">
        <v>63</v>
      </c>
      <c r="HX5" s="112" t="s">
        <v>64</v>
      </c>
      <c r="HY5" s="112" t="s">
        <v>14</v>
      </c>
      <c r="HZ5" s="112" t="s">
        <v>15</v>
      </c>
      <c r="IA5" s="112" t="s">
        <v>65</v>
      </c>
      <c r="IB5" s="112" t="s">
        <v>66</v>
      </c>
      <c r="IC5" s="112" t="s">
        <v>67</v>
      </c>
      <c r="ID5" s="112" t="s">
        <v>68</v>
      </c>
      <c r="IE5" s="112" t="s">
        <v>69</v>
      </c>
      <c r="IF5" s="113"/>
      <c r="IG5" s="113"/>
      <c r="IH5" s="111"/>
      <c r="II5" s="111"/>
      <c r="IJ5" s="111"/>
      <c r="IK5" s="111"/>
      <c r="IL5" s="111"/>
      <c r="IM5" s="111"/>
      <c r="IN5" s="111"/>
      <c r="IO5" s="111"/>
      <c r="IP5" s="111"/>
      <c r="IQ5" s="111"/>
      <c r="IR5" s="111"/>
      <c r="IS5" s="111"/>
      <c r="IT5" s="111"/>
      <c r="IU5" s="111"/>
      <c r="IV5" s="111"/>
      <c r="IW5" s="111"/>
      <c r="IX5" s="111"/>
      <c r="IY5" s="111"/>
      <c r="IZ5" s="111"/>
      <c r="JA5" s="22"/>
      <c r="JB5" s="114" t="s">
        <v>60</v>
      </c>
      <c r="JC5" s="114" t="s">
        <v>61</v>
      </c>
      <c r="JD5" s="114" t="s">
        <v>62</v>
      </c>
      <c r="JE5" s="114" t="s">
        <v>63</v>
      </c>
      <c r="JF5" s="114" t="s">
        <v>64</v>
      </c>
      <c r="JG5" s="114" t="s">
        <v>14</v>
      </c>
      <c r="JH5" s="114" t="s">
        <v>15</v>
      </c>
      <c r="JI5" s="114" t="s">
        <v>65</v>
      </c>
      <c r="JJ5" s="114" t="s">
        <v>66</v>
      </c>
      <c r="JK5" s="114" t="s">
        <v>67</v>
      </c>
      <c r="JL5" s="114" t="s">
        <v>68</v>
      </c>
      <c r="JM5" s="114" t="s">
        <v>69</v>
      </c>
      <c r="JN5" s="27"/>
      <c r="JO5" s="114" t="s">
        <v>60</v>
      </c>
      <c r="JP5" s="114" t="s">
        <v>61</v>
      </c>
      <c r="JQ5" s="114" t="s">
        <v>62</v>
      </c>
      <c r="JR5" s="114" t="s">
        <v>63</v>
      </c>
      <c r="JS5" s="114" t="s">
        <v>64</v>
      </c>
      <c r="JT5" s="114" t="s">
        <v>14</v>
      </c>
      <c r="JU5" s="114" t="s">
        <v>15</v>
      </c>
      <c r="JV5" s="114" t="s">
        <v>65</v>
      </c>
      <c r="JW5" s="114" t="s">
        <v>66</v>
      </c>
      <c r="JX5" s="114" t="s">
        <v>67</v>
      </c>
      <c r="JY5" s="114" t="s">
        <v>68</v>
      </c>
      <c r="JZ5" s="114" t="s">
        <v>69</v>
      </c>
      <c r="KA5" s="27"/>
      <c r="KB5" s="114" t="s">
        <v>60</v>
      </c>
      <c r="KC5" s="114" t="s">
        <v>61</v>
      </c>
      <c r="KD5" s="114" t="s">
        <v>62</v>
      </c>
      <c r="KE5" s="114" t="s">
        <v>63</v>
      </c>
      <c r="KF5" s="114" t="s">
        <v>64</v>
      </c>
      <c r="KG5" s="114" t="s">
        <v>14</v>
      </c>
      <c r="KH5" s="114" t="s">
        <v>15</v>
      </c>
      <c r="KI5" s="114" t="s">
        <v>65</v>
      </c>
      <c r="KJ5" s="114" t="s">
        <v>66</v>
      </c>
      <c r="KK5" s="114" t="s">
        <v>67</v>
      </c>
      <c r="KL5" s="114" t="s">
        <v>68</v>
      </c>
      <c r="KM5" s="114" t="s">
        <v>69</v>
      </c>
      <c r="KN5" s="27"/>
      <c r="KO5" s="27"/>
      <c r="KP5" s="27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</row>
    <row r="6" ht="39.75" customHeight="1">
      <c r="A6" s="115"/>
      <c r="B6" s="115"/>
      <c r="C6" s="115"/>
      <c r="D6" s="115"/>
      <c r="E6" s="115"/>
      <c r="F6" s="115"/>
      <c r="G6" s="115"/>
      <c r="H6" s="115"/>
      <c r="I6" s="116" t="s">
        <v>70</v>
      </c>
      <c r="J6" s="116" t="s">
        <v>71</v>
      </c>
      <c r="K6" s="116" t="s">
        <v>72</v>
      </c>
      <c r="L6" s="116" t="s">
        <v>73</v>
      </c>
      <c r="M6" s="115"/>
      <c r="N6" s="115"/>
      <c r="O6" s="115"/>
      <c r="P6" s="115"/>
      <c r="Q6" s="117" t="s">
        <v>70</v>
      </c>
      <c r="R6" s="117" t="s">
        <v>71</v>
      </c>
      <c r="S6" s="117" t="s">
        <v>72</v>
      </c>
      <c r="T6" s="117" t="s">
        <v>73</v>
      </c>
      <c r="U6" s="115"/>
      <c r="V6" s="115"/>
      <c r="W6" s="115"/>
      <c r="X6" s="118" t="s">
        <v>23</v>
      </c>
      <c r="Y6" s="119" t="s">
        <v>70</v>
      </c>
      <c r="Z6" s="119" t="s">
        <v>71</v>
      </c>
      <c r="AA6" s="119" t="s">
        <v>72</v>
      </c>
      <c r="AB6" s="119" t="s">
        <v>73</v>
      </c>
      <c r="AC6" s="115"/>
      <c r="AD6" s="115"/>
      <c r="AE6" s="115"/>
      <c r="AF6" s="118" t="s">
        <v>23</v>
      </c>
      <c r="AG6" s="120" t="s">
        <v>70</v>
      </c>
      <c r="AH6" s="120" t="s">
        <v>71</v>
      </c>
      <c r="AI6" s="120" t="s">
        <v>72</v>
      </c>
      <c r="AJ6" s="120" t="s">
        <v>73</v>
      </c>
      <c r="AK6" s="115"/>
      <c r="AL6" s="115"/>
      <c r="AM6" s="115"/>
      <c r="AN6" s="118" t="s">
        <v>23</v>
      </c>
      <c r="AO6" s="121" t="s">
        <v>70</v>
      </c>
      <c r="AP6" s="121" t="s">
        <v>71</v>
      </c>
      <c r="AQ6" s="121" t="s">
        <v>72</v>
      </c>
      <c r="AR6" s="121" t="s">
        <v>73</v>
      </c>
      <c r="AS6" s="115"/>
      <c r="AT6" s="115"/>
      <c r="AU6" s="122"/>
      <c r="AV6" s="115"/>
      <c r="AW6" s="123"/>
      <c r="AX6" s="124" t="s">
        <v>70</v>
      </c>
      <c r="AY6" s="125" t="s">
        <v>71</v>
      </c>
      <c r="AZ6" s="125" t="s">
        <v>72</v>
      </c>
      <c r="BA6" s="126" t="s">
        <v>73</v>
      </c>
      <c r="BB6" s="124" t="s">
        <v>70</v>
      </c>
      <c r="BC6" s="125" t="s">
        <v>71</v>
      </c>
      <c r="BD6" s="125" t="s">
        <v>72</v>
      </c>
      <c r="BE6" s="126" t="s">
        <v>73</v>
      </c>
      <c r="BF6" s="124" t="s">
        <v>70</v>
      </c>
      <c r="BG6" s="125" t="s">
        <v>71</v>
      </c>
      <c r="BH6" s="125" t="s">
        <v>72</v>
      </c>
      <c r="BI6" s="126" t="s">
        <v>73</v>
      </c>
      <c r="BJ6" s="124" t="s">
        <v>70</v>
      </c>
      <c r="BK6" s="125" t="s">
        <v>71</v>
      </c>
      <c r="BL6" s="125" t="s">
        <v>72</v>
      </c>
      <c r="BM6" s="126" t="s">
        <v>73</v>
      </c>
      <c r="BN6" s="126" t="s">
        <v>74</v>
      </c>
      <c r="BO6" s="127" t="s">
        <v>75</v>
      </c>
      <c r="BP6" s="127" t="s">
        <v>75</v>
      </c>
      <c r="BQ6" s="115"/>
      <c r="BR6" s="123"/>
      <c r="BS6" s="128" t="s">
        <v>70</v>
      </c>
      <c r="BT6" s="129" t="s">
        <v>71</v>
      </c>
      <c r="BU6" s="129" t="s">
        <v>72</v>
      </c>
      <c r="BV6" s="130" t="s">
        <v>73</v>
      </c>
      <c r="BW6" s="128" t="s">
        <v>70</v>
      </c>
      <c r="BX6" s="129" t="s">
        <v>71</v>
      </c>
      <c r="BY6" s="129" t="s">
        <v>72</v>
      </c>
      <c r="BZ6" s="130" t="s">
        <v>73</v>
      </c>
      <c r="CA6" s="128" t="s">
        <v>70</v>
      </c>
      <c r="CB6" s="129" t="s">
        <v>71</v>
      </c>
      <c r="CC6" s="129" t="s">
        <v>72</v>
      </c>
      <c r="CD6" s="130" t="s">
        <v>73</v>
      </c>
      <c r="CE6" s="128" t="s">
        <v>70</v>
      </c>
      <c r="CF6" s="129" t="s">
        <v>71</v>
      </c>
      <c r="CG6" s="129" t="s">
        <v>72</v>
      </c>
      <c r="CH6" s="130" t="s">
        <v>73</v>
      </c>
      <c r="CI6" s="130" t="s">
        <v>74</v>
      </c>
      <c r="CJ6" s="131" t="s">
        <v>75</v>
      </c>
      <c r="CK6" s="131" t="s">
        <v>75</v>
      </c>
      <c r="CL6" s="115"/>
      <c r="CM6" s="132"/>
      <c r="CN6" s="123"/>
      <c r="CO6" s="133" t="s">
        <v>70</v>
      </c>
      <c r="CP6" s="134" t="s">
        <v>71</v>
      </c>
      <c r="CQ6" s="134" t="s">
        <v>72</v>
      </c>
      <c r="CR6" s="135" t="s">
        <v>73</v>
      </c>
      <c r="CS6" s="133" t="s">
        <v>70</v>
      </c>
      <c r="CT6" s="134" t="s">
        <v>71</v>
      </c>
      <c r="CU6" s="134" t="s">
        <v>72</v>
      </c>
      <c r="CV6" s="135" t="s">
        <v>73</v>
      </c>
      <c r="CW6" s="133" t="s">
        <v>70</v>
      </c>
      <c r="CX6" s="134" t="s">
        <v>71</v>
      </c>
      <c r="CY6" s="134" t="s">
        <v>72</v>
      </c>
      <c r="CZ6" s="135" t="s">
        <v>73</v>
      </c>
      <c r="DA6" s="133" t="s">
        <v>70</v>
      </c>
      <c r="DB6" s="134" t="s">
        <v>71</v>
      </c>
      <c r="DC6" s="134" t="s">
        <v>72</v>
      </c>
      <c r="DD6" s="135" t="s">
        <v>73</v>
      </c>
      <c r="DE6" s="135" t="s">
        <v>74</v>
      </c>
      <c r="DF6" s="136" t="s">
        <v>75</v>
      </c>
      <c r="DG6" s="137" t="s">
        <v>75</v>
      </c>
      <c r="DH6" s="115"/>
      <c r="DI6" s="115"/>
      <c r="DJ6" s="115"/>
      <c r="DK6" s="115"/>
      <c r="DL6" s="115"/>
      <c r="DM6" s="115"/>
      <c r="DN6" s="115"/>
      <c r="DO6" s="138" t="s">
        <v>70</v>
      </c>
      <c r="DP6" s="139" t="s">
        <v>71</v>
      </c>
      <c r="DQ6" s="139" t="s">
        <v>72</v>
      </c>
      <c r="DR6" s="138" t="s">
        <v>73</v>
      </c>
      <c r="DS6" s="138" t="s">
        <v>70</v>
      </c>
      <c r="DT6" s="139" t="s">
        <v>71</v>
      </c>
      <c r="DU6" s="139" t="s">
        <v>72</v>
      </c>
      <c r="DV6" s="138" t="s">
        <v>73</v>
      </c>
      <c r="DW6" s="138" t="s">
        <v>70</v>
      </c>
      <c r="DX6" s="139" t="s">
        <v>71</v>
      </c>
      <c r="DY6" s="139" t="s">
        <v>72</v>
      </c>
      <c r="DZ6" s="138" t="s">
        <v>73</v>
      </c>
      <c r="EA6" s="138" t="s">
        <v>70</v>
      </c>
      <c r="EB6" s="139" t="s">
        <v>71</v>
      </c>
      <c r="EC6" s="139" t="s">
        <v>72</v>
      </c>
      <c r="ED6" s="138" t="s">
        <v>73</v>
      </c>
      <c r="EE6" s="138" t="s">
        <v>74</v>
      </c>
      <c r="EF6" s="138" t="s">
        <v>75</v>
      </c>
      <c r="EG6" s="115"/>
      <c r="EH6" s="115"/>
      <c r="EI6" s="115"/>
      <c r="EJ6" s="115"/>
      <c r="EK6" s="115"/>
      <c r="EL6" s="115"/>
      <c r="EM6" s="115"/>
      <c r="EN6" s="115"/>
      <c r="EO6" s="115"/>
      <c r="EP6" s="140" t="s">
        <v>70</v>
      </c>
      <c r="EQ6" s="141" t="s">
        <v>71</v>
      </c>
      <c r="ER6" s="141" t="s">
        <v>72</v>
      </c>
      <c r="ES6" s="140" t="s">
        <v>73</v>
      </c>
      <c r="ET6" s="140" t="s">
        <v>70</v>
      </c>
      <c r="EU6" s="141" t="s">
        <v>71</v>
      </c>
      <c r="EV6" s="141" t="s">
        <v>72</v>
      </c>
      <c r="EW6" s="140" t="s">
        <v>73</v>
      </c>
      <c r="EX6" s="140" t="s">
        <v>70</v>
      </c>
      <c r="EY6" s="141" t="s">
        <v>71</v>
      </c>
      <c r="EZ6" s="141" t="s">
        <v>72</v>
      </c>
      <c r="FA6" s="140" t="s">
        <v>73</v>
      </c>
      <c r="FB6" s="140" t="s">
        <v>70</v>
      </c>
      <c r="FC6" s="141" t="s">
        <v>71</v>
      </c>
      <c r="FD6" s="141" t="s">
        <v>72</v>
      </c>
      <c r="FE6" s="140" t="s">
        <v>73</v>
      </c>
      <c r="FF6" s="140" t="s">
        <v>74</v>
      </c>
      <c r="FG6" s="140" t="s">
        <v>75</v>
      </c>
      <c r="FH6" s="115"/>
      <c r="FI6" s="115"/>
      <c r="FJ6" s="115"/>
      <c r="FK6" s="115"/>
      <c r="FL6" s="115"/>
      <c r="FM6" s="115"/>
      <c r="FN6" s="115"/>
      <c r="FO6" s="115"/>
      <c r="FP6" s="115"/>
      <c r="FQ6" s="115"/>
      <c r="FR6" s="115"/>
      <c r="FS6" s="100" t="s">
        <v>70</v>
      </c>
      <c r="FT6" s="142" t="s">
        <v>71</v>
      </c>
      <c r="FU6" s="142" t="s">
        <v>72</v>
      </c>
      <c r="FV6" s="100" t="s">
        <v>73</v>
      </c>
      <c r="FW6" s="100" t="s">
        <v>70</v>
      </c>
      <c r="FX6" s="142" t="s">
        <v>71</v>
      </c>
      <c r="FY6" s="142" t="s">
        <v>72</v>
      </c>
      <c r="FZ6" s="100" t="s">
        <v>73</v>
      </c>
      <c r="GA6" s="100" t="s">
        <v>70</v>
      </c>
      <c r="GB6" s="142" t="s">
        <v>71</v>
      </c>
      <c r="GC6" s="142" t="s">
        <v>72</v>
      </c>
      <c r="GD6" s="100" t="s">
        <v>73</v>
      </c>
      <c r="GE6" s="100" t="s">
        <v>70</v>
      </c>
      <c r="GF6" s="142" t="s">
        <v>71</v>
      </c>
      <c r="GG6" s="142" t="s">
        <v>72</v>
      </c>
      <c r="GH6" s="100" t="s">
        <v>73</v>
      </c>
      <c r="GI6" s="100" t="s">
        <v>74</v>
      </c>
      <c r="GJ6" s="100" t="s">
        <v>75</v>
      </c>
      <c r="GK6" s="115"/>
      <c r="GL6" s="115"/>
      <c r="GM6" s="115"/>
      <c r="GN6" s="115"/>
      <c r="GO6" s="115"/>
      <c r="GP6" s="115"/>
      <c r="GQ6" s="115"/>
      <c r="GR6" s="115"/>
      <c r="GS6" s="115"/>
      <c r="GT6" s="115"/>
      <c r="GU6" s="115"/>
      <c r="GV6" s="115"/>
      <c r="GW6" s="108" t="s">
        <v>70</v>
      </c>
      <c r="GX6" s="143" t="s">
        <v>71</v>
      </c>
      <c r="GY6" s="143" t="s">
        <v>72</v>
      </c>
      <c r="GZ6" s="108" t="s">
        <v>73</v>
      </c>
      <c r="HA6" s="108" t="s">
        <v>70</v>
      </c>
      <c r="HB6" s="143" t="s">
        <v>71</v>
      </c>
      <c r="HC6" s="143" t="s">
        <v>72</v>
      </c>
      <c r="HD6" s="108" t="s">
        <v>73</v>
      </c>
      <c r="HE6" s="108" t="s">
        <v>70</v>
      </c>
      <c r="HF6" s="143" t="s">
        <v>71</v>
      </c>
      <c r="HG6" s="143" t="s">
        <v>72</v>
      </c>
      <c r="HH6" s="108" t="s">
        <v>73</v>
      </c>
      <c r="HI6" s="108" t="s">
        <v>70</v>
      </c>
      <c r="HJ6" s="143" t="s">
        <v>71</v>
      </c>
      <c r="HK6" s="143" t="s">
        <v>72</v>
      </c>
      <c r="HL6" s="108" t="s">
        <v>73</v>
      </c>
      <c r="HM6" s="108" t="s">
        <v>74</v>
      </c>
      <c r="HN6" s="108" t="s">
        <v>75</v>
      </c>
      <c r="HO6" s="115"/>
      <c r="HP6" s="115"/>
      <c r="HQ6" s="6"/>
      <c r="HR6" s="6"/>
      <c r="HS6" s="6"/>
      <c r="HT6" s="144"/>
      <c r="HU6" s="144"/>
      <c r="HV6" s="144"/>
      <c r="HW6" s="144"/>
      <c r="HX6" s="144"/>
      <c r="HY6" s="144"/>
      <c r="HZ6" s="144"/>
      <c r="IA6" s="144"/>
      <c r="IB6" s="144"/>
      <c r="IC6" s="144"/>
      <c r="ID6" s="144"/>
      <c r="IE6" s="144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22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</row>
    <row r="7" ht="14.25" customHeight="1">
      <c r="A7" s="145">
        <v>1.0</v>
      </c>
      <c r="B7" s="145">
        <v>2.0</v>
      </c>
      <c r="C7" s="145"/>
      <c r="D7" s="145">
        <v>3.0</v>
      </c>
      <c r="E7" s="145">
        <v>4.0</v>
      </c>
      <c r="F7" s="145">
        <v>5.0</v>
      </c>
      <c r="G7" s="145">
        <v>6.0</v>
      </c>
      <c r="H7" s="145">
        <v>7.0</v>
      </c>
      <c r="I7" s="145">
        <v>8.0</v>
      </c>
      <c r="J7" s="145">
        <v>9.0</v>
      </c>
      <c r="K7" s="145">
        <v>10.0</v>
      </c>
      <c r="L7" s="145">
        <v>11.0</v>
      </c>
      <c r="M7" s="145">
        <v>12.0</v>
      </c>
      <c r="N7" s="145">
        <v>13.0</v>
      </c>
      <c r="O7" s="145">
        <v>14.0</v>
      </c>
      <c r="P7" s="51">
        <v>15.0</v>
      </c>
      <c r="Q7" s="145">
        <v>16.0</v>
      </c>
      <c r="R7" s="145">
        <v>17.0</v>
      </c>
      <c r="S7" s="145">
        <v>18.0</v>
      </c>
      <c r="T7" s="145">
        <v>19.0</v>
      </c>
      <c r="U7" s="145">
        <v>20.0</v>
      </c>
      <c r="V7" s="145">
        <v>21.0</v>
      </c>
      <c r="W7" s="145">
        <v>22.0</v>
      </c>
      <c r="X7" s="51">
        <v>23.0</v>
      </c>
      <c r="Y7" s="145">
        <v>24.0</v>
      </c>
      <c r="Z7" s="145">
        <v>25.0</v>
      </c>
      <c r="AA7" s="145">
        <v>26.0</v>
      </c>
      <c r="AB7" s="145">
        <v>27.0</v>
      </c>
      <c r="AC7" s="145">
        <v>28.0</v>
      </c>
      <c r="AD7" s="145">
        <v>29.0</v>
      </c>
      <c r="AE7" s="145">
        <v>30.0</v>
      </c>
      <c r="AF7" s="51">
        <v>31.0</v>
      </c>
      <c r="AG7" s="145">
        <v>32.0</v>
      </c>
      <c r="AH7" s="145">
        <v>33.0</v>
      </c>
      <c r="AI7" s="145">
        <v>34.0</v>
      </c>
      <c r="AJ7" s="145">
        <v>35.0</v>
      </c>
      <c r="AK7" s="145">
        <v>36.0</v>
      </c>
      <c r="AL7" s="145">
        <v>37.0</v>
      </c>
      <c r="AM7" s="145">
        <v>38.0</v>
      </c>
      <c r="AN7" s="51">
        <v>39.0</v>
      </c>
      <c r="AO7" s="145">
        <v>40.0</v>
      </c>
      <c r="AP7" s="145">
        <v>41.0</v>
      </c>
      <c r="AQ7" s="145">
        <v>42.0</v>
      </c>
      <c r="AR7" s="145">
        <v>43.0</v>
      </c>
      <c r="AS7" s="145">
        <v>44.0</v>
      </c>
      <c r="AT7" s="145">
        <v>45.0</v>
      </c>
      <c r="AU7" s="146">
        <v>46.0</v>
      </c>
      <c r="AV7" s="146">
        <v>47.0</v>
      </c>
      <c r="AW7" s="146">
        <v>48.0</v>
      </c>
      <c r="AX7" s="146">
        <v>49.0</v>
      </c>
      <c r="AY7" s="146">
        <v>50.0</v>
      </c>
      <c r="AZ7" s="146">
        <v>51.0</v>
      </c>
      <c r="BA7" s="146">
        <v>52.0</v>
      </c>
      <c r="BB7" s="146">
        <v>53.0</v>
      </c>
      <c r="BC7" s="146">
        <v>54.0</v>
      </c>
      <c r="BD7" s="146">
        <v>55.0</v>
      </c>
      <c r="BE7" s="146">
        <v>56.0</v>
      </c>
      <c r="BF7" s="146">
        <v>57.0</v>
      </c>
      <c r="BG7" s="146">
        <v>58.0</v>
      </c>
      <c r="BH7" s="146">
        <v>59.0</v>
      </c>
      <c r="BI7" s="146">
        <v>60.0</v>
      </c>
      <c r="BJ7" s="146">
        <v>61.0</v>
      </c>
      <c r="BK7" s="146">
        <v>62.0</v>
      </c>
      <c r="BL7" s="146">
        <v>63.0</v>
      </c>
      <c r="BM7" s="146">
        <v>64.0</v>
      </c>
      <c r="BN7" s="146">
        <v>65.0</v>
      </c>
      <c r="BO7" s="146">
        <v>66.0</v>
      </c>
      <c r="BP7" s="146">
        <v>67.0</v>
      </c>
      <c r="BQ7" s="147">
        <v>68.0</v>
      </c>
      <c r="BR7" s="147">
        <v>69.0</v>
      </c>
      <c r="BS7" s="147">
        <v>70.0</v>
      </c>
      <c r="BT7" s="147">
        <v>71.0</v>
      </c>
      <c r="BU7" s="147">
        <v>72.0</v>
      </c>
      <c r="BV7" s="147">
        <v>73.0</v>
      </c>
      <c r="BW7" s="147">
        <v>74.0</v>
      </c>
      <c r="BX7" s="147">
        <v>75.0</v>
      </c>
      <c r="BY7" s="147">
        <v>76.0</v>
      </c>
      <c r="BZ7" s="147">
        <v>77.0</v>
      </c>
      <c r="CA7" s="147">
        <v>78.0</v>
      </c>
      <c r="CB7" s="147">
        <v>79.0</v>
      </c>
      <c r="CC7" s="147">
        <v>80.0</v>
      </c>
      <c r="CD7" s="147">
        <v>81.0</v>
      </c>
      <c r="CE7" s="147">
        <v>82.0</v>
      </c>
      <c r="CF7" s="147">
        <v>83.0</v>
      </c>
      <c r="CG7" s="147">
        <v>84.0</v>
      </c>
      <c r="CH7" s="147">
        <v>85.0</v>
      </c>
      <c r="CI7" s="147">
        <v>86.0</v>
      </c>
      <c r="CJ7" s="147">
        <v>87.0</v>
      </c>
      <c r="CK7" s="147">
        <v>88.0</v>
      </c>
      <c r="CL7" s="147">
        <v>89.0</v>
      </c>
      <c r="CM7" s="147">
        <v>90.0</v>
      </c>
      <c r="CN7" s="147">
        <v>91.0</v>
      </c>
      <c r="CO7" s="147">
        <v>92.0</v>
      </c>
      <c r="CP7" s="147">
        <v>93.0</v>
      </c>
      <c r="CQ7" s="147">
        <v>94.0</v>
      </c>
      <c r="CR7" s="147">
        <v>95.0</v>
      </c>
      <c r="CS7" s="147">
        <v>96.0</v>
      </c>
      <c r="CT7" s="147">
        <v>97.0</v>
      </c>
      <c r="CU7" s="147">
        <v>98.0</v>
      </c>
      <c r="CV7" s="147">
        <v>99.0</v>
      </c>
      <c r="CW7" s="147">
        <v>100.0</v>
      </c>
      <c r="CX7" s="147">
        <v>101.0</v>
      </c>
      <c r="CY7" s="147">
        <v>102.0</v>
      </c>
      <c r="CZ7" s="147">
        <v>103.0</v>
      </c>
      <c r="DA7" s="147">
        <v>104.0</v>
      </c>
      <c r="DB7" s="147">
        <v>105.0</v>
      </c>
      <c r="DC7" s="147">
        <v>106.0</v>
      </c>
      <c r="DD7" s="147">
        <v>107.0</v>
      </c>
      <c r="DE7" s="147">
        <v>108.0</v>
      </c>
      <c r="DF7" s="147">
        <v>109.0</v>
      </c>
      <c r="DG7" s="147">
        <v>110.0</v>
      </c>
      <c r="DH7" s="148">
        <v>111.0</v>
      </c>
      <c r="DI7" s="148">
        <v>112.0</v>
      </c>
      <c r="DJ7" s="148">
        <v>113.0</v>
      </c>
      <c r="DK7" s="148">
        <v>114.0</v>
      </c>
      <c r="DL7" s="148">
        <v>115.0</v>
      </c>
      <c r="DM7" s="148">
        <v>116.0</v>
      </c>
      <c r="DN7" s="148"/>
      <c r="DO7" s="148">
        <v>117.0</v>
      </c>
      <c r="DP7" s="148">
        <v>118.0</v>
      </c>
      <c r="DQ7" s="148">
        <v>119.0</v>
      </c>
      <c r="DR7" s="148">
        <v>120.0</v>
      </c>
      <c r="DS7" s="148">
        <v>121.0</v>
      </c>
      <c r="DT7" s="148">
        <v>122.0</v>
      </c>
      <c r="DU7" s="148">
        <v>123.0</v>
      </c>
      <c r="DV7" s="148">
        <v>124.0</v>
      </c>
      <c r="DW7" s="148">
        <v>125.0</v>
      </c>
      <c r="DX7" s="148">
        <v>126.0</v>
      </c>
      <c r="DY7" s="148">
        <v>127.0</v>
      </c>
      <c r="DZ7" s="148">
        <v>128.0</v>
      </c>
      <c r="EA7" s="148">
        <v>129.0</v>
      </c>
      <c r="EB7" s="148">
        <v>130.0</v>
      </c>
      <c r="EC7" s="148">
        <v>131.0</v>
      </c>
      <c r="ED7" s="148">
        <v>132.0</v>
      </c>
      <c r="EE7" s="148">
        <v>133.0</v>
      </c>
      <c r="EF7" s="148">
        <v>134.0</v>
      </c>
      <c r="EG7" s="148">
        <v>135.0</v>
      </c>
      <c r="EH7" s="148">
        <v>136.0</v>
      </c>
      <c r="EI7" s="148">
        <v>137.0</v>
      </c>
      <c r="EJ7" s="148">
        <v>138.0</v>
      </c>
      <c r="EK7" s="148">
        <v>139.0</v>
      </c>
      <c r="EL7" s="148">
        <v>140.0</v>
      </c>
      <c r="EM7" s="148">
        <v>141.0</v>
      </c>
      <c r="EN7" s="148">
        <v>142.0</v>
      </c>
      <c r="EO7" s="148">
        <v>143.0</v>
      </c>
      <c r="EP7" s="148">
        <v>144.0</v>
      </c>
      <c r="EQ7" s="148">
        <v>145.0</v>
      </c>
      <c r="ER7" s="148">
        <v>146.0</v>
      </c>
      <c r="ES7" s="148">
        <v>147.0</v>
      </c>
      <c r="ET7" s="148">
        <v>148.0</v>
      </c>
      <c r="EU7" s="148">
        <v>149.0</v>
      </c>
      <c r="EV7" s="148">
        <v>150.0</v>
      </c>
      <c r="EW7" s="148">
        <v>151.0</v>
      </c>
      <c r="EX7" s="148">
        <v>152.0</v>
      </c>
      <c r="EY7" s="148">
        <v>153.0</v>
      </c>
      <c r="EZ7" s="148">
        <v>154.0</v>
      </c>
      <c r="FA7" s="148">
        <v>155.0</v>
      </c>
      <c r="FB7" s="148">
        <v>156.0</v>
      </c>
      <c r="FC7" s="148">
        <v>157.0</v>
      </c>
      <c r="FD7" s="148">
        <v>158.0</v>
      </c>
      <c r="FE7" s="148">
        <v>159.0</v>
      </c>
      <c r="FF7" s="148">
        <v>160.0</v>
      </c>
      <c r="FG7" s="148">
        <v>161.0</v>
      </c>
      <c r="FH7" s="148">
        <v>162.0</v>
      </c>
      <c r="FI7" s="148">
        <v>163.0</v>
      </c>
      <c r="FJ7" s="148">
        <v>164.0</v>
      </c>
      <c r="FK7" s="148">
        <v>165.0</v>
      </c>
      <c r="FL7" s="148">
        <v>166.0</v>
      </c>
      <c r="FM7" s="148">
        <v>167.0</v>
      </c>
      <c r="FN7" s="149"/>
      <c r="FO7" s="149"/>
      <c r="FP7" s="150">
        <v>168.0</v>
      </c>
      <c r="FQ7" s="150">
        <v>169.0</v>
      </c>
      <c r="FR7" s="150">
        <v>170.0</v>
      </c>
      <c r="FS7" s="148">
        <v>171.0</v>
      </c>
      <c r="FT7" s="148">
        <v>172.0</v>
      </c>
      <c r="FU7" s="148">
        <v>173.0</v>
      </c>
      <c r="FV7" s="148">
        <v>174.0</v>
      </c>
      <c r="FW7" s="148">
        <v>175.0</v>
      </c>
      <c r="FX7" s="148">
        <v>176.0</v>
      </c>
      <c r="FY7" s="148">
        <v>177.0</v>
      </c>
      <c r="FZ7" s="148">
        <v>178.0</v>
      </c>
      <c r="GA7" s="148">
        <v>179.0</v>
      </c>
      <c r="GB7" s="148">
        <v>180.0</v>
      </c>
      <c r="GC7" s="148">
        <v>181.0</v>
      </c>
      <c r="GD7" s="148">
        <v>182.0</v>
      </c>
      <c r="GE7" s="148">
        <v>183.0</v>
      </c>
      <c r="GF7" s="148">
        <v>184.0</v>
      </c>
      <c r="GG7" s="148">
        <v>185.0</v>
      </c>
      <c r="GH7" s="148">
        <v>186.0</v>
      </c>
      <c r="GI7" s="148">
        <v>187.0</v>
      </c>
      <c r="GJ7" s="148">
        <v>188.0</v>
      </c>
      <c r="GK7" s="150">
        <v>189.0</v>
      </c>
      <c r="GL7" s="150">
        <v>190.0</v>
      </c>
      <c r="GM7" s="148">
        <v>191.0</v>
      </c>
      <c r="GN7" s="148">
        <v>192.0</v>
      </c>
      <c r="GO7" s="151">
        <v>193.0</v>
      </c>
      <c r="GP7" s="151">
        <v>194.0</v>
      </c>
      <c r="GQ7" s="148">
        <v>195.0</v>
      </c>
      <c r="GR7" s="151">
        <v>196.0</v>
      </c>
      <c r="GS7" s="151"/>
      <c r="GT7" s="152">
        <v>197.0</v>
      </c>
      <c r="GU7" s="152">
        <v>198.0</v>
      </c>
      <c r="GV7" s="152">
        <v>199.0</v>
      </c>
      <c r="GW7" s="148">
        <v>200.0</v>
      </c>
      <c r="GX7" s="148">
        <v>201.0</v>
      </c>
      <c r="GY7" s="148">
        <v>202.0</v>
      </c>
      <c r="GZ7" s="148">
        <v>203.0</v>
      </c>
      <c r="HA7" s="148">
        <v>204.0</v>
      </c>
      <c r="HB7" s="148">
        <v>205.0</v>
      </c>
      <c r="HC7" s="148">
        <v>206.0</v>
      </c>
      <c r="HD7" s="148">
        <v>207.0</v>
      </c>
      <c r="HE7" s="148">
        <v>208.0</v>
      </c>
      <c r="HF7" s="148">
        <v>209.0</v>
      </c>
      <c r="HG7" s="148">
        <v>210.0</v>
      </c>
      <c r="HH7" s="148">
        <v>211.0</v>
      </c>
      <c r="HI7" s="148">
        <v>212.0</v>
      </c>
      <c r="HJ7" s="148">
        <v>213.0</v>
      </c>
      <c r="HK7" s="148">
        <v>214.0</v>
      </c>
      <c r="HL7" s="148">
        <v>215.0</v>
      </c>
      <c r="HM7" s="148">
        <v>216.0</v>
      </c>
      <c r="HN7" s="148">
        <v>217.0</v>
      </c>
      <c r="HO7" s="152">
        <v>218.0</v>
      </c>
      <c r="HP7" s="152">
        <v>219.0</v>
      </c>
      <c r="HQ7" s="153"/>
      <c r="HR7" s="153"/>
      <c r="HS7" s="153"/>
      <c r="HT7" s="154"/>
      <c r="HU7" s="154"/>
      <c r="HV7" s="154"/>
      <c r="HW7" s="154"/>
      <c r="HX7" s="154"/>
      <c r="HY7" s="154"/>
      <c r="HZ7" s="154"/>
      <c r="IA7" s="154"/>
      <c r="IB7" s="154"/>
      <c r="IC7" s="154"/>
      <c r="ID7" s="154"/>
      <c r="IE7" s="154"/>
      <c r="IF7" s="153"/>
      <c r="IG7" s="153"/>
      <c r="IH7" s="153"/>
      <c r="II7" s="153"/>
      <c r="IJ7" s="153"/>
      <c r="IK7" s="153"/>
      <c r="IL7" s="153"/>
      <c r="IM7" s="153"/>
      <c r="IN7" s="153"/>
      <c r="IO7" s="153"/>
      <c r="IP7" s="153"/>
      <c r="IQ7" s="153"/>
      <c r="IR7" s="153"/>
      <c r="IS7" s="153"/>
      <c r="IT7" s="153"/>
      <c r="IU7" s="153"/>
      <c r="IV7" s="153"/>
      <c r="IW7" s="153"/>
      <c r="IX7" s="153"/>
      <c r="IY7" s="153"/>
      <c r="IZ7" s="153"/>
      <c r="JA7" s="155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155"/>
      <c r="LE7" s="155"/>
      <c r="LF7" s="155"/>
      <c r="LG7" s="155"/>
    </row>
    <row r="8" ht="14.25" customHeight="1">
      <c r="A8" s="156">
        <v>1.0</v>
      </c>
      <c r="B8" s="157" t="s">
        <v>76</v>
      </c>
      <c r="C8" s="158">
        <v>3374130.0</v>
      </c>
      <c r="D8" s="158" t="s">
        <v>77</v>
      </c>
      <c r="E8" s="158" t="s">
        <v>78</v>
      </c>
      <c r="F8" s="159">
        <v>4.0</v>
      </c>
      <c r="G8" s="2">
        <v>234.0</v>
      </c>
      <c r="H8" s="160">
        <v>1.0</v>
      </c>
      <c r="I8" s="161"/>
      <c r="J8" s="161"/>
      <c r="K8" s="161"/>
      <c r="L8" s="161">
        <v>1.0</v>
      </c>
      <c r="M8" s="161">
        <v>0.0</v>
      </c>
      <c r="N8" s="161">
        <v>0.0</v>
      </c>
      <c r="O8" s="162">
        <f t="shared" ref="O8:O73" si="3">H8-(M8+N8)</f>
        <v>1</v>
      </c>
      <c r="P8" s="163">
        <v>1.0</v>
      </c>
      <c r="Q8" s="164"/>
      <c r="R8" s="164"/>
      <c r="S8" s="164">
        <v>1.0</v>
      </c>
      <c r="T8" s="165">
        <v>0.0</v>
      </c>
      <c r="U8" s="165">
        <v>1.0</v>
      </c>
      <c r="V8" s="165">
        <v>0.0</v>
      </c>
      <c r="W8" s="166">
        <f t="shared" ref="W8:W79" si="4">P8-(U8+V8)</f>
        <v>0</v>
      </c>
      <c r="X8" s="163">
        <v>1.0</v>
      </c>
      <c r="Y8" s="165"/>
      <c r="Z8" s="165"/>
      <c r="AA8" s="165">
        <v>1.0</v>
      </c>
      <c r="AB8" s="165"/>
      <c r="AC8" s="165">
        <v>0.0</v>
      </c>
      <c r="AD8" s="165">
        <v>0.0</v>
      </c>
      <c r="AE8" s="166">
        <f t="shared" ref="AE8:AE73" si="5">X8-(AC8+AD8)</f>
        <v>1</v>
      </c>
      <c r="AF8" s="167">
        <v>1.0</v>
      </c>
      <c r="AG8" s="165"/>
      <c r="AH8" s="165"/>
      <c r="AI8" s="165">
        <v>1.0</v>
      </c>
      <c r="AJ8" s="165"/>
      <c r="AK8" s="165">
        <v>0.0</v>
      </c>
      <c r="AL8" s="165">
        <v>0.0</v>
      </c>
      <c r="AM8" s="166">
        <f t="shared" ref="AM8:AM27" si="6">AF8-(AK8+AL8)</f>
        <v>1</v>
      </c>
      <c r="AN8" s="167">
        <v>1.0</v>
      </c>
      <c r="AO8" s="165"/>
      <c r="AP8" s="165"/>
      <c r="AQ8" s="165">
        <v>1.0</v>
      </c>
      <c r="AR8" s="165"/>
      <c r="AS8" s="165">
        <v>0.0</v>
      </c>
      <c r="AT8" s="165">
        <v>0.0</v>
      </c>
      <c r="AU8" s="168">
        <f t="shared" ref="AU8:AU73" si="7">AN8-(AS8+AT8)</f>
        <v>1</v>
      </c>
      <c r="AV8" s="169">
        <v>172.0</v>
      </c>
      <c r="AW8" s="170">
        <f t="shared" ref="AW8:AW185" si="8">SUM(AX8:BE8)</f>
        <v>2</v>
      </c>
      <c r="AX8" s="171">
        <v>0.0</v>
      </c>
      <c r="AY8" s="171">
        <v>0.0</v>
      </c>
      <c r="AZ8" s="171">
        <v>1.0</v>
      </c>
      <c r="BA8" s="171">
        <v>0.0</v>
      </c>
      <c r="BB8" s="171">
        <v>0.0</v>
      </c>
      <c r="BC8" s="171">
        <v>0.0</v>
      </c>
      <c r="BD8" s="171">
        <v>1.0</v>
      </c>
      <c r="BE8" s="171">
        <v>0.0</v>
      </c>
      <c r="BF8" s="171">
        <v>0.0</v>
      </c>
      <c r="BG8" s="171">
        <v>0.0</v>
      </c>
      <c r="BH8" s="171">
        <v>0.0</v>
      </c>
      <c r="BI8" s="171">
        <v>0.0</v>
      </c>
      <c r="BJ8" s="171">
        <v>0.0</v>
      </c>
      <c r="BK8" s="171">
        <v>0.0</v>
      </c>
      <c r="BL8" s="171">
        <v>0.0</v>
      </c>
      <c r="BM8" s="171">
        <v>0.0</v>
      </c>
      <c r="BN8" s="171">
        <v>0.0</v>
      </c>
      <c r="BO8" s="171">
        <v>0.0</v>
      </c>
      <c r="BP8" s="172">
        <f t="shared" ref="BP8:BP28" si="9">SUM(BF8:BO8)</f>
        <v>0</v>
      </c>
      <c r="BQ8" s="173">
        <v>172.0</v>
      </c>
      <c r="BR8" s="170">
        <f t="shared" ref="BR8:BR185" si="10">SUM(BS8:BZ8)</f>
        <v>2</v>
      </c>
      <c r="BS8" s="173">
        <v>0.0</v>
      </c>
      <c r="BT8" s="173">
        <v>0.0</v>
      </c>
      <c r="BU8" s="173">
        <v>1.0</v>
      </c>
      <c r="BV8" s="173">
        <v>1.0</v>
      </c>
      <c r="BW8" s="173">
        <v>0.0</v>
      </c>
      <c r="BX8" s="173">
        <v>0.0</v>
      </c>
      <c r="BY8" s="173">
        <v>0.0</v>
      </c>
      <c r="BZ8" s="173">
        <v>0.0</v>
      </c>
      <c r="CA8" s="173">
        <v>0.0</v>
      </c>
      <c r="CB8" s="173">
        <v>0.0</v>
      </c>
      <c r="CC8" s="173">
        <v>0.0</v>
      </c>
      <c r="CD8" s="173">
        <v>0.0</v>
      </c>
      <c r="CE8" s="173">
        <v>0.0</v>
      </c>
      <c r="CF8" s="173">
        <v>0.0</v>
      </c>
      <c r="CG8" s="173">
        <v>0.0</v>
      </c>
      <c r="CH8" s="173">
        <v>0.0</v>
      </c>
      <c r="CI8" s="173">
        <v>0.0</v>
      </c>
      <c r="CJ8" s="173">
        <v>0.0</v>
      </c>
      <c r="CK8" s="172">
        <f t="shared" ref="CK8:CK40" si="11">SUM(CA8:CJ8)</f>
        <v>0</v>
      </c>
      <c r="CL8" s="174">
        <v>172.0</v>
      </c>
      <c r="CM8" s="173">
        <v>58.0</v>
      </c>
      <c r="CN8" s="175">
        <f t="shared" ref="CN8:CN114" si="12">SUM(CO8:CV8)</f>
        <v>2</v>
      </c>
      <c r="CO8" s="174">
        <v>0.0</v>
      </c>
      <c r="CP8" s="174">
        <v>0.0</v>
      </c>
      <c r="CQ8" s="174">
        <v>1.0</v>
      </c>
      <c r="CR8" s="174">
        <v>1.0</v>
      </c>
      <c r="CS8" s="174">
        <v>0.0</v>
      </c>
      <c r="CT8" s="174">
        <v>0.0</v>
      </c>
      <c r="CU8" s="174">
        <v>0.0</v>
      </c>
      <c r="CV8" s="174">
        <v>0.0</v>
      </c>
      <c r="CW8" s="174">
        <v>0.0</v>
      </c>
      <c r="CX8" s="174">
        <v>0.0</v>
      </c>
      <c r="CY8" s="174">
        <v>0.0</v>
      </c>
      <c r="CZ8" s="174">
        <v>0.0</v>
      </c>
      <c r="DA8" s="174">
        <v>0.0</v>
      </c>
      <c r="DB8" s="174">
        <v>0.0</v>
      </c>
      <c r="DC8" s="174">
        <v>0.0</v>
      </c>
      <c r="DD8" s="174">
        <v>0.0</v>
      </c>
      <c r="DE8" s="174">
        <v>0.0</v>
      </c>
      <c r="DF8" s="174">
        <v>0.0</v>
      </c>
      <c r="DG8" s="176">
        <f t="shared" ref="DG8:DG184" si="13">SUM(CW8:DF8)</f>
        <v>0</v>
      </c>
      <c r="DH8" s="177">
        <v>116.0</v>
      </c>
      <c r="DI8" s="177">
        <v>39.0</v>
      </c>
      <c r="DJ8" s="178">
        <v>116.0</v>
      </c>
      <c r="DK8" s="178">
        <v>39.0</v>
      </c>
      <c r="DL8" s="179">
        <f t="shared" ref="DL8:DL184" si="14">SUM(DO8:DV8)</f>
        <v>2</v>
      </c>
      <c r="DM8" s="180">
        <f t="shared" ref="DM8:DM184" si="15">(DO8+DP8+DQ8+DS8+DT8+DU8)</f>
        <v>1</v>
      </c>
      <c r="DN8" s="180">
        <f t="shared" ref="DN8:DN186" si="16">DR8+DV8</f>
        <v>1</v>
      </c>
      <c r="DO8" s="177">
        <v>0.0</v>
      </c>
      <c r="DP8" s="177">
        <v>0.0</v>
      </c>
      <c r="DQ8" s="177">
        <v>1.0</v>
      </c>
      <c r="DR8" s="177">
        <v>1.0</v>
      </c>
      <c r="DS8" s="177">
        <v>0.0</v>
      </c>
      <c r="DT8" s="177">
        <v>0.0</v>
      </c>
      <c r="DU8" s="177">
        <v>0.0</v>
      </c>
      <c r="DV8" s="177">
        <v>0.0</v>
      </c>
      <c r="DW8" s="177">
        <v>0.0</v>
      </c>
      <c r="DX8" s="177">
        <v>1.0</v>
      </c>
      <c r="DY8" s="177">
        <v>0.0</v>
      </c>
      <c r="DZ8" s="177">
        <v>0.0</v>
      </c>
      <c r="EA8" s="177">
        <v>0.0</v>
      </c>
      <c r="EB8" s="177">
        <v>0.0</v>
      </c>
      <c r="EC8" s="177">
        <v>0.0</v>
      </c>
      <c r="ED8" s="177">
        <v>0.0</v>
      </c>
      <c r="EE8" s="177">
        <v>0.0</v>
      </c>
      <c r="EF8" s="177">
        <v>0.0</v>
      </c>
      <c r="EG8" s="179">
        <f t="shared" ref="EG8:EG184" si="17">SUM(DW8:EF8)</f>
        <v>1</v>
      </c>
      <c r="EH8" s="179">
        <f t="shared" ref="EH8:EH184" si="18">DW8+DX8+DY8+EA8+EB8+EC8+EE8+EF8</f>
        <v>1</v>
      </c>
      <c r="EI8" s="181">
        <v>116.0</v>
      </c>
      <c r="EJ8" s="182">
        <v>39.0</v>
      </c>
      <c r="EK8" s="183">
        <v>116.0</v>
      </c>
      <c r="EL8" s="184">
        <v>39.0</v>
      </c>
      <c r="EM8" s="185">
        <f t="shared" ref="EM8:EM61" si="19">SUM(EP8:EW8)</f>
        <v>2</v>
      </c>
      <c r="EN8" s="186">
        <f t="shared" ref="EN8:EN24" si="20">(EP8+EQ8+ER8+ET8+EU8+EV8)</f>
        <v>1</v>
      </c>
      <c r="EO8" s="186">
        <f t="shared" ref="EO8:EO24" si="21">ES8+EW8</f>
        <v>1</v>
      </c>
      <c r="EP8" s="181">
        <v>0.0</v>
      </c>
      <c r="EQ8" s="182">
        <v>0.0</v>
      </c>
      <c r="ER8" s="182">
        <v>1.0</v>
      </c>
      <c r="ES8" s="182">
        <v>1.0</v>
      </c>
      <c r="ET8" s="182">
        <v>0.0</v>
      </c>
      <c r="EU8" s="182">
        <v>0.0</v>
      </c>
      <c r="EV8" s="182">
        <v>0.0</v>
      </c>
      <c r="EW8" s="182">
        <v>0.0</v>
      </c>
      <c r="EX8" s="182">
        <v>0.0</v>
      </c>
      <c r="EY8" s="182">
        <v>0.0</v>
      </c>
      <c r="EZ8" s="182">
        <v>0.0</v>
      </c>
      <c r="FA8" s="182">
        <v>0.0</v>
      </c>
      <c r="FB8" s="182">
        <v>0.0</v>
      </c>
      <c r="FC8" s="182">
        <v>0.0</v>
      </c>
      <c r="FD8" s="182">
        <v>0.0</v>
      </c>
      <c r="FE8" s="182">
        <v>0.0</v>
      </c>
      <c r="FF8" s="182">
        <v>0.0</v>
      </c>
      <c r="FG8" s="182">
        <v>0.0</v>
      </c>
      <c r="FH8" s="185">
        <f t="shared" ref="FH8:FH184" si="22">SUM(EX8:FG8)</f>
        <v>0</v>
      </c>
      <c r="FI8" s="185">
        <f t="shared" ref="FI8:FI184" si="23">EX8+EY8+EZ8+FB8+FC8+FD8</f>
        <v>0</v>
      </c>
      <c r="FJ8" s="177">
        <v>110.0</v>
      </c>
      <c r="FK8" s="177">
        <v>36.0</v>
      </c>
      <c r="FL8" s="177">
        <v>110.0</v>
      </c>
      <c r="FM8" s="177">
        <v>36.0</v>
      </c>
      <c r="FN8" s="187"/>
      <c r="FO8" s="187">
        <v>2.0</v>
      </c>
      <c r="FP8" s="188">
        <f t="shared" ref="FP8:FP23" si="24">SUM(FS8:FZ8)</f>
        <v>2</v>
      </c>
      <c r="FQ8" s="189">
        <v>0.0</v>
      </c>
      <c r="FR8" s="190">
        <v>2.0</v>
      </c>
      <c r="FS8" s="181">
        <v>0.0</v>
      </c>
      <c r="FT8" s="182">
        <v>0.0</v>
      </c>
      <c r="FU8" s="182">
        <v>0.0</v>
      </c>
      <c r="FV8" s="182">
        <v>2.0</v>
      </c>
      <c r="FW8" s="182">
        <v>0.0</v>
      </c>
      <c r="FX8" s="182">
        <v>0.0</v>
      </c>
      <c r="FY8" s="182">
        <v>0.0</v>
      </c>
      <c r="FZ8" s="182">
        <v>0.0</v>
      </c>
      <c r="GA8" s="182">
        <v>0.0</v>
      </c>
      <c r="GB8" s="182">
        <v>0.0</v>
      </c>
      <c r="GC8" s="182">
        <v>0.0</v>
      </c>
      <c r="GD8" s="182">
        <v>0.0</v>
      </c>
      <c r="GE8" s="182">
        <v>0.0</v>
      </c>
      <c r="GF8" s="182">
        <v>0.0</v>
      </c>
      <c r="GG8" s="182">
        <v>0.0</v>
      </c>
      <c r="GH8" s="182">
        <v>0.0</v>
      </c>
      <c r="GI8" s="182">
        <v>0.0</v>
      </c>
      <c r="GJ8" s="182">
        <v>0.0</v>
      </c>
      <c r="GK8" s="190">
        <v>0.0</v>
      </c>
      <c r="GL8" s="190">
        <v>0.0</v>
      </c>
      <c r="GM8" s="181">
        <v>109.0</v>
      </c>
      <c r="GN8" s="181">
        <v>36.0</v>
      </c>
      <c r="GO8" s="191">
        <v>109.0</v>
      </c>
      <c r="GP8" s="191">
        <v>36.0</v>
      </c>
      <c r="GQ8" s="192"/>
      <c r="GR8" s="191">
        <v>2.0</v>
      </c>
      <c r="GS8" s="193">
        <v>0.0</v>
      </c>
      <c r="GT8" s="194">
        <f t="shared" ref="GT8:GT184" si="25">GU8+GV8</f>
        <v>2</v>
      </c>
      <c r="GU8" s="194">
        <f t="shared" ref="GU8:GU184" si="26">GW8+GX8+GY8+HA8+HB8+HC8</f>
        <v>0</v>
      </c>
      <c r="GV8" s="194">
        <f t="shared" ref="GV8:GV184" si="27">GZ8+HD8</f>
        <v>2</v>
      </c>
      <c r="GW8" s="181">
        <v>0.0</v>
      </c>
      <c r="GX8" s="181">
        <v>0.0</v>
      </c>
      <c r="GY8" s="181">
        <v>0.0</v>
      </c>
      <c r="GZ8" s="181">
        <v>2.0</v>
      </c>
      <c r="HA8" s="181">
        <v>0.0</v>
      </c>
      <c r="HB8" s="181">
        <v>0.0</v>
      </c>
      <c r="HC8" s="181">
        <v>0.0</v>
      </c>
      <c r="HD8" s="181">
        <v>0.0</v>
      </c>
      <c r="HE8" s="181">
        <v>0.0</v>
      </c>
      <c r="HF8" s="181">
        <v>0.0</v>
      </c>
      <c r="HG8" s="181">
        <v>0.0</v>
      </c>
      <c r="HH8" s="181">
        <v>0.0</v>
      </c>
      <c r="HI8" s="181">
        <v>0.0</v>
      </c>
      <c r="HJ8" s="181">
        <v>0.0</v>
      </c>
      <c r="HK8" s="181">
        <v>0.0</v>
      </c>
      <c r="HL8" s="181">
        <v>0.0</v>
      </c>
      <c r="HM8" s="181">
        <v>0.0</v>
      </c>
      <c r="HN8" s="181">
        <v>0.0</v>
      </c>
      <c r="HO8" s="195">
        <v>0.0</v>
      </c>
      <c r="HP8" s="195">
        <v>0.0</v>
      </c>
      <c r="HQ8" s="196"/>
      <c r="HR8" s="197"/>
      <c r="HS8" s="197"/>
      <c r="HT8" s="198">
        <f t="shared" ref="HT8:HT185" si="28">H8</f>
        <v>1</v>
      </c>
      <c r="HU8" s="198">
        <f t="shared" ref="HU8:HU185" si="29">P8</f>
        <v>1</v>
      </c>
      <c r="HV8" s="198">
        <f t="shared" ref="HV8:HV185" si="30">X8</f>
        <v>1</v>
      </c>
      <c r="HW8" s="198">
        <f t="shared" ref="HW8:HW27" si="31">AF8</f>
        <v>1</v>
      </c>
      <c r="HX8" s="198">
        <f t="shared" ref="HX8:HX185" si="32">AN8</f>
        <v>1</v>
      </c>
      <c r="HY8" s="198">
        <f t="shared" ref="HY8:HY185" si="33">AW8</f>
        <v>2</v>
      </c>
      <c r="HZ8" s="198">
        <f t="shared" ref="HZ8:HZ185" si="34">BR8</f>
        <v>2</v>
      </c>
      <c r="IA8" s="198">
        <f t="shared" ref="IA8:IA185" si="35">CN8</f>
        <v>2</v>
      </c>
      <c r="IB8" s="198">
        <f t="shared" ref="IB8:IB185" si="36">DL8</f>
        <v>2</v>
      </c>
      <c r="IC8" s="198">
        <f t="shared" ref="IC8:IC185" si="37">EM8</f>
        <v>2</v>
      </c>
      <c r="ID8" s="198">
        <f t="shared" ref="ID8:ID188" si="38">FP8</f>
        <v>2</v>
      </c>
      <c r="IE8" s="198">
        <f t="shared" ref="IE8:IE185" si="39">GT8</f>
        <v>2</v>
      </c>
      <c r="IF8" s="197"/>
      <c r="IG8" s="197"/>
      <c r="IH8" s="197"/>
      <c r="II8" s="197"/>
      <c r="IJ8" s="197"/>
      <c r="IK8" s="197"/>
      <c r="IL8" s="197"/>
      <c r="IM8" s="197"/>
      <c r="IN8" s="197"/>
      <c r="IO8" s="197"/>
      <c r="IP8" s="197"/>
      <c r="IQ8" s="197"/>
      <c r="IR8" s="197"/>
      <c r="IS8" s="197"/>
      <c r="IT8" s="197"/>
      <c r="IU8" s="197"/>
      <c r="IV8" s="197"/>
      <c r="IW8" s="197"/>
      <c r="IX8" s="197"/>
      <c r="IY8" s="197"/>
      <c r="IZ8" s="197"/>
      <c r="JA8" s="199"/>
      <c r="JB8" s="200">
        <f t="shared" ref="JB8:JB184" si="40">SUM(I8:L8)</f>
        <v>1</v>
      </c>
      <c r="JC8" s="200">
        <f t="shared" ref="JC8:JC184" si="41">SUM(Q8:T8)</f>
        <v>1</v>
      </c>
      <c r="JD8" s="200">
        <f t="shared" ref="JD8:JD184" si="42">SUM(Y8:AB8)</f>
        <v>1</v>
      </c>
      <c r="JE8" s="200">
        <f t="shared" ref="JE8:JE184" si="43">SUM(AG8:AJ8)</f>
        <v>1</v>
      </c>
      <c r="JF8" s="200">
        <f t="shared" ref="JF8:JF184" si="44">SUM(AO8:AR8)</f>
        <v>1</v>
      </c>
      <c r="JG8" s="200">
        <f t="shared" ref="JG8:JG184" si="45">SUM(AX8:BE8)</f>
        <v>2</v>
      </c>
      <c r="JH8" s="200">
        <f t="shared" ref="JH8:JH184" si="46">SUM(BS8:BZ8)</f>
        <v>2</v>
      </c>
      <c r="JI8" s="200">
        <f t="shared" ref="JI8:JI184" si="47">SUM(CO8:CV8)</f>
        <v>2</v>
      </c>
      <c r="JJ8" s="200">
        <f t="shared" ref="JJ8:JJ184" si="48">SUM(DO8:DV8)</f>
        <v>2</v>
      </c>
      <c r="JK8" s="200">
        <f t="shared" ref="JK8:JK184" si="49">SUM(EP8:FA8)</f>
        <v>2</v>
      </c>
      <c r="JL8" s="200">
        <f t="shared" ref="JL8:JL184" si="50">SUM(FS8:FZ8)</f>
        <v>2</v>
      </c>
      <c r="JM8" s="200">
        <f t="shared" ref="JM8:JM185" si="51">SUM(GW8:HD8)</f>
        <v>2</v>
      </c>
      <c r="JN8" s="200"/>
      <c r="JO8" s="200">
        <f t="shared" ref="JO8:JO184" si="52">H8</f>
        <v>1</v>
      </c>
      <c r="JP8" s="201">
        <v>1.0</v>
      </c>
      <c r="JQ8" s="202">
        <v>1.0</v>
      </c>
      <c r="JR8" s="202">
        <v>1.0</v>
      </c>
      <c r="JS8" s="202">
        <v>1.0</v>
      </c>
      <c r="JT8" s="200"/>
      <c r="JU8" s="200"/>
      <c r="JV8" s="200">
        <f t="shared" ref="JV8:JX8" si="1">IA8-JI8</f>
        <v>0</v>
      </c>
      <c r="JW8" s="200">
        <f t="shared" si="1"/>
        <v>0</v>
      </c>
      <c r="JX8" s="200">
        <f t="shared" si="1"/>
        <v>0</v>
      </c>
      <c r="JY8" s="200"/>
      <c r="JZ8" s="200"/>
      <c r="KA8" s="200"/>
      <c r="KB8" s="200">
        <f t="shared" ref="KB8:KM8" si="2">JB8-JO8</f>
        <v>0</v>
      </c>
      <c r="KC8" s="200">
        <f t="shared" si="2"/>
        <v>0</v>
      </c>
      <c r="KD8" s="200">
        <f t="shared" si="2"/>
        <v>0</v>
      </c>
      <c r="KE8" s="200">
        <f t="shared" si="2"/>
        <v>0</v>
      </c>
      <c r="KF8" s="200">
        <f t="shared" si="2"/>
        <v>0</v>
      </c>
      <c r="KG8" s="200">
        <f t="shared" si="2"/>
        <v>2</v>
      </c>
      <c r="KH8" s="200">
        <f t="shared" si="2"/>
        <v>2</v>
      </c>
      <c r="KI8" s="200">
        <f t="shared" si="2"/>
        <v>2</v>
      </c>
      <c r="KJ8" s="200">
        <f t="shared" si="2"/>
        <v>2</v>
      </c>
      <c r="KK8" s="200">
        <f t="shared" si="2"/>
        <v>2</v>
      </c>
      <c r="KL8" s="200">
        <f t="shared" si="2"/>
        <v>2</v>
      </c>
      <c r="KM8" s="200">
        <f t="shared" si="2"/>
        <v>2</v>
      </c>
      <c r="KN8" s="200"/>
      <c r="KO8" s="200"/>
      <c r="KP8" s="200"/>
      <c r="KQ8" s="199"/>
      <c r="KR8" s="199"/>
      <c r="KS8" s="199"/>
      <c r="KT8" s="199"/>
      <c r="KU8" s="199"/>
      <c r="KV8" s="199"/>
      <c r="KW8" s="199"/>
      <c r="KX8" s="199"/>
      <c r="KY8" s="199"/>
      <c r="KZ8" s="199"/>
      <c r="LA8" s="199"/>
      <c r="LB8" s="199"/>
      <c r="LC8" s="199"/>
      <c r="LD8" s="199"/>
      <c r="LE8" s="199"/>
      <c r="LF8" s="199"/>
      <c r="LG8" s="199"/>
    </row>
    <row r="9" ht="14.25" customHeight="1">
      <c r="A9" s="156">
        <v>2.0</v>
      </c>
      <c r="B9" s="157" t="s">
        <v>76</v>
      </c>
      <c r="C9" s="158">
        <v>3374130.0</v>
      </c>
      <c r="D9" s="158" t="s">
        <v>77</v>
      </c>
      <c r="E9" s="158" t="s">
        <v>79</v>
      </c>
      <c r="F9" s="159">
        <v>2.0</v>
      </c>
      <c r="G9" s="159">
        <v>176.0</v>
      </c>
      <c r="H9" s="160">
        <v>5.0</v>
      </c>
      <c r="I9" s="161"/>
      <c r="J9" s="161"/>
      <c r="K9" s="161">
        <v>1.0</v>
      </c>
      <c r="L9" s="161">
        <v>4.0</v>
      </c>
      <c r="M9" s="161">
        <v>0.0</v>
      </c>
      <c r="N9" s="161">
        <v>0.0</v>
      </c>
      <c r="O9" s="162">
        <f t="shared" si="3"/>
        <v>5</v>
      </c>
      <c r="P9" s="203">
        <v>4.0</v>
      </c>
      <c r="Q9" s="164"/>
      <c r="R9" s="164"/>
      <c r="S9" s="164">
        <v>1.0</v>
      </c>
      <c r="T9" s="165">
        <v>3.0</v>
      </c>
      <c r="U9" s="165">
        <v>0.0</v>
      </c>
      <c r="V9" s="165">
        <v>1.0</v>
      </c>
      <c r="W9" s="166">
        <f t="shared" si="4"/>
        <v>3</v>
      </c>
      <c r="X9" s="203">
        <v>4.0</v>
      </c>
      <c r="Y9" s="165"/>
      <c r="Z9" s="165"/>
      <c r="AA9" s="165">
        <v>1.0</v>
      </c>
      <c r="AB9" s="165">
        <v>3.0</v>
      </c>
      <c r="AC9" s="165">
        <v>0.0</v>
      </c>
      <c r="AD9" s="165">
        <v>0.0</v>
      </c>
      <c r="AE9" s="166">
        <f t="shared" si="5"/>
        <v>4</v>
      </c>
      <c r="AF9" s="167">
        <v>3.0</v>
      </c>
      <c r="AG9" s="165"/>
      <c r="AH9" s="165"/>
      <c r="AI9" s="165">
        <v>1.0</v>
      </c>
      <c r="AJ9" s="165">
        <v>2.0</v>
      </c>
      <c r="AK9" s="165">
        <v>0.0</v>
      </c>
      <c r="AL9" s="165">
        <v>1.0</v>
      </c>
      <c r="AM9" s="166">
        <f t="shared" si="6"/>
        <v>2</v>
      </c>
      <c r="AN9" s="167">
        <v>4.0</v>
      </c>
      <c r="AO9" s="165"/>
      <c r="AP9" s="165"/>
      <c r="AQ9" s="165">
        <v>1.0</v>
      </c>
      <c r="AR9" s="165">
        <v>3.0</v>
      </c>
      <c r="AS9" s="165">
        <v>1.0</v>
      </c>
      <c r="AT9" s="165">
        <v>0.0</v>
      </c>
      <c r="AU9" s="168">
        <f t="shared" si="7"/>
        <v>3</v>
      </c>
      <c r="AV9" s="169">
        <v>138.0</v>
      </c>
      <c r="AW9" s="204">
        <f t="shared" si="8"/>
        <v>3</v>
      </c>
      <c r="AX9" s="169">
        <v>0.0</v>
      </c>
      <c r="AY9" s="169">
        <v>0.0</v>
      </c>
      <c r="AZ9" s="169">
        <v>1.0</v>
      </c>
      <c r="BA9" s="169">
        <v>1.0</v>
      </c>
      <c r="BB9" s="169">
        <v>0.0</v>
      </c>
      <c r="BC9" s="169">
        <v>0.0</v>
      </c>
      <c r="BD9" s="169">
        <v>1.0</v>
      </c>
      <c r="BE9" s="169">
        <v>0.0</v>
      </c>
      <c r="BF9" s="169">
        <v>0.0</v>
      </c>
      <c r="BG9" s="169">
        <v>0.0</v>
      </c>
      <c r="BH9" s="169">
        <v>0.0</v>
      </c>
      <c r="BI9" s="169">
        <v>1.0</v>
      </c>
      <c r="BJ9" s="169">
        <v>0.0</v>
      </c>
      <c r="BK9" s="169">
        <v>0.0</v>
      </c>
      <c r="BL9" s="169">
        <v>0.0</v>
      </c>
      <c r="BM9" s="169">
        <v>0.0</v>
      </c>
      <c r="BN9" s="169">
        <v>1.0</v>
      </c>
      <c r="BO9" s="169">
        <v>0.0</v>
      </c>
      <c r="BP9" s="205">
        <f t="shared" si="9"/>
        <v>2</v>
      </c>
      <c r="BQ9" s="173">
        <v>141.0</v>
      </c>
      <c r="BR9" s="170">
        <f t="shared" si="10"/>
        <v>3</v>
      </c>
      <c r="BS9" s="173">
        <v>0.0</v>
      </c>
      <c r="BT9" s="173">
        <v>0.0</v>
      </c>
      <c r="BU9" s="173">
        <v>1.0</v>
      </c>
      <c r="BV9" s="173">
        <v>2.0</v>
      </c>
      <c r="BW9" s="173">
        <v>0.0</v>
      </c>
      <c r="BX9" s="173">
        <v>0.0</v>
      </c>
      <c r="BY9" s="173">
        <v>0.0</v>
      </c>
      <c r="BZ9" s="173">
        <v>0.0</v>
      </c>
      <c r="CA9" s="173">
        <v>0.0</v>
      </c>
      <c r="CB9" s="173">
        <v>0.0</v>
      </c>
      <c r="CC9" s="173">
        <v>0.0</v>
      </c>
      <c r="CD9" s="173">
        <v>0.0</v>
      </c>
      <c r="CE9" s="173">
        <v>0.0</v>
      </c>
      <c r="CF9" s="173">
        <v>0.0</v>
      </c>
      <c r="CG9" s="173">
        <v>0.0</v>
      </c>
      <c r="CH9" s="173">
        <v>0.0</v>
      </c>
      <c r="CI9" s="173">
        <v>0.0</v>
      </c>
      <c r="CJ9" s="173">
        <v>0.0</v>
      </c>
      <c r="CK9" s="172">
        <f t="shared" si="11"/>
        <v>0</v>
      </c>
      <c r="CL9" s="173">
        <v>142.0</v>
      </c>
      <c r="CM9" s="173">
        <v>46.0</v>
      </c>
      <c r="CN9" s="175">
        <f t="shared" si="12"/>
        <v>3</v>
      </c>
      <c r="CO9" s="173">
        <v>0.0</v>
      </c>
      <c r="CP9" s="173">
        <v>0.0</v>
      </c>
      <c r="CQ9" s="173">
        <v>1.0</v>
      </c>
      <c r="CR9" s="173">
        <v>2.0</v>
      </c>
      <c r="CS9" s="173">
        <v>0.0</v>
      </c>
      <c r="CT9" s="173">
        <v>0.0</v>
      </c>
      <c r="CU9" s="173">
        <v>0.0</v>
      </c>
      <c r="CV9" s="173">
        <v>0.0</v>
      </c>
      <c r="CW9" s="173">
        <v>0.0</v>
      </c>
      <c r="CX9" s="173">
        <v>0.0</v>
      </c>
      <c r="CY9" s="173">
        <v>0.0</v>
      </c>
      <c r="CZ9" s="173">
        <v>0.0</v>
      </c>
      <c r="DA9" s="173">
        <v>0.0</v>
      </c>
      <c r="DB9" s="173">
        <v>0.0</v>
      </c>
      <c r="DC9" s="173">
        <v>0.0</v>
      </c>
      <c r="DD9" s="173">
        <v>0.0</v>
      </c>
      <c r="DE9" s="173">
        <v>0.0</v>
      </c>
      <c r="DF9" s="173">
        <v>0.0</v>
      </c>
      <c r="DG9" s="176">
        <f t="shared" si="13"/>
        <v>0</v>
      </c>
      <c r="DH9" s="177">
        <v>114.0</v>
      </c>
      <c r="DI9" s="177">
        <v>47.0</v>
      </c>
      <c r="DJ9" s="178">
        <v>114.0</v>
      </c>
      <c r="DK9" s="178">
        <v>47.0</v>
      </c>
      <c r="DL9" s="179">
        <f t="shared" si="14"/>
        <v>2</v>
      </c>
      <c r="DM9" s="180">
        <f t="shared" si="15"/>
        <v>0</v>
      </c>
      <c r="DN9" s="180">
        <f t="shared" si="16"/>
        <v>2</v>
      </c>
      <c r="DO9" s="177">
        <v>0.0</v>
      </c>
      <c r="DP9" s="177">
        <v>0.0</v>
      </c>
      <c r="DQ9" s="177">
        <v>0.0</v>
      </c>
      <c r="DR9" s="177">
        <v>2.0</v>
      </c>
      <c r="DS9" s="177">
        <v>0.0</v>
      </c>
      <c r="DT9" s="177">
        <v>0.0</v>
      </c>
      <c r="DU9" s="177">
        <v>0.0</v>
      </c>
      <c r="DV9" s="177">
        <v>0.0</v>
      </c>
      <c r="DW9" s="177">
        <v>0.0</v>
      </c>
      <c r="DX9" s="177">
        <v>0.0</v>
      </c>
      <c r="DY9" s="177">
        <v>1.0</v>
      </c>
      <c r="DZ9" s="177">
        <v>0.0</v>
      </c>
      <c r="EA9" s="177">
        <v>0.0</v>
      </c>
      <c r="EB9" s="177">
        <v>0.0</v>
      </c>
      <c r="EC9" s="177">
        <v>0.0</v>
      </c>
      <c r="ED9" s="177">
        <v>0.0</v>
      </c>
      <c r="EE9" s="177">
        <v>0.0</v>
      </c>
      <c r="EF9" s="177">
        <v>0.0</v>
      </c>
      <c r="EG9" s="179">
        <f t="shared" si="17"/>
        <v>1</v>
      </c>
      <c r="EH9" s="179">
        <f t="shared" si="18"/>
        <v>1</v>
      </c>
      <c r="EI9" s="206">
        <v>114.0</v>
      </c>
      <c r="EJ9" s="207">
        <v>49.0</v>
      </c>
      <c r="EK9" s="208">
        <v>114.0</v>
      </c>
      <c r="EL9" s="209">
        <v>49.0</v>
      </c>
      <c r="EM9" s="185">
        <f t="shared" si="19"/>
        <v>2</v>
      </c>
      <c r="EN9" s="186">
        <f t="shared" si="20"/>
        <v>0</v>
      </c>
      <c r="EO9" s="186">
        <f t="shared" si="21"/>
        <v>2</v>
      </c>
      <c r="EP9" s="206">
        <v>0.0</v>
      </c>
      <c r="EQ9" s="207">
        <v>0.0</v>
      </c>
      <c r="ER9" s="207">
        <v>0.0</v>
      </c>
      <c r="ES9" s="207">
        <v>2.0</v>
      </c>
      <c r="ET9" s="207">
        <v>0.0</v>
      </c>
      <c r="EU9" s="207">
        <v>0.0</v>
      </c>
      <c r="EV9" s="207">
        <v>0.0</v>
      </c>
      <c r="EW9" s="207">
        <v>0.0</v>
      </c>
      <c r="EX9" s="207">
        <v>0.0</v>
      </c>
      <c r="EY9" s="207">
        <v>0.0</v>
      </c>
      <c r="EZ9" s="207">
        <v>0.0</v>
      </c>
      <c r="FA9" s="207">
        <v>0.0</v>
      </c>
      <c r="FB9" s="207">
        <v>0.0</v>
      </c>
      <c r="FC9" s="207">
        <v>0.0</v>
      </c>
      <c r="FD9" s="207">
        <v>0.0</v>
      </c>
      <c r="FE9" s="207">
        <v>0.0</v>
      </c>
      <c r="FF9" s="207">
        <v>0.0</v>
      </c>
      <c r="FG9" s="207">
        <v>0.0</v>
      </c>
      <c r="FH9" s="185">
        <f t="shared" si="22"/>
        <v>0</v>
      </c>
      <c r="FI9" s="185">
        <f t="shared" si="23"/>
        <v>0</v>
      </c>
      <c r="FJ9" s="177">
        <v>112.0</v>
      </c>
      <c r="FK9" s="177">
        <v>45.0</v>
      </c>
      <c r="FL9" s="177">
        <v>112.0</v>
      </c>
      <c r="FM9" s="177">
        <v>45.0</v>
      </c>
      <c r="FN9" s="210"/>
      <c r="FO9" s="210">
        <v>3.0</v>
      </c>
      <c r="FP9" s="188">
        <f t="shared" si="24"/>
        <v>3</v>
      </c>
      <c r="FQ9" s="211">
        <v>1.0</v>
      </c>
      <c r="FR9" s="212">
        <v>2.0</v>
      </c>
      <c r="FS9" s="206">
        <v>0.0</v>
      </c>
      <c r="FT9" s="207">
        <v>0.0</v>
      </c>
      <c r="FU9" s="207">
        <v>1.0</v>
      </c>
      <c r="FV9" s="207">
        <v>2.0</v>
      </c>
      <c r="FW9" s="207">
        <v>0.0</v>
      </c>
      <c r="FX9" s="207">
        <v>0.0</v>
      </c>
      <c r="FY9" s="207">
        <v>0.0</v>
      </c>
      <c r="FZ9" s="207">
        <v>0.0</v>
      </c>
      <c r="GA9" s="207">
        <v>0.0</v>
      </c>
      <c r="GB9" s="207">
        <v>0.0</v>
      </c>
      <c r="GC9" s="207">
        <v>0.0</v>
      </c>
      <c r="GD9" s="207">
        <v>0.0</v>
      </c>
      <c r="GE9" s="207">
        <v>0.0</v>
      </c>
      <c r="GF9" s="207">
        <v>0.0</v>
      </c>
      <c r="GG9" s="207">
        <v>0.0</v>
      </c>
      <c r="GH9" s="207">
        <v>0.0</v>
      </c>
      <c r="GI9" s="207">
        <v>0.0</v>
      </c>
      <c r="GJ9" s="207">
        <v>0.0</v>
      </c>
      <c r="GK9" s="212">
        <v>0.0</v>
      </c>
      <c r="GL9" s="212">
        <v>0.0</v>
      </c>
      <c r="GM9" s="207">
        <v>113.0</v>
      </c>
      <c r="GN9" s="207">
        <v>42.0</v>
      </c>
      <c r="GO9" s="213">
        <v>113.0</v>
      </c>
      <c r="GP9" s="213">
        <v>40.0</v>
      </c>
      <c r="GQ9" s="207"/>
      <c r="GR9" s="213">
        <v>2.0</v>
      </c>
      <c r="GS9" s="193">
        <v>0.0</v>
      </c>
      <c r="GT9" s="194">
        <f t="shared" si="25"/>
        <v>2</v>
      </c>
      <c r="GU9" s="194">
        <f t="shared" si="26"/>
        <v>0</v>
      </c>
      <c r="GV9" s="194">
        <f t="shared" si="27"/>
        <v>2</v>
      </c>
      <c r="GW9" s="181">
        <v>0.0</v>
      </c>
      <c r="GX9" s="181">
        <v>0.0</v>
      </c>
      <c r="GY9" s="181">
        <v>0.0</v>
      </c>
      <c r="GZ9" s="181">
        <v>2.0</v>
      </c>
      <c r="HA9" s="181">
        <v>0.0</v>
      </c>
      <c r="HB9" s="181">
        <v>0.0</v>
      </c>
      <c r="HC9" s="181">
        <v>0.0</v>
      </c>
      <c r="HD9" s="181">
        <v>0.0</v>
      </c>
      <c r="HE9" s="181">
        <v>0.0</v>
      </c>
      <c r="HF9" s="181">
        <v>0.0</v>
      </c>
      <c r="HG9" s="181">
        <v>1.0</v>
      </c>
      <c r="HH9" s="181">
        <v>0.0</v>
      </c>
      <c r="HI9" s="181">
        <v>0.0</v>
      </c>
      <c r="HJ9" s="181">
        <v>0.0</v>
      </c>
      <c r="HK9" s="181">
        <v>0.0</v>
      </c>
      <c r="HL9" s="181">
        <v>0.0</v>
      </c>
      <c r="HM9" s="181">
        <v>0.0</v>
      </c>
      <c r="HN9" s="181">
        <v>0.0</v>
      </c>
      <c r="HO9" s="195">
        <v>0.0</v>
      </c>
      <c r="HP9" s="195">
        <v>1.0</v>
      </c>
      <c r="HQ9" s="214"/>
      <c r="HR9" s="197"/>
      <c r="HS9" s="197"/>
      <c r="HT9" s="198">
        <f t="shared" si="28"/>
        <v>5</v>
      </c>
      <c r="HU9" s="198">
        <f t="shared" si="29"/>
        <v>4</v>
      </c>
      <c r="HV9" s="198">
        <f t="shared" si="30"/>
        <v>4</v>
      </c>
      <c r="HW9" s="198">
        <f t="shared" si="31"/>
        <v>3</v>
      </c>
      <c r="HX9" s="198">
        <f t="shared" si="32"/>
        <v>4</v>
      </c>
      <c r="HY9" s="198">
        <f t="shared" si="33"/>
        <v>3</v>
      </c>
      <c r="HZ9" s="198">
        <f t="shared" si="34"/>
        <v>3</v>
      </c>
      <c r="IA9" s="198">
        <f t="shared" si="35"/>
        <v>3</v>
      </c>
      <c r="IB9" s="198">
        <f t="shared" si="36"/>
        <v>2</v>
      </c>
      <c r="IC9" s="198">
        <f t="shared" si="37"/>
        <v>2</v>
      </c>
      <c r="ID9" s="198">
        <f t="shared" si="38"/>
        <v>3</v>
      </c>
      <c r="IE9" s="198">
        <f t="shared" si="39"/>
        <v>2</v>
      </c>
      <c r="IF9" s="197"/>
      <c r="IG9" s="197"/>
      <c r="IH9" s="197"/>
      <c r="II9" s="197"/>
      <c r="IJ9" s="197"/>
      <c r="IK9" s="197"/>
      <c r="IL9" s="197"/>
      <c r="IM9" s="197"/>
      <c r="IN9" s="197"/>
      <c r="IO9" s="197"/>
      <c r="IP9" s="197"/>
      <c r="IQ9" s="197"/>
      <c r="IR9" s="197"/>
      <c r="IS9" s="197"/>
      <c r="IT9" s="197"/>
      <c r="IU9" s="197"/>
      <c r="IV9" s="197"/>
      <c r="IW9" s="197"/>
      <c r="IX9" s="197"/>
      <c r="IY9" s="197"/>
      <c r="IZ9" s="197"/>
      <c r="JA9" s="199"/>
      <c r="JB9" s="200">
        <f t="shared" si="40"/>
        <v>5</v>
      </c>
      <c r="JC9" s="200">
        <f t="shared" si="41"/>
        <v>4</v>
      </c>
      <c r="JD9" s="200">
        <f t="shared" si="42"/>
        <v>4</v>
      </c>
      <c r="JE9" s="200">
        <f t="shared" si="43"/>
        <v>3</v>
      </c>
      <c r="JF9" s="200">
        <f t="shared" si="44"/>
        <v>4</v>
      </c>
      <c r="JG9" s="200">
        <f t="shared" si="45"/>
        <v>3</v>
      </c>
      <c r="JH9" s="200">
        <f t="shared" si="46"/>
        <v>3</v>
      </c>
      <c r="JI9" s="200">
        <f t="shared" si="47"/>
        <v>3</v>
      </c>
      <c r="JJ9" s="200">
        <f t="shared" si="48"/>
        <v>2</v>
      </c>
      <c r="JK9" s="200">
        <f t="shared" si="49"/>
        <v>2</v>
      </c>
      <c r="JL9" s="200">
        <f t="shared" si="50"/>
        <v>3</v>
      </c>
      <c r="JM9" s="200">
        <f t="shared" si="51"/>
        <v>2</v>
      </c>
      <c r="JN9" s="215"/>
      <c r="JO9" s="200">
        <f t="shared" si="52"/>
        <v>5</v>
      </c>
      <c r="JP9" s="202">
        <v>4.0</v>
      </c>
      <c r="JQ9" s="202">
        <v>4.0</v>
      </c>
      <c r="JR9" s="202">
        <v>3.0</v>
      </c>
      <c r="JS9" s="202">
        <v>4.0</v>
      </c>
      <c r="JT9" s="215"/>
      <c r="JU9" s="215"/>
      <c r="JV9" s="200">
        <f t="shared" ref="JV9:JX9" si="53">IA9-JI9</f>
        <v>0</v>
      </c>
      <c r="JW9" s="200">
        <f t="shared" si="53"/>
        <v>0</v>
      </c>
      <c r="JX9" s="200">
        <f t="shared" si="53"/>
        <v>0</v>
      </c>
      <c r="JY9" s="215"/>
      <c r="JZ9" s="215"/>
      <c r="KA9" s="215"/>
      <c r="KB9" s="200">
        <f t="shared" ref="KB9:KM9" si="54">JB9-JO9</f>
        <v>0</v>
      </c>
      <c r="KC9" s="200">
        <f t="shared" si="54"/>
        <v>0</v>
      </c>
      <c r="KD9" s="200">
        <f t="shared" si="54"/>
        <v>0</v>
      </c>
      <c r="KE9" s="200">
        <f t="shared" si="54"/>
        <v>0</v>
      </c>
      <c r="KF9" s="200">
        <f t="shared" si="54"/>
        <v>0</v>
      </c>
      <c r="KG9" s="200">
        <f t="shared" si="54"/>
        <v>3</v>
      </c>
      <c r="KH9" s="200">
        <f t="shared" si="54"/>
        <v>3</v>
      </c>
      <c r="KI9" s="200">
        <f t="shared" si="54"/>
        <v>3</v>
      </c>
      <c r="KJ9" s="200">
        <f t="shared" si="54"/>
        <v>2</v>
      </c>
      <c r="KK9" s="200">
        <f t="shared" si="54"/>
        <v>2</v>
      </c>
      <c r="KL9" s="200">
        <f t="shared" si="54"/>
        <v>3</v>
      </c>
      <c r="KM9" s="200">
        <f t="shared" si="54"/>
        <v>2</v>
      </c>
      <c r="KN9" s="215"/>
      <c r="KO9" s="215"/>
      <c r="KP9" s="215"/>
      <c r="KQ9" s="199"/>
      <c r="KR9" s="199"/>
      <c r="KS9" s="199"/>
      <c r="KT9" s="199"/>
      <c r="KU9" s="199"/>
      <c r="KV9" s="199"/>
      <c r="KW9" s="199"/>
      <c r="KX9" s="199"/>
      <c r="KY9" s="199"/>
      <c r="KZ9" s="199"/>
      <c r="LA9" s="199"/>
      <c r="LB9" s="199"/>
      <c r="LC9" s="199"/>
      <c r="LD9" s="199"/>
      <c r="LE9" s="199"/>
      <c r="LF9" s="199"/>
      <c r="LG9" s="199"/>
    </row>
    <row r="10" ht="14.25" customHeight="1">
      <c r="A10" s="156">
        <v>3.0</v>
      </c>
      <c r="B10" s="157" t="s">
        <v>76</v>
      </c>
      <c r="C10" s="158">
        <v>3374130.0</v>
      </c>
      <c r="D10" s="158" t="s">
        <v>77</v>
      </c>
      <c r="E10" s="158" t="s">
        <v>80</v>
      </c>
      <c r="F10" s="159">
        <v>6.0</v>
      </c>
      <c r="G10" s="159">
        <v>233.0</v>
      </c>
      <c r="H10" s="160">
        <v>3.0</v>
      </c>
      <c r="I10" s="161"/>
      <c r="J10" s="161"/>
      <c r="K10" s="161"/>
      <c r="L10" s="161">
        <v>3.0</v>
      </c>
      <c r="M10" s="161">
        <v>0.0</v>
      </c>
      <c r="N10" s="161">
        <v>0.0</v>
      </c>
      <c r="O10" s="162">
        <f t="shared" si="3"/>
        <v>3</v>
      </c>
      <c r="P10" s="203">
        <v>3.0</v>
      </c>
      <c r="Q10" s="164"/>
      <c r="R10" s="164"/>
      <c r="S10" s="164">
        <v>1.0</v>
      </c>
      <c r="T10" s="165">
        <v>2.0</v>
      </c>
      <c r="U10" s="165">
        <v>1.0</v>
      </c>
      <c r="V10" s="165">
        <v>1.0</v>
      </c>
      <c r="W10" s="166">
        <f t="shared" si="4"/>
        <v>1</v>
      </c>
      <c r="X10" s="203">
        <v>4.0</v>
      </c>
      <c r="Y10" s="165"/>
      <c r="Z10" s="165"/>
      <c r="AA10" s="165">
        <v>2.0</v>
      </c>
      <c r="AB10" s="165">
        <v>2.0</v>
      </c>
      <c r="AC10" s="165">
        <v>0.0</v>
      </c>
      <c r="AD10" s="165">
        <v>2.0</v>
      </c>
      <c r="AE10" s="166">
        <f t="shared" si="5"/>
        <v>2</v>
      </c>
      <c r="AF10" s="167">
        <v>1.0</v>
      </c>
      <c r="AG10" s="165"/>
      <c r="AH10" s="165"/>
      <c r="AI10" s="165"/>
      <c r="AJ10" s="165">
        <v>1.0</v>
      </c>
      <c r="AK10" s="165">
        <v>0.0</v>
      </c>
      <c r="AL10" s="165">
        <v>0.0</v>
      </c>
      <c r="AM10" s="166">
        <f t="shared" si="6"/>
        <v>1</v>
      </c>
      <c r="AN10" s="167">
        <v>1.0</v>
      </c>
      <c r="AO10" s="165"/>
      <c r="AP10" s="165"/>
      <c r="AQ10" s="165"/>
      <c r="AR10" s="165">
        <v>1.0</v>
      </c>
      <c r="AS10" s="165">
        <v>0.0</v>
      </c>
      <c r="AT10" s="165">
        <v>0.0</v>
      </c>
      <c r="AU10" s="168">
        <f t="shared" si="7"/>
        <v>1</v>
      </c>
      <c r="AV10" s="169">
        <v>212.0</v>
      </c>
      <c r="AW10" s="204">
        <f t="shared" si="8"/>
        <v>3</v>
      </c>
      <c r="AX10" s="169">
        <v>0.0</v>
      </c>
      <c r="AY10" s="169">
        <v>0.0</v>
      </c>
      <c r="AZ10" s="169">
        <v>0.0</v>
      </c>
      <c r="BA10" s="169">
        <v>2.0</v>
      </c>
      <c r="BB10" s="169">
        <v>0.0</v>
      </c>
      <c r="BC10" s="169">
        <v>0.0</v>
      </c>
      <c r="BD10" s="169">
        <v>1.0</v>
      </c>
      <c r="BE10" s="169">
        <v>0.0</v>
      </c>
      <c r="BF10" s="169">
        <v>0.0</v>
      </c>
      <c r="BG10" s="169">
        <v>0.0</v>
      </c>
      <c r="BH10" s="169">
        <v>0.0</v>
      </c>
      <c r="BI10" s="169">
        <v>0.0</v>
      </c>
      <c r="BJ10" s="169">
        <v>0.0</v>
      </c>
      <c r="BK10" s="169">
        <v>0.0</v>
      </c>
      <c r="BL10" s="169">
        <v>0.0</v>
      </c>
      <c r="BM10" s="169">
        <v>0.0</v>
      </c>
      <c r="BN10" s="169">
        <v>0.0</v>
      </c>
      <c r="BO10" s="169">
        <v>0.0</v>
      </c>
      <c r="BP10" s="205">
        <f t="shared" si="9"/>
        <v>0</v>
      </c>
      <c r="BQ10" s="173">
        <v>216.0</v>
      </c>
      <c r="BR10" s="170">
        <f t="shared" si="10"/>
        <v>2</v>
      </c>
      <c r="BS10" s="173">
        <v>0.0</v>
      </c>
      <c r="BT10" s="173">
        <v>0.0</v>
      </c>
      <c r="BU10" s="173">
        <v>1.0</v>
      </c>
      <c r="BV10" s="173">
        <v>1.0</v>
      </c>
      <c r="BW10" s="173">
        <v>0.0</v>
      </c>
      <c r="BX10" s="173">
        <v>0.0</v>
      </c>
      <c r="BY10" s="173">
        <v>0.0</v>
      </c>
      <c r="BZ10" s="173">
        <v>0.0</v>
      </c>
      <c r="CA10" s="173">
        <v>0.0</v>
      </c>
      <c r="CB10" s="173">
        <v>0.0</v>
      </c>
      <c r="CC10" s="173">
        <v>0.0</v>
      </c>
      <c r="CD10" s="173">
        <v>1.0</v>
      </c>
      <c r="CE10" s="173">
        <v>0.0</v>
      </c>
      <c r="CF10" s="173">
        <v>0.0</v>
      </c>
      <c r="CG10" s="173">
        <v>0.0</v>
      </c>
      <c r="CH10" s="173">
        <v>0.0</v>
      </c>
      <c r="CI10" s="173">
        <v>0.0</v>
      </c>
      <c r="CJ10" s="173">
        <v>0.0</v>
      </c>
      <c r="CK10" s="172">
        <f t="shared" si="11"/>
        <v>1</v>
      </c>
      <c r="CL10" s="173">
        <v>220.0</v>
      </c>
      <c r="CM10" s="173">
        <v>76.0</v>
      </c>
      <c r="CN10" s="175">
        <f t="shared" si="12"/>
        <v>2</v>
      </c>
      <c r="CO10" s="173">
        <v>0.0</v>
      </c>
      <c r="CP10" s="173">
        <v>0.0</v>
      </c>
      <c r="CQ10" s="173">
        <v>1.0</v>
      </c>
      <c r="CR10" s="173">
        <v>1.0</v>
      </c>
      <c r="CS10" s="173">
        <v>0.0</v>
      </c>
      <c r="CT10" s="173">
        <v>0.0</v>
      </c>
      <c r="CU10" s="173">
        <v>0.0</v>
      </c>
      <c r="CV10" s="173">
        <v>0.0</v>
      </c>
      <c r="CW10" s="173">
        <v>0.0</v>
      </c>
      <c r="CX10" s="173">
        <v>0.0</v>
      </c>
      <c r="CY10" s="173">
        <v>0.0</v>
      </c>
      <c r="CZ10" s="173">
        <v>0.0</v>
      </c>
      <c r="DA10" s="173">
        <v>0.0</v>
      </c>
      <c r="DB10" s="173">
        <v>0.0</v>
      </c>
      <c r="DC10" s="173">
        <v>0.0</v>
      </c>
      <c r="DD10" s="173">
        <v>0.0</v>
      </c>
      <c r="DE10" s="173">
        <v>0.0</v>
      </c>
      <c r="DF10" s="173">
        <v>0.0</v>
      </c>
      <c r="DG10" s="176">
        <f t="shared" si="13"/>
        <v>0</v>
      </c>
      <c r="DH10" s="177">
        <v>198.0</v>
      </c>
      <c r="DI10" s="177">
        <v>73.0</v>
      </c>
      <c r="DJ10" s="178">
        <v>198.0</v>
      </c>
      <c r="DK10" s="178">
        <v>73.0</v>
      </c>
      <c r="DL10" s="179">
        <f t="shared" si="14"/>
        <v>3</v>
      </c>
      <c r="DM10" s="180">
        <f t="shared" si="15"/>
        <v>2</v>
      </c>
      <c r="DN10" s="180">
        <f t="shared" si="16"/>
        <v>1</v>
      </c>
      <c r="DO10" s="177">
        <v>0.0</v>
      </c>
      <c r="DP10" s="177">
        <v>0.0</v>
      </c>
      <c r="DQ10" s="177">
        <v>1.0</v>
      </c>
      <c r="DR10" s="177">
        <v>1.0</v>
      </c>
      <c r="DS10" s="177">
        <v>0.0</v>
      </c>
      <c r="DT10" s="177">
        <v>0.0</v>
      </c>
      <c r="DU10" s="177">
        <v>1.0</v>
      </c>
      <c r="DV10" s="177">
        <v>0.0</v>
      </c>
      <c r="DW10" s="177">
        <v>0.0</v>
      </c>
      <c r="DX10" s="177">
        <v>0.0</v>
      </c>
      <c r="DY10" s="177">
        <v>0.0</v>
      </c>
      <c r="DZ10" s="177">
        <v>0.0</v>
      </c>
      <c r="EA10" s="177">
        <v>0.0</v>
      </c>
      <c r="EB10" s="177">
        <v>0.0</v>
      </c>
      <c r="EC10" s="177">
        <v>0.0</v>
      </c>
      <c r="ED10" s="177">
        <v>0.0</v>
      </c>
      <c r="EE10" s="177">
        <v>0.0</v>
      </c>
      <c r="EF10" s="177">
        <v>0.0</v>
      </c>
      <c r="EG10" s="179">
        <f t="shared" si="17"/>
        <v>0</v>
      </c>
      <c r="EH10" s="179">
        <f t="shared" si="18"/>
        <v>0</v>
      </c>
      <c r="EI10" s="206">
        <v>201.0</v>
      </c>
      <c r="EJ10" s="207">
        <v>75.0</v>
      </c>
      <c r="EK10" s="208">
        <v>201.0</v>
      </c>
      <c r="EL10" s="209">
        <v>75.0</v>
      </c>
      <c r="EM10" s="185">
        <f t="shared" si="19"/>
        <v>3</v>
      </c>
      <c r="EN10" s="186">
        <f t="shared" si="20"/>
        <v>2</v>
      </c>
      <c r="EO10" s="186">
        <f t="shared" si="21"/>
        <v>1</v>
      </c>
      <c r="EP10" s="206">
        <v>0.0</v>
      </c>
      <c r="EQ10" s="207">
        <v>0.0</v>
      </c>
      <c r="ER10" s="207">
        <v>2.0</v>
      </c>
      <c r="ES10" s="207">
        <v>1.0</v>
      </c>
      <c r="ET10" s="207">
        <v>0.0</v>
      </c>
      <c r="EU10" s="207">
        <v>0.0</v>
      </c>
      <c r="EV10" s="207">
        <v>0.0</v>
      </c>
      <c r="EW10" s="207">
        <v>0.0</v>
      </c>
      <c r="EX10" s="207">
        <v>0.0</v>
      </c>
      <c r="EY10" s="207">
        <v>0.0</v>
      </c>
      <c r="EZ10" s="207">
        <v>0.0</v>
      </c>
      <c r="FA10" s="207">
        <v>0.0</v>
      </c>
      <c r="FB10" s="207">
        <v>0.0</v>
      </c>
      <c r="FC10" s="207">
        <v>0.0</v>
      </c>
      <c r="FD10" s="207">
        <v>0.0</v>
      </c>
      <c r="FE10" s="207">
        <v>0.0</v>
      </c>
      <c r="FF10" s="207">
        <v>0.0</v>
      </c>
      <c r="FG10" s="207">
        <v>0.0</v>
      </c>
      <c r="FH10" s="185">
        <f t="shared" si="22"/>
        <v>0</v>
      </c>
      <c r="FI10" s="185">
        <f t="shared" si="23"/>
        <v>0</v>
      </c>
      <c r="FJ10" s="177">
        <v>190.0</v>
      </c>
      <c r="FK10" s="177">
        <v>67.0</v>
      </c>
      <c r="FL10" s="177">
        <v>190.0</v>
      </c>
      <c r="FM10" s="177">
        <v>67.0</v>
      </c>
      <c r="FN10" s="210"/>
      <c r="FO10" s="210">
        <v>3.0</v>
      </c>
      <c r="FP10" s="188">
        <f t="shared" si="24"/>
        <v>3</v>
      </c>
      <c r="FQ10" s="211">
        <v>1.0</v>
      </c>
      <c r="FR10" s="212">
        <v>2.0</v>
      </c>
      <c r="FS10" s="206">
        <v>0.0</v>
      </c>
      <c r="FT10" s="207">
        <v>0.0</v>
      </c>
      <c r="FU10" s="207">
        <v>1.0</v>
      </c>
      <c r="FV10" s="207">
        <v>2.0</v>
      </c>
      <c r="FW10" s="207">
        <v>0.0</v>
      </c>
      <c r="FX10" s="207">
        <v>0.0</v>
      </c>
      <c r="FY10" s="207">
        <v>0.0</v>
      </c>
      <c r="FZ10" s="207">
        <v>0.0</v>
      </c>
      <c r="GA10" s="207">
        <v>0.0</v>
      </c>
      <c r="GB10" s="207">
        <v>0.0</v>
      </c>
      <c r="GC10" s="207">
        <v>0.0</v>
      </c>
      <c r="GD10" s="207">
        <v>0.0</v>
      </c>
      <c r="GE10" s="207">
        <v>0.0</v>
      </c>
      <c r="GF10" s="207">
        <v>0.0</v>
      </c>
      <c r="GG10" s="207">
        <v>0.0</v>
      </c>
      <c r="GH10" s="207">
        <v>0.0</v>
      </c>
      <c r="GI10" s="207">
        <v>0.0</v>
      </c>
      <c r="GJ10" s="207">
        <v>0.0</v>
      </c>
      <c r="GK10" s="212">
        <v>0.0</v>
      </c>
      <c r="GL10" s="212">
        <v>0.0</v>
      </c>
      <c r="GM10" s="207">
        <v>190.0</v>
      </c>
      <c r="GN10" s="207">
        <v>68.0</v>
      </c>
      <c r="GO10" s="213">
        <v>190.0</v>
      </c>
      <c r="GP10" s="213">
        <v>67.0</v>
      </c>
      <c r="GQ10" s="207"/>
      <c r="GR10" s="213">
        <v>3.0</v>
      </c>
      <c r="GS10" s="193">
        <v>1.0</v>
      </c>
      <c r="GT10" s="194">
        <f t="shared" si="25"/>
        <v>3</v>
      </c>
      <c r="GU10" s="194">
        <f t="shared" si="26"/>
        <v>1</v>
      </c>
      <c r="GV10" s="194">
        <f t="shared" si="27"/>
        <v>2</v>
      </c>
      <c r="GW10" s="181">
        <v>0.0</v>
      </c>
      <c r="GX10" s="181">
        <v>0.0</v>
      </c>
      <c r="GY10" s="181">
        <v>1.0</v>
      </c>
      <c r="GZ10" s="181">
        <v>2.0</v>
      </c>
      <c r="HA10" s="181">
        <v>0.0</v>
      </c>
      <c r="HB10" s="181">
        <v>0.0</v>
      </c>
      <c r="HC10" s="181">
        <v>0.0</v>
      </c>
      <c r="HD10" s="181">
        <v>0.0</v>
      </c>
      <c r="HE10" s="181">
        <v>0.0</v>
      </c>
      <c r="HF10" s="181">
        <v>0.0</v>
      </c>
      <c r="HG10" s="181">
        <v>0.0</v>
      </c>
      <c r="HH10" s="181">
        <v>0.0</v>
      </c>
      <c r="HI10" s="181">
        <v>0.0</v>
      </c>
      <c r="HJ10" s="181">
        <v>0.0</v>
      </c>
      <c r="HK10" s="181">
        <v>0.0</v>
      </c>
      <c r="HL10" s="181">
        <v>0.0</v>
      </c>
      <c r="HM10" s="181">
        <v>0.0</v>
      </c>
      <c r="HN10" s="181">
        <v>0.0</v>
      </c>
      <c r="HO10" s="195">
        <v>0.0</v>
      </c>
      <c r="HP10" s="195">
        <v>0.0</v>
      </c>
      <c r="HQ10" s="214"/>
      <c r="HR10" s="197"/>
      <c r="HS10" s="197"/>
      <c r="HT10" s="198">
        <f t="shared" si="28"/>
        <v>3</v>
      </c>
      <c r="HU10" s="198">
        <f t="shared" si="29"/>
        <v>3</v>
      </c>
      <c r="HV10" s="198">
        <f t="shared" si="30"/>
        <v>4</v>
      </c>
      <c r="HW10" s="198">
        <f t="shared" si="31"/>
        <v>1</v>
      </c>
      <c r="HX10" s="198">
        <f t="shared" si="32"/>
        <v>1</v>
      </c>
      <c r="HY10" s="198">
        <f t="shared" si="33"/>
        <v>3</v>
      </c>
      <c r="HZ10" s="198">
        <f t="shared" si="34"/>
        <v>2</v>
      </c>
      <c r="IA10" s="198">
        <f t="shared" si="35"/>
        <v>2</v>
      </c>
      <c r="IB10" s="198">
        <f t="shared" si="36"/>
        <v>3</v>
      </c>
      <c r="IC10" s="198">
        <f t="shared" si="37"/>
        <v>3</v>
      </c>
      <c r="ID10" s="198">
        <f t="shared" si="38"/>
        <v>3</v>
      </c>
      <c r="IE10" s="198">
        <f t="shared" si="39"/>
        <v>3</v>
      </c>
      <c r="IF10" s="197"/>
      <c r="IG10" s="197"/>
      <c r="IH10" s="197"/>
      <c r="II10" s="197"/>
      <c r="IJ10" s="197"/>
      <c r="IK10" s="197"/>
      <c r="IL10" s="197"/>
      <c r="IM10" s="197"/>
      <c r="IN10" s="197"/>
      <c r="IO10" s="197"/>
      <c r="IP10" s="197"/>
      <c r="IQ10" s="197"/>
      <c r="IR10" s="197"/>
      <c r="IS10" s="197"/>
      <c r="IT10" s="197"/>
      <c r="IU10" s="197"/>
      <c r="IV10" s="197"/>
      <c r="IW10" s="197"/>
      <c r="IX10" s="197"/>
      <c r="IY10" s="197"/>
      <c r="IZ10" s="197"/>
      <c r="JA10" s="199"/>
      <c r="JB10" s="200">
        <f t="shared" si="40"/>
        <v>3</v>
      </c>
      <c r="JC10" s="200">
        <f t="shared" si="41"/>
        <v>3</v>
      </c>
      <c r="JD10" s="200">
        <f t="shared" si="42"/>
        <v>4</v>
      </c>
      <c r="JE10" s="200">
        <f t="shared" si="43"/>
        <v>1</v>
      </c>
      <c r="JF10" s="200">
        <f t="shared" si="44"/>
        <v>1</v>
      </c>
      <c r="JG10" s="200">
        <f t="shared" si="45"/>
        <v>3</v>
      </c>
      <c r="JH10" s="200">
        <f t="shared" si="46"/>
        <v>2</v>
      </c>
      <c r="JI10" s="200">
        <f t="shared" si="47"/>
        <v>2</v>
      </c>
      <c r="JJ10" s="200">
        <f t="shared" si="48"/>
        <v>3</v>
      </c>
      <c r="JK10" s="200">
        <f t="shared" si="49"/>
        <v>3</v>
      </c>
      <c r="JL10" s="200">
        <f t="shared" si="50"/>
        <v>3</v>
      </c>
      <c r="JM10" s="200">
        <f t="shared" si="51"/>
        <v>3</v>
      </c>
      <c r="JN10" s="199"/>
      <c r="JO10" s="200">
        <f t="shared" si="52"/>
        <v>3</v>
      </c>
      <c r="JP10" s="202">
        <v>3.0</v>
      </c>
      <c r="JQ10" s="202">
        <v>4.0</v>
      </c>
      <c r="JR10" s="202">
        <v>1.0</v>
      </c>
      <c r="JS10" s="202">
        <v>1.0</v>
      </c>
      <c r="JT10" s="199"/>
      <c r="JU10" s="199"/>
      <c r="JV10" s="200">
        <f t="shared" ref="JV10:JX10" si="55">IA10-JI10</f>
        <v>0</v>
      </c>
      <c r="JW10" s="200">
        <f t="shared" si="55"/>
        <v>0</v>
      </c>
      <c r="JX10" s="200">
        <f t="shared" si="55"/>
        <v>0</v>
      </c>
      <c r="JY10" s="199"/>
      <c r="JZ10" s="199"/>
      <c r="KA10" s="199"/>
      <c r="KB10" s="200">
        <f t="shared" ref="KB10:KM10" si="56">JB10-JO10</f>
        <v>0</v>
      </c>
      <c r="KC10" s="200">
        <f t="shared" si="56"/>
        <v>0</v>
      </c>
      <c r="KD10" s="200">
        <f t="shared" si="56"/>
        <v>0</v>
      </c>
      <c r="KE10" s="200">
        <f t="shared" si="56"/>
        <v>0</v>
      </c>
      <c r="KF10" s="200">
        <f t="shared" si="56"/>
        <v>0</v>
      </c>
      <c r="KG10" s="200">
        <f t="shared" si="56"/>
        <v>3</v>
      </c>
      <c r="KH10" s="200">
        <f t="shared" si="56"/>
        <v>2</v>
      </c>
      <c r="KI10" s="200">
        <f t="shared" si="56"/>
        <v>2</v>
      </c>
      <c r="KJ10" s="200">
        <f t="shared" si="56"/>
        <v>3</v>
      </c>
      <c r="KK10" s="200">
        <f t="shared" si="56"/>
        <v>3</v>
      </c>
      <c r="KL10" s="200">
        <f t="shared" si="56"/>
        <v>3</v>
      </c>
      <c r="KM10" s="200">
        <f t="shared" si="56"/>
        <v>3</v>
      </c>
      <c r="KN10" s="199"/>
      <c r="KO10" s="199"/>
      <c r="KP10" s="199"/>
      <c r="KQ10" s="199"/>
      <c r="KR10" s="199"/>
      <c r="KS10" s="199"/>
      <c r="KT10" s="199"/>
      <c r="KU10" s="199"/>
      <c r="KV10" s="199"/>
      <c r="KW10" s="199"/>
      <c r="KX10" s="199"/>
      <c r="KY10" s="199"/>
      <c r="KZ10" s="199"/>
      <c r="LA10" s="199"/>
      <c r="LB10" s="199"/>
      <c r="LC10" s="199"/>
      <c r="LD10" s="199"/>
      <c r="LE10" s="199"/>
      <c r="LF10" s="199"/>
      <c r="LG10" s="199"/>
    </row>
    <row r="11" ht="14.25" customHeight="1">
      <c r="A11" s="156">
        <v>4.0</v>
      </c>
      <c r="B11" s="157" t="s">
        <v>76</v>
      </c>
      <c r="C11" s="158">
        <v>3374130.0</v>
      </c>
      <c r="D11" s="158" t="s">
        <v>81</v>
      </c>
      <c r="E11" s="158" t="s">
        <v>82</v>
      </c>
      <c r="F11" s="159">
        <v>2.0</v>
      </c>
      <c r="G11" s="216">
        <v>98.0</v>
      </c>
      <c r="H11" s="160">
        <v>3.0</v>
      </c>
      <c r="I11" s="161">
        <v>0.0</v>
      </c>
      <c r="J11" s="161">
        <v>0.0</v>
      </c>
      <c r="K11" s="161">
        <v>1.0</v>
      </c>
      <c r="L11" s="159">
        <v>2.0</v>
      </c>
      <c r="M11" s="161">
        <v>2.0</v>
      </c>
      <c r="N11" s="161">
        <v>0.0</v>
      </c>
      <c r="O11" s="162">
        <f t="shared" si="3"/>
        <v>1</v>
      </c>
      <c r="P11" s="203">
        <v>9.0</v>
      </c>
      <c r="Q11" s="164">
        <v>0.0</v>
      </c>
      <c r="R11" s="164">
        <v>2.0</v>
      </c>
      <c r="S11" s="164">
        <v>3.0</v>
      </c>
      <c r="T11" s="165">
        <v>4.0</v>
      </c>
      <c r="U11" s="165">
        <v>4.0</v>
      </c>
      <c r="V11" s="165">
        <v>1.0</v>
      </c>
      <c r="W11" s="166">
        <f t="shared" si="4"/>
        <v>4</v>
      </c>
      <c r="X11" s="203">
        <v>7.0</v>
      </c>
      <c r="Y11" s="165">
        <v>0.0</v>
      </c>
      <c r="Z11" s="165">
        <v>1.0</v>
      </c>
      <c r="AA11" s="165">
        <v>3.0</v>
      </c>
      <c r="AB11" s="165">
        <v>3.0</v>
      </c>
      <c r="AC11" s="165">
        <v>0.0</v>
      </c>
      <c r="AD11" s="165">
        <v>1.0</v>
      </c>
      <c r="AE11" s="166">
        <f t="shared" si="5"/>
        <v>6</v>
      </c>
      <c r="AF11" s="167">
        <v>10.0</v>
      </c>
      <c r="AG11" s="165">
        <v>0.0</v>
      </c>
      <c r="AH11" s="165">
        <v>2.0</v>
      </c>
      <c r="AI11" s="165">
        <v>5.0</v>
      </c>
      <c r="AJ11" s="165">
        <v>3.0</v>
      </c>
      <c r="AK11" s="165">
        <v>3.0</v>
      </c>
      <c r="AL11" s="165">
        <v>0.0</v>
      </c>
      <c r="AM11" s="166">
        <f t="shared" si="6"/>
        <v>7</v>
      </c>
      <c r="AN11" s="167">
        <v>8.0</v>
      </c>
      <c r="AO11" s="165">
        <v>0.0</v>
      </c>
      <c r="AP11" s="165">
        <v>1.0</v>
      </c>
      <c r="AQ11" s="165">
        <v>4.0</v>
      </c>
      <c r="AR11" s="165">
        <v>3.0</v>
      </c>
      <c r="AS11" s="165">
        <v>0.0</v>
      </c>
      <c r="AT11" s="165">
        <v>2.0</v>
      </c>
      <c r="AU11" s="168">
        <f t="shared" si="7"/>
        <v>6</v>
      </c>
      <c r="AV11" s="169">
        <v>72.0</v>
      </c>
      <c r="AW11" s="204">
        <f t="shared" si="8"/>
        <v>7</v>
      </c>
      <c r="AX11" s="169">
        <v>0.0</v>
      </c>
      <c r="AY11" s="169">
        <v>0.0</v>
      </c>
      <c r="AZ11" s="169">
        <v>4.0</v>
      </c>
      <c r="BA11" s="169">
        <v>2.0</v>
      </c>
      <c r="BB11" s="169">
        <v>0.0</v>
      </c>
      <c r="BC11" s="169">
        <v>0.0</v>
      </c>
      <c r="BD11" s="169">
        <v>1.0</v>
      </c>
      <c r="BE11" s="169">
        <v>0.0</v>
      </c>
      <c r="BF11" s="169">
        <v>0.0</v>
      </c>
      <c r="BG11" s="169">
        <v>0.0</v>
      </c>
      <c r="BH11" s="169">
        <v>1.0</v>
      </c>
      <c r="BI11" s="169">
        <v>0.0</v>
      </c>
      <c r="BJ11" s="169">
        <v>0.0</v>
      </c>
      <c r="BK11" s="169">
        <v>0.0</v>
      </c>
      <c r="BL11" s="169">
        <v>0.0</v>
      </c>
      <c r="BM11" s="169">
        <v>0.0</v>
      </c>
      <c r="BN11" s="169">
        <v>0.0</v>
      </c>
      <c r="BO11" s="169">
        <v>0.0</v>
      </c>
      <c r="BP11" s="205">
        <f t="shared" si="9"/>
        <v>1</v>
      </c>
      <c r="BQ11" s="173">
        <v>70.0</v>
      </c>
      <c r="BR11" s="170">
        <f t="shared" si="10"/>
        <v>6</v>
      </c>
      <c r="BS11" s="173">
        <v>0.0</v>
      </c>
      <c r="BT11" s="173">
        <v>0.0</v>
      </c>
      <c r="BU11" s="173">
        <v>4.0</v>
      </c>
      <c r="BV11" s="173">
        <v>2.0</v>
      </c>
      <c r="BW11" s="173">
        <v>0.0</v>
      </c>
      <c r="BX11" s="173">
        <v>0.0</v>
      </c>
      <c r="BY11" s="173">
        <v>0.0</v>
      </c>
      <c r="BZ11" s="173">
        <v>0.0</v>
      </c>
      <c r="CA11" s="173">
        <v>0.0</v>
      </c>
      <c r="CB11" s="173">
        <v>0.0</v>
      </c>
      <c r="CC11" s="173">
        <v>0.0</v>
      </c>
      <c r="CD11" s="173">
        <v>0.0</v>
      </c>
      <c r="CE11" s="173">
        <v>0.0</v>
      </c>
      <c r="CF11" s="173">
        <v>0.0</v>
      </c>
      <c r="CG11" s="173">
        <v>0.0</v>
      </c>
      <c r="CH11" s="173">
        <v>0.0</v>
      </c>
      <c r="CI11" s="173">
        <v>0.0</v>
      </c>
      <c r="CJ11" s="173">
        <v>0.0</v>
      </c>
      <c r="CK11" s="172">
        <f t="shared" si="11"/>
        <v>0</v>
      </c>
      <c r="CL11" s="173">
        <v>69.0</v>
      </c>
      <c r="CM11" s="173">
        <v>52.0</v>
      </c>
      <c r="CN11" s="175">
        <f t="shared" si="12"/>
        <v>6</v>
      </c>
      <c r="CO11" s="173">
        <v>0.0</v>
      </c>
      <c r="CP11" s="173">
        <v>0.0</v>
      </c>
      <c r="CQ11" s="173">
        <v>3.0</v>
      </c>
      <c r="CR11" s="173">
        <v>1.0</v>
      </c>
      <c r="CS11" s="173">
        <v>0.0</v>
      </c>
      <c r="CT11" s="173">
        <v>1.0</v>
      </c>
      <c r="CU11" s="173">
        <v>1.0</v>
      </c>
      <c r="CV11" s="173">
        <v>0.0</v>
      </c>
      <c r="CW11" s="173">
        <v>0.0</v>
      </c>
      <c r="CX11" s="173">
        <v>0.0</v>
      </c>
      <c r="CY11" s="173">
        <v>1.0</v>
      </c>
      <c r="CZ11" s="173">
        <v>0.0</v>
      </c>
      <c r="DA11" s="173">
        <v>0.0</v>
      </c>
      <c r="DB11" s="173">
        <v>0.0</v>
      </c>
      <c r="DC11" s="173">
        <v>0.0</v>
      </c>
      <c r="DD11" s="173">
        <v>0.0</v>
      </c>
      <c r="DE11" s="173">
        <v>1.0</v>
      </c>
      <c r="DF11" s="173">
        <v>0.0</v>
      </c>
      <c r="DG11" s="176">
        <f t="shared" si="13"/>
        <v>2</v>
      </c>
      <c r="DH11" s="177">
        <v>108.0</v>
      </c>
      <c r="DI11" s="177">
        <v>45.0</v>
      </c>
      <c r="DJ11" s="178">
        <v>103.0</v>
      </c>
      <c r="DK11" s="178">
        <v>39.0</v>
      </c>
      <c r="DL11" s="179">
        <f t="shared" si="14"/>
        <v>8</v>
      </c>
      <c r="DM11" s="180">
        <f t="shared" si="15"/>
        <v>1</v>
      </c>
      <c r="DN11" s="180">
        <f t="shared" si="16"/>
        <v>7</v>
      </c>
      <c r="DO11" s="177">
        <v>0.0</v>
      </c>
      <c r="DP11" s="177">
        <v>0.0</v>
      </c>
      <c r="DQ11" s="177">
        <v>1.0</v>
      </c>
      <c r="DR11" s="177">
        <v>1.0</v>
      </c>
      <c r="DS11" s="177">
        <v>0.0</v>
      </c>
      <c r="DT11" s="177">
        <v>0.0</v>
      </c>
      <c r="DU11" s="177">
        <v>0.0</v>
      </c>
      <c r="DV11" s="177">
        <v>6.0</v>
      </c>
      <c r="DW11" s="177">
        <v>0.0</v>
      </c>
      <c r="DX11" s="177">
        <v>1.0</v>
      </c>
      <c r="DY11" s="177">
        <v>2.0</v>
      </c>
      <c r="DZ11" s="177">
        <v>1.0</v>
      </c>
      <c r="EA11" s="177">
        <v>0.0</v>
      </c>
      <c r="EB11" s="177">
        <v>0.0</v>
      </c>
      <c r="EC11" s="177">
        <v>0.0</v>
      </c>
      <c r="ED11" s="177">
        <v>0.0</v>
      </c>
      <c r="EE11" s="177">
        <v>0.0</v>
      </c>
      <c r="EF11" s="177">
        <v>0.0</v>
      </c>
      <c r="EG11" s="179">
        <f t="shared" si="17"/>
        <v>4</v>
      </c>
      <c r="EH11" s="179">
        <f t="shared" si="18"/>
        <v>3</v>
      </c>
      <c r="EI11" s="217">
        <v>71.0</v>
      </c>
      <c r="EJ11" s="218">
        <v>41.0</v>
      </c>
      <c r="EK11" s="219">
        <v>69.0</v>
      </c>
      <c r="EL11" s="220">
        <v>38.0</v>
      </c>
      <c r="EM11" s="185">
        <f t="shared" si="19"/>
        <v>6</v>
      </c>
      <c r="EN11" s="186">
        <f t="shared" si="20"/>
        <v>1</v>
      </c>
      <c r="EO11" s="186">
        <f t="shared" si="21"/>
        <v>5</v>
      </c>
      <c r="EP11" s="217">
        <v>0.0</v>
      </c>
      <c r="EQ11" s="218">
        <v>0.0</v>
      </c>
      <c r="ER11" s="218">
        <v>0.0</v>
      </c>
      <c r="ES11" s="218">
        <v>5.0</v>
      </c>
      <c r="ET11" s="218">
        <v>0.0</v>
      </c>
      <c r="EU11" s="218">
        <v>0.0</v>
      </c>
      <c r="EV11" s="218">
        <v>1.0</v>
      </c>
      <c r="EW11" s="218">
        <v>0.0</v>
      </c>
      <c r="EX11" s="218">
        <v>0.0</v>
      </c>
      <c r="EY11" s="218">
        <v>0.0</v>
      </c>
      <c r="EZ11" s="218">
        <v>0.0</v>
      </c>
      <c r="FA11" s="218">
        <v>3.0</v>
      </c>
      <c r="FB11" s="218">
        <v>0.0</v>
      </c>
      <c r="FC11" s="218">
        <v>0.0</v>
      </c>
      <c r="FD11" s="218">
        <v>0.0</v>
      </c>
      <c r="FE11" s="218">
        <v>0.0</v>
      </c>
      <c r="FF11" s="218">
        <v>0.0</v>
      </c>
      <c r="FG11" s="218">
        <v>0.0</v>
      </c>
      <c r="FH11" s="185">
        <f t="shared" si="22"/>
        <v>3</v>
      </c>
      <c r="FI11" s="185">
        <f t="shared" si="23"/>
        <v>0</v>
      </c>
      <c r="FJ11" s="221">
        <v>66.0</v>
      </c>
      <c r="FK11" s="221">
        <v>24.0</v>
      </c>
      <c r="FL11" s="221">
        <v>66.0</v>
      </c>
      <c r="FM11" s="221">
        <v>24.0</v>
      </c>
      <c r="FN11" s="210"/>
      <c r="FO11" s="210">
        <v>7.0</v>
      </c>
      <c r="FP11" s="188">
        <f t="shared" si="24"/>
        <v>7</v>
      </c>
      <c r="FQ11" s="211">
        <v>0.0</v>
      </c>
      <c r="FR11" s="212">
        <v>7.0</v>
      </c>
      <c r="FS11" s="206">
        <v>0.0</v>
      </c>
      <c r="FT11" s="207">
        <v>0.0</v>
      </c>
      <c r="FU11" s="207">
        <v>0.0</v>
      </c>
      <c r="FV11" s="207">
        <v>5.0</v>
      </c>
      <c r="FW11" s="207">
        <v>0.0</v>
      </c>
      <c r="FX11" s="207">
        <v>0.0</v>
      </c>
      <c r="FY11" s="207">
        <v>0.0</v>
      </c>
      <c r="FZ11" s="207">
        <v>2.0</v>
      </c>
      <c r="GA11" s="207">
        <v>0.0</v>
      </c>
      <c r="GB11" s="207">
        <v>0.0</v>
      </c>
      <c r="GC11" s="207">
        <v>0.0</v>
      </c>
      <c r="GD11" s="207">
        <v>2.0</v>
      </c>
      <c r="GE11" s="207">
        <v>0.0</v>
      </c>
      <c r="GF11" s="207">
        <v>0.0</v>
      </c>
      <c r="GG11" s="207">
        <v>0.0</v>
      </c>
      <c r="GH11" s="207">
        <v>0.0</v>
      </c>
      <c r="GI11" s="207">
        <v>0.0</v>
      </c>
      <c r="GJ11" s="207">
        <v>0.0</v>
      </c>
      <c r="GK11" s="212">
        <v>2.0</v>
      </c>
      <c r="GL11" s="212">
        <v>0.0</v>
      </c>
      <c r="GM11" s="207">
        <v>64.0</v>
      </c>
      <c r="GN11" s="207">
        <v>24.0</v>
      </c>
      <c r="GO11" s="213">
        <v>54.0</v>
      </c>
      <c r="GP11" s="213">
        <v>15.0</v>
      </c>
      <c r="GQ11" s="207"/>
      <c r="GR11" s="213">
        <v>8.0</v>
      </c>
      <c r="GS11" s="193">
        <v>0.0</v>
      </c>
      <c r="GT11" s="194">
        <f t="shared" si="25"/>
        <v>8</v>
      </c>
      <c r="GU11" s="194">
        <f t="shared" si="26"/>
        <v>0</v>
      </c>
      <c r="GV11" s="194">
        <f t="shared" si="27"/>
        <v>8</v>
      </c>
      <c r="GW11" s="207">
        <v>0.0</v>
      </c>
      <c r="GX11" s="207">
        <v>0.0</v>
      </c>
      <c r="GY11" s="207">
        <v>0.0</v>
      </c>
      <c r="GZ11" s="207">
        <v>7.0</v>
      </c>
      <c r="HA11" s="207">
        <v>0.0</v>
      </c>
      <c r="HB11" s="207">
        <v>0.0</v>
      </c>
      <c r="HC11" s="207">
        <v>0.0</v>
      </c>
      <c r="HD11" s="207">
        <v>1.0</v>
      </c>
      <c r="HE11" s="207">
        <v>0.0</v>
      </c>
      <c r="HF11" s="207">
        <v>0.0</v>
      </c>
      <c r="HG11" s="207">
        <v>0.0</v>
      </c>
      <c r="HH11" s="207">
        <v>0.0</v>
      </c>
      <c r="HI11" s="207">
        <v>0.0</v>
      </c>
      <c r="HJ11" s="207">
        <v>0.0</v>
      </c>
      <c r="HK11" s="207">
        <v>0.0</v>
      </c>
      <c r="HL11" s="207">
        <v>0.0</v>
      </c>
      <c r="HM11" s="207">
        <v>0.0</v>
      </c>
      <c r="HN11" s="207">
        <v>0.0</v>
      </c>
      <c r="HO11" s="222"/>
      <c r="HP11" s="222"/>
      <c r="HQ11" s="214"/>
      <c r="HR11" s="197"/>
      <c r="HS11" s="197"/>
      <c r="HT11" s="198">
        <f t="shared" si="28"/>
        <v>3</v>
      </c>
      <c r="HU11" s="198">
        <f t="shared" si="29"/>
        <v>9</v>
      </c>
      <c r="HV11" s="198">
        <f t="shared" si="30"/>
        <v>7</v>
      </c>
      <c r="HW11" s="198">
        <f t="shared" si="31"/>
        <v>10</v>
      </c>
      <c r="HX11" s="198">
        <f t="shared" si="32"/>
        <v>8</v>
      </c>
      <c r="HY11" s="198">
        <f t="shared" si="33"/>
        <v>7</v>
      </c>
      <c r="HZ11" s="198">
        <f t="shared" si="34"/>
        <v>6</v>
      </c>
      <c r="IA11" s="198">
        <f t="shared" si="35"/>
        <v>6</v>
      </c>
      <c r="IB11" s="198">
        <f t="shared" si="36"/>
        <v>8</v>
      </c>
      <c r="IC11" s="198">
        <f t="shared" si="37"/>
        <v>6</v>
      </c>
      <c r="ID11" s="198">
        <f t="shared" si="38"/>
        <v>7</v>
      </c>
      <c r="IE11" s="198">
        <f t="shared" si="39"/>
        <v>8</v>
      </c>
      <c r="IF11" s="197"/>
      <c r="IG11" s="197"/>
      <c r="IH11" s="197"/>
      <c r="II11" s="197"/>
      <c r="IJ11" s="197"/>
      <c r="IK11" s="197"/>
      <c r="IL11" s="197"/>
      <c r="IM11" s="197"/>
      <c r="IN11" s="197"/>
      <c r="IO11" s="197"/>
      <c r="IP11" s="197"/>
      <c r="IQ11" s="197"/>
      <c r="IR11" s="197"/>
      <c r="IS11" s="197"/>
      <c r="IT11" s="197"/>
      <c r="IU11" s="197"/>
      <c r="IV11" s="197"/>
      <c r="IW11" s="197"/>
      <c r="IX11" s="197"/>
      <c r="IY11" s="197"/>
      <c r="IZ11" s="197"/>
      <c r="JA11" s="199"/>
      <c r="JB11" s="200">
        <f t="shared" si="40"/>
        <v>3</v>
      </c>
      <c r="JC11" s="200">
        <f t="shared" si="41"/>
        <v>9</v>
      </c>
      <c r="JD11" s="200">
        <f t="shared" si="42"/>
        <v>7</v>
      </c>
      <c r="JE11" s="200">
        <f t="shared" si="43"/>
        <v>10</v>
      </c>
      <c r="JF11" s="200">
        <f t="shared" si="44"/>
        <v>8</v>
      </c>
      <c r="JG11" s="200">
        <f t="shared" si="45"/>
        <v>7</v>
      </c>
      <c r="JH11" s="200">
        <f t="shared" si="46"/>
        <v>6</v>
      </c>
      <c r="JI11" s="200">
        <f t="shared" si="47"/>
        <v>6</v>
      </c>
      <c r="JJ11" s="200">
        <f t="shared" si="48"/>
        <v>8</v>
      </c>
      <c r="JK11" s="200">
        <f t="shared" si="49"/>
        <v>9</v>
      </c>
      <c r="JL11" s="200">
        <f t="shared" si="50"/>
        <v>7</v>
      </c>
      <c r="JM11" s="200">
        <f t="shared" si="51"/>
        <v>8</v>
      </c>
      <c r="JN11" s="199"/>
      <c r="JO11" s="200">
        <f t="shared" si="52"/>
        <v>3</v>
      </c>
      <c r="JP11" s="202">
        <v>9.0</v>
      </c>
      <c r="JQ11" s="202">
        <v>7.0</v>
      </c>
      <c r="JR11" s="202">
        <v>10.0</v>
      </c>
      <c r="JS11" s="202">
        <v>8.0</v>
      </c>
      <c r="JT11" s="199"/>
      <c r="JU11" s="199"/>
      <c r="JV11" s="200">
        <f t="shared" ref="JV11:JX11" si="57">IA11-JI11</f>
        <v>0</v>
      </c>
      <c r="JW11" s="200">
        <f t="shared" si="57"/>
        <v>0</v>
      </c>
      <c r="JX11" s="200">
        <f t="shared" si="57"/>
        <v>-3</v>
      </c>
      <c r="JY11" s="199"/>
      <c r="JZ11" s="199"/>
      <c r="KA11" s="199"/>
      <c r="KB11" s="200">
        <f t="shared" ref="KB11:KM11" si="58">JB11-JO11</f>
        <v>0</v>
      </c>
      <c r="KC11" s="200">
        <f t="shared" si="58"/>
        <v>0</v>
      </c>
      <c r="KD11" s="200">
        <f t="shared" si="58"/>
        <v>0</v>
      </c>
      <c r="KE11" s="200">
        <f t="shared" si="58"/>
        <v>0</v>
      </c>
      <c r="KF11" s="200">
        <f t="shared" si="58"/>
        <v>0</v>
      </c>
      <c r="KG11" s="200">
        <f t="shared" si="58"/>
        <v>7</v>
      </c>
      <c r="KH11" s="200">
        <f t="shared" si="58"/>
        <v>6</v>
      </c>
      <c r="KI11" s="200">
        <f t="shared" si="58"/>
        <v>6</v>
      </c>
      <c r="KJ11" s="200">
        <f t="shared" si="58"/>
        <v>8</v>
      </c>
      <c r="KK11" s="200">
        <f t="shared" si="58"/>
        <v>12</v>
      </c>
      <c r="KL11" s="200">
        <f t="shared" si="58"/>
        <v>7</v>
      </c>
      <c r="KM11" s="200">
        <f t="shared" si="58"/>
        <v>8</v>
      </c>
      <c r="KN11" s="199"/>
      <c r="KO11" s="199"/>
      <c r="KP11" s="199"/>
      <c r="KQ11" s="199"/>
      <c r="KR11" s="199"/>
      <c r="KS11" s="199"/>
      <c r="KT11" s="199"/>
      <c r="KU11" s="199"/>
      <c r="KV11" s="199"/>
      <c r="KW11" s="199"/>
      <c r="KX11" s="199"/>
      <c r="KY11" s="199"/>
      <c r="KZ11" s="199"/>
      <c r="LA11" s="199"/>
      <c r="LB11" s="199"/>
      <c r="LC11" s="199"/>
      <c r="LD11" s="199"/>
      <c r="LE11" s="199"/>
      <c r="LF11" s="199"/>
      <c r="LG11" s="199"/>
    </row>
    <row r="12" ht="14.25" customHeight="1">
      <c r="A12" s="156">
        <v>5.0</v>
      </c>
      <c r="B12" s="157" t="s">
        <v>76</v>
      </c>
      <c r="C12" s="158">
        <v>3374130.0</v>
      </c>
      <c r="D12" s="158" t="s">
        <v>77</v>
      </c>
      <c r="E12" s="158" t="s">
        <v>83</v>
      </c>
      <c r="F12" s="159">
        <v>7.0</v>
      </c>
      <c r="G12" s="159">
        <v>315.0</v>
      </c>
      <c r="H12" s="165">
        <v>3.0</v>
      </c>
      <c r="I12" s="161"/>
      <c r="J12" s="161"/>
      <c r="K12" s="161"/>
      <c r="L12" s="161">
        <v>3.0</v>
      </c>
      <c r="M12" s="161">
        <v>0.0</v>
      </c>
      <c r="N12" s="161">
        <v>0.0</v>
      </c>
      <c r="O12" s="162">
        <f t="shared" si="3"/>
        <v>3</v>
      </c>
      <c r="P12" s="203">
        <v>3.0</v>
      </c>
      <c r="Q12" s="164"/>
      <c r="R12" s="164"/>
      <c r="S12" s="164"/>
      <c r="T12" s="165">
        <v>3.0</v>
      </c>
      <c r="U12" s="165">
        <v>0.0</v>
      </c>
      <c r="V12" s="165">
        <v>2.0</v>
      </c>
      <c r="W12" s="166">
        <f t="shared" si="4"/>
        <v>1</v>
      </c>
      <c r="X12" s="203">
        <v>2.0</v>
      </c>
      <c r="Y12" s="165"/>
      <c r="Z12" s="165"/>
      <c r="AA12" s="165"/>
      <c r="AB12" s="165">
        <v>2.0</v>
      </c>
      <c r="AC12" s="165">
        <v>0.0</v>
      </c>
      <c r="AD12" s="165">
        <v>0.0</v>
      </c>
      <c r="AE12" s="166">
        <f t="shared" si="5"/>
        <v>2</v>
      </c>
      <c r="AF12" s="167">
        <v>4.0</v>
      </c>
      <c r="AG12" s="165"/>
      <c r="AH12" s="165"/>
      <c r="AI12" s="165"/>
      <c r="AJ12" s="165">
        <v>4.0</v>
      </c>
      <c r="AK12" s="165">
        <v>0.0</v>
      </c>
      <c r="AL12" s="165">
        <v>1.0</v>
      </c>
      <c r="AM12" s="166">
        <f t="shared" si="6"/>
        <v>3</v>
      </c>
      <c r="AN12" s="167">
        <v>3.0</v>
      </c>
      <c r="AO12" s="165">
        <v>1.0</v>
      </c>
      <c r="AP12" s="165"/>
      <c r="AQ12" s="165"/>
      <c r="AR12" s="165">
        <v>2.0</v>
      </c>
      <c r="AS12" s="165">
        <v>0.0</v>
      </c>
      <c r="AT12" s="165">
        <v>0.0</v>
      </c>
      <c r="AU12" s="168">
        <f t="shared" si="7"/>
        <v>3</v>
      </c>
      <c r="AV12" s="169">
        <v>258.0</v>
      </c>
      <c r="AW12" s="204">
        <f t="shared" si="8"/>
        <v>4</v>
      </c>
      <c r="AX12" s="169">
        <v>1.0</v>
      </c>
      <c r="AY12" s="169">
        <v>0.0</v>
      </c>
      <c r="AZ12" s="169">
        <v>1.0</v>
      </c>
      <c r="BA12" s="169">
        <v>2.0</v>
      </c>
      <c r="BB12" s="169">
        <v>0.0</v>
      </c>
      <c r="BC12" s="169">
        <v>0.0</v>
      </c>
      <c r="BD12" s="169">
        <v>0.0</v>
      </c>
      <c r="BE12" s="169">
        <v>0.0</v>
      </c>
      <c r="BF12" s="169">
        <v>0.0</v>
      </c>
      <c r="BG12" s="169">
        <v>0.0</v>
      </c>
      <c r="BH12" s="169">
        <v>0.0</v>
      </c>
      <c r="BI12" s="169">
        <v>0.0</v>
      </c>
      <c r="BJ12" s="169">
        <v>0.0</v>
      </c>
      <c r="BK12" s="169">
        <v>0.0</v>
      </c>
      <c r="BL12" s="169">
        <v>0.0</v>
      </c>
      <c r="BM12" s="169">
        <v>0.0</v>
      </c>
      <c r="BN12" s="169">
        <v>0.0</v>
      </c>
      <c r="BO12" s="169">
        <v>0.0</v>
      </c>
      <c r="BP12" s="205">
        <f t="shared" si="9"/>
        <v>0</v>
      </c>
      <c r="BQ12" s="173">
        <v>254.0</v>
      </c>
      <c r="BR12" s="170">
        <f t="shared" si="10"/>
        <v>4</v>
      </c>
      <c r="BS12" s="173">
        <v>1.0</v>
      </c>
      <c r="BT12" s="173">
        <v>0.0</v>
      </c>
      <c r="BU12" s="173">
        <v>1.0</v>
      </c>
      <c r="BV12" s="173">
        <v>2.0</v>
      </c>
      <c r="BW12" s="173">
        <v>0.0</v>
      </c>
      <c r="BX12" s="173">
        <v>0.0</v>
      </c>
      <c r="BY12" s="173">
        <v>0.0</v>
      </c>
      <c r="BZ12" s="173">
        <v>0.0</v>
      </c>
      <c r="CA12" s="173">
        <v>0.0</v>
      </c>
      <c r="CB12" s="173">
        <v>0.0</v>
      </c>
      <c r="CC12" s="173">
        <v>0.0</v>
      </c>
      <c r="CD12" s="173">
        <v>0.0</v>
      </c>
      <c r="CE12" s="173">
        <v>0.0</v>
      </c>
      <c r="CF12" s="173">
        <v>0.0</v>
      </c>
      <c r="CG12" s="173">
        <v>0.0</v>
      </c>
      <c r="CH12" s="173">
        <v>0.0</v>
      </c>
      <c r="CI12" s="173">
        <v>0.0</v>
      </c>
      <c r="CJ12" s="173">
        <v>0.0</v>
      </c>
      <c r="CK12" s="172">
        <f t="shared" si="11"/>
        <v>0</v>
      </c>
      <c r="CL12" s="173">
        <v>248.0</v>
      </c>
      <c r="CM12" s="173">
        <v>70.0</v>
      </c>
      <c r="CN12" s="175">
        <f t="shared" si="12"/>
        <v>5</v>
      </c>
      <c r="CO12" s="173">
        <v>1.0</v>
      </c>
      <c r="CP12" s="173">
        <v>0.0</v>
      </c>
      <c r="CQ12" s="173">
        <v>0.0</v>
      </c>
      <c r="CR12" s="173">
        <v>3.0</v>
      </c>
      <c r="CS12" s="173">
        <v>0.0</v>
      </c>
      <c r="CT12" s="173">
        <v>0.0</v>
      </c>
      <c r="CU12" s="173">
        <v>0.0</v>
      </c>
      <c r="CV12" s="173">
        <v>1.0</v>
      </c>
      <c r="CW12" s="173">
        <v>0.0</v>
      </c>
      <c r="CX12" s="173">
        <v>0.0</v>
      </c>
      <c r="CY12" s="173">
        <v>0.0</v>
      </c>
      <c r="CZ12" s="173">
        <v>0.0</v>
      </c>
      <c r="DA12" s="173">
        <v>0.0</v>
      </c>
      <c r="DB12" s="173">
        <v>0.0</v>
      </c>
      <c r="DC12" s="173">
        <v>0.0</v>
      </c>
      <c r="DD12" s="173">
        <v>0.0</v>
      </c>
      <c r="DE12" s="173">
        <v>0.0</v>
      </c>
      <c r="DF12" s="173">
        <v>0.0</v>
      </c>
      <c r="DG12" s="176">
        <f t="shared" si="13"/>
        <v>0</v>
      </c>
      <c r="DH12" s="177">
        <v>231.0</v>
      </c>
      <c r="DI12" s="177">
        <v>70.0</v>
      </c>
      <c r="DJ12" s="178">
        <v>231.0</v>
      </c>
      <c r="DK12" s="178">
        <v>70.0</v>
      </c>
      <c r="DL12" s="179">
        <f t="shared" si="14"/>
        <v>5</v>
      </c>
      <c r="DM12" s="180">
        <f t="shared" si="15"/>
        <v>1</v>
      </c>
      <c r="DN12" s="180">
        <f t="shared" si="16"/>
        <v>4</v>
      </c>
      <c r="DO12" s="177">
        <v>1.0</v>
      </c>
      <c r="DP12" s="177">
        <v>0.0</v>
      </c>
      <c r="DQ12" s="177">
        <v>0.0</v>
      </c>
      <c r="DR12" s="177">
        <v>4.0</v>
      </c>
      <c r="DS12" s="177">
        <v>0.0</v>
      </c>
      <c r="DT12" s="177">
        <v>0.0</v>
      </c>
      <c r="DU12" s="177">
        <v>0.0</v>
      </c>
      <c r="DV12" s="177">
        <v>0.0</v>
      </c>
      <c r="DW12" s="177">
        <v>0.0</v>
      </c>
      <c r="DX12" s="177">
        <v>0.0</v>
      </c>
      <c r="DY12" s="177">
        <v>0.0</v>
      </c>
      <c r="DZ12" s="177">
        <v>0.0</v>
      </c>
      <c r="EA12" s="177">
        <v>0.0</v>
      </c>
      <c r="EB12" s="177">
        <v>0.0</v>
      </c>
      <c r="EC12" s="177">
        <v>0.0</v>
      </c>
      <c r="ED12" s="177">
        <v>0.0</v>
      </c>
      <c r="EE12" s="177">
        <v>0.0</v>
      </c>
      <c r="EF12" s="177">
        <v>0.0</v>
      </c>
      <c r="EG12" s="179">
        <f t="shared" si="17"/>
        <v>0</v>
      </c>
      <c r="EH12" s="179">
        <f t="shared" si="18"/>
        <v>0</v>
      </c>
      <c r="EI12" s="206">
        <v>224.0</v>
      </c>
      <c r="EJ12" s="207">
        <v>70.0</v>
      </c>
      <c r="EK12" s="208">
        <v>224.0</v>
      </c>
      <c r="EL12" s="209">
        <v>70.0</v>
      </c>
      <c r="EM12" s="185">
        <f t="shared" si="19"/>
        <v>4</v>
      </c>
      <c r="EN12" s="186">
        <f t="shared" si="20"/>
        <v>1</v>
      </c>
      <c r="EO12" s="186">
        <f t="shared" si="21"/>
        <v>3</v>
      </c>
      <c r="EP12" s="206">
        <v>1.0</v>
      </c>
      <c r="EQ12" s="207">
        <v>0.0</v>
      </c>
      <c r="ER12" s="207">
        <v>0.0</v>
      </c>
      <c r="ES12" s="207">
        <v>3.0</v>
      </c>
      <c r="ET12" s="207">
        <v>0.0</v>
      </c>
      <c r="EU12" s="207">
        <v>0.0</v>
      </c>
      <c r="EV12" s="207">
        <v>0.0</v>
      </c>
      <c r="EW12" s="207">
        <v>0.0</v>
      </c>
      <c r="EX12" s="207">
        <v>0.0</v>
      </c>
      <c r="EY12" s="207">
        <v>0.0</v>
      </c>
      <c r="EZ12" s="207">
        <v>0.0</v>
      </c>
      <c r="FA12" s="207">
        <v>1.0</v>
      </c>
      <c r="FB12" s="207">
        <v>0.0</v>
      </c>
      <c r="FC12" s="207">
        <v>0.0</v>
      </c>
      <c r="FD12" s="207">
        <v>0.0</v>
      </c>
      <c r="FE12" s="207">
        <v>0.0</v>
      </c>
      <c r="FF12" s="207">
        <v>0.0</v>
      </c>
      <c r="FG12" s="207">
        <v>0.0</v>
      </c>
      <c r="FH12" s="185">
        <f t="shared" si="22"/>
        <v>1</v>
      </c>
      <c r="FI12" s="185">
        <f t="shared" si="23"/>
        <v>0</v>
      </c>
      <c r="FJ12" s="177">
        <v>222.0</v>
      </c>
      <c r="FK12" s="177">
        <v>70.0</v>
      </c>
      <c r="FL12" s="177">
        <v>222.0</v>
      </c>
      <c r="FM12" s="177">
        <v>70.0</v>
      </c>
      <c r="FN12" s="210"/>
      <c r="FO12" s="210">
        <v>4.0</v>
      </c>
      <c r="FP12" s="188">
        <f t="shared" si="24"/>
        <v>4</v>
      </c>
      <c r="FQ12" s="211">
        <v>1.0</v>
      </c>
      <c r="FR12" s="212">
        <v>3.0</v>
      </c>
      <c r="FS12" s="206">
        <v>1.0</v>
      </c>
      <c r="FT12" s="207">
        <v>0.0</v>
      </c>
      <c r="FU12" s="207">
        <v>0.0</v>
      </c>
      <c r="FV12" s="207">
        <v>3.0</v>
      </c>
      <c r="FW12" s="207">
        <v>0.0</v>
      </c>
      <c r="FX12" s="207">
        <v>0.0</v>
      </c>
      <c r="FY12" s="207">
        <v>0.0</v>
      </c>
      <c r="FZ12" s="207">
        <v>0.0</v>
      </c>
      <c r="GA12" s="207">
        <v>0.0</v>
      </c>
      <c r="GB12" s="207">
        <v>0.0</v>
      </c>
      <c r="GC12" s="207">
        <v>0.0</v>
      </c>
      <c r="GD12" s="207">
        <v>0.0</v>
      </c>
      <c r="GE12" s="207">
        <v>0.0</v>
      </c>
      <c r="GF12" s="207">
        <v>0.0</v>
      </c>
      <c r="GG12" s="207">
        <v>0.0</v>
      </c>
      <c r="GH12" s="207">
        <v>0.0</v>
      </c>
      <c r="GI12" s="207">
        <v>0.0</v>
      </c>
      <c r="GJ12" s="207">
        <v>0.0</v>
      </c>
      <c r="GK12" s="212">
        <v>0.0</v>
      </c>
      <c r="GL12" s="212">
        <v>0.0</v>
      </c>
      <c r="GM12" s="207">
        <v>214.0</v>
      </c>
      <c r="GN12" s="207">
        <v>64.0</v>
      </c>
      <c r="GO12" s="213">
        <v>214.0</v>
      </c>
      <c r="GP12" s="213">
        <v>64.0</v>
      </c>
      <c r="GQ12" s="207"/>
      <c r="GR12" s="213">
        <v>3.0</v>
      </c>
      <c r="GS12" s="193">
        <v>0.0</v>
      </c>
      <c r="GT12" s="194">
        <f t="shared" si="25"/>
        <v>3</v>
      </c>
      <c r="GU12" s="194">
        <f t="shared" si="26"/>
        <v>0</v>
      </c>
      <c r="GV12" s="194">
        <f t="shared" si="27"/>
        <v>3</v>
      </c>
      <c r="GW12" s="207">
        <v>0.0</v>
      </c>
      <c r="GX12" s="207">
        <v>0.0</v>
      </c>
      <c r="GY12" s="207">
        <v>0.0</v>
      </c>
      <c r="GZ12" s="207">
        <v>3.0</v>
      </c>
      <c r="HA12" s="207">
        <v>0.0</v>
      </c>
      <c r="HB12" s="207">
        <v>0.0</v>
      </c>
      <c r="HC12" s="207">
        <v>0.0</v>
      </c>
      <c r="HD12" s="207">
        <v>0.0</v>
      </c>
      <c r="HE12" s="207">
        <v>0.0</v>
      </c>
      <c r="HF12" s="207">
        <v>1.0</v>
      </c>
      <c r="HG12" s="207">
        <v>0.0</v>
      </c>
      <c r="HH12" s="207">
        <v>0.0</v>
      </c>
      <c r="HI12" s="207">
        <v>0.0</v>
      </c>
      <c r="HJ12" s="207">
        <v>0.0</v>
      </c>
      <c r="HK12" s="207">
        <v>0.0</v>
      </c>
      <c r="HL12" s="207">
        <v>0.0</v>
      </c>
      <c r="HM12" s="207">
        <v>0.0</v>
      </c>
      <c r="HN12" s="207">
        <v>0.0</v>
      </c>
      <c r="HO12" s="222">
        <v>0.0</v>
      </c>
      <c r="HP12" s="222">
        <v>1.0</v>
      </c>
      <c r="HQ12" s="214"/>
      <c r="HR12" s="197"/>
      <c r="HS12" s="197"/>
      <c r="HT12" s="198">
        <f t="shared" si="28"/>
        <v>3</v>
      </c>
      <c r="HU12" s="198">
        <f t="shared" si="29"/>
        <v>3</v>
      </c>
      <c r="HV12" s="198">
        <f t="shared" si="30"/>
        <v>2</v>
      </c>
      <c r="HW12" s="198">
        <f t="shared" si="31"/>
        <v>4</v>
      </c>
      <c r="HX12" s="198">
        <f t="shared" si="32"/>
        <v>3</v>
      </c>
      <c r="HY12" s="198">
        <f t="shared" si="33"/>
        <v>4</v>
      </c>
      <c r="HZ12" s="198">
        <f t="shared" si="34"/>
        <v>4</v>
      </c>
      <c r="IA12" s="198">
        <f t="shared" si="35"/>
        <v>5</v>
      </c>
      <c r="IB12" s="198">
        <f t="shared" si="36"/>
        <v>5</v>
      </c>
      <c r="IC12" s="198">
        <f t="shared" si="37"/>
        <v>4</v>
      </c>
      <c r="ID12" s="198">
        <f t="shared" si="38"/>
        <v>4</v>
      </c>
      <c r="IE12" s="198">
        <f t="shared" si="39"/>
        <v>3</v>
      </c>
      <c r="IF12" s="197"/>
      <c r="IG12" s="197"/>
      <c r="IH12" s="197"/>
      <c r="II12" s="197"/>
      <c r="IJ12" s="197"/>
      <c r="IK12" s="197"/>
      <c r="IL12" s="197"/>
      <c r="IM12" s="197"/>
      <c r="IN12" s="197"/>
      <c r="IO12" s="197"/>
      <c r="IP12" s="197"/>
      <c r="IQ12" s="197"/>
      <c r="IR12" s="197"/>
      <c r="IS12" s="197"/>
      <c r="IT12" s="197"/>
      <c r="IU12" s="197"/>
      <c r="IV12" s="197"/>
      <c r="IW12" s="197"/>
      <c r="IX12" s="197"/>
      <c r="IY12" s="197"/>
      <c r="IZ12" s="197"/>
      <c r="JA12" s="199"/>
      <c r="JB12" s="200">
        <f t="shared" si="40"/>
        <v>3</v>
      </c>
      <c r="JC12" s="200">
        <f t="shared" si="41"/>
        <v>3</v>
      </c>
      <c r="JD12" s="200">
        <f t="shared" si="42"/>
        <v>2</v>
      </c>
      <c r="JE12" s="200">
        <f t="shared" si="43"/>
        <v>4</v>
      </c>
      <c r="JF12" s="200">
        <f t="shared" si="44"/>
        <v>3</v>
      </c>
      <c r="JG12" s="200">
        <f t="shared" si="45"/>
        <v>4</v>
      </c>
      <c r="JH12" s="200">
        <f t="shared" si="46"/>
        <v>4</v>
      </c>
      <c r="JI12" s="200">
        <f t="shared" si="47"/>
        <v>5</v>
      </c>
      <c r="JJ12" s="200">
        <f t="shared" si="48"/>
        <v>5</v>
      </c>
      <c r="JK12" s="200">
        <f t="shared" si="49"/>
        <v>5</v>
      </c>
      <c r="JL12" s="200">
        <f t="shared" si="50"/>
        <v>4</v>
      </c>
      <c r="JM12" s="200">
        <f t="shared" si="51"/>
        <v>3</v>
      </c>
      <c r="JN12" s="199"/>
      <c r="JO12" s="200">
        <f t="shared" si="52"/>
        <v>3</v>
      </c>
      <c r="JP12" s="202">
        <v>3.0</v>
      </c>
      <c r="JQ12" s="202">
        <v>2.0</v>
      </c>
      <c r="JR12" s="202">
        <v>4.0</v>
      </c>
      <c r="JS12" s="202">
        <v>3.0</v>
      </c>
      <c r="JT12" s="199"/>
      <c r="JU12" s="199"/>
      <c r="JV12" s="200">
        <f t="shared" ref="JV12:JX12" si="59">IA12-JI12</f>
        <v>0</v>
      </c>
      <c r="JW12" s="200">
        <f t="shared" si="59"/>
        <v>0</v>
      </c>
      <c r="JX12" s="200">
        <f t="shared" si="59"/>
        <v>-1</v>
      </c>
      <c r="JY12" s="199"/>
      <c r="JZ12" s="199"/>
      <c r="KA12" s="199"/>
      <c r="KB12" s="200">
        <f t="shared" ref="KB12:KM12" si="60">JB12-JO12</f>
        <v>0</v>
      </c>
      <c r="KC12" s="200">
        <f t="shared" si="60"/>
        <v>0</v>
      </c>
      <c r="KD12" s="200">
        <f t="shared" si="60"/>
        <v>0</v>
      </c>
      <c r="KE12" s="200">
        <f t="shared" si="60"/>
        <v>0</v>
      </c>
      <c r="KF12" s="200">
        <f t="shared" si="60"/>
        <v>0</v>
      </c>
      <c r="KG12" s="200">
        <f t="shared" si="60"/>
        <v>4</v>
      </c>
      <c r="KH12" s="200">
        <f t="shared" si="60"/>
        <v>4</v>
      </c>
      <c r="KI12" s="200">
        <f t="shared" si="60"/>
        <v>5</v>
      </c>
      <c r="KJ12" s="200">
        <f t="shared" si="60"/>
        <v>5</v>
      </c>
      <c r="KK12" s="200">
        <f t="shared" si="60"/>
        <v>6</v>
      </c>
      <c r="KL12" s="200">
        <f t="shared" si="60"/>
        <v>4</v>
      </c>
      <c r="KM12" s="200">
        <f t="shared" si="60"/>
        <v>3</v>
      </c>
      <c r="KN12" s="199"/>
      <c r="KO12" s="199"/>
      <c r="KP12" s="199"/>
      <c r="KQ12" s="199"/>
      <c r="KR12" s="199"/>
      <c r="KS12" s="199"/>
      <c r="KT12" s="199"/>
      <c r="KU12" s="199"/>
      <c r="KV12" s="199"/>
      <c r="KW12" s="199"/>
      <c r="KX12" s="199"/>
      <c r="KY12" s="199"/>
      <c r="KZ12" s="199"/>
      <c r="LA12" s="199"/>
      <c r="LB12" s="199"/>
      <c r="LC12" s="199"/>
      <c r="LD12" s="199"/>
      <c r="LE12" s="199"/>
      <c r="LF12" s="199"/>
      <c r="LG12" s="199"/>
    </row>
    <row r="13" ht="14.25" customHeight="1">
      <c r="A13" s="156">
        <v>6.0</v>
      </c>
      <c r="B13" s="157" t="s">
        <v>76</v>
      </c>
      <c r="C13" s="158">
        <v>3374130.0</v>
      </c>
      <c r="D13" s="158" t="s">
        <v>81</v>
      </c>
      <c r="E13" s="158" t="s">
        <v>84</v>
      </c>
      <c r="F13" s="159">
        <v>4.0</v>
      </c>
      <c r="G13" s="216">
        <v>158.0</v>
      </c>
      <c r="H13" s="160">
        <v>4.0</v>
      </c>
      <c r="I13" s="161">
        <v>1.0</v>
      </c>
      <c r="J13" s="161">
        <v>0.0</v>
      </c>
      <c r="K13" s="161">
        <v>0.0</v>
      </c>
      <c r="L13" s="161">
        <v>3.0</v>
      </c>
      <c r="M13" s="161">
        <v>1.0</v>
      </c>
      <c r="N13" s="161">
        <v>0.0</v>
      </c>
      <c r="O13" s="162">
        <f t="shared" si="3"/>
        <v>3</v>
      </c>
      <c r="P13" s="203">
        <v>8.0</v>
      </c>
      <c r="Q13" s="164">
        <v>2.0</v>
      </c>
      <c r="R13" s="164">
        <v>1.0</v>
      </c>
      <c r="S13" s="164">
        <v>0.0</v>
      </c>
      <c r="T13" s="165">
        <v>5.0</v>
      </c>
      <c r="U13" s="165">
        <v>4.0</v>
      </c>
      <c r="V13" s="165">
        <v>0.0</v>
      </c>
      <c r="W13" s="166">
        <f t="shared" si="4"/>
        <v>4</v>
      </c>
      <c r="X13" s="203">
        <v>6.0</v>
      </c>
      <c r="Y13" s="165">
        <v>1.0</v>
      </c>
      <c r="Z13" s="165">
        <v>1.0</v>
      </c>
      <c r="AA13" s="165">
        <v>0.0</v>
      </c>
      <c r="AB13" s="165">
        <v>4.0</v>
      </c>
      <c r="AC13" s="165">
        <v>0.0</v>
      </c>
      <c r="AD13" s="165">
        <v>1.0</v>
      </c>
      <c r="AE13" s="166">
        <f t="shared" si="5"/>
        <v>5</v>
      </c>
      <c r="AF13" s="167">
        <v>7.0</v>
      </c>
      <c r="AG13" s="165">
        <v>0.0</v>
      </c>
      <c r="AH13" s="165">
        <v>2.0</v>
      </c>
      <c r="AI13" s="165">
        <v>1.0</v>
      </c>
      <c r="AJ13" s="165">
        <v>4.0</v>
      </c>
      <c r="AK13" s="165">
        <v>1.0</v>
      </c>
      <c r="AL13" s="165">
        <v>0.0</v>
      </c>
      <c r="AM13" s="166">
        <f t="shared" si="6"/>
        <v>6</v>
      </c>
      <c r="AN13" s="167">
        <v>5.0</v>
      </c>
      <c r="AO13" s="165">
        <v>0.0</v>
      </c>
      <c r="AP13" s="165">
        <v>2.0</v>
      </c>
      <c r="AQ13" s="165">
        <v>1.0</v>
      </c>
      <c r="AR13" s="165">
        <v>2.0</v>
      </c>
      <c r="AS13" s="165">
        <v>0.0</v>
      </c>
      <c r="AT13" s="165">
        <v>2.0</v>
      </c>
      <c r="AU13" s="168">
        <f t="shared" si="7"/>
        <v>3</v>
      </c>
      <c r="AV13" s="169">
        <v>117.0</v>
      </c>
      <c r="AW13" s="204">
        <f t="shared" si="8"/>
        <v>4</v>
      </c>
      <c r="AX13" s="169">
        <v>0.0</v>
      </c>
      <c r="AY13" s="169">
        <v>1.0</v>
      </c>
      <c r="AZ13" s="169">
        <v>2.0</v>
      </c>
      <c r="BA13" s="169">
        <v>1.0</v>
      </c>
      <c r="BB13" s="169">
        <v>0.0</v>
      </c>
      <c r="BC13" s="169">
        <v>0.0</v>
      </c>
      <c r="BD13" s="169">
        <v>0.0</v>
      </c>
      <c r="BE13" s="169">
        <v>0.0</v>
      </c>
      <c r="BF13" s="169">
        <v>0.0</v>
      </c>
      <c r="BG13" s="169">
        <v>0.0</v>
      </c>
      <c r="BH13" s="169">
        <v>0.0</v>
      </c>
      <c r="BI13" s="169">
        <v>1.0</v>
      </c>
      <c r="BJ13" s="169">
        <v>0.0</v>
      </c>
      <c r="BK13" s="169">
        <v>0.0</v>
      </c>
      <c r="BL13" s="169">
        <v>0.0</v>
      </c>
      <c r="BM13" s="169">
        <v>0.0</v>
      </c>
      <c r="BN13" s="169">
        <v>0.0</v>
      </c>
      <c r="BO13" s="169">
        <v>0.0</v>
      </c>
      <c r="BP13" s="205">
        <f t="shared" si="9"/>
        <v>1</v>
      </c>
      <c r="BQ13" s="173">
        <v>115.0</v>
      </c>
      <c r="BR13" s="170">
        <f t="shared" si="10"/>
        <v>3</v>
      </c>
      <c r="BS13" s="173">
        <v>0.0</v>
      </c>
      <c r="BT13" s="173">
        <v>1.0</v>
      </c>
      <c r="BU13" s="173">
        <v>1.0</v>
      </c>
      <c r="BV13" s="173">
        <v>1.0</v>
      </c>
      <c r="BW13" s="173">
        <v>0.0</v>
      </c>
      <c r="BX13" s="173">
        <v>0.0</v>
      </c>
      <c r="BY13" s="173">
        <v>0.0</v>
      </c>
      <c r="BZ13" s="173">
        <v>0.0</v>
      </c>
      <c r="CA13" s="173">
        <v>0.0</v>
      </c>
      <c r="CB13" s="173">
        <v>0.0</v>
      </c>
      <c r="CC13" s="173">
        <v>2.0</v>
      </c>
      <c r="CD13" s="173">
        <v>0.0</v>
      </c>
      <c r="CE13" s="173">
        <v>0.0</v>
      </c>
      <c r="CF13" s="173">
        <v>0.0</v>
      </c>
      <c r="CG13" s="173">
        <v>0.0</v>
      </c>
      <c r="CH13" s="173">
        <v>0.0</v>
      </c>
      <c r="CI13" s="173">
        <v>0.0</v>
      </c>
      <c r="CJ13" s="173">
        <v>0.0</v>
      </c>
      <c r="CK13" s="172">
        <f t="shared" si="11"/>
        <v>2</v>
      </c>
      <c r="CL13" s="173">
        <v>110.0</v>
      </c>
      <c r="CM13" s="173">
        <v>48.0</v>
      </c>
      <c r="CN13" s="175">
        <f t="shared" si="12"/>
        <v>2</v>
      </c>
      <c r="CO13" s="173">
        <v>0.0</v>
      </c>
      <c r="CP13" s="173">
        <v>1.0</v>
      </c>
      <c r="CQ13" s="173">
        <v>0.0</v>
      </c>
      <c r="CR13" s="173">
        <v>1.0</v>
      </c>
      <c r="CS13" s="173">
        <v>0.0</v>
      </c>
      <c r="CT13" s="173">
        <v>0.0</v>
      </c>
      <c r="CU13" s="173">
        <v>0.0</v>
      </c>
      <c r="CV13" s="173">
        <v>0.0</v>
      </c>
      <c r="CW13" s="173">
        <v>0.0</v>
      </c>
      <c r="CX13" s="173">
        <v>0.0</v>
      </c>
      <c r="CY13" s="173">
        <v>1.0</v>
      </c>
      <c r="CZ13" s="173">
        <v>0.0</v>
      </c>
      <c r="DA13" s="173">
        <v>0.0</v>
      </c>
      <c r="DB13" s="173">
        <v>0.0</v>
      </c>
      <c r="DC13" s="173">
        <v>0.0</v>
      </c>
      <c r="DD13" s="173">
        <v>0.0</v>
      </c>
      <c r="DE13" s="173">
        <v>0.0</v>
      </c>
      <c r="DF13" s="173">
        <v>0.0</v>
      </c>
      <c r="DG13" s="176">
        <f t="shared" si="13"/>
        <v>1</v>
      </c>
      <c r="DH13" s="177">
        <v>109.0</v>
      </c>
      <c r="DI13" s="177">
        <v>47.0</v>
      </c>
      <c r="DJ13" s="178">
        <v>108.0</v>
      </c>
      <c r="DK13" s="178">
        <v>48.0</v>
      </c>
      <c r="DL13" s="179">
        <f t="shared" si="14"/>
        <v>12</v>
      </c>
      <c r="DM13" s="180">
        <f t="shared" si="15"/>
        <v>4</v>
      </c>
      <c r="DN13" s="180">
        <f t="shared" si="16"/>
        <v>8</v>
      </c>
      <c r="DO13" s="177">
        <v>0.0</v>
      </c>
      <c r="DP13" s="177">
        <v>0.0</v>
      </c>
      <c r="DQ13" s="177">
        <v>0.0</v>
      </c>
      <c r="DR13" s="177">
        <v>0.0</v>
      </c>
      <c r="DS13" s="177">
        <v>0.0</v>
      </c>
      <c r="DT13" s="177">
        <v>0.0</v>
      </c>
      <c r="DU13" s="177">
        <v>4.0</v>
      </c>
      <c r="DV13" s="177">
        <v>8.0</v>
      </c>
      <c r="DW13" s="177">
        <v>0.0</v>
      </c>
      <c r="DX13" s="177">
        <v>1.0</v>
      </c>
      <c r="DY13" s="177">
        <v>0.0</v>
      </c>
      <c r="DZ13" s="177">
        <v>1.0</v>
      </c>
      <c r="EA13" s="177">
        <v>0.0</v>
      </c>
      <c r="EB13" s="177">
        <v>0.0</v>
      </c>
      <c r="EC13" s="177">
        <v>0.0</v>
      </c>
      <c r="ED13" s="177">
        <v>0.0</v>
      </c>
      <c r="EE13" s="177">
        <v>0.0</v>
      </c>
      <c r="EF13" s="177">
        <v>0.0</v>
      </c>
      <c r="EG13" s="179">
        <f t="shared" si="17"/>
        <v>2</v>
      </c>
      <c r="EH13" s="179">
        <f t="shared" si="18"/>
        <v>1</v>
      </c>
      <c r="EI13" s="217">
        <v>106.0</v>
      </c>
      <c r="EJ13" s="218">
        <v>49.0</v>
      </c>
      <c r="EK13" s="219">
        <v>104.0</v>
      </c>
      <c r="EL13" s="220">
        <v>48.0</v>
      </c>
      <c r="EM13" s="185">
        <f t="shared" si="19"/>
        <v>5</v>
      </c>
      <c r="EN13" s="186">
        <f t="shared" si="20"/>
        <v>2</v>
      </c>
      <c r="EO13" s="186">
        <f t="shared" si="21"/>
        <v>3</v>
      </c>
      <c r="EP13" s="217">
        <v>0.0</v>
      </c>
      <c r="EQ13" s="218">
        <v>0.0</v>
      </c>
      <c r="ER13" s="218">
        <v>2.0</v>
      </c>
      <c r="ES13" s="218">
        <v>3.0</v>
      </c>
      <c r="ET13" s="218">
        <v>0.0</v>
      </c>
      <c r="EU13" s="218">
        <v>0.0</v>
      </c>
      <c r="EV13" s="218">
        <v>0.0</v>
      </c>
      <c r="EW13" s="218">
        <v>0.0</v>
      </c>
      <c r="EX13" s="218">
        <v>0.0</v>
      </c>
      <c r="EY13" s="218">
        <v>0.0</v>
      </c>
      <c r="EZ13" s="218">
        <v>1.0</v>
      </c>
      <c r="FA13" s="218">
        <v>5.0</v>
      </c>
      <c r="FB13" s="218">
        <v>0.0</v>
      </c>
      <c r="FC13" s="218">
        <v>0.0</v>
      </c>
      <c r="FD13" s="218">
        <v>0.0</v>
      </c>
      <c r="FE13" s="218">
        <v>0.0</v>
      </c>
      <c r="FF13" s="218">
        <v>1.0</v>
      </c>
      <c r="FG13" s="218">
        <v>0.0</v>
      </c>
      <c r="FH13" s="185">
        <f t="shared" si="22"/>
        <v>7</v>
      </c>
      <c r="FI13" s="185">
        <f t="shared" si="23"/>
        <v>1</v>
      </c>
      <c r="FJ13" s="221">
        <v>98.0</v>
      </c>
      <c r="FK13" s="221">
        <v>31.0</v>
      </c>
      <c r="FL13" s="221">
        <v>98.0</v>
      </c>
      <c r="FM13" s="221">
        <v>31.0</v>
      </c>
      <c r="FN13" s="210"/>
      <c r="FO13" s="210">
        <v>5.0</v>
      </c>
      <c r="FP13" s="188">
        <f t="shared" si="24"/>
        <v>5</v>
      </c>
      <c r="FQ13" s="211">
        <v>2.0</v>
      </c>
      <c r="FR13" s="212">
        <v>3.0</v>
      </c>
      <c r="FS13" s="206">
        <v>0.0</v>
      </c>
      <c r="FT13" s="207">
        <v>0.0</v>
      </c>
      <c r="FU13" s="207">
        <v>1.0</v>
      </c>
      <c r="FV13" s="207">
        <v>3.0</v>
      </c>
      <c r="FW13" s="207">
        <v>0.0</v>
      </c>
      <c r="FX13" s="207">
        <v>0.0</v>
      </c>
      <c r="FY13" s="207">
        <v>1.0</v>
      </c>
      <c r="FZ13" s="207">
        <v>0.0</v>
      </c>
      <c r="GA13" s="207">
        <v>0.0</v>
      </c>
      <c r="GB13" s="207">
        <v>0.0</v>
      </c>
      <c r="GC13" s="207">
        <v>1.0</v>
      </c>
      <c r="GD13" s="207">
        <v>0.0</v>
      </c>
      <c r="GE13" s="207">
        <v>0.0</v>
      </c>
      <c r="GF13" s="207">
        <v>0.0</v>
      </c>
      <c r="GG13" s="207">
        <v>0.0</v>
      </c>
      <c r="GH13" s="207">
        <v>0.0</v>
      </c>
      <c r="GI13" s="207">
        <v>0.0</v>
      </c>
      <c r="GJ13" s="207">
        <v>0.0</v>
      </c>
      <c r="GK13" s="212">
        <v>1.0</v>
      </c>
      <c r="GL13" s="212">
        <v>1.0</v>
      </c>
      <c r="GM13" s="207">
        <v>116.0</v>
      </c>
      <c r="GN13" s="207">
        <v>39.0</v>
      </c>
      <c r="GO13" s="213">
        <v>116.0</v>
      </c>
      <c r="GP13" s="213">
        <v>39.0</v>
      </c>
      <c r="GQ13" s="207"/>
      <c r="GR13" s="213">
        <v>6.0</v>
      </c>
      <c r="GS13" s="193">
        <v>3.0</v>
      </c>
      <c r="GT13" s="194">
        <f t="shared" si="25"/>
        <v>6</v>
      </c>
      <c r="GU13" s="194">
        <f t="shared" si="26"/>
        <v>3</v>
      </c>
      <c r="GV13" s="194">
        <f t="shared" si="27"/>
        <v>3</v>
      </c>
      <c r="GW13" s="207">
        <v>0.0</v>
      </c>
      <c r="GX13" s="207">
        <v>0.0</v>
      </c>
      <c r="GY13" s="207">
        <v>2.0</v>
      </c>
      <c r="GZ13" s="207">
        <v>3.0</v>
      </c>
      <c r="HA13" s="207">
        <v>0.0</v>
      </c>
      <c r="HB13" s="207">
        <v>0.0</v>
      </c>
      <c r="HC13" s="207">
        <v>1.0</v>
      </c>
      <c r="HD13" s="207">
        <v>0.0</v>
      </c>
      <c r="HE13" s="207">
        <v>0.0</v>
      </c>
      <c r="HF13" s="207">
        <v>0.0</v>
      </c>
      <c r="HG13" s="207">
        <v>0.0</v>
      </c>
      <c r="HH13" s="207">
        <v>0.0</v>
      </c>
      <c r="HI13" s="207">
        <v>0.0</v>
      </c>
      <c r="HJ13" s="207">
        <v>0.0</v>
      </c>
      <c r="HK13" s="207">
        <v>0.0</v>
      </c>
      <c r="HL13" s="207">
        <v>0.0</v>
      </c>
      <c r="HM13" s="207">
        <v>0.0</v>
      </c>
      <c r="HN13" s="207">
        <v>0.0</v>
      </c>
      <c r="HO13" s="222"/>
      <c r="HP13" s="222"/>
      <c r="HQ13" s="214"/>
      <c r="HR13" s="197"/>
      <c r="HS13" s="197"/>
      <c r="HT13" s="198">
        <f t="shared" si="28"/>
        <v>4</v>
      </c>
      <c r="HU13" s="198">
        <f t="shared" si="29"/>
        <v>8</v>
      </c>
      <c r="HV13" s="198">
        <f t="shared" si="30"/>
        <v>6</v>
      </c>
      <c r="HW13" s="198">
        <f t="shared" si="31"/>
        <v>7</v>
      </c>
      <c r="HX13" s="198">
        <f t="shared" si="32"/>
        <v>5</v>
      </c>
      <c r="HY13" s="198">
        <f t="shared" si="33"/>
        <v>4</v>
      </c>
      <c r="HZ13" s="198">
        <f t="shared" si="34"/>
        <v>3</v>
      </c>
      <c r="IA13" s="198">
        <f t="shared" si="35"/>
        <v>2</v>
      </c>
      <c r="IB13" s="198">
        <f t="shared" si="36"/>
        <v>12</v>
      </c>
      <c r="IC13" s="198">
        <f t="shared" si="37"/>
        <v>5</v>
      </c>
      <c r="ID13" s="198">
        <f t="shared" si="38"/>
        <v>5</v>
      </c>
      <c r="IE13" s="198">
        <f t="shared" si="39"/>
        <v>6</v>
      </c>
      <c r="IF13" s="197"/>
      <c r="IG13" s="197"/>
      <c r="IH13" s="197"/>
      <c r="II13" s="197"/>
      <c r="IJ13" s="197"/>
      <c r="IK13" s="197"/>
      <c r="IL13" s="197"/>
      <c r="IM13" s="197"/>
      <c r="IN13" s="197"/>
      <c r="IO13" s="197"/>
      <c r="IP13" s="197"/>
      <c r="IQ13" s="197"/>
      <c r="IR13" s="197"/>
      <c r="IS13" s="197"/>
      <c r="IT13" s="197"/>
      <c r="IU13" s="197"/>
      <c r="IV13" s="197"/>
      <c r="IW13" s="197"/>
      <c r="IX13" s="197"/>
      <c r="IY13" s="197"/>
      <c r="IZ13" s="197"/>
      <c r="JA13" s="199"/>
      <c r="JB13" s="200">
        <f t="shared" si="40"/>
        <v>4</v>
      </c>
      <c r="JC13" s="200">
        <f t="shared" si="41"/>
        <v>8</v>
      </c>
      <c r="JD13" s="200">
        <f t="shared" si="42"/>
        <v>6</v>
      </c>
      <c r="JE13" s="200">
        <f t="shared" si="43"/>
        <v>7</v>
      </c>
      <c r="JF13" s="200">
        <f t="shared" si="44"/>
        <v>5</v>
      </c>
      <c r="JG13" s="200">
        <f t="shared" si="45"/>
        <v>4</v>
      </c>
      <c r="JH13" s="200">
        <f t="shared" si="46"/>
        <v>3</v>
      </c>
      <c r="JI13" s="200">
        <f t="shared" si="47"/>
        <v>2</v>
      </c>
      <c r="JJ13" s="200">
        <f t="shared" si="48"/>
        <v>12</v>
      </c>
      <c r="JK13" s="200">
        <f t="shared" si="49"/>
        <v>11</v>
      </c>
      <c r="JL13" s="200">
        <f t="shared" si="50"/>
        <v>5</v>
      </c>
      <c r="JM13" s="200">
        <f t="shared" si="51"/>
        <v>6</v>
      </c>
      <c r="JN13" s="199"/>
      <c r="JO13" s="200">
        <f t="shared" si="52"/>
        <v>4</v>
      </c>
      <c r="JP13" s="202">
        <v>8.0</v>
      </c>
      <c r="JQ13" s="202">
        <v>6.0</v>
      </c>
      <c r="JR13" s="202">
        <v>7.0</v>
      </c>
      <c r="JS13" s="202">
        <v>5.0</v>
      </c>
      <c r="JT13" s="199"/>
      <c r="JU13" s="199"/>
      <c r="JV13" s="200">
        <f t="shared" ref="JV13:JX13" si="61">IA13-JI13</f>
        <v>0</v>
      </c>
      <c r="JW13" s="200">
        <f t="shared" si="61"/>
        <v>0</v>
      </c>
      <c r="JX13" s="200">
        <f t="shared" si="61"/>
        <v>-6</v>
      </c>
      <c r="JY13" s="199"/>
      <c r="JZ13" s="199"/>
      <c r="KA13" s="199"/>
      <c r="KB13" s="200">
        <f t="shared" ref="KB13:KM13" si="62">JB13-JO13</f>
        <v>0</v>
      </c>
      <c r="KC13" s="200">
        <f t="shared" si="62"/>
        <v>0</v>
      </c>
      <c r="KD13" s="200">
        <f t="shared" si="62"/>
        <v>0</v>
      </c>
      <c r="KE13" s="200">
        <f t="shared" si="62"/>
        <v>0</v>
      </c>
      <c r="KF13" s="200">
        <f t="shared" si="62"/>
        <v>0</v>
      </c>
      <c r="KG13" s="200">
        <f t="shared" si="62"/>
        <v>4</v>
      </c>
      <c r="KH13" s="200">
        <f t="shared" si="62"/>
        <v>3</v>
      </c>
      <c r="KI13" s="200">
        <f t="shared" si="62"/>
        <v>2</v>
      </c>
      <c r="KJ13" s="200">
        <f t="shared" si="62"/>
        <v>12</v>
      </c>
      <c r="KK13" s="200">
        <f t="shared" si="62"/>
        <v>17</v>
      </c>
      <c r="KL13" s="200">
        <f t="shared" si="62"/>
        <v>5</v>
      </c>
      <c r="KM13" s="200">
        <f t="shared" si="62"/>
        <v>6</v>
      </c>
      <c r="KN13" s="199"/>
      <c r="KO13" s="199"/>
      <c r="KP13" s="199"/>
      <c r="KQ13" s="199"/>
      <c r="KR13" s="199"/>
      <c r="KS13" s="199"/>
      <c r="KT13" s="199"/>
      <c r="KU13" s="199"/>
      <c r="KV13" s="199"/>
      <c r="KW13" s="199"/>
      <c r="KX13" s="199"/>
      <c r="KY13" s="199"/>
      <c r="KZ13" s="199"/>
      <c r="LA13" s="199"/>
      <c r="LB13" s="199"/>
      <c r="LC13" s="199"/>
      <c r="LD13" s="199"/>
      <c r="LE13" s="199"/>
      <c r="LF13" s="199"/>
      <c r="LG13" s="199"/>
    </row>
    <row r="14" ht="14.25" customHeight="1">
      <c r="A14" s="156">
        <v>7.0</v>
      </c>
      <c r="B14" s="157" t="s">
        <v>76</v>
      </c>
      <c r="C14" s="158">
        <v>3374130.0</v>
      </c>
      <c r="D14" s="158" t="s">
        <v>81</v>
      </c>
      <c r="E14" s="158" t="s">
        <v>85</v>
      </c>
      <c r="F14" s="159">
        <v>2.0</v>
      </c>
      <c r="G14" s="216">
        <v>136.0</v>
      </c>
      <c r="H14" s="160">
        <v>7.0</v>
      </c>
      <c r="I14" s="161">
        <v>0.0</v>
      </c>
      <c r="J14" s="161">
        <v>0.0</v>
      </c>
      <c r="K14" s="161">
        <v>3.0</v>
      </c>
      <c r="L14" s="161">
        <v>4.0</v>
      </c>
      <c r="M14" s="161">
        <v>3.0</v>
      </c>
      <c r="N14" s="161">
        <v>0.0</v>
      </c>
      <c r="O14" s="162">
        <f t="shared" si="3"/>
        <v>4</v>
      </c>
      <c r="P14" s="203">
        <v>9.0</v>
      </c>
      <c r="Q14" s="164">
        <v>0.0</v>
      </c>
      <c r="R14" s="164">
        <v>1.0</v>
      </c>
      <c r="S14" s="164">
        <v>4.0</v>
      </c>
      <c r="T14" s="165">
        <v>4.0</v>
      </c>
      <c r="U14" s="165">
        <v>4.0</v>
      </c>
      <c r="V14" s="165">
        <v>1.0</v>
      </c>
      <c r="W14" s="166">
        <f t="shared" si="4"/>
        <v>4</v>
      </c>
      <c r="X14" s="203">
        <v>11.0</v>
      </c>
      <c r="Y14" s="165">
        <v>0.0</v>
      </c>
      <c r="Z14" s="165">
        <v>3.0</v>
      </c>
      <c r="AA14" s="165">
        <v>4.0</v>
      </c>
      <c r="AB14" s="165">
        <v>4.0</v>
      </c>
      <c r="AC14" s="165">
        <v>1.0</v>
      </c>
      <c r="AD14" s="165">
        <v>0.0</v>
      </c>
      <c r="AE14" s="166">
        <f t="shared" si="5"/>
        <v>10</v>
      </c>
      <c r="AF14" s="167">
        <v>13.0</v>
      </c>
      <c r="AG14" s="165">
        <v>0.0</v>
      </c>
      <c r="AH14" s="165">
        <v>3.0</v>
      </c>
      <c r="AI14" s="165">
        <v>5.0</v>
      </c>
      <c r="AJ14" s="165">
        <v>5.0</v>
      </c>
      <c r="AK14" s="165">
        <v>2.0</v>
      </c>
      <c r="AL14" s="165">
        <v>0.0</v>
      </c>
      <c r="AM14" s="166">
        <f t="shared" si="6"/>
        <v>11</v>
      </c>
      <c r="AN14" s="167">
        <v>11.0</v>
      </c>
      <c r="AO14" s="165">
        <v>0.0</v>
      </c>
      <c r="AP14" s="165">
        <v>1.0</v>
      </c>
      <c r="AQ14" s="165">
        <v>4.0</v>
      </c>
      <c r="AR14" s="165">
        <v>6.0</v>
      </c>
      <c r="AS14" s="165">
        <v>0.0</v>
      </c>
      <c r="AT14" s="165">
        <v>2.0</v>
      </c>
      <c r="AU14" s="168">
        <f t="shared" si="7"/>
        <v>9</v>
      </c>
      <c r="AV14" s="169">
        <v>147.0</v>
      </c>
      <c r="AW14" s="204">
        <f t="shared" si="8"/>
        <v>11</v>
      </c>
      <c r="AX14" s="169">
        <v>0.0</v>
      </c>
      <c r="AY14" s="169">
        <v>1.0</v>
      </c>
      <c r="AZ14" s="169">
        <v>4.0</v>
      </c>
      <c r="BA14" s="169">
        <v>5.0</v>
      </c>
      <c r="BB14" s="169">
        <v>0.0</v>
      </c>
      <c r="BC14" s="169">
        <v>1.0</v>
      </c>
      <c r="BD14" s="169">
        <v>0.0</v>
      </c>
      <c r="BE14" s="169">
        <v>0.0</v>
      </c>
      <c r="BF14" s="169">
        <v>0.0</v>
      </c>
      <c r="BG14" s="169">
        <v>0.0</v>
      </c>
      <c r="BH14" s="169">
        <v>0.0</v>
      </c>
      <c r="BI14" s="169">
        <v>0.0</v>
      </c>
      <c r="BJ14" s="169">
        <v>0.0</v>
      </c>
      <c r="BK14" s="169">
        <v>0.0</v>
      </c>
      <c r="BL14" s="169">
        <v>0.0</v>
      </c>
      <c r="BM14" s="169">
        <v>0.0</v>
      </c>
      <c r="BN14" s="169">
        <v>1.0</v>
      </c>
      <c r="BO14" s="169">
        <v>0.0</v>
      </c>
      <c r="BP14" s="205">
        <f t="shared" si="9"/>
        <v>1</v>
      </c>
      <c r="BQ14" s="173">
        <v>140.0</v>
      </c>
      <c r="BR14" s="170">
        <f t="shared" si="10"/>
        <v>6</v>
      </c>
      <c r="BS14" s="173">
        <v>0.0</v>
      </c>
      <c r="BT14" s="173">
        <v>1.0</v>
      </c>
      <c r="BU14" s="173">
        <v>2.0</v>
      </c>
      <c r="BV14" s="173">
        <v>3.0</v>
      </c>
      <c r="BW14" s="173">
        <v>0.0</v>
      </c>
      <c r="BX14" s="173">
        <v>0.0</v>
      </c>
      <c r="BY14" s="173">
        <v>0.0</v>
      </c>
      <c r="BZ14" s="173">
        <v>0.0</v>
      </c>
      <c r="CA14" s="173">
        <v>0.0</v>
      </c>
      <c r="CB14" s="173">
        <v>1.0</v>
      </c>
      <c r="CC14" s="173">
        <v>2.0</v>
      </c>
      <c r="CD14" s="173">
        <v>2.0</v>
      </c>
      <c r="CE14" s="173">
        <v>0.0</v>
      </c>
      <c r="CF14" s="173">
        <v>0.0</v>
      </c>
      <c r="CG14" s="173">
        <v>0.0</v>
      </c>
      <c r="CH14" s="173">
        <v>0.0</v>
      </c>
      <c r="CI14" s="173">
        <v>0.0</v>
      </c>
      <c r="CJ14" s="173">
        <v>0.0</v>
      </c>
      <c r="CK14" s="172">
        <f t="shared" si="11"/>
        <v>5</v>
      </c>
      <c r="CL14" s="173">
        <v>131.0</v>
      </c>
      <c r="CM14" s="173">
        <v>46.0</v>
      </c>
      <c r="CN14" s="175">
        <f t="shared" si="12"/>
        <v>7</v>
      </c>
      <c r="CO14" s="173">
        <v>0.0</v>
      </c>
      <c r="CP14" s="173">
        <v>0.0</v>
      </c>
      <c r="CQ14" s="173">
        <v>2.0</v>
      </c>
      <c r="CR14" s="173">
        <v>4.0</v>
      </c>
      <c r="CS14" s="173">
        <v>0.0</v>
      </c>
      <c r="CT14" s="173">
        <v>1.0</v>
      </c>
      <c r="CU14" s="173">
        <v>0.0</v>
      </c>
      <c r="CV14" s="173">
        <v>0.0</v>
      </c>
      <c r="CW14" s="173">
        <v>0.0</v>
      </c>
      <c r="CX14" s="173">
        <v>0.0</v>
      </c>
      <c r="CY14" s="173">
        <v>0.0</v>
      </c>
      <c r="CZ14" s="173">
        <v>0.0</v>
      </c>
      <c r="DA14" s="173">
        <v>0.0</v>
      </c>
      <c r="DB14" s="173">
        <v>0.0</v>
      </c>
      <c r="DC14" s="173">
        <v>0.0</v>
      </c>
      <c r="DD14" s="173">
        <v>0.0</v>
      </c>
      <c r="DE14" s="173">
        <v>0.0</v>
      </c>
      <c r="DF14" s="173">
        <v>0.0</v>
      </c>
      <c r="DG14" s="176">
        <f t="shared" si="13"/>
        <v>0</v>
      </c>
      <c r="DH14" s="177">
        <v>122.0</v>
      </c>
      <c r="DI14" s="177">
        <v>41.0</v>
      </c>
      <c r="DJ14" s="178">
        <v>120.0</v>
      </c>
      <c r="DK14" s="178">
        <v>36.0</v>
      </c>
      <c r="DL14" s="179">
        <f t="shared" si="14"/>
        <v>13</v>
      </c>
      <c r="DM14" s="180">
        <f t="shared" si="15"/>
        <v>4</v>
      </c>
      <c r="DN14" s="180">
        <f t="shared" si="16"/>
        <v>9</v>
      </c>
      <c r="DO14" s="177">
        <v>0.0</v>
      </c>
      <c r="DP14" s="177">
        <v>0.0</v>
      </c>
      <c r="DQ14" s="177">
        <v>2.0</v>
      </c>
      <c r="DR14" s="177">
        <v>0.0</v>
      </c>
      <c r="DS14" s="177">
        <v>0.0</v>
      </c>
      <c r="DT14" s="177">
        <v>0.0</v>
      </c>
      <c r="DU14" s="177">
        <v>2.0</v>
      </c>
      <c r="DV14" s="177">
        <v>9.0</v>
      </c>
      <c r="DW14" s="177">
        <v>0.0</v>
      </c>
      <c r="DX14" s="177">
        <v>1.0</v>
      </c>
      <c r="DY14" s="177">
        <v>0.0</v>
      </c>
      <c r="DZ14" s="177">
        <v>4.0</v>
      </c>
      <c r="EA14" s="177">
        <v>0.0</v>
      </c>
      <c r="EB14" s="177">
        <v>0.0</v>
      </c>
      <c r="EC14" s="177">
        <v>0.0</v>
      </c>
      <c r="ED14" s="177">
        <v>0.0</v>
      </c>
      <c r="EE14" s="177">
        <v>0.0</v>
      </c>
      <c r="EF14" s="177">
        <v>0.0</v>
      </c>
      <c r="EG14" s="179">
        <f t="shared" si="17"/>
        <v>5</v>
      </c>
      <c r="EH14" s="179">
        <f t="shared" si="18"/>
        <v>1</v>
      </c>
      <c r="EI14" s="217">
        <v>125.0</v>
      </c>
      <c r="EJ14" s="218">
        <v>32.0</v>
      </c>
      <c r="EK14" s="219">
        <v>123.0</v>
      </c>
      <c r="EL14" s="220">
        <v>31.0</v>
      </c>
      <c r="EM14" s="185">
        <f t="shared" si="19"/>
        <v>10</v>
      </c>
      <c r="EN14" s="186">
        <f t="shared" si="20"/>
        <v>3</v>
      </c>
      <c r="EO14" s="186">
        <f t="shared" si="21"/>
        <v>7</v>
      </c>
      <c r="EP14" s="217">
        <v>0.0</v>
      </c>
      <c r="EQ14" s="218">
        <v>0.0</v>
      </c>
      <c r="ER14" s="218">
        <v>3.0</v>
      </c>
      <c r="ES14" s="218">
        <v>7.0</v>
      </c>
      <c r="ET14" s="218">
        <v>0.0</v>
      </c>
      <c r="EU14" s="218">
        <v>0.0</v>
      </c>
      <c r="EV14" s="218">
        <v>0.0</v>
      </c>
      <c r="EW14" s="218">
        <v>0.0</v>
      </c>
      <c r="EX14" s="218">
        <v>0.0</v>
      </c>
      <c r="EY14" s="218">
        <v>0.0</v>
      </c>
      <c r="EZ14" s="218">
        <v>0.0</v>
      </c>
      <c r="FA14" s="218">
        <v>3.0</v>
      </c>
      <c r="FB14" s="218">
        <v>0.0</v>
      </c>
      <c r="FC14" s="218">
        <v>0.0</v>
      </c>
      <c r="FD14" s="218">
        <v>0.0</v>
      </c>
      <c r="FE14" s="218">
        <v>0.0</v>
      </c>
      <c r="FF14" s="218">
        <v>0.0</v>
      </c>
      <c r="FG14" s="218">
        <v>0.0</v>
      </c>
      <c r="FH14" s="185">
        <f t="shared" si="22"/>
        <v>3</v>
      </c>
      <c r="FI14" s="185">
        <f t="shared" si="23"/>
        <v>0</v>
      </c>
      <c r="FJ14" s="221">
        <v>132.0</v>
      </c>
      <c r="FK14" s="221">
        <v>24.0</v>
      </c>
      <c r="FL14" s="221">
        <v>132.0</v>
      </c>
      <c r="FM14" s="221">
        <v>24.0</v>
      </c>
      <c r="FN14" s="210"/>
      <c r="FO14" s="210">
        <v>3.0</v>
      </c>
      <c r="FP14" s="188">
        <f t="shared" si="24"/>
        <v>3</v>
      </c>
      <c r="FQ14" s="211">
        <v>3.0</v>
      </c>
      <c r="FR14" s="212">
        <v>0.0</v>
      </c>
      <c r="FS14" s="206">
        <v>0.0</v>
      </c>
      <c r="FT14" s="207">
        <v>0.0</v>
      </c>
      <c r="FU14" s="207">
        <v>2.0</v>
      </c>
      <c r="FV14" s="207">
        <v>0.0</v>
      </c>
      <c r="FW14" s="207">
        <v>0.0</v>
      </c>
      <c r="FX14" s="207">
        <v>0.0</v>
      </c>
      <c r="FY14" s="207">
        <v>1.0</v>
      </c>
      <c r="FZ14" s="207">
        <v>0.0</v>
      </c>
      <c r="GA14" s="207">
        <v>0.0</v>
      </c>
      <c r="GB14" s="207">
        <v>0.0</v>
      </c>
      <c r="GC14" s="207">
        <v>1.0</v>
      </c>
      <c r="GD14" s="207">
        <v>7.0</v>
      </c>
      <c r="GE14" s="207">
        <v>0.0</v>
      </c>
      <c r="GF14" s="207">
        <v>0.0</v>
      </c>
      <c r="GG14" s="207">
        <v>0.0</v>
      </c>
      <c r="GH14" s="207">
        <v>0.0</v>
      </c>
      <c r="GI14" s="207">
        <v>0.0</v>
      </c>
      <c r="GJ14" s="207">
        <v>0.0</v>
      </c>
      <c r="GK14" s="212">
        <v>8.0</v>
      </c>
      <c r="GL14" s="212">
        <v>1.0</v>
      </c>
      <c r="GM14" s="207">
        <v>156.0</v>
      </c>
      <c r="GN14" s="207">
        <v>47.0</v>
      </c>
      <c r="GO14" s="213">
        <v>156.0</v>
      </c>
      <c r="GP14" s="213">
        <v>47.0</v>
      </c>
      <c r="GQ14" s="207"/>
      <c r="GR14" s="213">
        <v>1.0</v>
      </c>
      <c r="GS14" s="193">
        <v>1.0</v>
      </c>
      <c r="GT14" s="194">
        <f t="shared" si="25"/>
        <v>1</v>
      </c>
      <c r="GU14" s="194">
        <f t="shared" si="26"/>
        <v>1</v>
      </c>
      <c r="GV14" s="194">
        <f t="shared" si="27"/>
        <v>0</v>
      </c>
      <c r="GW14" s="207">
        <v>0.0</v>
      </c>
      <c r="GX14" s="207">
        <v>0.0</v>
      </c>
      <c r="GY14" s="207">
        <v>1.0</v>
      </c>
      <c r="GZ14" s="207">
        <v>0.0</v>
      </c>
      <c r="HA14" s="207">
        <v>0.0</v>
      </c>
      <c r="HB14" s="207">
        <v>0.0</v>
      </c>
      <c r="HC14" s="207">
        <v>0.0</v>
      </c>
      <c r="HD14" s="207">
        <v>0.0</v>
      </c>
      <c r="HE14" s="207">
        <v>0.0</v>
      </c>
      <c r="HF14" s="207">
        <v>0.0</v>
      </c>
      <c r="HG14" s="207">
        <v>2.0</v>
      </c>
      <c r="HH14" s="207">
        <v>0.0</v>
      </c>
      <c r="HI14" s="207">
        <v>0.0</v>
      </c>
      <c r="HJ14" s="207">
        <v>0.0</v>
      </c>
      <c r="HK14" s="207">
        <v>0.0</v>
      </c>
      <c r="HL14" s="207">
        <v>0.0</v>
      </c>
      <c r="HM14" s="207">
        <v>0.0</v>
      </c>
      <c r="HN14" s="207">
        <v>0.0</v>
      </c>
      <c r="HO14" s="222"/>
      <c r="HP14" s="222"/>
      <c r="HQ14" s="214"/>
      <c r="HR14" s="197"/>
      <c r="HS14" s="197"/>
      <c r="HT14" s="198">
        <f t="shared" si="28"/>
        <v>7</v>
      </c>
      <c r="HU14" s="198">
        <f t="shared" si="29"/>
        <v>9</v>
      </c>
      <c r="HV14" s="198">
        <f t="shared" si="30"/>
        <v>11</v>
      </c>
      <c r="HW14" s="198">
        <f t="shared" si="31"/>
        <v>13</v>
      </c>
      <c r="HX14" s="198">
        <f t="shared" si="32"/>
        <v>11</v>
      </c>
      <c r="HY14" s="198">
        <f t="shared" si="33"/>
        <v>11</v>
      </c>
      <c r="HZ14" s="198">
        <f t="shared" si="34"/>
        <v>6</v>
      </c>
      <c r="IA14" s="198">
        <f t="shared" si="35"/>
        <v>7</v>
      </c>
      <c r="IB14" s="198">
        <f t="shared" si="36"/>
        <v>13</v>
      </c>
      <c r="IC14" s="198">
        <f t="shared" si="37"/>
        <v>10</v>
      </c>
      <c r="ID14" s="198">
        <f t="shared" si="38"/>
        <v>3</v>
      </c>
      <c r="IE14" s="198">
        <f t="shared" si="39"/>
        <v>1</v>
      </c>
      <c r="IF14" s="197"/>
      <c r="IG14" s="197"/>
      <c r="IH14" s="197"/>
      <c r="II14" s="197"/>
      <c r="IJ14" s="197"/>
      <c r="IK14" s="197"/>
      <c r="IL14" s="197"/>
      <c r="IM14" s="197"/>
      <c r="IN14" s="197"/>
      <c r="IO14" s="197"/>
      <c r="IP14" s="197"/>
      <c r="IQ14" s="197"/>
      <c r="IR14" s="197"/>
      <c r="IS14" s="197"/>
      <c r="IT14" s="197"/>
      <c r="IU14" s="197"/>
      <c r="IV14" s="197"/>
      <c r="IW14" s="197"/>
      <c r="IX14" s="197"/>
      <c r="IY14" s="197"/>
      <c r="IZ14" s="197"/>
      <c r="JA14" s="199"/>
      <c r="JB14" s="200">
        <f t="shared" si="40"/>
        <v>7</v>
      </c>
      <c r="JC14" s="200">
        <f t="shared" si="41"/>
        <v>9</v>
      </c>
      <c r="JD14" s="200">
        <f t="shared" si="42"/>
        <v>11</v>
      </c>
      <c r="JE14" s="200">
        <f t="shared" si="43"/>
        <v>13</v>
      </c>
      <c r="JF14" s="200">
        <f t="shared" si="44"/>
        <v>11</v>
      </c>
      <c r="JG14" s="200">
        <f t="shared" si="45"/>
        <v>11</v>
      </c>
      <c r="JH14" s="200">
        <f t="shared" si="46"/>
        <v>6</v>
      </c>
      <c r="JI14" s="200">
        <f t="shared" si="47"/>
        <v>7</v>
      </c>
      <c r="JJ14" s="200">
        <f t="shared" si="48"/>
        <v>13</v>
      </c>
      <c r="JK14" s="200">
        <f t="shared" si="49"/>
        <v>13</v>
      </c>
      <c r="JL14" s="200">
        <f t="shared" si="50"/>
        <v>3</v>
      </c>
      <c r="JM14" s="200">
        <f t="shared" si="51"/>
        <v>1</v>
      </c>
      <c r="JN14" s="199"/>
      <c r="JO14" s="200">
        <f t="shared" si="52"/>
        <v>7</v>
      </c>
      <c r="JP14" s="202">
        <v>9.0</v>
      </c>
      <c r="JQ14" s="202">
        <v>11.0</v>
      </c>
      <c r="JR14" s="202">
        <v>13.0</v>
      </c>
      <c r="JS14" s="202">
        <v>11.0</v>
      </c>
      <c r="JT14" s="199"/>
      <c r="JU14" s="199"/>
      <c r="JV14" s="200">
        <f t="shared" ref="JV14:JX14" si="63">IA14-JI14</f>
        <v>0</v>
      </c>
      <c r="JW14" s="200">
        <f t="shared" si="63"/>
        <v>0</v>
      </c>
      <c r="JX14" s="200">
        <f t="shared" si="63"/>
        <v>-3</v>
      </c>
      <c r="JY14" s="199"/>
      <c r="JZ14" s="199"/>
      <c r="KA14" s="199"/>
      <c r="KB14" s="200">
        <f t="shared" ref="KB14:KM14" si="64">JB14-JO14</f>
        <v>0</v>
      </c>
      <c r="KC14" s="200">
        <f t="shared" si="64"/>
        <v>0</v>
      </c>
      <c r="KD14" s="200">
        <f t="shared" si="64"/>
        <v>0</v>
      </c>
      <c r="KE14" s="200">
        <f t="shared" si="64"/>
        <v>0</v>
      </c>
      <c r="KF14" s="200">
        <f t="shared" si="64"/>
        <v>0</v>
      </c>
      <c r="KG14" s="200">
        <f t="shared" si="64"/>
        <v>11</v>
      </c>
      <c r="KH14" s="200">
        <f t="shared" si="64"/>
        <v>6</v>
      </c>
      <c r="KI14" s="200">
        <f t="shared" si="64"/>
        <v>7</v>
      </c>
      <c r="KJ14" s="200">
        <f t="shared" si="64"/>
        <v>13</v>
      </c>
      <c r="KK14" s="200">
        <f t="shared" si="64"/>
        <v>16</v>
      </c>
      <c r="KL14" s="200">
        <f t="shared" si="64"/>
        <v>3</v>
      </c>
      <c r="KM14" s="200">
        <f t="shared" si="64"/>
        <v>1</v>
      </c>
      <c r="KN14" s="199"/>
      <c r="KO14" s="199"/>
      <c r="KP14" s="199"/>
      <c r="KQ14" s="199"/>
      <c r="KR14" s="199"/>
      <c r="KS14" s="199"/>
      <c r="KT14" s="199"/>
      <c r="KU14" s="199"/>
      <c r="KV14" s="199"/>
      <c r="KW14" s="199"/>
      <c r="KX14" s="199"/>
      <c r="KY14" s="199"/>
      <c r="KZ14" s="199"/>
      <c r="LA14" s="199"/>
      <c r="LB14" s="199"/>
      <c r="LC14" s="199"/>
      <c r="LD14" s="199"/>
      <c r="LE14" s="199"/>
      <c r="LF14" s="199"/>
      <c r="LG14" s="199"/>
    </row>
    <row r="15" ht="14.25" customHeight="1">
      <c r="A15" s="156">
        <v>8.0</v>
      </c>
      <c r="B15" s="157" t="s">
        <v>76</v>
      </c>
      <c r="C15" s="158">
        <v>3374130.0</v>
      </c>
      <c r="D15" s="158" t="s">
        <v>81</v>
      </c>
      <c r="E15" s="158" t="s">
        <v>86</v>
      </c>
      <c r="F15" s="159">
        <v>4.0</v>
      </c>
      <c r="G15" s="216">
        <v>101.0</v>
      </c>
      <c r="H15" s="160">
        <v>5.0</v>
      </c>
      <c r="I15" s="161">
        <v>0.0</v>
      </c>
      <c r="J15" s="161">
        <v>1.0</v>
      </c>
      <c r="K15" s="161">
        <v>1.0</v>
      </c>
      <c r="L15" s="161">
        <v>3.0</v>
      </c>
      <c r="M15" s="161">
        <v>2.0</v>
      </c>
      <c r="N15" s="161">
        <v>0.0</v>
      </c>
      <c r="O15" s="162">
        <f t="shared" si="3"/>
        <v>3</v>
      </c>
      <c r="P15" s="203">
        <v>7.0</v>
      </c>
      <c r="Q15" s="164">
        <v>0.0</v>
      </c>
      <c r="R15" s="164">
        <v>1.0</v>
      </c>
      <c r="S15" s="164">
        <v>3.0</v>
      </c>
      <c r="T15" s="165">
        <v>3.0</v>
      </c>
      <c r="U15" s="165">
        <v>0.0</v>
      </c>
      <c r="V15" s="165">
        <v>0.0</v>
      </c>
      <c r="W15" s="166">
        <f t="shared" si="4"/>
        <v>7</v>
      </c>
      <c r="X15" s="203">
        <v>5.0</v>
      </c>
      <c r="Y15" s="165">
        <v>0.0</v>
      </c>
      <c r="Z15" s="165">
        <v>0.0</v>
      </c>
      <c r="AA15" s="165">
        <v>2.0</v>
      </c>
      <c r="AB15" s="165">
        <v>3.0</v>
      </c>
      <c r="AC15" s="165">
        <v>0.0</v>
      </c>
      <c r="AD15" s="165">
        <v>0.0</v>
      </c>
      <c r="AE15" s="166">
        <f t="shared" si="5"/>
        <v>5</v>
      </c>
      <c r="AF15" s="167">
        <v>5.0</v>
      </c>
      <c r="AG15" s="165">
        <v>0.0</v>
      </c>
      <c r="AH15" s="165">
        <v>0.0</v>
      </c>
      <c r="AI15" s="165">
        <v>2.0</v>
      </c>
      <c r="AJ15" s="165">
        <v>3.0</v>
      </c>
      <c r="AK15" s="165">
        <v>0.0</v>
      </c>
      <c r="AL15" s="165">
        <v>0.0</v>
      </c>
      <c r="AM15" s="166">
        <f t="shared" si="6"/>
        <v>5</v>
      </c>
      <c r="AN15" s="167">
        <v>3.0</v>
      </c>
      <c r="AO15" s="165">
        <v>0.0</v>
      </c>
      <c r="AP15" s="165">
        <v>0.0</v>
      </c>
      <c r="AQ15" s="165">
        <v>1.0</v>
      </c>
      <c r="AR15" s="165">
        <v>2.0</v>
      </c>
      <c r="AS15" s="165">
        <v>0.0</v>
      </c>
      <c r="AT15" s="165">
        <v>2.0</v>
      </c>
      <c r="AU15" s="168">
        <f t="shared" si="7"/>
        <v>1</v>
      </c>
      <c r="AV15" s="169">
        <v>88.0</v>
      </c>
      <c r="AW15" s="204">
        <f t="shared" si="8"/>
        <v>3</v>
      </c>
      <c r="AX15" s="169">
        <v>0.0</v>
      </c>
      <c r="AY15" s="169">
        <v>0.0</v>
      </c>
      <c r="AZ15" s="169">
        <v>1.0</v>
      </c>
      <c r="BA15" s="169">
        <v>1.0</v>
      </c>
      <c r="BB15" s="169">
        <v>0.0</v>
      </c>
      <c r="BC15" s="169">
        <v>0.0</v>
      </c>
      <c r="BD15" s="169">
        <v>1.0</v>
      </c>
      <c r="BE15" s="169">
        <v>0.0</v>
      </c>
      <c r="BF15" s="169">
        <v>0.0</v>
      </c>
      <c r="BG15" s="169">
        <v>0.0</v>
      </c>
      <c r="BH15" s="169">
        <v>0.0</v>
      </c>
      <c r="BI15" s="169">
        <v>1.0</v>
      </c>
      <c r="BJ15" s="169">
        <v>0.0</v>
      </c>
      <c r="BK15" s="169">
        <v>0.0</v>
      </c>
      <c r="BL15" s="169">
        <v>0.0</v>
      </c>
      <c r="BM15" s="169">
        <v>0.0</v>
      </c>
      <c r="BN15" s="169">
        <v>0.0</v>
      </c>
      <c r="BO15" s="169">
        <v>0.0</v>
      </c>
      <c r="BP15" s="205">
        <f t="shared" si="9"/>
        <v>1</v>
      </c>
      <c r="BQ15" s="173">
        <v>87.0</v>
      </c>
      <c r="BR15" s="170">
        <f t="shared" si="10"/>
        <v>2</v>
      </c>
      <c r="BS15" s="173">
        <v>0.0</v>
      </c>
      <c r="BT15" s="173">
        <v>0.0</v>
      </c>
      <c r="BU15" s="173">
        <v>1.0</v>
      </c>
      <c r="BV15" s="173">
        <v>1.0</v>
      </c>
      <c r="BW15" s="173">
        <v>0.0</v>
      </c>
      <c r="BX15" s="173">
        <v>0.0</v>
      </c>
      <c r="BY15" s="173">
        <v>0.0</v>
      </c>
      <c r="BZ15" s="173">
        <v>0.0</v>
      </c>
      <c r="CA15" s="173">
        <v>0.0</v>
      </c>
      <c r="CB15" s="173">
        <v>1.0</v>
      </c>
      <c r="CC15" s="173">
        <v>0.0</v>
      </c>
      <c r="CD15" s="173">
        <v>0.0</v>
      </c>
      <c r="CE15" s="173">
        <v>0.0</v>
      </c>
      <c r="CF15" s="173">
        <v>0.0</v>
      </c>
      <c r="CG15" s="173">
        <v>0.0</v>
      </c>
      <c r="CH15" s="173">
        <v>0.0</v>
      </c>
      <c r="CI15" s="173">
        <v>0.0</v>
      </c>
      <c r="CJ15" s="173">
        <v>0.0</v>
      </c>
      <c r="CK15" s="172">
        <f t="shared" si="11"/>
        <v>1</v>
      </c>
      <c r="CL15" s="173">
        <v>89.0</v>
      </c>
      <c r="CM15" s="173">
        <v>44.0</v>
      </c>
      <c r="CN15" s="175">
        <f t="shared" si="12"/>
        <v>8</v>
      </c>
      <c r="CO15" s="173">
        <v>0.0</v>
      </c>
      <c r="CP15" s="173">
        <v>0.0</v>
      </c>
      <c r="CQ15" s="173">
        <v>1.0</v>
      </c>
      <c r="CR15" s="173">
        <v>1.0</v>
      </c>
      <c r="CS15" s="173">
        <v>0.0</v>
      </c>
      <c r="CT15" s="173">
        <v>0.0</v>
      </c>
      <c r="CU15" s="173">
        <v>3.0</v>
      </c>
      <c r="CV15" s="173">
        <v>3.0</v>
      </c>
      <c r="CW15" s="173">
        <v>0.0</v>
      </c>
      <c r="CX15" s="173">
        <v>0.0</v>
      </c>
      <c r="CY15" s="173">
        <v>0.0</v>
      </c>
      <c r="CZ15" s="173">
        <v>0.0</v>
      </c>
      <c r="DA15" s="173">
        <v>0.0</v>
      </c>
      <c r="DB15" s="173">
        <v>0.0</v>
      </c>
      <c r="DC15" s="173">
        <v>0.0</v>
      </c>
      <c r="DD15" s="173">
        <v>0.0</v>
      </c>
      <c r="DE15" s="173">
        <v>0.0</v>
      </c>
      <c r="DF15" s="173">
        <v>0.0</v>
      </c>
      <c r="DG15" s="176">
        <f t="shared" si="13"/>
        <v>0</v>
      </c>
      <c r="DH15" s="177">
        <v>80.0</v>
      </c>
      <c r="DI15" s="177">
        <v>33.0</v>
      </c>
      <c r="DJ15" s="178">
        <v>77.0</v>
      </c>
      <c r="DK15" s="178">
        <v>39.0</v>
      </c>
      <c r="DL15" s="179">
        <f t="shared" si="14"/>
        <v>6</v>
      </c>
      <c r="DM15" s="180">
        <f t="shared" si="15"/>
        <v>4</v>
      </c>
      <c r="DN15" s="180">
        <f t="shared" si="16"/>
        <v>2</v>
      </c>
      <c r="DO15" s="177">
        <v>0.0</v>
      </c>
      <c r="DP15" s="177">
        <v>0.0</v>
      </c>
      <c r="DQ15" s="177">
        <v>4.0</v>
      </c>
      <c r="DR15" s="177">
        <v>2.0</v>
      </c>
      <c r="DS15" s="177">
        <v>0.0</v>
      </c>
      <c r="DT15" s="177">
        <v>0.0</v>
      </c>
      <c r="DU15" s="177">
        <v>0.0</v>
      </c>
      <c r="DV15" s="177">
        <v>0.0</v>
      </c>
      <c r="DW15" s="177">
        <v>0.0</v>
      </c>
      <c r="DX15" s="177">
        <v>0.0</v>
      </c>
      <c r="DY15" s="177">
        <v>0.0</v>
      </c>
      <c r="DZ15" s="177">
        <v>1.0</v>
      </c>
      <c r="EA15" s="177">
        <v>0.0</v>
      </c>
      <c r="EB15" s="177">
        <v>0.0</v>
      </c>
      <c r="EC15" s="177">
        <v>0.0</v>
      </c>
      <c r="ED15" s="177">
        <v>1.0</v>
      </c>
      <c r="EE15" s="177">
        <v>0.0</v>
      </c>
      <c r="EF15" s="177">
        <v>0.0</v>
      </c>
      <c r="EG15" s="179">
        <f t="shared" si="17"/>
        <v>2</v>
      </c>
      <c r="EH15" s="179">
        <f t="shared" si="18"/>
        <v>0</v>
      </c>
      <c r="EI15" s="217">
        <v>87.0</v>
      </c>
      <c r="EJ15" s="218">
        <v>42.0</v>
      </c>
      <c r="EK15" s="219">
        <v>84.0</v>
      </c>
      <c r="EL15" s="220">
        <v>40.0</v>
      </c>
      <c r="EM15" s="185">
        <f t="shared" si="19"/>
        <v>5</v>
      </c>
      <c r="EN15" s="186">
        <f t="shared" si="20"/>
        <v>2</v>
      </c>
      <c r="EO15" s="186">
        <f t="shared" si="21"/>
        <v>3</v>
      </c>
      <c r="EP15" s="217">
        <v>0.0</v>
      </c>
      <c r="EQ15" s="218">
        <v>0.0</v>
      </c>
      <c r="ER15" s="218">
        <v>2.0</v>
      </c>
      <c r="ES15" s="218">
        <v>3.0</v>
      </c>
      <c r="ET15" s="218">
        <v>0.0</v>
      </c>
      <c r="EU15" s="218">
        <v>0.0</v>
      </c>
      <c r="EV15" s="218">
        <v>0.0</v>
      </c>
      <c r="EW15" s="218">
        <v>0.0</v>
      </c>
      <c r="EX15" s="218">
        <v>0.0</v>
      </c>
      <c r="EY15" s="218">
        <v>0.0</v>
      </c>
      <c r="EZ15" s="218">
        <v>1.0</v>
      </c>
      <c r="FA15" s="218">
        <v>0.0</v>
      </c>
      <c r="FB15" s="218">
        <v>0.0</v>
      </c>
      <c r="FC15" s="218">
        <v>0.0</v>
      </c>
      <c r="FD15" s="218">
        <v>0.0</v>
      </c>
      <c r="FE15" s="218">
        <v>0.0</v>
      </c>
      <c r="FF15" s="218">
        <v>0.0</v>
      </c>
      <c r="FG15" s="218">
        <v>0.0</v>
      </c>
      <c r="FH15" s="185">
        <f t="shared" si="22"/>
        <v>1</v>
      </c>
      <c r="FI15" s="185">
        <f t="shared" si="23"/>
        <v>1</v>
      </c>
      <c r="FJ15" s="221">
        <v>83.0</v>
      </c>
      <c r="FK15" s="221">
        <v>28.0</v>
      </c>
      <c r="FL15" s="221">
        <v>81.0</v>
      </c>
      <c r="FM15" s="221">
        <v>27.0</v>
      </c>
      <c r="FN15" s="210"/>
      <c r="FO15" s="210">
        <v>5.0</v>
      </c>
      <c r="FP15" s="188">
        <f t="shared" si="24"/>
        <v>5</v>
      </c>
      <c r="FQ15" s="211">
        <v>2.0</v>
      </c>
      <c r="FR15" s="212">
        <v>3.0</v>
      </c>
      <c r="FS15" s="206">
        <v>0.0</v>
      </c>
      <c r="FT15" s="207">
        <v>0.0</v>
      </c>
      <c r="FU15" s="207">
        <v>2.0</v>
      </c>
      <c r="FV15" s="207">
        <v>3.0</v>
      </c>
      <c r="FW15" s="207">
        <v>0.0</v>
      </c>
      <c r="FX15" s="207">
        <v>0.0</v>
      </c>
      <c r="FY15" s="207">
        <v>0.0</v>
      </c>
      <c r="FZ15" s="207">
        <v>0.0</v>
      </c>
      <c r="GA15" s="207">
        <v>0.0</v>
      </c>
      <c r="GB15" s="207">
        <v>0.0</v>
      </c>
      <c r="GC15" s="207">
        <v>0.0</v>
      </c>
      <c r="GD15" s="207">
        <v>0.0</v>
      </c>
      <c r="GE15" s="207">
        <v>0.0</v>
      </c>
      <c r="GF15" s="207">
        <v>0.0</v>
      </c>
      <c r="GG15" s="207">
        <v>0.0</v>
      </c>
      <c r="GH15" s="207">
        <v>0.0</v>
      </c>
      <c r="GI15" s="207">
        <v>0.0</v>
      </c>
      <c r="GJ15" s="207">
        <v>0.0</v>
      </c>
      <c r="GK15" s="212">
        <v>0.0</v>
      </c>
      <c r="GL15" s="212">
        <v>0.0</v>
      </c>
      <c r="GM15" s="207">
        <v>84.0</v>
      </c>
      <c r="GN15" s="207">
        <v>29.0</v>
      </c>
      <c r="GO15" s="213">
        <v>72.0</v>
      </c>
      <c r="GP15" s="213">
        <v>25.0</v>
      </c>
      <c r="GQ15" s="207"/>
      <c r="GR15" s="213">
        <v>4.0</v>
      </c>
      <c r="GS15" s="193">
        <v>1.0</v>
      </c>
      <c r="GT15" s="194">
        <f t="shared" si="25"/>
        <v>4</v>
      </c>
      <c r="GU15" s="194">
        <f t="shared" si="26"/>
        <v>1</v>
      </c>
      <c r="GV15" s="194">
        <f t="shared" si="27"/>
        <v>3</v>
      </c>
      <c r="GW15" s="207">
        <v>0.0</v>
      </c>
      <c r="GX15" s="207">
        <v>0.0</v>
      </c>
      <c r="GY15" s="207">
        <v>1.0</v>
      </c>
      <c r="GZ15" s="207">
        <v>3.0</v>
      </c>
      <c r="HA15" s="207">
        <v>0.0</v>
      </c>
      <c r="HB15" s="207">
        <v>0.0</v>
      </c>
      <c r="HC15" s="207">
        <v>0.0</v>
      </c>
      <c r="HD15" s="207">
        <v>0.0</v>
      </c>
      <c r="HE15" s="207">
        <v>0.0</v>
      </c>
      <c r="HF15" s="207">
        <v>0.0</v>
      </c>
      <c r="HG15" s="207">
        <v>1.0</v>
      </c>
      <c r="HH15" s="207">
        <v>1.0</v>
      </c>
      <c r="HI15" s="207">
        <v>0.0</v>
      </c>
      <c r="HJ15" s="207">
        <v>0.0</v>
      </c>
      <c r="HK15" s="207">
        <v>0.0</v>
      </c>
      <c r="HL15" s="207">
        <v>0.0</v>
      </c>
      <c r="HM15" s="207">
        <v>0.0</v>
      </c>
      <c r="HN15" s="207">
        <v>0.0</v>
      </c>
      <c r="HO15" s="222"/>
      <c r="HP15" s="222"/>
      <c r="HQ15" s="214"/>
      <c r="HR15" s="197"/>
      <c r="HS15" s="197"/>
      <c r="HT15" s="198">
        <f t="shared" si="28"/>
        <v>5</v>
      </c>
      <c r="HU15" s="198">
        <f t="shared" si="29"/>
        <v>7</v>
      </c>
      <c r="HV15" s="198">
        <f t="shared" si="30"/>
        <v>5</v>
      </c>
      <c r="HW15" s="198">
        <f t="shared" si="31"/>
        <v>5</v>
      </c>
      <c r="HX15" s="198">
        <f t="shared" si="32"/>
        <v>3</v>
      </c>
      <c r="HY15" s="198">
        <f t="shared" si="33"/>
        <v>3</v>
      </c>
      <c r="HZ15" s="198">
        <f t="shared" si="34"/>
        <v>2</v>
      </c>
      <c r="IA15" s="198">
        <f t="shared" si="35"/>
        <v>8</v>
      </c>
      <c r="IB15" s="198">
        <f t="shared" si="36"/>
        <v>6</v>
      </c>
      <c r="IC15" s="198">
        <f t="shared" si="37"/>
        <v>5</v>
      </c>
      <c r="ID15" s="198">
        <f t="shared" si="38"/>
        <v>5</v>
      </c>
      <c r="IE15" s="198">
        <f t="shared" si="39"/>
        <v>4</v>
      </c>
      <c r="IF15" s="197"/>
      <c r="IG15" s="197"/>
      <c r="IH15" s="197"/>
      <c r="II15" s="197"/>
      <c r="IJ15" s="197"/>
      <c r="IK15" s="197"/>
      <c r="IL15" s="197"/>
      <c r="IM15" s="197"/>
      <c r="IN15" s="197"/>
      <c r="IO15" s="197"/>
      <c r="IP15" s="197"/>
      <c r="IQ15" s="197"/>
      <c r="IR15" s="197"/>
      <c r="IS15" s="197"/>
      <c r="IT15" s="197"/>
      <c r="IU15" s="197"/>
      <c r="IV15" s="197"/>
      <c r="IW15" s="197"/>
      <c r="IX15" s="197"/>
      <c r="IY15" s="197"/>
      <c r="IZ15" s="197"/>
      <c r="JA15" s="199"/>
      <c r="JB15" s="200">
        <f t="shared" si="40"/>
        <v>5</v>
      </c>
      <c r="JC15" s="200">
        <f t="shared" si="41"/>
        <v>7</v>
      </c>
      <c r="JD15" s="200">
        <f t="shared" si="42"/>
        <v>5</v>
      </c>
      <c r="JE15" s="200">
        <f t="shared" si="43"/>
        <v>5</v>
      </c>
      <c r="JF15" s="200">
        <f t="shared" si="44"/>
        <v>3</v>
      </c>
      <c r="JG15" s="200">
        <f t="shared" si="45"/>
        <v>3</v>
      </c>
      <c r="JH15" s="200">
        <f t="shared" si="46"/>
        <v>2</v>
      </c>
      <c r="JI15" s="200">
        <f t="shared" si="47"/>
        <v>8</v>
      </c>
      <c r="JJ15" s="200">
        <f t="shared" si="48"/>
        <v>6</v>
      </c>
      <c r="JK15" s="200">
        <f t="shared" si="49"/>
        <v>6</v>
      </c>
      <c r="JL15" s="200">
        <f t="shared" si="50"/>
        <v>5</v>
      </c>
      <c r="JM15" s="200">
        <f t="shared" si="51"/>
        <v>4</v>
      </c>
      <c r="JN15" s="199"/>
      <c r="JO15" s="200">
        <f t="shared" si="52"/>
        <v>5</v>
      </c>
      <c r="JP15" s="202">
        <v>7.0</v>
      </c>
      <c r="JQ15" s="202">
        <v>5.0</v>
      </c>
      <c r="JR15" s="202">
        <v>5.0</v>
      </c>
      <c r="JS15" s="202">
        <v>3.0</v>
      </c>
      <c r="JT15" s="199"/>
      <c r="JU15" s="199"/>
      <c r="JV15" s="200">
        <f t="shared" ref="JV15:JX15" si="65">IA15-JI15</f>
        <v>0</v>
      </c>
      <c r="JW15" s="200">
        <f t="shared" si="65"/>
        <v>0</v>
      </c>
      <c r="JX15" s="200">
        <f t="shared" si="65"/>
        <v>-1</v>
      </c>
      <c r="JY15" s="199"/>
      <c r="JZ15" s="199"/>
      <c r="KA15" s="199"/>
      <c r="KB15" s="200">
        <f t="shared" ref="KB15:KM15" si="66">JB15-JO15</f>
        <v>0</v>
      </c>
      <c r="KC15" s="200">
        <f t="shared" si="66"/>
        <v>0</v>
      </c>
      <c r="KD15" s="200">
        <f t="shared" si="66"/>
        <v>0</v>
      </c>
      <c r="KE15" s="200">
        <f t="shared" si="66"/>
        <v>0</v>
      </c>
      <c r="KF15" s="200">
        <f t="shared" si="66"/>
        <v>0</v>
      </c>
      <c r="KG15" s="200">
        <f t="shared" si="66"/>
        <v>3</v>
      </c>
      <c r="KH15" s="200">
        <f t="shared" si="66"/>
        <v>2</v>
      </c>
      <c r="KI15" s="200">
        <f t="shared" si="66"/>
        <v>8</v>
      </c>
      <c r="KJ15" s="200">
        <f t="shared" si="66"/>
        <v>6</v>
      </c>
      <c r="KK15" s="200">
        <f t="shared" si="66"/>
        <v>7</v>
      </c>
      <c r="KL15" s="200">
        <f t="shared" si="66"/>
        <v>5</v>
      </c>
      <c r="KM15" s="200">
        <f t="shared" si="66"/>
        <v>4</v>
      </c>
      <c r="KN15" s="199"/>
      <c r="KO15" s="199"/>
      <c r="KP15" s="199"/>
      <c r="KQ15" s="199"/>
      <c r="KR15" s="199"/>
      <c r="KS15" s="199"/>
      <c r="KT15" s="199"/>
      <c r="KU15" s="199"/>
      <c r="KV15" s="199"/>
      <c r="KW15" s="199"/>
      <c r="KX15" s="199"/>
      <c r="KY15" s="199"/>
      <c r="KZ15" s="199"/>
      <c r="LA15" s="199"/>
      <c r="LB15" s="199"/>
      <c r="LC15" s="199"/>
      <c r="LD15" s="199"/>
      <c r="LE15" s="199"/>
      <c r="LF15" s="199"/>
      <c r="LG15" s="199"/>
    </row>
    <row r="16" ht="14.25" customHeight="1">
      <c r="A16" s="156">
        <v>9.0</v>
      </c>
      <c r="B16" s="157" t="s">
        <v>76</v>
      </c>
      <c r="C16" s="158">
        <v>3374130.0</v>
      </c>
      <c r="D16" s="158" t="s">
        <v>81</v>
      </c>
      <c r="E16" s="158" t="s">
        <v>87</v>
      </c>
      <c r="F16" s="159">
        <v>3.0</v>
      </c>
      <c r="G16" s="216">
        <v>99.0</v>
      </c>
      <c r="H16" s="160">
        <v>8.0</v>
      </c>
      <c r="I16" s="161">
        <v>0.0</v>
      </c>
      <c r="J16" s="161">
        <v>1.0</v>
      </c>
      <c r="K16" s="161">
        <v>0.0</v>
      </c>
      <c r="L16" s="161">
        <v>7.0</v>
      </c>
      <c r="M16" s="161">
        <v>4.0</v>
      </c>
      <c r="N16" s="161">
        <v>0.0</v>
      </c>
      <c r="O16" s="162">
        <f t="shared" si="3"/>
        <v>4</v>
      </c>
      <c r="P16" s="203">
        <v>12.0</v>
      </c>
      <c r="Q16" s="164">
        <v>1.0</v>
      </c>
      <c r="R16" s="164">
        <v>0.0</v>
      </c>
      <c r="S16" s="164">
        <v>1.0</v>
      </c>
      <c r="T16" s="165">
        <v>10.0</v>
      </c>
      <c r="U16" s="165">
        <v>4.0</v>
      </c>
      <c r="V16" s="165">
        <v>0.0</v>
      </c>
      <c r="W16" s="166">
        <f t="shared" si="4"/>
        <v>8</v>
      </c>
      <c r="X16" s="203">
        <v>10.0</v>
      </c>
      <c r="Y16" s="165">
        <v>1.0</v>
      </c>
      <c r="Z16" s="165">
        <v>0.0</v>
      </c>
      <c r="AA16" s="165">
        <v>2.0</v>
      </c>
      <c r="AB16" s="165">
        <v>7.0</v>
      </c>
      <c r="AC16" s="165">
        <v>1.0</v>
      </c>
      <c r="AD16" s="165">
        <v>3.0</v>
      </c>
      <c r="AE16" s="166">
        <f t="shared" si="5"/>
        <v>6</v>
      </c>
      <c r="AF16" s="167">
        <v>10.0</v>
      </c>
      <c r="AG16" s="165">
        <v>1.0</v>
      </c>
      <c r="AH16" s="165">
        <v>1.0</v>
      </c>
      <c r="AI16" s="165">
        <v>1.0</v>
      </c>
      <c r="AJ16" s="165">
        <v>7.0</v>
      </c>
      <c r="AK16" s="165">
        <v>1.0</v>
      </c>
      <c r="AL16" s="165">
        <v>1.0</v>
      </c>
      <c r="AM16" s="166">
        <f t="shared" si="6"/>
        <v>8</v>
      </c>
      <c r="AN16" s="167">
        <v>7.0</v>
      </c>
      <c r="AO16" s="165">
        <v>1.0</v>
      </c>
      <c r="AP16" s="165">
        <v>1.0</v>
      </c>
      <c r="AQ16" s="165">
        <v>1.0</v>
      </c>
      <c r="AR16" s="165">
        <v>4.0</v>
      </c>
      <c r="AS16" s="165">
        <v>0.0</v>
      </c>
      <c r="AT16" s="165">
        <v>3.0</v>
      </c>
      <c r="AU16" s="168">
        <f t="shared" si="7"/>
        <v>4</v>
      </c>
      <c r="AV16" s="169">
        <v>69.0</v>
      </c>
      <c r="AW16" s="204">
        <f t="shared" si="8"/>
        <v>6</v>
      </c>
      <c r="AX16" s="169">
        <v>0.0</v>
      </c>
      <c r="AY16" s="169">
        <v>1.0</v>
      </c>
      <c r="AZ16" s="169">
        <v>1.0</v>
      </c>
      <c r="BA16" s="169">
        <v>4.0</v>
      </c>
      <c r="BB16" s="169">
        <v>0.0</v>
      </c>
      <c r="BC16" s="169">
        <v>0.0</v>
      </c>
      <c r="BD16" s="169">
        <v>0.0</v>
      </c>
      <c r="BE16" s="169">
        <v>0.0</v>
      </c>
      <c r="BF16" s="169">
        <v>1.0</v>
      </c>
      <c r="BG16" s="169">
        <v>0.0</v>
      </c>
      <c r="BH16" s="169">
        <v>0.0</v>
      </c>
      <c r="BI16" s="169">
        <v>0.0</v>
      </c>
      <c r="BJ16" s="169">
        <v>0.0</v>
      </c>
      <c r="BK16" s="169">
        <v>0.0</v>
      </c>
      <c r="BL16" s="169">
        <v>0.0</v>
      </c>
      <c r="BM16" s="169">
        <v>0.0</v>
      </c>
      <c r="BN16" s="169">
        <v>0.0</v>
      </c>
      <c r="BO16" s="169">
        <v>0.0</v>
      </c>
      <c r="BP16" s="205">
        <f t="shared" si="9"/>
        <v>1</v>
      </c>
      <c r="BQ16" s="173">
        <v>66.0</v>
      </c>
      <c r="BR16" s="170">
        <f t="shared" si="10"/>
        <v>6</v>
      </c>
      <c r="BS16" s="173">
        <v>0.0</v>
      </c>
      <c r="BT16" s="173">
        <v>1.0</v>
      </c>
      <c r="BU16" s="173">
        <v>1.0</v>
      </c>
      <c r="BV16" s="173">
        <v>4.0</v>
      </c>
      <c r="BW16" s="173">
        <v>0.0</v>
      </c>
      <c r="BX16" s="173">
        <v>0.0</v>
      </c>
      <c r="BY16" s="173">
        <v>0.0</v>
      </c>
      <c r="BZ16" s="173">
        <v>0.0</v>
      </c>
      <c r="CA16" s="173">
        <v>0.0</v>
      </c>
      <c r="CB16" s="173">
        <v>0.0</v>
      </c>
      <c r="CC16" s="173">
        <v>0.0</v>
      </c>
      <c r="CD16" s="173">
        <v>0.0</v>
      </c>
      <c r="CE16" s="173">
        <v>0.0</v>
      </c>
      <c r="CF16" s="173">
        <v>0.0</v>
      </c>
      <c r="CG16" s="173">
        <v>0.0</v>
      </c>
      <c r="CH16" s="173">
        <v>0.0</v>
      </c>
      <c r="CI16" s="173">
        <v>0.0</v>
      </c>
      <c r="CJ16" s="173">
        <v>0.0</v>
      </c>
      <c r="CK16" s="172">
        <f t="shared" si="11"/>
        <v>0</v>
      </c>
      <c r="CL16" s="173">
        <v>66.0</v>
      </c>
      <c r="CM16" s="173">
        <v>33.0</v>
      </c>
      <c r="CN16" s="175">
        <f t="shared" si="12"/>
        <v>5</v>
      </c>
      <c r="CO16" s="173">
        <v>0.0</v>
      </c>
      <c r="CP16" s="173">
        <v>0.0</v>
      </c>
      <c r="CQ16" s="173">
        <v>1.0</v>
      </c>
      <c r="CR16" s="173">
        <v>4.0</v>
      </c>
      <c r="CS16" s="173">
        <v>0.0</v>
      </c>
      <c r="CT16" s="173">
        <v>0.0</v>
      </c>
      <c r="CU16" s="173">
        <v>0.0</v>
      </c>
      <c r="CV16" s="173">
        <v>0.0</v>
      </c>
      <c r="CW16" s="173">
        <v>0.0</v>
      </c>
      <c r="CX16" s="173">
        <v>0.0</v>
      </c>
      <c r="CY16" s="173">
        <v>0.0</v>
      </c>
      <c r="CZ16" s="173">
        <v>1.0</v>
      </c>
      <c r="DA16" s="173">
        <v>0.0</v>
      </c>
      <c r="DB16" s="173">
        <v>0.0</v>
      </c>
      <c r="DC16" s="173">
        <v>0.0</v>
      </c>
      <c r="DD16" s="173">
        <v>0.0</v>
      </c>
      <c r="DE16" s="173">
        <v>0.0</v>
      </c>
      <c r="DF16" s="173">
        <v>0.0</v>
      </c>
      <c r="DG16" s="176">
        <f t="shared" si="13"/>
        <v>1</v>
      </c>
      <c r="DH16" s="177">
        <v>63.0</v>
      </c>
      <c r="DI16" s="177">
        <v>26.0</v>
      </c>
      <c r="DJ16" s="178">
        <v>60.0</v>
      </c>
      <c r="DK16" s="178">
        <v>24.0</v>
      </c>
      <c r="DL16" s="179">
        <f t="shared" si="14"/>
        <v>4</v>
      </c>
      <c r="DM16" s="180">
        <f t="shared" si="15"/>
        <v>1</v>
      </c>
      <c r="DN16" s="180">
        <f t="shared" si="16"/>
        <v>3</v>
      </c>
      <c r="DO16" s="177">
        <v>0.0</v>
      </c>
      <c r="DP16" s="177">
        <v>0.0</v>
      </c>
      <c r="DQ16" s="177">
        <v>0.0</v>
      </c>
      <c r="DR16" s="177">
        <v>1.0</v>
      </c>
      <c r="DS16" s="177">
        <v>1.0</v>
      </c>
      <c r="DT16" s="177">
        <v>0.0</v>
      </c>
      <c r="DU16" s="177">
        <v>0.0</v>
      </c>
      <c r="DV16" s="177">
        <v>2.0</v>
      </c>
      <c r="DW16" s="177">
        <v>0.0</v>
      </c>
      <c r="DX16" s="177">
        <v>0.0</v>
      </c>
      <c r="DY16" s="177">
        <v>1.0</v>
      </c>
      <c r="DZ16" s="177">
        <v>3.0</v>
      </c>
      <c r="EA16" s="177">
        <v>0.0</v>
      </c>
      <c r="EB16" s="177">
        <v>0.0</v>
      </c>
      <c r="EC16" s="177">
        <v>0.0</v>
      </c>
      <c r="ED16" s="177">
        <v>0.0</v>
      </c>
      <c r="EE16" s="177">
        <v>0.0</v>
      </c>
      <c r="EF16" s="177">
        <v>0.0</v>
      </c>
      <c r="EG16" s="179">
        <f t="shared" si="17"/>
        <v>4</v>
      </c>
      <c r="EH16" s="179">
        <f t="shared" si="18"/>
        <v>1</v>
      </c>
      <c r="EI16" s="217">
        <v>60.0</v>
      </c>
      <c r="EJ16" s="218">
        <v>21.0</v>
      </c>
      <c r="EK16" s="219">
        <v>57.0</v>
      </c>
      <c r="EL16" s="220">
        <v>18.0</v>
      </c>
      <c r="EM16" s="185">
        <f t="shared" si="19"/>
        <v>0</v>
      </c>
      <c r="EN16" s="186">
        <f t="shared" si="20"/>
        <v>0</v>
      </c>
      <c r="EO16" s="186">
        <f t="shared" si="21"/>
        <v>0</v>
      </c>
      <c r="EP16" s="217">
        <v>0.0</v>
      </c>
      <c r="EQ16" s="218">
        <v>0.0</v>
      </c>
      <c r="ER16" s="218">
        <v>0.0</v>
      </c>
      <c r="ES16" s="218">
        <v>0.0</v>
      </c>
      <c r="ET16" s="218">
        <v>0.0</v>
      </c>
      <c r="EU16" s="218">
        <v>0.0</v>
      </c>
      <c r="EV16" s="218">
        <v>0.0</v>
      </c>
      <c r="EW16" s="218">
        <v>0.0</v>
      </c>
      <c r="EX16" s="218">
        <v>1.0</v>
      </c>
      <c r="EY16" s="218">
        <v>0.0</v>
      </c>
      <c r="EZ16" s="218">
        <v>0.0</v>
      </c>
      <c r="FA16" s="218">
        <v>2.0</v>
      </c>
      <c r="FB16" s="218">
        <v>0.0</v>
      </c>
      <c r="FC16" s="218">
        <v>0.0</v>
      </c>
      <c r="FD16" s="218">
        <v>0.0</v>
      </c>
      <c r="FE16" s="218">
        <v>0.0</v>
      </c>
      <c r="FF16" s="218">
        <v>1.0</v>
      </c>
      <c r="FG16" s="218">
        <v>0.0</v>
      </c>
      <c r="FH16" s="185">
        <f t="shared" si="22"/>
        <v>4</v>
      </c>
      <c r="FI16" s="185">
        <f t="shared" si="23"/>
        <v>1</v>
      </c>
      <c r="FJ16" s="221">
        <v>69.0</v>
      </c>
      <c r="FK16" s="221">
        <v>17.0</v>
      </c>
      <c r="FL16" s="221">
        <v>69.0</v>
      </c>
      <c r="FM16" s="221">
        <v>17.0</v>
      </c>
      <c r="FN16" s="210"/>
      <c r="FO16" s="210">
        <v>1.0</v>
      </c>
      <c r="FP16" s="188">
        <f t="shared" si="24"/>
        <v>1</v>
      </c>
      <c r="FQ16" s="211">
        <v>0.0</v>
      </c>
      <c r="FR16" s="212">
        <v>1.0</v>
      </c>
      <c r="FS16" s="206">
        <v>0.0</v>
      </c>
      <c r="FT16" s="207">
        <v>0.0</v>
      </c>
      <c r="FU16" s="207">
        <v>0.0</v>
      </c>
      <c r="FV16" s="207">
        <v>1.0</v>
      </c>
      <c r="FW16" s="207">
        <v>0.0</v>
      </c>
      <c r="FX16" s="207">
        <v>0.0</v>
      </c>
      <c r="FY16" s="207">
        <v>0.0</v>
      </c>
      <c r="FZ16" s="207">
        <v>0.0</v>
      </c>
      <c r="GA16" s="207">
        <v>0.0</v>
      </c>
      <c r="GB16" s="207">
        <v>0.0</v>
      </c>
      <c r="GC16" s="207">
        <v>0.0</v>
      </c>
      <c r="GD16" s="207">
        <v>0.0</v>
      </c>
      <c r="GE16" s="207">
        <v>0.0</v>
      </c>
      <c r="GF16" s="207">
        <v>0.0</v>
      </c>
      <c r="GG16" s="207">
        <v>0.0</v>
      </c>
      <c r="GH16" s="207">
        <v>0.0</v>
      </c>
      <c r="GI16" s="207">
        <v>0.0</v>
      </c>
      <c r="GJ16" s="207">
        <v>0.0</v>
      </c>
      <c r="GK16" s="212">
        <v>0.0</v>
      </c>
      <c r="GL16" s="212">
        <v>0.0</v>
      </c>
      <c r="GM16" s="207">
        <v>74.0</v>
      </c>
      <c r="GN16" s="207">
        <v>19.0</v>
      </c>
      <c r="GO16" s="213">
        <v>73.0</v>
      </c>
      <c r="GP16" s="213">
        <v>19.0</v>
      </c>
      <c r="GQ16" s="207"/>
      <c r="GR16" s="213">
        <v>1.0</v>
      </c>
      <c r="GS16" s="193">
        <v>0.0</v>
      </c>
      <c r="GT16" s="194">
        <f t="shared" si="25"/>
        <v>1</v>
      </c>
      <c r="GU16" s="194">
        <f t="shared" si="26"/>
        <v>0</v>
      </c>
      <c r="GV16" s="194">
        <f t="shared" si="27"/>
        <v>1</v>
      </c>
      <c r="GW16" s="207">
        <v>0.0</v>
      </c>
      <c r="GX16" s="207">
        <v>0.0</v>
      </c>
      <c r="GY16" s="207">
        <v>0.0</v>
      </c>
      <c r="GZ16" s="207">
        <v>1.0</v>
      </c>
      <c r="HA16" s="207">
        <v>0.0</v>
      </c>
      <c r="HB16" s="207">
        <v>0.0</v>
      </c>
      <c r="HC16" s="207">
        <v>0.0</v>
      </c>
      <c r="HD16" s="207">
        <v>0.0</v>
      </c>
      <c r="HE16" s="207">
        <v>0.0</v>
      </c>
      <c r="HF16" s="207">
        <v>0.0</v>
      </c>
      <c r="HG16" s="207">
        <v>0.0</v>
      </c>
      <c r="HH16" s="207">
        <v>0.0</v>
      </c>
      <c r="HI16" s="207">
        <v>0.0</v>
      </c>
      <c r="HJ16" s="207">
        <v>0.0</v>
      </c>
      <c r="HK16" s="207">
        <v>0.0</v>
      </c>
      <c r="HL16" s="207">
        <v>0.0</v>
      </c>
      <c r="HM16" s="207">
        <v>0.0</v>
      </c>
      <c r="HN16" s="207">
        <v>0.0</v>
      </c>
      <c r="HO16" s="222"/>
      <c r="HP16" s="222"/>
      <c r="HQ16" s="214"/>
      <c r="HR16" s="197"/>
      <c r="HS16" s="197"/>
      <c r="HT16" s="198">
        <f t="shared" si="28"/>
        <v>8</v>
      </c>
      <c r="HU16" s="198">
        <f t="shared" si="29"/>
        <v>12</v>
      </c>
      <c r="HV16" s="198">
        <f t="shared" si="30"/>
        <v>10</v>
      </c>
      <c r="HW16" s="198">
        <f t="shared" si="31"/>
        <v>10</v>
      </c>
      <c r="HX16" s="198">
        <f t="shared" si="32"/>
        <v>7</v>
      </c>
      <c r="HY16" s="198">
        <f t="shared" si="33"/>
        <v>6</v>
      </c>
      <c r="HZ16" s="198">
        <f t="shared" si="34"/>
        <v>6</v>
      </c>
      <c r="IA16" s="198">
        <f t="shared" si="35"/>
        <v>5</v>
      </c>
      <c r="IB16" s="198">
        <f t="shared" si="36"/>
        <v>4</v>
      </c>
      <c r="IC16" s="198">
        <f t="shared" si="37"/>
        <v>0</v>
      </c>
      <c r="ID16" s="198">
        <f t="shared" si="38"/>
        <v>1</v>
      </c>
      <c r="IE16" s="198">
        <f t="shared" si="39"/>
        <v>1</v>
      </c>
      <c r="IF16" s="197"/>
      <c r="IG16" s="197"/>
      <c r="IH16" s="197"/>
      <c r="II16" s="197"/>
      <c r="IJ16" s="197"/>
      <c r="IK16" s="197"/>
      <c r="IL16" s="197"/>
      <c r="IM16" s="197"/>
      <c r="IN16" s="197"/>
      <c r="IO16" s="197"/>
      <c r="IP16" s="197"/>
      <c r="IQ16" s="197"/>
      <c r="IR16" s="197"/>
      <c r="IS16" s="197"/>
      <c r="IT16" s="197"/>
      <c r="IU16" s="197"/>
      <c r="IV16" s="197"/>
      <c r="IW16" s="197"/>
      <c r="IX16" s="197"/>
      <c r="IY16" s="197"/>
      <c r="IZ16" s="197"/>
      <c r="JA16" s="199"/>
      <c r="JB16" s="200">
        <f t="shared" si="40"/>
        <v>8</v>
      </c>
      <c r="JC16" s="200">
        <f t="shared" si="41"/>
        <v>12</v>
      </c>
      <c r="JD16" s="200">
        <f t="shared" si="42"/>
        <v>10</v>
      </c>
      <c r="JE16" s="200">
        <f t="shared" si="43"/>
        <v>10</v>
      </c>
      <c r="JF16" s="200">
        <f t="shared" si="44"/>
        <v>7</v>
      </c>
      <c r="JG16" s="200">
        <f t="shared" si="45"/>
        <v>6</v>
      </c>
      <c r="JH16" s="200">
        <f t="shared" si="46"/>
        <v>6</v>
      </c>
      <c r="JI16" s="200">
        <f t="shared" si="47"/>
        <v>5</v>
      </c>
      <c r="JJ16" s="200">
        <f t="shared" si="48"/>
        <v>4</v>
      </c>
      <c r="JK16" s="200">
        <f t="shared" si="49"/>
        <v>3</v>
      </c>
      <c r="JL16" s="200">
        <f t="shared" si="50"/>
        <v>1</v>
      </c>
      <c r="JM16" s="200">
        <f t="shared" si="51"/>
        <v>1</v>
      </c>
      <c r="JN16" s="199"/>
      <c r="JO16" s="200">
        <f t="shared" si="52"/>
        <v>8</v>
      </c>
      <c r="JP16" s="202">
        <v>12.0</v>
      </c>
      <c r="JQ16" s="202">
        <v>10.0</v>
      </c>
      <c r="JR16" s="202">
        <v>10.0</v>
      </c>
      <c r="JS16" s="202">
        <v>7.0</v>
      </c>
      <c r="JT16" s="199"/>
      <c r="JU16" s="199"/>
      <c r="JV16" s="200">
        <f t="shared" ref="JV16:JX16" si="67">IA16-JI16</f>
        <v>0</v>
      </c>
      <c r="JW16" s="200">
        <f t="shared" si="67"/>
        <v>0</v>
      </c>
      <c r="JX16" s="200">
        <f t="shared" si="67"/>
        <v>-3</v>
      </c>
      <c r="JY16" s="199"/>
      <c r="JZ16" s="199"/>
      <c r="KA16" s="199"/>
      <c r="KB16" s="200">
        <f t="shared" ref="KB16:KM16" si="68">JB16-JO16</f>
        <v>0</v>
      </c>
      <c r="KC16" s="200">
        <f t="shared" si="68"/>
        <v>0</v>
      </c>
      <c r="KD16" s="200">
        <f t="shared" si="68"/>
        <v>0</v>
      </c>
      <c r="KE16" s="200">
        <f t="shared" si="68"/>
        <v>0</v>
      </c>
      <c r="KF16" s="200">
        <f t="shared" si="68"/>
        <v>0</v>
      </c>
      <c r="KG16" s="200">
        <f t="shared" si="68"/>
        <v>6</v>
      </c>
      <c r="KH16" s="200">
        <f t="shared" si="68"/>
        <v>6</v>
      </c>
      <c r="KI16" s="200">
        <f t="shared" si="68"/>
        <v>5</v>
      </c>
      <c r="KJ16" s="200">
        <f t="shared" si="68"/>
        <v>4</v>
      </c>
      <c r="KK16" s="200">
        <f t="shared" si="68"/>
        <v>6</v>
      </c>
      <c r="KL16" s="200">
        <f t="shared" si="68"/>
        <v>1</v>
      </c>
      <c r="KM16" s="200">
        <f t="shared" si="68"/>
        <v>1</v>
      </c>
      <c r="KN16" s="199"/>
      <c r="KO16" s="199"/>
      <c r="KP16" s="199"/>
      <c r="KQ16" s="199"/>
      <c r="KR16" s="199"/>
      <c r="KS16" s="199"/>
      <c r="KT16" s="199"/>
      <c r="KU16" s="199"/>
      <c r="KV16" s="199"/>
      <c r="KW16" s="199"/>
      <c r="KX16" s="199"/>
      <c r="KY16" s="199"/>
      <c r="KZ16" s="199"/>
      <c r="LA16" s="199"/>
      <c r="LB16" s="199"/>
      <c r="LC16" s="199"/>
      <c r="LD16" s="199"/>
      <c r="LE16" s="199"/>
      <c r="LF16" s="199"/>
      <c r="LG16" s="199"/>
    </row>
    <row r="17" ht="14.25" customHeight="1">
      <c r="A17" s="156">
        <v>10.0</v>
      </c>
      <c r="B17" s="157" t="s">
        <v>76</v>
      </c>
      <c r="C17" s="158">
        <v>3374130.0</v>
      </c>
      <c r="D17" s="158" t="s">
        <v>81</v>
      </c>
      <c r="E17" s="158" t="s">
        <v>88</v>
      </c>
      <c r="F17" s="159">
        <v>3.0</v>
      </c>
      <c r="G17" s="216">
        <v>119.0</v>
      </c>
      <c r="H17" s="160">
        <v>8.0</v>
      </c>
      <c r="I17" s="161">
        <v>0.0</v>
      </c>
      <c r="J17" s="161">
        <v>0.0</v>
      </c>
      <c r="K17" s="161">
        <v>0.0</v>
      </c>
      <c r="L17" s="161">
        <v>8.0</v>
      </c>
      <c r="M17" s="161">
        <v>3.0</v>
      </c>
      <c r="N17" s="161">
        <v>0.0</v>
      </c>
      <c r="O17" s="162">
        <f t="shared" si="3"/>
        <v>5</v>
      </c>
      <c r="P17" s="203">
        <v>8.0</v>
      </c>
      <c r="Q17" s="164">
        <v>0.0</v>
      </c>
      <c r="R17" s="164">
        <v>0.0</v>
      </c>
      <c r="S17" s="164">
        <v>0.0</v>
      </c>
      <c r="T17" s="165">
        <v>8.0</v>
      </c>
      <c r="U17" s="165">
        <v>5.0</v>
      </c>
      <c r="V17" s="165">
        <v>3.0</v>
      </c>
      <c r="W17" s="166">
        <f t="shared" si="4"/>
        <v>0</v>
      </c>
      <c r="X17" s="203">
        <v>10.0</v>
      </c>
      <c r="Y17" s="165">
        <v>1.0</v>
      </c>
      <c r="Z17" s="165">
        <v>0.0</v>
      </c>
      <c r="AA17" s="165">
        <v>1.0</v>
      </c>
      <c r="AB17" s="165">
        <v>8.0</v>
      </c>
      <c r="AC17" s="165">
        <v>1.0</v>
      </c>
      <c r="AD17" s="165">
        <v>1.0</v>
      </c>
      <c r="AE17" s="166">
        <f t="shared" si="5"/>
        <v>8</v>
      </c>
      <c r="AF17" s="167">
        <v>10.0</v>
      </c>
      <c r="AG17" s="165">
        <v>0.0</v>
      </c>
      <c r="AH17" s="165">
        <v>1.0</v>
      </c>
      <c r="AI17" s="165">
        <v>1.0</v>
      </c>
      <c r="AJ17" s="165">
        <v>8.0</v>
      </c>
      <c r="AK17" s="165">
        <v>0.0</v>
      </c>
      <c r="AL17" s="165">
        <v>0.0</v>
      </c>
      <c r="AM17" s="166">
        <f t="shared" si="6"/>
        <v>10</v>
      </c>
      <c r="AN17" s="167">
        <v>10.0</v>
      </c>
      <c r="AO17" s="165">
        <v>0.0</v>
      </c>
      <c r="AP17" s="165">
        <v>1.0</v>
      </c>
      <c r="AQ17" s="165">
        <v>0.0</v>
      </c>
      <c r="AR17" s="165">
        <v>9.0</v>
      </c>
      <c r="AS17" s="165">
        <v>0.0</v>
      </c>
      <c r="AT17" s="165">
        <v>0.0</v>
      </c>
      <c r="AU17" s="168">
        <f t="shared" si="7"/>
        <v>10</v>
      </c>
      <c r="AV17" s="169">
        <v>95.0</v>
      </c>
      <c r="AW17" s="204">
        <f t="shared" si="8"/>
        <v>11</v>
      </c>
      <c r="AX17" s="169">
        <v>0.0</v>
      </c>
      <c r="AY17" s="169">
        <v>1.0</v>
      </c>
      <c r="AZ17" s="169">
        <v>0.0</v>
      </c>
      <c r="BA17" s="169">
        <v>9.0</v>
      </c>
      <c r="BB17" s="169">
        <v>0.0</v>
      </c>
      <c r="BC17" s="169">
        <v>1.0</v>
      </c>
      <c r="BD17" s="169">
        <v>0.0</v>
      </c>
      <c r="BE17" s="169">
        <v>0.0</v>
      </c>
      <c r="BF17" s="169">
        <v>0.0</v>
      </c>
      <c r="BG17" s="169">
        <v>0.0</v>
      </c>
      <c r="BH17" s="169">
        <v>0.0</v>
      </c>
      <c r="BI17" s="169">
        <v>0.0</v>
      </c>
      <c r="BJ17" s="169">
        <v>0.0</v>
      </c>
      <c r="BK17" s="169">
        <v>0.0</v>
      </c>
      <c r="BL17" s="169">
        <v>0.0</v>
      </c>
      <c r="BM17" s="169">
        <v>0.0</v>
      </c>
      <c r="BN17" s="169">
        <v>0.0</v>
      </c>
      <c r="BO17" s="169">
        <v>0.0</v>
      </c>
      <c r="BP17" s="205">
        <f t="shared" si="9"/>
        <v>0</v>
      </c>
      <c r="BQ17" s="173">
        <v>95.0</v>
      </c>
      <c r="BR17" s="170">
        <f t="shared" si="10"/>
        <v>7</v>
      </c>
      <c r="BS17" s="173">
        <v>0.0</v>
      </c>
      <c r="BT17" s="173">
        <v>1.0</v>
      </c>
      <c r="BU17" s="173">
        <v>0.0</v>
      </c>
      <c r="BV17" s="173">
        <v>6.0</v>
      </c>
      <c r="BW17" s="173">
        <v>0.0</v>
      </c>
      <c r="BX17" s="173">
        <v>0.0</v>
      </c>
      <c r="BY17" s="173">
        <v>0.0</v>
      </c>
      <c r="BZ17" s="173">
        <v>0.0</v>
      </c>
      <c r="CA17" s="173">
        <v>0.0</v>
      </c>
      <c r="CB17" s="173">
        <v>0.0</v>
      </c>
      <c r="CC17" s="173">
        <v>0.0</v>
      </c>
      <c r="CD17" s="173">
        <v>3.0</v>
      </c>
      <c r="CE17" s="173">
        <v>0.0</v>
      </c>
      <c r="CF17" s="173">
        <v>0.0</v>
      </c>
      <c r="CG17" s="173">
        <v>0.0</v>
      </c>
      <c r="CH17" s="173">
        <v>0.0</v>
      </c>
      <c r="CI17" s="173">
        <v>0.0</v>
      </c>
      <c r="CJ17" s="173">
        <v>0.0</v>
      </c>
      <c r="CK17" s="172">
        <f t="shared" si="11"/>
        <v>3</v>
      </c>
      <c r="CL17" s="173">
        <v>87.0</v>
      </c>
      <c r="CM17" s="173">
        <v>26.0</v>
      </c>
      <c r="CN17" s="175">
        <f t="shared" si="12"/>
        <v>6</v>
      </c>
      <c r="CO17" s="173">
        <v>0.0</v>
      </c>
      <c r="CP17" s="173">
        <v>1.0</v>
      </c>
      <c r="CQ17" s="173">
        <v>0.0</v>
      </c>
      <c r="CR17" s="173">
        <v>5.0</v>
      </c>
      <c r="CS17" s="173">
        <v>0.0</v>
      </c>
      <c r="CT17" s="173">
        <v>0.0</v>
      </c>
      <c r="CU17" s="173">
        <v>0.0</v>
      </c>
      <c r="CV17" s="173">
        <v>0.0</v>
      </c>
      <c r="CW17" s="173">
        <v>0.0</v>
      </c>
      <c r="CX17" s="173">
        <v>0.0</v>
      </c>
      <c r="CY17" s="173">
        <v>0.0</v>
      </c>
      <c r="CZ17" s="173">
        <v>1.0</v>
      </c>
      <c r="DA17" s="173">
        <v>0.0</v>
      </c>
      <c r="DB17" s="173">
        <v>0.0</v>
      </c>
      <c r="DC17" s="173">
        <v>0.0</v>
      </c>
      <c r="DD17" s="173">
        <v>0.0</v>
      </c>
      <c r="DE17" s="173">
        <v>0.0</v>
      </c>
      <c r="DF17" s="173">
        <v>0.0</v>
      </c>
      <c r="DG17" s="176">
        <f t="shared" si="13"/>
        <v>1</v>
      </c>
      <c r="DH17" s="177">
        <v>78.0</v>
      </c>
      <c r="DI17" s="177">
        <v>24.0</v>
      </c>
      <c r="DJ17" s="178">
        <v>76.0</v>
      </c>
      <c r="DK17" s="178">
        <v>21.0</v>
      </c>
      <c r="DL17" s="179">
        <f t="shared" si="14"/>
        <v>4</v>
      </c>
      <c r="DM17" s="180">
        <f t="shared" si="15"/>
        <v>1</v>
      </c>
      <c r="DN17" s="180">
        <f t="shared" si="16"/>
        <v>3</v>
      </c>
      <c r="DO17" s="177">
        <v>0.0</v>
      </c>
      <c r="DP17" s="177">
        <v>0.0</v>
      </c>
      <c r="DQ17" s="177">
        <v>0.0</v>
      </c>
      <c r="DR17" s="177">
        <v>3.0</v>
      </c>
      <c r="DS17" s="177">
        <v>0.0</v>
      </c>
      <c r="DT17" s="177">
        <v>0.0</v>
      </c>
      <c r="DU17" s="177">
        <v>1.0</v>
      </c>
      <c r="DV17" s="177">
        <v>0.0</v>
      </c>
      <c r="DW17" s="177">
        <v>0.0</v>
      </c>
      <c r="DX17" s="177">
        <v>1.0</v>
      </c>
      <c r="DY17" s="177">
        <v>0.0</v>
      </c>
      <c r="DZ17" s="177">
        <v>2.0</v>
      </c>
      <c r="EA17" s="177">
        <v>0.0</v>
      </c>
      <c r="EB17" s="177">
        <v>0.0</v>
      </c>
      <c r="EC17" s="177">
        <v>0.0</v>
      </c>
      <c r="ED17" s="177">
        <v>0.0</v>
      </c>
      <c r="EE17" s="177">
        <v>0.0</v>
      </c>
      <c r="EF17" s="177">
        <v>0.0</v>
      </c>
      <c r="EG17" s="179">
        <f t="shared" si="17"/>
        <v>3</v>
      </c>
      <c r="EH17" s="179">
        <f t="shared" si="18"/>
        <v>1</v>
      </c>
      <c r="EI17" s="217">
        <v>81.0</v>
      </c>
      <c r="EJ17" s="218">
        <v>20.0</v>
      </c>
      <c r="EK17" s="219">
        <v>78.0</v>
      </c>
      <c r="EL17" s="220">
        <v>20.0</v>
      </c>
      <c r="EM17" s="185">
        <f t="shared" si="19"/>
        <v>4</v>
      </c>
      <c r="EN17" s="186">
        <f t="shared" si="20"/>
        <v>1</v>
      </c>
      <c r="EO17" s="186">
        <f t="shared" si="21"/>
        <v>3</v>
      </c>
      <c r="EP17" s="217">
        <v>0.0</v>
      </c>
      <c r="EQ17" s="218">
        <v>0.0</v>
      </c>
      <c r="ER17" s="218">
        <v>1.0</v>
      </c>
      <c r="ES17" s="218">
        <v>3.0</v>
      </c>
      <c r="ET17" s="218">
        <v>0.0</v>
      </c>
      <c r="EU17" s="218">
        <v>0.0</v>
      </c>
      <c r="EV17" s="218">
        <v>0.0</v>
      </c>
      <c r="EW17" s="218">
        <v>0.0</v>
      </c>
      <c r="EX17" s="218">
        <v>0.0</v>
      </c>
      <c r="EY17" s="218">
        <v>0.0</v>
      </c>
      <c r="EZ17" s="218">
        <v>0.0</v>
      </c>
      <c r="FA17" s="218">
        <v>0.0</v>
      </c>
      <c r="FB17" s="218">
        <v>0.0</v>
      </c>
      <c r="FC17" s="218">
        <v>0.0</v>
      </c>
      <c r="FD17" s="218">
        <v>0.0</v>
      </c>
      <c r="FE17" s="218">
        <v>0.0</v>
      </c>
      <c r="FF17" s="218">
        <v>0.0</v>
      </c>
      <c r="FG17" s="218">
        <v>0.0</v>
      </c>
      <c r="FH17" s="185">
        <f t="shared" si="22"/>
        <v>0</v>
      </c>
      <c r="FI17" s="185">
        <f t="shared" si="23"/>
        <v>0</v>
      </c>
      <c r="FJ17" s="221">
        <v>77.0</v>
      </c>
      <c r="FK17" s="221">
        <v>12.0</v>
      </c>
      <c r="FL17" s="221">
        <v>72.0</v>
      </c>
      <c r="FM17" s="221">
        <v>11.0</v>
      </c>
      <c r="FN17" s="210"/>
      <c r="FO17" s="210">
        <v>3.0</v>
      </c>
      <c r="FP17" s="188">
        <f t="shared" si="24"/>
        <v>3</v>
      </c>
      <c r="FQ17" s="211">
        <v>1.0</v>
      </c>
      <c r="FR17" s="212">
        <v>2.0</v>
      </c>
      <c r="FS17" s="206">
        <v>0.0</v>
      </c>
      <c r="FT17" s="207">
        <v>0.0</v>
      </c>
      <c r="FU17" s="207">
        <v>1.0</v>
      </c>
      <c r="FV17" s="207">
        <v>2.0</v>
      </c>
      <c r="FW17" s="207">
        <v>0.0</v>
      </c>
      <c r="FX17" s="207">
        <v>0.0</v>
      </c>
      <c r="FY17" s="207">
        <v>0.0</v>
      </c>
      <c r="FZ17" s="207">
        <v>0.0</v>
      </c>
      <c r="GA17" s="207">
        <v>0.0</v>
      </c>
      <c r="GB17" s="207">
        <v>0.0</v>
      </c>
      <c r="GC17" s="207">
        <v>0.0</v>
      </c>
      <c r="GD17" s="207">
        <v>1.0</v>
      </c>
      <c r="GE17" s="207">
        <v>0.0</v>
      </c>
      <c r="GF17" s="207">
        <v>0.0</v>
      </c>
      <c r="GG17" s="207">
        <v>0.0</v>
      </c>
      <c r="GH17" s="207">
        <v>0.0</v>
      </c>
      <c r="GI17" s="207">
        <v>0.0</v>
      </c>
      <c r="GJ17" s="207">
        <v>0.0</v>
      </c>
      <c r="GK17" s="212">
        <v>1.0</v>
      </c>
      <c r="GL17" s="212">
        <v>0.0</v>
      </c>
      <c r="GM17" s="207">
        <v>77.0</v>
      </c>
      <c r="GN17" s="207">
        <v>11.0</v>
      </c>
      <c r="GO17" s="213">
        <v>58.0</v>
      </c>
      <c r="GP17" s="213">
        <v>10.0</v>
      </c>
      <c r="GQ17" s="207"/>
      <c r="GR17" s="213">
        <v>4.0</v>
      </c>
      <c r="GS17" s="193">
        <v>1.0</v>
      </c>
      <c r="GT17" s="194">
        <f t="shared" si="25"/>
        <v>4</v>
      </c>
      <c r="GU17" s="194">
        <f t="shared" si="26"/>
        <v>1</v>
      </c>
      <c r="GV17" s="194">
        <f t="shared" si="27"/>
        <v>3</v>
      </c>
      <c r="GW17" s="207">
        <v>0.0</v>
      </c>
      <c r="GX17" s="207">
        <v>0.0</v>
      </c>
      <c r="GY17" s="207">
        <v>1.0</v>
      </c>
      <c r="GZ17" s="207">
        <v>3.0</v>
      </c>
      <c r="HA17" s="207">
        <v>0.0</v>
      </c>
      <c r="HB17" s="207">
        <v>0.0</v>
      </c>
      <c r="HC17" s="207">
        <v>0.0</v>
      </c>
      <c r="HD17" s="207">
        <v>0.0</v>
      </c>
      <c r="HE17" s="207">
        <v>0.0</v>
      </c>
      <c r="HF17" s="207">
        <v>0.0</v>
      </c>
      <c r="HG17" s="207">
        <v>0.0</v>
      </c>
      <c r="HH17" s="207">
        <v>0.0</v>
      </c>
      <c r="HI17" s="207">
        <v>0.0</v>
      </c>
      <c r="HJ17" s="207">
        <v>0.0</v>
      </c>
      <c r="HK17" s="207">
        <v>0.0</v>
      </c>
      <c r="HL17" s="207">
        <v>0.0</v>
      </c>
      <c r="HM17" s="207">
        <v>0.0</v>
      </c>
      <c r="HN17" s="207">
        <v>0.0</v>
      </c>
      <c r="HO17" s="222"/>
      <c r="HP17" s="222"/>
      <c r="HQ17" s="214"/>
      <c r="HR17" s="197"/>
      <c r="HS17" s="197"/>
      <c r="HT17" s="198">
        <f t="shared" si="28"/>
        <v>8</v>
      </c>
      <c r="HU17" s="198">
        <f t="shared" si="29"/>
        <v>8</v>
      </c>
      <c r="HV17" s="198">
        <f t="shared" si="30"/>
        <v>10</v>
      </c>
      <c r="HW17" s="198">
        <f t="shared" si="31"/>
        <v>10</v>
      </c>
      <c r="HX17" s="198">
        <f t="shared" si="32"/>
        <v>10</v>
      </c>
      <c r="HY17" s="198">
        <f t="shared" si="33"/>
        <v>11</v>
      </c>
      <c r="HZ17" s="198">
        <f t="shared" si="34"/>
        <v>7</v>
      </c>
      <c r="IA17" s="198">
        <f t="shared" si="35"/>
        <v>6</v>
      </c>
      <c r="IB17" s="198">
        <f t="shared" si="36"/>
        <v>4</v>
      </c>
      <c r="IC17" s="198">
        <f t="shared" si="37"/>
        <v>4</v>
      </c>
      <c r="ID17" s="198">
        <f t="shared" si="38"/>
        <v>3</v>
      </c>
      <c r="IE17" s="198">
        <f t="shared" si="39"/>
        <v>4</v>
      </c>
      <c r="IF17" s="197"/>
      <c r="IG17" s="197"/>
      <c r="IH17" s="197"/>
      <c r="II17" s="197"/>
      <c r="IJ17" s="197"/>
      <c r="IK17" s="197"/>
      <c r="IL17" s="197"/>
      <c r="IM17" s="197"/>
      <c r="IN17" s="197"/>
      <c r="IO17" s="197"/>
      <c r="IP17" s="197"/>
      <c r="IQ17" s="197"/>
      <c r="IR17" s="197"/>
      <c r="IS17" s="197"/>
      <c r="IT17" s="197"/>
      <c r="IU17" s="197"/>
      <c r="IV17" s="197"/>
      <c r="IW17" s="197"/>
      <c r="IX17" s="197"/>
      <c r="IY17" s="197"/>
      <c r="IZ17" s="197"/>
      <c r="JA17" s="199"/>
      <c r="JB17" s="200">
        <f t="shared" si="40"/>
        <v>8</v>
      </c>
      <c r="JC17" s="200">
        <f t="shared" si="41"/>
        <v>8</v>
      </c>
      <c r="JD17" s="200">
        <f t="shared" si="42"/>
        <v>10</v>
      </c>
      <c r="JE17" s="200">
        <f t="shared" si="43"/>
        <v>10</v>
      </c>
      <c r="JF17" s="200">
        <f t="shared" si="44"/>
        <v>10</v>
      </c>
      <c r="JG17" s="200">
        <f t="shared" si="45"/>
        <v>11</v>
      </c>
      <c r="JH17" s="200">
        <f t="shared" si="46"/>
        <v>7</v>
      </c>
      <c r="JI17" s="200">
        <f t="shared" si="47"/>
        <v>6</v>
      </c>
      <c r="JJ17" s="200">
        <f t="shared" si="48"/>
        <v>4</v>
      </c>
      <c r="JK17" s="200">
        <f t="shared" si="49"/>
        <v>4</v>
      </c>
      <c r="JL17" s="200">
        <f t="shared" si="50"/>
        <v>3</v>
      </c>
      <c r="JM17" s="200">
        <f t="shared" si="51"/>
        <v>4</v>
      </c>
      <c r="JN17" s="199"/>
      <c r="JO17" s="200">
        <f t="shared" si="52"/>
        <v>8</v>
      </c>
      <c r="JP17" s="202">
        <v>8.0</v>
      </c>
      <c r="JQ17" s="202">
        <v>10.0</v>
      </c>
      <c r="JR17" s="202">
        <v>10.0</v>
      </c>
      <c r="JS17" s="202">
        <v>10.0</v>
      </c>
      <c r="JT17" s="199"/>
      <c r="JU17" s="199"/>
      <c r="JV17" s="200">
        <f t="shared" ref="JV17:JX17" si="69">IA17-JI17</f>
        <v>0</v>
      </c>
      <c r="JW17" s="200">
        <f t="shared" si="69"/>
        <v>0</v>
      </c>
      <c r="JX17" s="200">
        <f t="shared" si="69"/>
        <v>0</v>
      </c>
      <c r="JY17" s="199"/>
      <c r="JZ17" s="199"/>
      <c r="KA17" s="199"/>
      <c r="KB17" s="200">
        <f t="shared" ref="KB17:KM17" si="70">JB17-JO17</f>
        <v>0</v>
      </c>
      <c r="KC17" s="200">
        <f t="shared" si="70"/>
        <v>0</v>
      </c>
      <c r="KD17" s="200">
        <f t="shared" si="70"/>
        <v>0</v>
      </c>
      <c r="KE17" s="200">
        <f t="shared" si="70"/>
        <v>0</v>
      </c>
      <c r="KF17" s="200">
        <f t="shared" si="70"/>
        <v>0</v>
      </c>
      <c r="KG17" s="200">
        <f t="shared" si="70"/>
        <v>11</v>
      </c>
      <c r="KH17" s="200">
        <f t="shared" si="70"/>
        <v>7</v>
      </c>
      <c r="KI17" s="200">
        <f t="shared" si="70"/>
        <v>6</v>
      </c>
      <c r="KJ17" s="200">
        <f t="shared" si="70"/>
        <v>4</v>
      </c>
      <c r="KK17" s="200">
        <f t="shared" si="70"/>
        <v>4</v>
      </c>
      <c r="KL17" s="200">
        <f t="shared" si="70"/>
        <v>3</v>
      </c>
      <c r="KM17" s="200">
        <f t="shared" si="70"/>
        <v>4</v>
      </c>
      <c r="KN17" s="199"/>
      <c r="KO17" s="199"/>
      <c r="KP17" s="199"/>
      <c r="KQ17" s="199"/>
      <c r="KR17" s="199"/>
      <c r="KS17" s="199"/>
      <c r="KT17" s="199"/>
      <c r="KU17" s="199"/>
      <c r="KV17" s="199"/>
      <c r="KW17" s="199"/>
      <c r="KX17" s="199"/>
      <c r="KY17" s="199"/>
      <c r="KZ17" s="199"/>
      <c r="LA17" s="199"/>
      <c r="LB17" s="199"/>
      <c r="LC17" s="199"/>
      <c r="LD17" s="199"/>
      <c r="LE17" s="199"/>
      <c r="LF17" s="199"/>
      <c r="LG17" s="199"/>
    </row>
    <row r="18" ht="14.25" customHeight="1">
      <c r="A18" s="156">
        <v>11.0</v>
      </c>
      <c r="B18" s="157" t="s">
        <v>76</v>
      </c>
      <c r="C18" s="158">
        <v>3374130.0</v>
      </c>
      <c r="D18" s="158" t="s">
        <v>81</v>
      </c>
      <c r="E18" s="158" t="s">
        <v>89</v>
      </c>
      <c r="F18" s="159">
        <v>6.0</v>
      </c>
      <c r="G18" s="216">
        <v>136.0</v>
      </c>
      <c r="H18" s="160">
        <v>7.0</v>
      </c>
      <c r="I18" s="161">
        <v>0.0</v>
      </c>
      <c r="J18" s="161">
        <v>0.0</v>
      </c>
      <c r="K18" s="161">
        <v>1.0</v>
      </c>
      <c r="L18" s="161">
        <v>6.0</v>
      </c>
      <c r="M18" s="161">
        <v>6.0</v>
      </c>
      <c r="N18" s="161">
        <v>0.0</v>
      </c>
      <c r="O18" s="162">
        <f t="shared" si="3"/>
        <v>1</v>
      </c>
      <c r="P18" s="203">
        <v>17.0</v>
      </c>
      <c r="Q18" s="164">
        <v>0.0</v>
      </c>
      <c r="R18" s="164">
        <v>0.0</v>
      </c>
      <c r="S18" s="164">
        <v>6.0</v>
      </c>
      <c r="T18" s="165">
        <v>11.0</v>
      </c>
      <c r="U18" s="165">
        <v>5.0</v>
      </c>
      <c r="V18" s="165">
        <v>3.0</v>
      </c>
      <c r="W18" s="166">
        <f t="shared" si="4"/>
        <v>9</v>
      </c>
      <c r="X18" s="203">
        <v>17.0</v>
      </c>
      <c r="Y18" s="165">
        <v>2.0</v>
      </c>
      <c r="Z18" s="165">
        <v>0.0</v>
      </c>
      <c r="AA18" s="165">
        <v>4.0</v>
      </c>
      <c r="AB18" s="165">
        <v>11.0</v>
      </c>
      <c r="AC18" s="165">
        <v>2.0</v>
      </c>
      <c r="AD18" s="165">
        <v>0.0</v>
      </c>
      <c r="AE18" s="166">
        <f t="shared" si="5"/>
        <v>15</v>
      </c>
      <c r="AF18" s="167">
        <v>18.0</v>
      </c>
      <c r="AG18" s="165">
        <v>2.0</v>
      </c>
      <c r="AH18" s="165">
        <v>0.0</v>
      </c>
      <c r="AI18" s="165">
        <v>3.0</v>
      </c>
      <c r="AJ18" s="165">
        <v>13.0</v>
      </c>
      <c r="AK18" s="165">
        <v>1.0</v>
      </c>
      <c r="AL18" s="165">
        <v>0.0</v>
      </c>
      <c r="AM18" s="166">
        <f t="shared" si="6"/>
        <v>17</v>
      </c>
      <c r="AN18" s="167">
        <v>14.0</v>
      </c>
      <c r="AO18" s="165">
        <v>2.0</v>
      </c>
      <c r="AP18" s="165">
        <v>0.0</v>
      </c>
      <c r="AQ18" s="165">
        <v>3.0</v>
      </c>
      <c r="AR18" s="165">
        <v>9.0</v>
      </c>
      <c r="AS18" s="165">
        <v>0.0</v>
      </c>
      <c r="AT18" s="165">
        <v>4.0</v>
      </c>
      <c r="AU18" s="168">
        <f t="shared" si="7"/>
        <v>10</v>
      </c>
      <c r="AV18" s="169">
        <v>197.0</v>
      </c>
      <c r="AW18" s="204">
        <f t="shared" si="8"/>
        <v>13</v>
      </c>
      <c r="AX18" s="169">
        <v>2.0</v>
      </c>
      <c r="AY18" s="169">
        <v>0.0</v>
      </c>
      <c r="AZ18" s="169">
        <v>3.0</v>
      </c>
      <c r="BA18" s="169">
        <v>8.0</v>
      </c>
      <c r="BB18" s="169">
        <v>0.0</v>
      </c>
      <c r="BC18" s="169">
        <v>0.0</v>
      </c>
      <c r="BD18" s="169">
        <v>0.0</v>
      </c>
      <c r="BE18" s="169">
        <v>0.0</v>
      </c>
      <c r="BF18" s="169">
        <v>0.0</v>
      </c>
      <c r="BG18" s="169">
        <v>0.0</v>
      </c>
      <c r="BH18" s="169">
        <v>0.0</v>
      </c>
      <c r="BI18" s="169">
        <v>1.0</v>
      </c>
      <c r="BJ18" s="169">
        <v>0.0</v>
      </c>
      <c r="BK18" s="169">
        <v>0.0</v>
      </c>
      <c r="BL18" s="169">
        <v>0.0</v>
      </c>
      <c r="BM18" s="169">
        <v>0.0</v>
      </c>
      <c r="BN18" s="169">
        <v>0.0</v>
      </c>
      <c r="BO18" s="169">
        <v>0.0</v>
      </c>
      <c r="BP18" s="205">
        <f t="shared" si="9"/>
        <v>1</v>
      </c>
      <c r="BQ18" s="173">
        <v>189.0</v>
      </c>
      <c r="BR18" s="170">
        <f t="shared" si="10"/>
        <v>11</v>
      </c>
      <c r="BS18" s="173">
        <v>1.0</v>
      </c>
      <c r="BT18" s="173">
        <v>1.0</v>
      </c>
      <c r="BU18" s="173">
        <v>1.0</v>
      </c>
      <c r="BV18" s="173">
        <v>6.0</v>
      </c>
      <c r="BW18" s="173">
        <v>1.0</v>
      </c>
      <c r="BX18" s="173">
        <v>0.0</v>
      </c>
      <c r="BY18" s="173">
        <v>1.0</v>
      </c>
      <c r="BZ18" s="173">
        <v>0.0</v>
      </c>
      <c r="CA18" s="173">
        <v>0.0</v>
      </c>
      <c r="CB18" s="173">
        <v>0.0</v>
      </c>
      <c r="CC18" s="173">
        <v>1.0</v>
      </c>
      <c r="CD18" s="173">
        <v>2.0</v>
      </c>
      <c r="CE18" s="173">
        <v>0.0</v>
      </c>
      <c r="CF18" s="173">
        <v>0.0</v>
      </c>
      <c r="CG18" s="173">
        <v>0.0</v>
      </c>
      <c r="CH18" s="173">
        <v>0.0</v>
      </c>
      <c r="CI18" s="173">
        <v>1.0</v>
      </c>
      <c r="CJ18" s="173">
        <v>0.0</v>
      </c>
      <c r="CK18" s="172">
        <f t="shared" si="11"/>
        <v>4</v>
      </c>
      <c r="CL18" s="173">
        <v>178.0</v>
      </c>
      <c r="CM18" s="173">
        <v>61.0</v>
      </c>
      <c r="CN18" s="175">
        <f t="shared" si="12"/>
        <v>10</v>
      </c>
      <c r="CO18" s="173">
        <v>1.0</v>
      </c>
      <c r="CP18" s="173">
        <v>2.0</v>
      </c>
      <c r="CQ18" s="173">
        <v>1.0</v>
      </c>
      <c r="CR18" s="173">
        <v>5.0</v>
      </c>
      <c r="CS18" s="173">
        <v>0.0</v>
      </c>
      <c r="CT18" s="173">
        <v>0.0</v>
      </c>
      <c r="CU18" s="173">
        <v>1.0</v>
      </c>
      <c r="CV18" s="173">
        <v>0.0</v>
      </c>
      <c r="CW18" s="173">
        <v>0.0</v>
      </c>
      <c r="CX18" s="173">
        <v>0.0</v>
      </c>
      <c r="CY18" s="173">
        <v>1.0</v>
      </c>
      <c r="CZ18" s="173">
        <v>1.0</v>
      </c>
      <c r="DA18" s="173">
        <v>0.0</v>
      </c>
      <c r="DB18" s="173">
        <v>0.0</v>
      </c>
      <c r="DC18" s="173">
        <v>0.0</v>
      </c>
      <c r="DD18" s="173">
        <v>0.0</v>
      </c>
      <c r="DE18" s="173">
        <v>0.0</v>
      </c>
      <c r="DF18" s="173">
        <v>0.0</v>
      </c>
      <c r="DG18" s="176">
        <f t="shared" si="13"/>
        <v>2</v>
      </c>
      <c r="DH18" s="177">
        <v>179.0</v>
      </c>
      <c r="DI18" s="177">
        <v>80.0</v>
      </c>
      <c r="DJ18" s="178">
        <v>176.0</v>
      </c>
      <c r="DK18" s="178">
        <v>59.0</v>
      </c>
      <c r="DL18" s="179">
        <f t="shared" si="14"/>
        <v>9</v>
      </c>
      <c r="DM18" s="180">
        <f t="shared" si="15"/>
        <v>4</v>
      </c>
      <c r="DN18" s="180">
        <f t="shared" si="16"/>
        <v>5</v>
      </c>
      <c r="DO18" s="177">
        <v>0.0</v>
      </c>
      <c r="DP18" s="177">
        <v>0.0</v>
      </c>
      <c r="DQ18" s="177">
        <v>0.0</v>
      </c>
      <c r="DR18" s="177">
        <v>3.0</v>
      </c>
      <c r="DS18" s="177">
        <v>0.0</v>
      </c>
      <c r="DT18" s="177">
        <v>1.0</v>
      </c>
      <c r="DU18" s="177">
        <v>3.0</v>
      </c>
      <c r="DV18" s="177">
        <v>2.0</v>
      </c>
      <c r="DW18" s="177">
        <v>1.0</v>
      </c>
      <c r="DX18" s="177">
        <v>2.0</v>
      </c>
      <c r="DY18" s="177">
        <v>2.0</v>
      </c>
      <c r="DZ18" s="177">
        <v>2.0</v>
      </c>
      <c r="EA18" s="177">
        <v>0.0</v>
      </c>
      <c r="EB18" s="177">
        <v>0.0</v>
      </c>
      <c r="EC18" s="177">
        <v>0.0</v>
      </c>
      <c r="ED18" s="177">
        <v>0.0</v>
      </c>
      <c r="EE18" s="177">
        <v>0.0</v>
      </c>
      <c r="EF18" s="177">
        <v>0.0</v>
      </c>
      <c r="EG18" s="179">
        <f t="shared" si="17"/>
        <v>7</v>
      </c>
      <c r="EH18" s="179">
        <f t="shared" si="18"/>
        <v>5</v>
      </c>
      <c r="EI18" s="217">
        <v>188.0</v>
      </c>
      <c r="EJ18" s="218">
        <v>67.0</v>
      </c>
      <c r="EK18" s="219">
        <v>182.0</v>
      </c>
      <c r="EL18" s="220">
        <v>63.0</v>
      </c>
      <c r="EM18" s="185">
        <f t="shared" si="19"/>
        <v>7</v>
      </c>
      <c r="EN18" s="186">
        <f t="shared" si="20"/>
        <v>2</v>
      </c>
      <c r="EO18" s="186">
        <f t="shared" si="21"/>
        <v>5</v>
      </c>
      <c r="EP18" s="217">
        <v>0.0</v>
      </c>
      <c r="EQ18" s="218">
        <v>0.0</v>
      </c>
      <c r="ER18" s="218">
        <v>2.0</v>
      </c>
      <c r="ES18" s="218">
        <v>4.0</v>
      </c>
      <c r="ET18" s="218">
        <v>0.0</v>
      </c>
      <c r="EU18" s="218">
        <v>0.0</v>
      </c>
      <c r="EV18" s="218">
        <v>0.0</v>
      </c>
      <c r="EW18" s="218">
        <v>1.0</v>
      </c>
      <c r="EX18" s="218">
        <v>0.0</v>
      </c>
      <c r="EY18" s="218">
        <v>0.0</v>
      </c>
      <c r="EZ18" s="218">
        <v>1.0</v>
      </c>
      <c r="FA18" s="218">
        <v>2.0</v>
      </c>
      <c r="FB18" s="218">
        <v>0.0</v>
      </c>
      <c r="FC18" s="218">
        <v>0.0</v>
      </c>
      <c r="FD18" s="218">
        <v>0.0</v>
      </c>
      <c r="FE18" s="218">
        <v>0.0</v>
      </c>
      <c r="FF18" s="218">
        <v>0.0</v>
      </c>
      <c r="FG18" s="218">
        <v>0.0</v>
      </c>
      <c r="FH18" s="185">
        <f t="shared" si="22"/>
        <v>3</v>
      </c>
      <c r="FI18" s="185">
        <f t="shared" si="23"/>
        <v>1</v>
      </c>
      <c r="FJ18" s="221">
        <v>206.0</v>
      </c>
      <c r="FK18" s="221">
        <v>51.0</v>
      </c>
      <c r="FL18" s="221">
        <v>194.0</v>
      </c>
      <c r="FM18" s="221">
        <v>50.0</v>
      </c>
      <c r="FN18" s="210"/>
      <c r="FO18" s="210">
        <v>5.0</v>
      </c>
      <c r="FP18" s="188">
        <f t="shared" si="24"/>
        <v>5</v>
      </c>
      <c r="FQ18" s="211">
        <v>2.0</v>
      </c>
      <c r="FR18" s="212">
        <v>3.0</v>
      </c>
      <c r="FS18" s="206">
        <v>0.0</v>
      </c>
      <c r="FT18" s="207">
        <v>0.0</v>
      </c>
      <c r="FU18" s="207">
        <v>1.0</v>
      </c>
      <c r="FV18" s="207">
        <v>3.0</v>
      </c>
      <c r="FW18" s="207">
        <v>0.0</v>
      </c>
      <c r="FX18" s="207">
        <v>0.0</v>
      </c>
      <c r="FY18" s="207">
        <v>1.0</v>
      </c>
      <c r="FZ18" s="207">
        <v>0.0</v>
      </c>
      <c r="GA18" s="207">
        <v>0.0</v>
      </c>
      <c r="GB18" s="207">
        <v>1.0</v>
      </c>
      <c r="GC18" s="207">
        <v>0.0</v>
      </c>
      <c r="GD18" s="207">
        <v>2.0</v>
      </c>
      <c r="GE18" s="207">
        <v>0.0</v>
      </c>
      <c r="GF18" s="207">
        <v>0.0</v>
      </c>
      <c r="GG18" s="207">
        <v>0.0</v>
      </c>
      <c r="GH18" s="207">
        <v>0.0</v>
      </c>
      <c r="GI18" s="207">
        <v>0.0</v>
      </c>
      <c r="GJ18" s="207">
        <v>0.0</v>
      </c>
      <c r="GK18" s="212">
        <v>3.0</v>
      </c>
      <c r="GL18" s="212">
        <v>1.0</v>
      </c>
      <c r="GM18" s="207">
        <v>219.0</v>
      </c>
      <c r="GN18" s="207">
        <v>58.0</v>
      </c>
      <c r="GO18" s="213">
        <v>219.0</v>
      </c>
      <c r="GP18" s="213">
        <v>58.0</v>
      </c>
      <c r="GQ18" s="207"/>
      <c r="GR18" s="213">
        <v>8.0</v>
      </c>
      <c r="GS18" s="193">
        <v>2.0</v>
      </c>
      <c r="GT18" s="194">
        <f t="shared" si="25"/>
        <v>8</v>
      </c>
      <c r="GU18" s="194">
        <f t="shared" si="26"/>
        <v>2</v>
      </c>
      <c r="GV18" s="194">
        <f t="shared" si="27"/>
        <v>6</v>
      </c>
      <c r="GW18" s="207">
        <v>0.0</v>
      </c>
      <c r="GX18" s="207">
        <v>0.0</v>
      </c>
      <c r="GY18" s="207">
        <v>1.0</v>
      </c>
      <c r="GZ18" s="207">
        <v>3.0</v>
      </c>
      <c r="HA18" s="207">
        <v>0.0</v>
      </c>
      <c r="HB18" s="207">
        <v>0.0</v>
      </c>
      <c r="HC18" s="207">
        <v>1.0</v>
      </c>
      <c r="HD18" s="207">
        <v>3.0</v>
      </c>
      <c r="HE18" s="207">
        <v>0.0</v>
      </c>
      <c r="HF18" s="207">
        <v>0.0</v>
      </c>
      <c r="HG18" s="207">
        <v>0.0</v>
      </c>
      <c r="HH18" s="207">
        <v>0.0</v>
      </c>
      <c r="HI18" s="207">
        <v>0.0</v>
      </c>
      <c r="HJ18" s="207">
        <v>0.0</v>
      </c>
      <c r="HK18" s="207">
        <v>0.0</v>
      </c>
      <c r="HL18" s="207">
        <v>0.0</v>
      </c>
      <c r="HM18" s="207">
        <v>1.0</v>
      </c>
      <c r="HN18" s="207">
        <v>0.0</v>
      </c>
      <c r="HO18" s="222"/>
      <c r="HP18" s="222"/>
      <c r="HQ18" s="214"/>
      <c r="HR18" s="197"/>
      <c r="HS18" s="197"/>
      <c r="HT18" s="198">
        <f t="shared" si="28"/>
        <v>7</v>
      </c>
      <c r="HU18" s="198">
        <f t="shared" si="29"/>
        <v>17</v>
      </c>
      <c r="HV18" s="198">
        <f t="shared" si="30"/>
        <v>17</v>
      </c>
      <c r="HW18" s="198">
        <f t="shared" si="31"/>
        <v>18</v>
      </c>
      <c r="HX18" s="198">
        <f t="shared" si="32"/>
        <v>14</v>
      </c>
      <c r="HY18" s="198">
        <f t="shared" si="33"/>
        <v>13</v>
      </c>
      <c r="HZ18" s="198">
        <f t="shared" si="34"/>
        <v>11</v>
      </c>
      <c r="IA18" s="198">
        <f t="shared" si="35"/>
        <v>10</v>
      </c>
      <c r="IB18" s="198">
        <f t="shared" si="36"/>
        <v>9</v>
      </c>
      <c r="IC18" s="198">
        <f t="shared" si="37"/>
        <v>7</v>
      </c>
      <c r="ID18" s="198">
        <f t="shared" si="38"/>
        <v>5</v>
      </c>
      <c r="IE18" s="198">
        <f t="shared" si="39"/>
        <v>8</v>
      </c>
      <c r="IF18" s="197"/>
      <c r="IG18" s="197"/>
      <c r="IH18" s="197"/>
      <c r="II18" s="197"/>
      <c r="IJ18" s="197"/>
      <c r="IK18" s="197"/>
      <c r="IL18" s="197"/>
      <c r="IM18" s="197"/>
      <c r="IN18" s="197"/>
      <c r="IO18" s="197"/>
      <c r="IP18" s="197"/>
      <c r="IQ18" s="197"/>
      <c r="IR18" s="197"/>
      <c r="IS18" s="197"/>
      <c r="IT18" s="197"/>
      <c r="IU18" s="197"/>
      <c r="IV18" s="197"/>
      <c r="IW18" s="197"/>
      <c r="IX18" s="197"/>
      <c r="IY18" s="197"/>
      <c r="IZ18" s="197"/>
      <c r="JA18" s="199"/>
      <c r="JB18" s="200">
        <f t="shared" si="40"/>
        <v>7</v>
      </c>
      <c r="JC18" s="200">
        <f t="shared" si="41"/>
        <v>17</v>
      </c>
      <c r="JD18" s="200">
        <f t="shared" si="42"/>
        <v>17</v>
      </c>
      <c r="JE18" s="200">
        <f t="shared" si="43"/>
        <v>18</v>
      </c>
      <c r="JF18" s="200">
        <f t="shared" si="44"/>
        <v>14</v>
      </c>
      <c r="JG18" s="200">
        <f t="shared" si="45"/>
        <v>13</v>
      </c>
      <c r="JH18" s="200">
        <f t="shared" si="46"/>
        <v>11</v>
      </c>
      <c r="JI18" s="200">
        <f t="shared" si="47"/>
        <v>10</v>
      </c>
      <c r="JJ18" s="200">
        <f t="shared" si="48"/>
        <v>9</v>
      </c>
      <c r="JK18" s="200">
        <f t="shared" si="49"/>
        <v>10</v>
      </c>
      <c r="JL18" s="200">
        <f t="shared" si="50"/>
        <v>5</v>
      </c>
      <c r="JM18" s="200">
        <f t="shared" si="51"/>
        <v>8</v>
      </c>
      <c r="JN18" s="199"/>
      <c r="JO18" s="200">
        <f t="shared" si="52"/>
        <v>7</v>
      </c>
      <c r="JP18" s="202">
        <v>17.0</v>
      </c>
      <c r="JQ18" s="202">
        <v>17.0</v>
      </c>
      <c r="JR18" s="202">
        <v>18.0</v>
      </c>
      <c r="JS18" s="202">
        <v>14.0</v>
      </c>
      <c r="JT18" s="199"/>
      <c r="JU18" s="199"/>
      <c r="JV18" s="200">
        <f t="shared" ref="JV18:JX18" si="71">IA18-JI18</f>
        <v>0</v>
      </c>
      <c r="JW18" s="200">
        <f t="shared" si="71"/>
        <v>0</v>
      </c>
      <c r="JX18" s="200">
        <f t="shared" si="71"/>
        <v>-3</v>
      </c>
      <c r="JY18" s="199"/>
      <c r="JZ18" s="199"/>
      <c r="KA18" s="199"/>
      <c r="KB18" s="200">
        <f t="shared" ref="KB18:KM18" si="72">JB18-JO18</f>
        <v>0</v>
      </c>
      <c r="KC18" s="200">
        <f t="shared" si="72"/>
        <v>0</v>
      </c>
      <c r="KD18" s="200">
        <f t="shared" si="72"/>
        <v>0</v>
      </c>
      <c r="KE18" s="200">
        <f t="shared" si="72"/>
        <v>0</v>
      </c>
      <c r="KF18" s="200">
        <f t="shared" si="72"/>
        <v>0</v>
      </c>
      <c r="KG18" s="200">
        <f t="shared" si="72"/>
        <v>13</v>
      </c>
      <c r="KH18" s="200">
        <f t="shared" si="72"/>
        <v>11</v>
      </c>
      <c r="KI18" s="200">
        <f t="shared" si="72"/>
        <v>10</v>
      </c>
      <c r="KJ18" s="200">
        <f t="shared" si="72"/>
        <v>9</v>
      </c>
      <c r="KK18" s="200">
        <f t="shared" si="72"/>
        <v>13</v>
      </c>
      <c r="KL18" s="200">
        <f t="shared" si="72"/>
        <v>5</v>
      </c>
      <c r="KM18" s="200">
        <f t="shared" si="72"/>
        <v>8</v>
      </c>
      <c r="KN18" s="199"/>
      <c r="KO18" s="199"/>
      <c r="KP18" s="199"/>
      <c r="KQ18" s="199"/>
      <c r="KR18" s="199"/>
      <c r="KS18" s="199"/>
      <c r="KT18" s="199"/>
      <c r="KU18" s="199"/>
      <c r="KV18" s="199"/>
      <c r="KW18" s="199"/>
      <c r="KX18" s="199"/>
      <c r="KY18" s="199"/>
      <c r="KZ18" s="199"/>
      <c r="LA18" s="199"/>
      <c r="LB18" s="199"/>
      <c r="LC18" s="199"/>
      <c r="LD18" s="199"/>
      <c r="LE18" s="199"/>
      <c r="LF18" s="199"/>
      <c r="LG18" s="199"/>
    </row>
    <row r="19" ht="14.25" customHeight="1">
      <c r="A19" s="156">
        <v>12.0</v>
      </c>
      <c r="B19" s="157" t="s">
        <v>76</v>
      </c>
      <c r="C19" s="158">
        <v>3374130.0</v>
      </c>
      <c r="D19" s="158" t="s">
        <v>77</v>
      </c>
      <c r="E19" s="158" t="s">
        <v>90</v>
      </c>
      <c r="F19" s="159">
        <v>4.0</v>
      </c>
      <c r="G19" s="159">
        <v>179.0</v>
      </c>
      <c r="H19" s="160">
        <v>3.0</v>
      </c>
      <c r="I19" s="161"/>
      <c r="J19" s="161"/>
      <c r="K19" s="161"/>
      <c r="L19" s="161">
        <v>3.0</v>
      </c>
      <c r="M19" s="161">
        <v>0.0</v>
      </c>
      <c r="N19" s="161">
        <v>0.0</v>
      </c>
      <c r="O19" s="162">
        <f t="shared" si="3"/>
        <v>3</v>
      </c>
      <c r="P19" s="203">
        <v>1.0</v>
      </c>
      <c r="Q19" s="164"/>
      <c r="R19" s="164"/>
      <c r="S19" s="164"/>
      <c r="T19" s="165">
        <v>1.0</v>
      </c>
      <c r="U19" s="165">
        <v>0.0</v>
      </c>
      <c r="V19" s="165">
        <v>0.0</v>
      </c>
      <c r="W19" s="166">
        <f t="shared" si="4"/>
        <v>1</v>
      </c>
      <c r="X19" s="203">
        <v>3.0</v>
      </c>
      <c r="Y19" s="165"/>
      <c r="Z19" s="165"/>
      <c r="AA19" s="165"/>
      <c r="AB19" s="165">
        <v>3.0</v>
      </c>
      <c r="AC19" s="165">
        <v>0.0</v>
      </c>
      <c r="AD19" s="165">
        <v>0.0</v>
      </c>
      <c r="AE19" s="166">
        <f t="shared" si="5"/>
        <v>3</v>
      </c>
      <c r="AF19" s="167">
        <v>3.0</v>
      </c>
      <c r="AG19" s="165"/>
      <c r="AH19" s="165"/>
      <c r="AI19" s="165"/>
      <c r="AJ19" s="165">
        <v>3.0</v>
      </c>
      <c r="AK19" s="165">
        <v>0.0</v>
      </c>
      <c r="AL19" s="165">
        <v>0.0</v>
      </c>
      <c r="AM19" s="166">
        <f t="shared" si="6"/>
        <v>3</v>
      </c>
      <c r="AN19" s="167">
        <v>3.0</v>
      </c>
      <c r="AO19" s="165"/>
      <c r="AP19" s="165"/>
      <c r="AQ19" s="165"/>
      <c r="AR19" s="165">
        <v>3.0</v>
      </c>
      <c r="AS19" s="165">
        <v>0.0</v>
      </c>
      <c r="AT19" s="165">
        <v>0.0</v>
      </c>
      <c r="AU19" s="168">
        <f t="shared" si="7"/>
        <v>3</v>
      </c>
      <c r="AV19" s="169">
        <v>188.0</v>
      </c>
      <c r="AW19" s="204">
        <f t="shared" si="8"/>
        <v>3</v>
      </c>
      <c r="AX19" s="169">
        <v>0.0</v>
      </c>
      <c r="AY19" s="169">
        <v>0.0</v>
      </c>
      <c r="AZ19" s="169">
        <v>0.0</v>
      </c>
      <c r="BA19" s="169">
        <v>3.0</v>
      </c>
      <c r="BB19" s="169">
        <v>0.0</v>
      </c>
      <c r="BC19" s="169">
        <v>0.0</v>
      </c>
      <c r="BD19" s="169">
        <v>0.0</v>
      </c>
      <c r="BE19" s="169">
        <v>0.0</v>
      </c>
      <c r="BF19" s="169">
        <v>0.0</v>
      </c>
      <c r="BG19" s="169">
        <v>0.0</v>
      </c>
      <c r="BH19" s="169">
        <v>0.0</v>
      </c>
      <c r="BI19" s="169">
        <v>1.0</v>
      </c>
      <c r="BJ19" s="169">
        <v>0.0</v>
      </c>
      <c r="BK19" s="169">
        <v>0.0</v>
      </c>
      <c r="BL19" s="169">
        <v>0.0</v>
      </c>
      <c r="BM19" s="169">
        <v>0.0</v>
      </c>
      <c r="BN19" s="169">
        <v>0.0</v>
      </c>
      <c r="BO19" s="169">
        <v>0.0</v>
      </c>
      <c r="BP19" s="205">
        <f t="shared" si="9"/>
        <v>1</v>
      </c>
      <c r="BQ19" s="173">
        <v>185.0</v>
      </c>
      <c r="BR19" s="170">
        <f t="shared" si="10"/>
        <v>3</v>
      </c>
      <c r="BS19" s="173">
        <v>0.0</v>
      </c>
      <c r="BT19" s="173">
        <v>0.0</v>
      </c>
      <c r="BU19" s="173">
        <v>0.0</v>
      </c>
      <c r="BV19" s="173">
        <v>3.0</v>
      </c>
      <c r="BW19" s="173">
        <v>0.0</v>
      </c>
      <c r="BX19" s="173">
        <v>0.0</v>
      </c>
      <c r="BY19" s="173">
        <v>0.0</v>
      </c>
      <c r="BZ19" s="173">
        <v>0.0</v>
      </c>
      <c r="CA19" s="173">
        <v>0.0</v>
      </c>
      <c r="CB19" s="173">
        <v>0.0</v>
      </c>
      <c r="CC19" s="173">
        <v>0.0</v>
      </c>
      <c r="CD19" s="173">
        <v>0.0</v>
      </c>
      <c r="CE19" s="173">
        <v>0.0</v>
      </c>
      <c r="CF19" s="173">
        <v>0.0</v>
      </c>
      <c r="CG19" s="173">
        <v>0.0</v>
      </c>
      <c r="CH19" s="173">
        <v>0.0</v>
      </c>
      <c r="CI19" s="173">
        <v>0.0</v>
      </c>
      <c r="CJ19" s="173">
        <v>0.0</v>
      </c>
      <c r="CK19" s="172">
        <f t="shared" si="11"/>
        <v>0</v>
      </c>
      <c r="CL19" s="173">
        <v>177.0</v>
      </c>
      <c r="CM19" s="173">
        <v>66.0</v>
      </c>
      <c r="CN19" s="175">
        <f t="shared" si="12"/>
        <v>7</v>
      </c>
      <c r="CO19" s="173">
        <v>0.0</v>
      </c>
      <c r="CP19" s="173">
        <v>0.0</v>
      </c>
      <c r="CQ19" s="173">
        <v>0.0</v>
      </c>
      <c r="CR19" s="173">
        <v>3.0</v>
      </c>
      <c r="CS19" s="173">
        <v>0.0</v>
      </c>
      <c r="CT19" s="173">
        <v>1.0</v>
      </c>
      <c r="CU19" s="173">
        <v>1.0</v>
      </c>
      <c r="CV19" s="173">
        <v>2.0</v>
      </c>
      <c r="CW19" s="173">
        <v>0.0</v>
      </c>
      <c r="CX19" s="173">
        <v>0.0</v>
      </c>
      <c r="CY19" s="173">
        <v>0.0</v>
      </c>
      <c r="CZ19" s="173">
        <v>1.0</v>
      </c>
      <c r="DA19" s="173">
        <v>0.0</v>
      </c>
      <c r="DB19" s="173">
        <v>0.0</v>
      </c>
      <c r="DC19" s="173">
        <v>0.0</v>
      </c>
      <c r="DD19" s="173">
        <v>0.0</v>
      </c>
      <c r="DE19" s="173">
        <v>0.0</v>
      </c>
      <c r="DF19" s="173">
        <v>0.0</v>
      </c>
      <c r="DG19" s="176">
        <f t="shared" si="13"/>
        <v>1</v>
      </c>
      <c r="DH19" s="177">
        <v>130.0</v>
      </c>
      <c r="DI19" s="177">
        <v>42.0</v>
      </c>
      <c r="DJ19" s="178">
        <v>130.0</v>
      </c>
      <c r="DK19" s="178">
        <v>42.0</v>
      </c>
      <c r="DL19" s="179">
        <f t="shared" si="14"/>
        <v>3</v>
      </c>
      <c r="DM19" s="180">
        <f t="shared" si="15"/>
        <v>0</v>
      </c>
      <c r="DN19" s="180">
        <f t="shared" si="16"/>
        <v>3</v>
      </c>
      <c r="DO19" s="177">
        <v>0.0</v>
      </c>
      <c r="DP19" s="177">
        <v>0.0</v>
      </c>
      <c r="DQ19" s="177">
        <v>0.0</v>
      </c>
      <c r="DR19" s="177">
        <v>3.0</v>
      </c>
      <c r="DS19" s="177">
        <v>0.0</v>
      </c>
      <c r="DT19" s="177">
        <v>0.0</v>
      </c>
      <c r="DU19" s="177">
        <v>0.0</v>
      </c>
      <c r="DV19" s="177">
        <v>0.0</v>
      </c>
      <c r="DW19" s="177">
        <v>0.0</v>
      </c>
      <c r="DX19" s="177">
        <v>1.0</v>
      </c>
      <c r="DY19" s="177">
        <v>1.0</v>
      </c>
      <c r="DZ19" s="177">
        <v>2.0</v>
      </c>
      <c r="EA19" s="177">
        <v>0.0</v>
      </c>
      <c r="EB19" s="177">
        <v>0.0</v>
      </c>
      <c r="EC19" s="177">
        <v>0.0</v>
      </c>
      <c r="ED19" s="177">
        <v>0.0</v>
      </c>
      <c r="EE19" s="177">
        <v>0.0</v>
      </c>
      <c r="EF19" s="177">
        <v>0.0</v>
      </c>
      <c r="EG19" s="179">
        <f t="shared" si="17"/>
        <v>4</v>
      </c>
      <c r="EH19" s="179">
        <f t="shared" si="18"/>
        <v>2</v>
      </c>
      <c r="EI19" s="206">
        <v>129.0</v>
      </c>
      <c r="EJ19" s="207">
        <v>37.0</v>
      </c>
      <c r="EK19" s="208">
        <v>129.0</v>
      </c>
      <c r="EL19" s="209">
        <v>37.0</v>
      </c>
      <c r="EM19" s="185">
        <f t="shared" si="19"/>
        <v>3</v>
      </c>
      <c r="EN19" s="186">
        <f t="shared" si="20"/>
        <v>0</v>
      </c>
      <c r="EO19" s="186">
        <f t="shared" si="21"/>
        <v>3</v>
      </c>
      <c r="EP19" s="206">
        <v>0.0</v>
      </c>
      <c r="EQ19" s="207">
        <v>0.0</v>
      </c>
      <c r="ER19" s="207">
        <v>0.0</v>
      </c>
      <c r="ES19" s="207">
        <v>3.0</v>
      </c>
      <c r="ET19" s="207">
        <v>0.0</v>
      </c>
      <c r="EU19" s="207">
        <v>0.0</v>
      </c>
      <c r="EV19" s="207">
        <v>0.0</v>
      </c>
      <c r="EW19" s="207">
        <v>0.0</v>
      </c>
      <c r="EX19" s="207">
        <v>0.0</v>
      </c>
      <c r="EY19" s="207">
        <v>0.0</v>
      </c>
      <c r="EZ19" s="207">
        <v>0.0</v>
      </c>
      <c r="FA19" s="207">
        <v>0.0</v>
      </c>
      <c r="FB19" s="207">
        <v>0.0</v>
      </c>
      <c r="FC19" s="207">
        <v>0.0</v>
      </c>
      <c r="FD19" s="207">
        <v>0.0</v>
      </c>
      <c r="FE19" s="207">
        <v>0.0</v>
      </c>
      <c r="FF19" s="207">
        <v>0.0</v>
      </c>
      <c r="FG19" s="207">
        <v>0.0</v>
      </c>
      <c r="FH19" s="185">
        <f t="shared" si="22"/>
        <v>0</v>
      </c>
      <c r="FI19" s="185">
        <f t="shared" si="23"/>
        <v>0</v>
      </c>
      <c r="FJ19" s="177">
        <v>124.0</v>
      </c>
      <c r="FK19" s="177">
        <v>33.0</v>
      </c>
      <c r="FL19" s="177">
        <v>124.0</v>
      </c>
      <c r="FM19" s="177">
        <v>33.0</v>
      </c>
      <c r="FN19" s="210"/>
      <c r="FO19" s="210">
        <v>3.0</v>
      </c>
      <c r="FP19" s="188">
        <f t="shared" si="24"/>
        <v>3</v>
      </c>
      <c r="FQ19" s="211">
        <v>0.0</v>
      </c>
      <c r="FR19" s="212">
        <v>3.0</v>
      </c>
      <c r="FS19" s="206">
        <v>0.0</v>
      </c>
      <c r="FT19" s="207">
        <v>0.0</v>
      </c>
      <c r="FU19" s="207">
        <v>0.0</v>
      </c>
      <c r="FV19" s="207">
        <v>3.0</v>
      </c>
      <c r="FW19" s="207">
        <v>0.0</v>
      </c>
      <c r="FX19" s="207">
        <v>0.0</v>
      </c>
      <c r="FY19" s="207">
        <v>0.0</v>
      </c>
      <c r="FZ19" s="207">
        <v>0.0</v>
      </c>
      <c r="GA19" s="207">
        <v>0.0</v>
      </c>
      <c r="GB19" s="207">
        <v>0.0</v>
      </c>
      <c r="GC19" s="207">
        <v>0.0</v>
      </c>
      <c r="GD19" s="207">
        <v>0.0</v>
      </c>
      <c r="GE19" s="207">
        <v>0.0</v>
      </c>
      <c r="GF19" s="207">
        <v>0.0</v>
      </c>
      <c r="GG19" s="207">
        <v>0.0</v>
      </c>
      <c r="GH19" s="207">
        <v>0.0</v>
      </c>
      <c r="GI19" s="207">
        <v>0.0</v>
      </c>
      <c r="GJ19" s="207">
        <v>0.0</v>
      </c>
      <c r="GK19" s="212">
        <v>0.0</v>
      </c>
      <c r="GL19" s="212">
        <v>0.0</v>
      </c>
      <c r="GM19" s="207">
        <v>122.0</v>
      </c>
      <c r="GN19" s="207">
        <v>34.0</v>
      </c>
      <c r="GO19" s="213">
        <v>122.0</v>
      </c>
      <c r="GP19" s="213">
        <v>34.0</v>
      </c>
      <c r="GQ19" s="207"/>
      <c r="GR19" s="213">
        <v>3.0</v>
      </c>
      <c r="GS19" s="193">
        <v>0.0</v>
      </c>
      <c r="GT19" s="194">
        <f t="shared" si="25"/>
        <v>3</v>
      </c>
      <c r="GU19" s="194">
        <f t="shared" si="26"/>
        <v>0</v>
      </c>
      <c r="GV19" s="194">
        <f t="shared" si="27"/>
        <v>3</v>
      </c>
      <c r="GW19" s="207">
        <v>0.0</v>
      </c>
      <c r="GX19" s="207">
        <v>0.0</v>
      </c>
      <c r="GY19" s="207">
        <v>0.0</v>
      </c>
      <c r="GZ19" s="207">
        <v>3.0</v>
      </c>
      <c r="HA19" s="207">
        <v>0.0</v>
      </c>
      <c r="HB19" s="207">
        <v>0.0</v>
      </c>
      <c r="HC19" s="207">
        <v>0.0</v>
      </c>
      <c r="HD19" s="207">
        <v>0.0</v>
      </c>
      <c r="HE19" s="207">
        <v>0.0</v>
      </c>
      <c r="HF19" s="207">
        <v>0.0</v>
      </c>
      <c r="HG19" s="207">
        <v>0.0</v>
      </c>
      <c r="HH19" s="207">
        <v>0.0</v>
      </c>
      <c r="HI19" s="207">
        <v>0.0</v>
      </c>
      <c r="HJ19" s="207">
        <v>0.0</v>
      </c>
      <c r="HK19" s="207">
        <v>0.0</v>
      </c>
      <c r="HL19" s="207">
        <v>0.0</v>
      </c>
      <c r="HM19" s="207">
        <v>0.0</v>
      </c>
      <c r="HN19" s="207">
        <v>0.0</v>
      </c>
      <c r="HO19" s="222">
        <v>0.0</v>
      </c>
      <c r="HP19" s="222">
        <v>0.0</v>
      </c>
      <c r="HQ19" s="214"/>
      <c r="HR19" s="197"/>
      <c r="HS19" s="197"/>
      <c r="HT19" s="198">
        <f t="shared" si="28"/>
        <v>3</v>
      </c>
      <c r="HU19" s="198">
        <f t="shared" si="29"/>
        <v>1</v>
      </c>
      <c r="HV19" s="198">
        <f t="shared" si="30"/>
        <v>3</v>
      </c>
      <c r="HW19" s="198">
        <f t="shared" si="31"/>
        <v>3</v>
      </c>
      <c r="HX19" s="198">
        <f t="shared" si="32"/>
        <v>3</v>
      </c>
      <c r="HY19" s="198">
        <f t="shared" si="33"/>
        <v>3</v>
      </c>
      <c r="HZ19" s="198">
        <f t="shared" si="34"/>
        <v>3</v>
      </c>
      <c r="IA19" s="198">
        <f t="shared" si="35"/>
        <v>7</v>
      </c>
      <c r="IB19" s="198">
        <f t="shared" si="36"/>
        <v>3</v>
      </c>
      <c r="IC19" s="198">
        <f t="shared" si="37"/>
        <v>3</v>
      </c>
      <c r="ID19" s="198">
        <f t="shared" si="38"/>
        <v>3</v>
      </c>
      <c r="IE19" s="198">
        <f t="shared" si="39"/>
        <v>3</v>
      </c>
      <c r="IF19" s="197"/>
      <c r="IG19" s="197"/>
      <c r="IH19" s="197"/>
      <c r="II19" s="197"/>
      <c r="IJ19" s="197"/>
      <c r="IK19" s="197"/>
      <c r="IL19" s="197"/>
      <c r="IM19" s="197"/>
      <c r="IN19" s="197"/>
      <c r="IO19" s="197"/>
      <c r="IP19" s="197"/>
      <c r="IQ19" s="197"/>
      <c r="IR19" s="197"/>
      <c r="IS19" s="197"/>
      <c r="IT19" s="197"/>
      <c r="IU19" s="197"/>
      <c r="IV19" s="197"/>
      <c r="IW19" s="197"/>
      <c r="IX19" s="197"/>
      <c r="IY19" s="197"/>
      <c r="IZ19" s="197"/>
      <c r="JA19" s="199"/>
      <c r="JB19" s="200">
        <f t="shared" si="40"/>
        <v>3</v>
      </c>
      <c r="JC19" s="200">
        <f t="shared" si="41"/>
        <v>1</v>
      </c>
      <c r="JD19" s="200">
        <f t="shared" si="42"/>
        <v>3</v>
      </c>
      <c r="JE19" s="200">
        <f t="shared" si="43"/>
        <v>3</v>
      </c>
      <c r="JF19" s="200">
        <f t="shared" si="44"/>
        <v>3</v>
      </c>
      <c r="JG19" s="200">
        <f t="shared" si="45"/>
        <v>3</v>
      </c>
      <c r="JH19" s="200">
        <f t="shared" si="46"/>
        <v>3</v>
      </c>
      <c r="JI19" s="200">
        <f t="shared" si="47"/>
        <v>7</v>
      </c>
      <c r="JJ19" s="200">
        <f t="shared" si="48"/>
        <v>3</v>
      </c>
      <c r="JK19" s="200">
        <f t="shared" si="49"/>
        <v>3</v>
      </c>
      <c r="JL19" s="200">
        <f t="shared" si="50"/>
        <v>3</v>
      </c>
      <c r="JM19" s="200">
        <f t="shared" si="51"/>
        <v>3</v>
      </c>
      <c r="JN19" s="199"/>
      <c r="JO19" s="200">
        <f t="shared" si="52"/>
        <v>3</v>
      </c>
      <c r="JP19" s="202">
        <v>1.0</v>
      </c>
      <c r="JQ19" s="202">
        <v>3.0</v>
      </c>
      <c r="JR19" s="202">
        <v>3.0</v>
      </c>
      <c r="JS19" s="202">
        <v>3.0</v>
      </c>
      <c r="JT19" s="199"/>
      <c r="JU19" s="199"/>
      <c r="JV19" s="200">
        <f t="shared" ref="JV19:JX19" si="73">IA19-JI19</f>
        <v>0</v>
      </c>
      <c r="JW19" s="200">
        <f t="shared" si="73"/>
        <v>0</v>
      </c>
      <c r="JX19" s="200">
        <f t="shared" si="73"/>
        <v>0</v>
      </c>
      <c r="JY19" s="199"/>
      <c r="JZ19" s="199"/>
      <c r="KA19" s="199"/>
      <c r="KB19" s="200">
        <f t="shared" ref="KB19:KM19" si="74">JB19-JO19</f>
        <v>0</v>
      </c>
      <c r="KC19" s="200">
        <f t="shared" si="74"/>
        <v>0</v>
      </c>
      <c r="KD19" s="200">
        <f t="shared" si="74"/>
        <v>0</v>
      </c>
      <c r="KE19" s="200">
        <f t="shared" si="74"/>
        <v>0</v>
      </c>
      <c r="KF19" s="200">
        <f t="shared" si="74"/>
        <v>0</v>
      </c>
      <c r="KG19" s="200">
        <f t="shared" si="74"/>
        <v>3</v>
      </c>
      <c r="KH19" s="200">
        <f t="shared" si="74"/>
        <v>3</v>
      </c>
      <c r="KI19" s="200">
        <f t="shared" si="74"/>
        <v>7</v>
      </c>
      <c r="KJ19" s="200">
        <f t="shared" si="74"/>
        <v>3</v>
      </c>
      <c r="KK19" s="200">
        <f t="shared" si="74"/>
        <v>3</v>
      </c>
      <c r="KL19" s="200">
        <f t="shared" si="74"/>
        <v>3</v>
      </c>
      <c r="KM19" s="200">
        <f t="shared" si="74"/>
        <v>3</v>
      </c>
      <c r="KN19" s="199"/>
      <c r="KO19" s="199"/>
      <c r="KP19" s="199"/>
      <c r="KQ19" s="199"/>
      <c r="KR19" s="199"/>
      <c r="KS19" s="199"/>
      <c r="KT19" s="199"/>
      <c r="KU19" s="199"/>
      <c r="KV19" s="199"/>
      <c r="KW19" s="199"/>
      <c r="KX19" s="199"/>
      <c r="KY19" s="199"/>
      <c r="KZ19" s="199"/>
      <c r="LA19" s="199"/>
      <c r="LB19" s="199"/>
      <c r="LC19" s="199"/>
      <c r="LD19" s="199"/>
      <c r="LE19" s="199"/>
      <c r="LF19" s="199"/>
      <c r="LG19" s="199"/>
    </row>
    <row r="20" ht="14.25" customHeight="1">
      <c r="A20" s="156">
        <v>13.0</v>
      </c>
      <c r="B20" s="157" t="s">
        <v>76</v>
      </c>
      <c r="C20" s="158">
        <v>3374130.0</v>
      </c>
      <c r="D20" s="158" t="s">
        <v>77</v>
      </c>
      <c r="E20" s="158" t="s">
        <v>91</v>
      </c>
      <c r="F20" s="159">
        <v>3.0</v>
      </c>
      <c r="G20" s="159">
        <v>136.0</v>
      </c>
      <c r="H20" s="160">
        <v>0.0</v>
      </c>
      <c r="I20" s="223"/>
      <c r="J20" s="161"/>
      <c r="K20" s="161"/>
      <c r="L20" s="161"/>
      <c r="M20" s="161">
        <v>0.0</v>
      </c>
      <c r="N20" s="161">
        <v>0.0</v>
      </c>
      <c r="O20" s="162">
        <f t="shared" si="3"/>
        <v>0</v>
      </c>
      <c r="P20" s="203">
        <v>5.0</v>
      </c>
      <c r="Q20" s="164"/>
      <c r="R20" s="164"/>
      <c r="S20" s="164">
        <v>5.0</v>
      </c>
      <c r="T20" s="165"/>
      <c r="U20" s="165">
        <v>0.0</v>
      </c>
      <c r="V20" s="165">
        <v>5.0</v>
      </c>
      <c r="W20" s="166">
        <f t="shared" si="4"/>
        <v>0</v>
      </c>
      <c r="X20" s="203">
        <v>1.0</v>
      </c>
      <c r="Y20" s="165"/>
      <c r="Z20" s="165"/>
      <c r="AA20" s="165">
        <v>1.0</v>
      </c>
      <c r="AB20" s="165"/>
      <c r="AC20" s="165">
        <v>0.0</v>
      </c>
      <c r="AD20" s="165">
        <v>0.0</v>
      </c>
      <c r="AE20" s="166">
        <f t="shared" si="5"/>
        <v>1</v>
      </c>
      <c r="AF20" s="167">
        <v>0.0</v>
      </c>
      <c r="AG20" s="165">
        <v>0.0</v>
      </c>
      <c r="AH20" s="165">
        <v>0.0</v>
      </c>
      <c r="AI20" s="165">
        <v>0.0</v>
      </c>
      <c r="AJ20" s="165">
        <v>0.0</v>
      </c>
      <c r="AK20" s="165">
        <v>0.0</v>
      </c>
      <c r="AL20" s="165">
        <v>0.0</v>
      </c>
      <c r="AM20" s="166">
        <f t="shared" si="6"/>
        <v>0</v>
      </c>
      <c r="AN20" s="167">
        <v>1.0</v>
      </c>
      <c r="AO20" s="165"/>
      <c r="AP20" s="165"/>
      <c r="AQ20" s="165">
        <v>1.0</v>
      </c>
      <c r="AR20" s="165"/>
      <c r="AS20" s="165">
        <v>0.0</v>
      </c>
      <c r="AT20" s="165">
        <v>0.0</v>
      </c>
      <c r="AU20" s="168">
        <f t="shared" si="7"/>
        <v>1</v>
      </c>
      <c r="AV20" s="169">
        <v>134.0</v>
      </c>
      <c r="AW20" s="204">
        <f t="shared" si="8"/>
        <v>1</v>
      </c>
      <c r="AX20" s="169">
        <v>0.0</v>
      </c>
      <c r="AY20" s="169">
        <v>0.0</v>
      </c>
      <c r="AZ20" s="169">
        <v>1.0</v>
      </c>
      <c r="BA20" s="169">
        <v>0.0</v>
      </c>
      <c r="BB20" s="169">
        <v>0.0</v>
      </c>
      <c r="BC20" s="169">
        <v>0.0</v>
      </c>
      <c r="BD20" s="169">
        <v>0.0</v>
      </c>
      <c r="BE20" s="169">
        <v>0.0</v>
      </c>
      <c r="BF20" s="169">
        <v>0.0</v>
      </c>
      <c r="BG20" s="169">
        <v>0.0</v>
      </c>
      <c r="BH20" s="169">
        <v>0.0</v>
      </c>
      <c r="BI20" s="169">
        <v>0.0</v>
      </c>
      <c r="BJ20" s="169">
        <v>0.0</v>
      </c>
      <c r="BK20" s="169">
        <v>0.0</v>
      </c>
      <c r="BL20" s="169">
        <v>0.0</v>
      </c>
      <c r="BM20" s="169">
        <v>0.0</v>
      </c>
      <c r="BN20" s="169">
        <v>0.0</v>
      </c>
      <c r="BO20" s="169">
        <v>0.0</v>
      </c>
      <c r="BP20" s="205">
        <f t="shared" si="9"/>
        <v>0</v>
      </c>
      <c r="BQ20" s="173">
        <v>132.0</v>
      </c>
      <c r="BR20" s="170">
        <f t="shared" si="10"/>
        <v>0</v>
      </c>
      <c r="BS20" s="173">
        <v>0.0</v>
      </c>
      <c r="BT20" s="173">
        <v>0.0</v>
      </c>
      <c r="BU20" s="173">
        <v>0.0</v>
      </c>
      <c r="BV20" s="173">
        <v>0.0</v>
      </c>
      <c r="BW20" s="173">
        <v>0.0</v>
      </c>
      <c r="BX20" s="173">
        <v>0.0</v>
      </c>
      <c r="BY20" s="173">
        <v>0.0</v>
      </c>
      <c r="BZ20" s="173">
        <v>0.0</v>
      </c>
      <c r="CA20" s="173">
        <v>0.0</v>
      </c>
      <c r="CB20" s="173">
        <v>0.0</v>
      </c>
      <c r="CC20" s="173">
        <v>0.0</v>
      </c>
      <c r="CD20" s="173">
        <v>1.0</v>
      </c>
      <c r="CE20" s="173">
        <v>0.0</v>
      </c>
      <c r="CF20" s="173">
        <v>0.0</v>
      </c>
      <c r="CG20" s="173">
        <v>0.0</v>
      </c>
      <c r="CH20" s="173">
        <v>0.0</v>
      </c>
      <c r="CI20" s="173">
        <v>0.0</v>
      </c>
      <c r="CJ20" s="173">
        <v>0.0</v>
      </c>
      <c r="CK20" s="172">
        <f t="shared" si="11"/>
        <v>1</v>
      </c>
      <c r="CL20" s="173">
        <v>132.0</v>
      </c>
      <c r="CM20" s="173">
        <v>35.0</v>
      </c>
      <c r="CN20" s="175">
        <f t="shared" si="12"/>
        <v>0</v>
      </c>
      <c r="CO20" s="173">
        <v>0.0</v>
      </c>
      <c r="CP20" s="173">
        <v>0.0</v>
      </c>
      <c r="CQ20" s="173">
        <v>0.0</v>
      </c>
      <c r="CR20" s="173">
        <v>0.0</v>
      </c>
      <c r="CS20" s="173">
        <v>0.0</v>
      </c>
      <c r="CT20" s="173">
        <v>0.0</v>
      </c>
      <c r="CU20" s="173">
        <v>0.0</v>
      </c>
      <c r="CV20" s="173">
        <v>0.0</v>
      </c>
      <c r="CW20" s="173">
        <v>0.0</v>
      </c>
      <c r="CX20" s="173">
        <v>0.0</v>
      </c>
      <c r="CY20" s="173">
        <v>0.0</v>
      </c>
      <c r="CZ20" s="173">
        <v>0.0</v>
      </c>
      <c r="DA20" s="173">
        <v>0.0</v>
      </c>
      <c r="DB20" s="173">
        <v>0.0</v>
      </c>
      <c r="DC20" s="173">
        <v>0.0</v>
      </c>
      <c r="DD20" s="173">
        <v>0.0</v>
      </c>
      <c r="DE20" s="173">
        <v>0.0</v>
      </c>
      <c r="DF20" s="173">
        <v>0.0</v>
      </c>
      <c r="DG20" s="176">
        <f t="shared" si="13"/>
        <v>0</v>
      </c>
      <c r="DH20" s="177">
        <v>74.0</v>
      </c>
      <c r="DI20" s="177">
        <v>24.0</v>
      </c>
      <c r="DJ20" s="178">
        <v>74.0</v>
      </c>
      <c r="DK20" s="178">
        <v>24.0</v>
      </c>
      <c r="DL20" s="179">
        <f t="shared" si="14"/>
        <v>1</v>
      </c>
      <c r="DM20" s="180">
        <f t="shared" si="15"/>
        <v>0</v>
      </c>
      <c r="DN20" s="180">
        <f t="shared" si="16"/>
        <v>1</v>
      </c>
      <c r="DO20" s="177">
        <v>0.0</v>
      </c>
      <c r="DP20" s="177">
        <v>0.0</v>
      </c>
      <c r="DQ20" s="177">
        <v>0.0</v>
      </c>
      <c r="DR20" s="177">
        <v>1.0</v>
      </c>
      <c r="DS20" s="177">
        <v>0.0</v>
      </c>
      <c r="DT20" s="177">
        <v>0.0</v>
      </c>
      <c r="DU20" s="177">
        <v>0.0</v>
      </c>
      <c r="DV20" s="177">
        <v>0.0</v>
      </c>
      <c r="DW20" s="177">
        <v>0.0</v>
      </c>
      <c r="DX20" s="177">
        <v>0.0</v>
      </c>
      <c r="DY20" s="177">
        <v>0.0</v>
      </c>
      <c r="DZ20" s="177">
        <v>0.0</v>
      </c>
      <c r="EA20" s="177">
        <v>0.0</v>
      </c>
      <c r="EB20" s="177">
        <v>0.0</v>
      </c>
      <c r="EC20" s="177">
        <v>0.0</v>
      </c>
      <c r="ED20" s="177">
        <v>0.0</v>
      </c>
      <c r="EE20" s="177">
        <v>0.0</v>
      </c>
      <c r="EF20" s="177">
        <v>0.0</v>
      </c>
      <c r="EG20" s="179">
        <f t="shared" si="17"/>
        <v>0</v>
      </c>
      <c r="EH20" s="179">
        <f t="shared" si="18"/>
        <v>0</v>
      </c>
      <c r="EI20" s="206">
        <v>76.0</v>
      </c>
      <c r="EJ20" s="207">
        <v>25.0</v>
      </c>
      <c r="EK20" s="208">
        <v>76.0</v>
      </c>
      <c r="EL20" s="209">
        <v>25.0</v>
      </c>
      <c r="EM20" s="185">
        <f t="shared" si="19"/>
        <v>1</v>
      </c>
      <c r="EN20" s="186">
        <f t="shared" si="20"/>
        <v>0</v>
      </c>
      <c r="EO20" s="186">
        <f t="shared" si="21"/>
        <v>1</v>
      </c>
      <c r="EP20" s="206">
        <v>0.0</v>
      </c>
      <c r="EQ20" s="207">
        <v>0.0</v>
      </c>
      <c r="ER20" s="207">
        <v>0.0</v>
      </c>
      <c r="ES20" s="207">
        <v>1.0</v>
      </c>
      <c r="ET20" s="207">
        <v>0.0</v>
      </c>
      <c r="EU20" s="207">
        <v>0.0</v>
      </c>
      <c r="EV20" s="207">
        <v>0.0</v>
      </c>
      <c r="EW20" s="207">
        <v>0.0</v>
      </c>
      <c r="EX20" s="207">
        <v>0.0</v>
      </c>
      <c r="EY20" s="207">
        <v>0.0</v>
      </c>
      <c r="EZ20" s="207">
        <v>0.0</v>
      </c>
      <c r="FA20" s="207">
        <v>0.0</v>
      </c>
      <c r="FB20" s="207">
        <v>0.0</v>
      </c>
      <c r="FC20" s="207">
        <v>0.0</v>
      </c>
      <c r="FD20" s="207">
        <v>0.0</v>
      </c>
      <c r="FE20" s="207">
        <v>0.0</v>
      </c>
      <c r="FF20" s="207">
        <v>0.0</v>
      </c>
      <c r="FG20" s="207">
        <v>0.0</v>
      </c>
      <c r="FH20" s="185">
        <f t="shared" si="22"/>
        <v>0</v>
      </c>
      <c r="FI20" s="185">
        <f t="shared" si="23"/>
        <v>0</v>
      </c>
      <c r="FJ20" s="177">
        <v>76.0</v>
      </c>
      <c r="FK20" s="177">
        <v>23.0</v>
      </c>
      <c r="FL20" s="177">
        <v>76.0</v>
      </c>
      <c r="FM20" s="177">
        <v>23.0</v>
      </c>
      <c r="FN20" s="210"/>
      <c r="FO20" s="210">
        <v>1.0</v>
      </c>
      <c r="FP20" s="188">
        <f t="shared" si="24"/>
        <v>1</v>
      </c>
      <c r="FQ20" s="211">
        <v>0.0</v>
      </c>
      <c r="FR20" s="212">
        <v>1.0</v>
      </c>
      <c r="FS20" s="206">
        <v>0.0</v>
      </c>
      <c r="FT20" s="207">
        <v>0.0</v>
      </c>
      <c r="FU20" s="207">
        <v>0.0</v>
      </c>
      <c r="FV20" s="207">
        <v>1.0</v>
      </c>
      <c r="FW20" s="207">
        <v>0.0</v>
      </c>
      <c r="FX20" s="207">
        <v>0.0</v>
      </c>
      <c r="FY20" s="207">
        <v>0.0</v>
      </c>
      <c r="FZ20" s="207">
        <v>0.0</v>
      </c>
      <c r="GA20" s="207">
        <v>0.0</v>
      </c>
      <c r="GB20" s="207">
        <v>0.0</v>
      </c>
      <c r="GC20" s="207">
        <v>0.0</v>
      </c>
      <c r="GD20" s="207">
        <v>0.0</v>
      </c>
      <c r="GE20" s="207">
        <v>0.0</v>
      </c>
      <c r="GF20" s="207">
        <v>0.0</v>
      </c>
      <c r="GG20" s="207">
        <v>0.0</v>
      </c>
      <c r="GH20" s="207">
        <v>0.0</v>
      </c>
      <c r="GI20" s="207">
        <v>0.0</v>
      </c>
      <c r="GJ20" s="207">
        <v>0.0</v>
      </c>
      <c r="GK20" s="212">
        <v>0.0</v>
      </c>
      <c r="GL20" s="212">
        <v>0.0</v>
      </c>
      <c r="GM20" s="207">
        <v>77.0</v>
      </c>
      <c r="GN20" s="207">
        <v>22.0</v>
      </c>
      <c r="GO20" s="213">
        <v>77.0</v>
      </c>
      <c r="GP20" s="213">
        <v>22.0</v>
      </c>
      <c r="GQ20" s="207"/>
      <c r="GR20" s="213">
        <v>2.0</v>
      </c>
      <c r="GS20" s="193">
        <v>1.0</v>
      </c>
      <c r="GT20" s="194">
        <f t="shared" si="25"/>
        <v>2</v>
      </c>
      <c r="GU20" s="194">
        <f t="shared" si="26"/>
        <v>1</v>
      </c>
      <c r="GV20" s="194">
        <f t="shared" si="27"/>
        <v>1</v>
      </c>
      <c r="GW20" s="207">
        <v>0.0</v>
      </c>
      <c r="GX20" s="207">
        <v>0.0</v>
      </c>
      <c r="GY20" s="207">
        <v>0.0</v>
      </c>
      <c r="GZ20" s="207">
        <v>1.0</v>
      </c>
      <c r="HA20" s="207">
        <v>1.0</v>
      </c>
      <c r="HB20" s="207">
        <v>0.0</v>
      </c>
      <c r="HC20" s="207">
        <v>0.0</v>
      </c>
      <c r="HD20" s="207">
        <v>0.0</v>
      </c>
      <c r="HE20" s="207">
        <v>0.0</v>
      </c>
      <c r="HF20" s="207">
        <v>0.0</v>
      </c>
      <c r="HG20" s="207">
        <v>0.0</v>
      </c>
      <c r="HH20" s="207">
        <v>0.0</v>
      </c>
      <c r="HI20" s="207">
        <v>0.0</v>
      </c>
      <c r="HJ20" s="207">
        <v>0.0</v>
      </c>
      <c r="HK20" s="207">
        <v>0.0</v>
      </c>
      <c r="HL20" s="207">
        <v>0.0</v>
      </c>
      <c r="HM20" s="207">
        <v>0.0</v>
      </c>
      <c r="HN20" s="207">
        <v>0.0</v>
      </c>
      <c r="HO20" s="222">
        <v>0.0</v>
      </c>
      <c r="HP20" s="222">
        <v>0.0</v>
      </c>
      <c r="HQ20" s="214"/>
      <c r="HR20" s="197"/>
      <c r="HS20" s="197"/>
      <c r="HT20" s="198">
        <f t="shared" si="28"/>
        <v>0</v>
      </c>
      <c r="HU20" s="198">
        <f t="shared" si="29"/>
        <v>5</v>
      </c>
      <c r="HV20" s="198">
        <f t="shared" si="30"/>
        <v>1</v>
      </c>
      <c r="HW20" s="198">
        <f t="shared" si="31"/>
        <v>0</v>
      </c>
      <c r="HX20" s="198">
        <f t="shared" si="32"/>
        <v>1</v>
      </c>
      <c r="HY20" s="198">
        <f t="shared" si="33"/>
        <v>1</v>
      </c>
      <c r="HZ20" s="198">
        <f t="shared" si="34"/>
        <v>0</v>
      </c>
      <c r="IA20" s="198">
        <f t="shared" si="35"/>
        <v>0</v>
      </c>
      <c r="IB20" s="198">
        <f t="shared" si="36"/>
        <v>1</v>
      </c>
      <c r="IC20" s="198">
        <f t="shared" si="37"/>
        <v>1</v>
      </c>
      <c r="ID20" s="198">
        <f t="shared" si="38"/>
        <v>1</v>
      </c>
      <c r="IE20" s="198">
        <f t="shared" si="39"/>
        <v>2</v>
      </c>
      <c r="IF20" s="197"/>
      <c r="IG20" s="197"/>
      <c r="IH20" s="197"/>
      <c r="II20" s="197"/>
      <c r="IJ20" s="197"/>
      <c r="IK20" s="197"/>
      <c r="IL20" s="197"/>
      <c r="IM20" s="197"/>
      <c r="IN20" s="197"/>
      <c r="IO20" s="197"/>
      <c r="IP20" s="197"/>
      <c r="IQ20" s="197"/>
      <c r="IR20" s="197"/>
      <c r="IS20" s="197"/>
      <c r="IT20" s="197"/>
      <c r="IU20" s="197"/>
      <c r="IV20" s="197"/>
      <c r="IW20" s="197"/>
      <c r="IX20" s="197"/>
      <c r="IY20" s="197"/>
      <c r="IZ20" s="197"/>
      <c r="JA20" s="199"/>
      <c r="JB20" s="200">
        <f t="shared" si="40"/>
        <v>0</v>
      </c>
      <c r="JC20" s="200">
        <f t="shared" si="41"/>
        <v>5</v>
      </c>
      <c r="JD20" s="200">
        <f t="shared" si="42"/>
        <v>1</v>
      </c>
      <c r="JE20" s="200">
        <f t="shared" si="43"/>
        <v>0</v>
      </c>
      <c r="JF20" s="200">
        <f t="shared" si="44"/>
        <v>1</v>
      </c>
      <c r="JG20" s="200">
        <f t="shared" si="45"/>
        <v>1</v>
      </c>
      <c r="JH20" s="200">
        <f t="shared" si="46"/>
        <v>0</v>
      </c>
      <c r="JI20" s="200">
        <f t="shared" si="47"/>
        <v>0</v>
      </c>
      <c r="JJ20" s="200">
        <f t="shared" si="48"/>
        <v>1</v>
      </c>
      <c r="JK20" s="200">
        <f t="shared" si="49"/>
        <v>1</v>
      </c>
      <c r="JL20" s="200">
        <f t="shared" si="50"/>
        <v>1</v>
      </c>
      <c r="JM20" s="200">
        <f t="shared" si="51"/>
        <v>2</v>
      </c>
      <c r="JN20" s="199"/>
      <c r="JO20" s="200">
        <f t="shared" si="52"/>
        <v>0</v>
      </c>
      <c r="JP20" s="202">
        <v>5.0</v>
      </c>
      <c r="JQ20" s="202">
        <v>1.0</v>
      </c>
      <c r="JR20" s="202">
        <v>0.0</v>
      </c>
      <c r="JS20" s="202">
        <v>1.0</v>
      </c>
      <c r="JT20" s="199"/>
      <c r="JU20" s="199"/>
      <c r="JV20" s="200">
        <f t="shared" ref="JV20:JX20" si="75">IA20-JI20</f>
        <v>0</v>
      </c>
      <c r="JW20" s="200">
        <f t="shared" si="75"/>
        <v>0</v>
      </c>
      <c r="JX20" s="200">
        <f t="shared" si="75"/>
        <v>0</v>
      </c>
      <c r="JY20" s="199"/>
      <c r="JZ20" s="199"/>
      <c r="KA20" s="199"/>
      <c r="KB20" s="200">
        <f t="shared" ref="KB20:KM20" si="76">JB20-JO20</f>
        <v>0</v>
      </c>
      <c r="KC20" s="200">
        <f t="shared" si="76"/>
        <v>0</v>
      </c>
      <c r="KD20" s="200">
        <f t="shared" si="76"/>
        <v>0</v>
      </c>
      <c r="KE20" s="200">
        <f t="shared" si="76"/>
        <v>0</v>
      </c>
      <c r="KF20" s="200">
        <f t="shared" si="76"/>
        <v>0</v>
      </c>
      <c r="KG20" s="200">
        <f t="shared" si="76"/>
        <v>1</v>
      </c>
      <c r="KH20" s="200">
        <f t="shared" si="76"/>
        <v>0</v>
      </c>
      <c r="KI20" s="200">
        <f t="shared" si="76"/>
        <v>0</v>
      </c>
      <c r="KJ20" s="200">
        <f t="shared" si="76"/>
        <v>1</v>
      </c>
      <c r="KK20" s="200">
        <f t="shared" si="76"/>
        <v>1</v>
      </c>
      <c r="KL20" s="200">
        <f t="shared" si="76"/>
        <v>1</v>
      </c>
      <c r="KM20" s="200">
        <f t="shared" si="76"/>
        <v>2</v>
      </c>
      <c r="KN20" s="199"/>
      <c r="KO20" s="199"/>
      <c r="KP20" s="199"/>
      <c r="KQ20" s="199"/>
      <c r="KR20" s="199"/>
      <c r="KS20" s="199"/>
      <c r="KT20" s="199"/>
      <c r="KU20" s="199"/>
      <c r="KV20" s="199"/>
      <c r="KW20" s="199"/>
      <c r="KX20" s="199"/>
      <c r="KY20" s="199"/>
      <c r="KZ20" s="199"/>
      <c r="LA20" s="199"/>
      <c r="LB20" s="199"/>
      <c r="LC20" s="199"/>
      <c r="LD20" s="199"/>
      <c r="LE20" s="199"/>
      <c r="LF20" s="199"/>
      <c r="LG20" s="199"/>
    </row>
    <row r="21" ht="14.25" customHeight="1">
      <c r="A21" s="156">
        <v>14.0</v>
      </c>
      <c r="B21" s="157" t="s">
        <v>76</v>
      </c>
      <c r="C21" s="158">
        <v>3374130.0</v>
      </c>
      <c r="D21" s="158" t="s">
        <v>81</v>
      </c>
      <c r="E21" s="158" t="s">
        <v>92</v>
      </c>
      <c r="F21" s="159">
        <v>5.0</v>
      </c>
      <c r="G21" s="216">
        <v>106.0</v>
      </c>
      <c r="H21" s="160">
        <v>7.0</v>
      </c>
      <c r="I21" s="161">
        <v>0.0</v>
      </c>
      <c r="J21" s="161">
        <v>0.0</v>
      </c>
      <c r="K21" s="161">
        <v>0.0</v>
      </c>
      <c r="L21" s="161">
        <v>7.0</v>
      </c>
      <c r="M21" s="161">
        <v>0.0</v>
      </c>
      <c r="N21" s="161">
        <v>0.0</v>
      </c>
      <c r="O21" s="162">
        <f t="shared" si="3"/>
        <v>7</v>
      </c>
      <c r="P21" s="203">
        <v>9.0</v>
      </c>
      <c r="Q21" s="164">
        <v>1.0</v>
      </c>
      <c r="R21" s="164">
        <v>0.0</v>
      </c>
      <c r="S21" s="164">
        <v>2.0</v>
      </c>
      <c r="T21" s="165">
        <v>6.0</v>
      </c>
      <c r="U21" s="165">
        <v>1.0</v>
      </c>
      <c r="V21" s="165">
        <v>1.0</v>
      </c>
      <c r="W21" s="166">
        <f t="shared" si="4"/>
        <v>7</v>
      </c>
      <c r="X21" s="203">
        <v>8.0</v>
      </c>
      <c r="Y21" s="165">
        <v>1.0</v>
      </c>
      <c r="Z21" s="165">
        <v>1.0</v>
      </c>
      <c r="AA21" s="165">
        <v>0.0</v>
      </c>
      <c r="AB21" s="165">
        <v>6.0</v>
      </c>
      <c r="AC21" s="165">
        <v>2.0</v>
      </c>
      <c r="AD21" s="165">
        <v>1.0</v>
      </c>
      <c r="AE21" s="166">
        <f t="shared" si="5"/>
        <v>5</v>
      </c>
      <c r="AF21" s="167">
        <v>6.0</v>
      </c>
      <c r="AG21" s="165">
        <v>0.0</v>
      </c>
      <c r="AH21" s="165">
        <v>1.0</v>
      </c>
      <c r="AI21" s="165">
        <v>0.0</v>
      </c>
      <c r="AJ21" s="165">
        <v>5.0</v>
      </c>
      <c r="AK21" s="165">
        <v>0.0</v>
      </c>
      <c r="AL21" s="165">
        <v>2.0</v>
      </c>
      <c r="AM21" s="166">
        <f t="shared" si="6"/>
        <v>4</v>
      </c>
      <c r="AN21" s="167">
        <v>6.0</v>
      </c>
      <c r="AO21" s="165">
        <v>0.0</v>
      </c>
      <c r="AP21" s="165">
        <v>1.0</v>
      </c>
      <c r="AQ21" s="165">
        <v>0.0</v>
      </c>
      <c r="AR21" s="165">
        <v>5.0</v>
      </c>
      <c r="AS21" s="165">
        <v>0.0</v>
      </c>
      <c r="AT21" s="165">
        <v>0.0</v>
      </c>
      <c r="AU21" s="168">
        <f t="shared" si="7"/>
        <v>6</v>
      </c>
      <c r="AV21" s="169">
        <v>90.0</v>
      </c>
      <c r="AW21" s="204">
        <f t="shared" si="8"/>
        <v>6</v>
      </c>
      <c r="AX21" s="169">
        <v>0.0</v>
      </c>
      <c r="AY21" s="169">
        <v>1.0</v>
      </c>
      <c r="AZ21" s="169">
        <v>0.0</v>
      </c>
      <c r="BA21" s="169">
        <v>5.0</v>
      </c>
      <c r="BB21" s="169">
        <v>0.0</v>
      </c>
      <c r="BC21" s="169">
        <v>0.0</v>
      </c>
      <c r="BD21" s="169">
        <v>0.0</v>
      </c>
      <c r="BE21" s="169">
        <v>0.0</v>
      </c>
      <c r="BF21" s="169">
        <v>0.0</v>
      </c>
      <c r="BG21" s="169">
        <v>0.0</v>
      </c>
      <c r="BH21" s="169">
        <v>0.0</v>
      </c>
      <c r="BI21" s="169">
        <v>0.0</v>
      </c>
      <c r="BJ21" s="169">
        <v>0.0</v>
      </c>
      <c r="BK21" s="169">
        <v>0.0</v>
      </c>
      <c r="BL21" s="169">
        <v>0.0</v>
      </c>
      <c r="BM21" s="169">
        <v>0.0</v>
      </c>
      <c r="BN21" s="169">
        <v>0.0</v>
      </c>
      <c r="BO21" s="169">
        <v>0.0</v>
      </c>
      <c r="BP21" s="205">
        <f t="shared" si="9"/>
        <v>0</v>
      </c>
      <c r="BQ21" s="173">
        <v>91.0</v>
      </c>
      <c r="BR21" s="170">
        <f t="shared" si="10"/>
        <v>6</v>
      </c>
      <c r="BS21" s="173">
        <v>0.0</v>
      </c>
      <c r="BT21" s="173">
        <v>1.0</v>
      </c>
      <c r="BU21" s="173">
        <v>0.0</v>
      </c>
      <c r="BV21" s="173">
        <v>4.0</v>
      </c>
      <c r="BW21" s="173">
        <v>1.0</v>
      </c>
      <c r="BX21" s="173">
        <v>0.0</v>
      </c>
      <c r="BY21" s="173">
        <v>0.0</v>
      </c>
      <c r="BZ21" s="173">
        <v>0.0</v>
      </c>
      <c r="CA21" s="173">
        <v>0.0</v>
      </c>
      <c r="CB21" s="173">
        <v>0.0</v>
      </c>
      <c r="CC21" s="173">
        <v>0.0</v>
      </c>
      <c r="CD21" s="173">
        <v>0.0</v>
      </c>
      <c r="CE21" s="173">
        <v>0.0</v>
      </c>
      <c r="CF21" s="173">
        <v>0.0</v>
      </c>
      <c r="CG21" s="173">
        <v>0.0</v>
      </c>
      <c r="CH21" s="173">
        <v>0.0</v>
      </c>
      <c r="CI21" s="173">
        <v>1.0</v>
      </c>
      <c r="CJ21" s="173">
        <v>0.0</v>
      </c>
      <c r="CK21" s="172">
        <f t="shared" si="11"/>
        <v>1</v>
      </c>
      <c r="CL21" s="173">
        <v>101.0</v>
      </c>
      <c r="CM21" s="173">
        <v>57.0</v>
      </c>
      <c r="CN21" s="175">
        <f t="shared" si="12"/>
        <v>15</v>
      </c>
      <c r="CO21" s="173">
        <v>1.0</v>
      </c>
      <c r="CP21" s="173">
        <v>1.0</v>
      </c>
      <c r="CQ21" s="173">
        <v>0.0</v>
      </c>
      <c r="CR21" s="173">
        <v>4.0</v>
      </c>
      <c r="CS21" s="173">
        <v>0.0</v>
      </c>
      <c r="CT21" s="173">
        <v>2.0</v>
      </c>
      <c r="CU21" s="173">
        <v>0.0</v>
      </c>
      <c r="CV21" s="173">
        <v>7.0</v>
      </c>
      <c r="CW21" s="173">
        <v>0.0</v>
      </c>
      <c r="CX21" s="173">
        <v>0.0</v>
      </c>
      <c r="CY21" s="173">
        <v>0.0</v>
      </c>
      <c r="CZ21" s="173">
        <v>0.0</v>
      </c>
      <c r="DA21" s="173">
        <v>0.0</v>
      </c>
      <c r="DB21" s="173">
        <v>0.0</v>
      </c>
      <c r="DC21" s="173">
        <v>0.0</v>
      </c>
      <c r="DD21" s="173">
        <v>0.0</v>
      </c>
      <c r="DE21" s="173">
        <v>0.0</v>
      </c>
      <c r="DF21" s="173">
        <v>0.0</v>
      </c>
      <c r="DG21" s="176">
        <f t="shared" si="13"/>
        <v>0</v>
      </c>
      <c r="DH21" s="177">
        <v>94.0</v>
      </c>
      <c r="DI21" s="177">
        <v>42.0</v>
      </c>
      <c r="DJ21" s="178">
        <v>92.0</v>
      </c>
      <c r="DK21" s="178">
        <v>45.0</v>
      </c>
      <c r="DL21" s="179">
        <f t="shared" si="14"/>
        <v>8</v>
      </c>
      <c r="DM21" s="180">
        <f t="shared" si="15"/>
        <v>1</v>
      </c>
      <c r="DN21" s="180">
        <f t="shared" si="16"/>
        <v>7</v>
      </c>
      <c r="DO21" s="177">
        <v>0.0</v>
      </c>
      <c r="DP21" s="177">
        <v>0.0</v>
      </c>
      <c r="DQ21" s="177">
        <v>0.0</v>
      </c>
      <c r="DR21" s="177">
        <v>7.0</v>
      </c>
      <c r="DS21" s="177">
        <v>0.0</v>
      </c>
      <c r="DT21" s="177">
        <v>0.0</v>
      </c>
      <c r="DU21" s="177">
        <v>1.0</v>
      </c>
      <c r="DV21" s="177">
        <v>0.0</v>
      </c>
      <c r="DW21" s="177">
        <v>1.0</v>
      </c>
      <c r="DX21" s="177">
        <v>3.0</v>
      </c>
      <c r="DY21" s="177">
        <v>0.0</v>
      </c>
      <c r="DZ21" s="177">
        <v>4.0</v>
      </c>
      <c r="EA21" s="177">
        <v>0.0</v>
      </c>
      <c r="EB21" s="177">
        <v>0.0</v>
      </c>
      <c r="EC21" s="177">
        <v>0.0</v>
      </c>
      <c r="ED21" s="177">
        <v>0.0</v>
      </c>
      <c r="EE21" s="177">
        <v>0.0</v>
      </c>
      <c r="EF21" s="177">
        <v>0.0</v>
      </c>
      <c r="EG21" s="179">
        <f t="shared" si="17"/>
        <v>8</v>
      </c>
      <c r="EH21" s="179">
        <f t="shared" si="18"/>
        <v>4</v>
      </c>
      <c r="EI21" s="177">
        <v>97.0</v>
      </c>
      <c r="EJ21" s="177">
        <v>47.0</v>
      </c>
      <c r="EK21" s="178">
        <v>95.0</v>
      </c>
      <c r="EL21" s="178">
        <v>43.0</v>
      </c>
      <c r="EM21" s="185">
        <f t="shared" si="19"/>
        <v>7</v>
      </c>
      <c r="EN21" s="186">
        <f t="shared" si="20"/>
        <v>2</v>
      </c>
      <c r="EO21" s="186">
        <f t="shared" si="21"/>
        <v>5</v>
      </c>
      <c r="EP21" s="177">
        <v>0.0</v>
      </c>
      <c r="EQ21" s="177">
        <v>0.0</v>
      </c>
      <c r="ER21" s="177">
        <v>1.0</v>
      </c>
      <c r="ES21" s="177">
        <v>5.0</v>
      </c>
      <c r="ET21" s="177">
        <v>0.0</v>
      </c>
      <c r="EU21" s="177">
        <v>0.0</v>
      </c>
      <c r="EV21" s="177">
        <v>1.0</v>
      </c>
      <c r="EW21" s="177">
        <v>0.0</v>
      </c>
      <c r="EX21" s="177">
        <v>0.0</v>
      </c>
      <c r="EY21" s="177">
        <v>0.0</v>
      </c>
      <c r="EZ21" s="177">
        <v>0.0</v>
      </c>
      <c r="FA21" s="177">
        <v>2.0</v>
      </c>
      <c r="FB21" s="177">
        <v>0.0</v>
      </c>
      <c r="FC21" s="177">
        <v>0.0</v>
      </c>
      <c r="FD21" s="177">
        <v>0.0</v>
      </c>
      <c r="FE21" s="177">
        <v>0.0</v>
      </c>
      <c r="FF21" s="177">
        <v>0.0</v>
      </c>
      <c r="FG21" s="177">
        <v>0.0</v>
      </c>
      <c r="FH21" s="185">
        <f t="shared" si="22"/>
        <v>2</v>
      </c>
      <c r="FI21" s="185">
        <f t="shared" si="23"/>
        <v>0</v>
      </c>
      <c r="FJ21" s="221">
        <v>97.0</v>
      </c>
      <c r="FK21" s="221">
        <v>32.0</v>
      </c>
      <c r="FL21" s="221">
        <v>97.0</v>
      </c>
      <c r="FM21" s="221">
        <v>32.0</v>
      </c>
      <c r="FN21" s="210"/>
      <c r="FO21" s="210">
        <v>8.0</v>
      </c>
      <c r="FP21" s="188">
        <f t="shared" si="24"/>
        <v>8</v>
      </c>
      <c r="FQ21" s="211">
        <v>2.0</v>
      </c>
      <c r="FR21" s="212">
        <v>6.0</v>
      </c>
      <c r="FS21" s="206">
        <v>0.0</v>
      </c>
      <c r="FT21" s="207">
        <v>0.0</v>
      </c>
      <c r="FU21" s="207">
        <v>2.0</v>
      </c>
      <c r="FV21" s="207">
        <v>5.0</v>
      </c>
      <c r="FW21" s="207">
        <v>0.0</v>
      </c>
      <c r="FX21" s="207">
        <v>0.0</v>
      </c>
      <c r="FY21" s="207">
        <v>0.0</v>
      </c>
      <c r="FZ21" s="207">
        <v>1.0</v>
      </c>
      <c r="GA21" s="207">
        <v>0.0</v>
      </c>
      <c r="GB21" s="207">
        <v>0.0</v>
      </c>
      <c r="GC21" s="207">
        <v>0.0</v>
      </c>
      <c r="GD21" s="207">
        <v>0.0</v>
      </c>
      <c r="GE21" s="207">
        <v>0.0</v>
      </c>
      <c r="GF21" s="207">
        <v>0.0</v>
      </c>
      <c r="GG21" s="207">
        <v>0.0</v>
      </c>
      <c r="GH21" s="207">
        <v>0.0</v>
      </c>
      <c r="GI21" s="207">
        <v>0.0</v>
      </c>
      <c r="GJ21" s="207">
        <v>0.0</v>
      </c>
      <c r="GK21" s="212">
        <v>0.0</v>
      </c>
      <c r="GL21" s="212">
        <v>0.0</v>
      </c>
      <c r="GM21" s="207">
        <v>95.0</v>
      </c>
      <c r="GN21" s="207">
        <v>28.0</v>
      </c>
      <c r="GO21" s="213">
        <v>95.0</v>
      </c>
      <c r="GP21" s="213">
        <v>28.0</v>
      </c>
      <c r="GQ21" s="207"/>
      <c r="GR21" s="213">
        <v>8.0</v>
      </c>
      <c r="GS21" s="193">
        <v>2.0</v>
      </c>
      <c r="GT21" s="194">
        <f t="shared" si="25"/>
        <v>8</v>
      </c>
      <c r="GU21" s="194">
        <f t="shared" si="26"/>
        <v>2</v>
      </c>
      <c r="GV21" s="194">
        <f t="shared" si="27"/>
        <v>6</v>
      </c>
      <c r="GW21" s="207">
        <v>0.0</v>
      </c>
      <c r="GX21" s="207">
        <v>0.0</v>
      </c>
      <c r="GY21" s="207">
        <v>1.0</v>
      </c>
      <c r="GZ21" s="207">
        <v>6.0</v>
      </c>
      <c r="HA21" s="207">
        <v>0.0</v>
      </c>
      <c r="HB21" s="207">
        <v>0.0</v>
      </c>
      <c r="HC21" s="207">
        <v>1.0</v>
      </c>
      <c r="HD21" s="207">
        <v>0.0</v>
      </c>
      <c r="HE21" s="207">
        <v>0.0</v>
      </c>
      <c r="HF21" s="207">
        <v>0.0</v>
      </c>
      <c r="HG21" s="207">
        <v>0.0</v>
      </c>
      <c r="HH21" s="207">
        <v>1.0</v>
      </c>
      <c r="HI21" s="207">
        <v>0.0</v>
      </c>
      <c r="HJ21" s="207">
        <v>0.0</v>
      </c>
      <c r="HK21" s="207">
        <v>0.0</v>
      </c>
      <c r="HL21" s="207">
        <v>0.0</v>
      </c>
      <c r="HM21" s="207">
        <v>0.0</v>
      </c>
      <c r="HN21" s="207">
        <v>0.0</v>
      </c>
      <c r="HO21" s="222"/>
      <c r="HP21" s="222"/>
      <c r="HQ21" s="214"/>
      <c r="HR21" s="197"/>
      <c r="HS21" s="197"/>
      <c r="HT21" s="198">
        <f t="shared" si="28"/>
        <v>7</v>
      </c>
      <c r="HU21" s="198">
        <f t="shared" si="29"/>
        <v>9</v>
      </c>
      <c r="HV21" s="198">
        <f t="shared" si="30"/>
        <v>8</v>
      </c>
      <c r="HW21" s="198">
        <f t="shared" si="31"/>
        <v>6</v>
      </c>
      <c r="HX21" s="198">
        <f t="shared" si="32"/>
        <v>6</v>
      </c>
      <c r="HY21" s="198">
        <f t="shared" si="33"/>
        <v>6</v>
      </c>
      <c r="HZ21" s="198">
        <f t="shared" si="34"/>
        <v>6</v>
      </c>
      <c r="IA21" s="198">
        <f t="shared" si="35"/>
        <v>15</v>
      </c>
      <c r="IB21" s="198">
        <f t="shared" si="36"/>
        <v>8</v>
      </c>
      <c r="IC21" s="198">
        <f t="shared" si="37"/>
        <v>7</v>
      </c>
      <c r="ID21" s="198">
        <f t="shared" si="38"/>
        <v>8</v>
      </c>
      <c r="IE21" s="198">
        <f t="shared" si="39"/>
        <v>8</v>
      </c>
      <c r="IF21" s="197"/>
      <c r="IG21" s="197"/>
      <c r="IH21" s="197"/>
      <c r="II21" s="197"/>
      <c r="IJ21" s="197"/>
      <c r="IK21" s="197"/>
      <c r="IL21" s="197"/>
      <c r="IM21" s="197"/>
      <c r="IN21" s="197"/>
      <c r="IO21" s="197"/>
      <c r="IP21" s="197"/>
      <c r="IQ21" s="197"/>
      <c r="IR21" s="197"/>
      <c r="IS21" s="197"/>
      <c r="IT21" s="197"/>
      <c r="IU21" s="197"/>
      <c r="IV21" s="197"/>
      <c r="IW21" s="197"/>
      <c r="IX21" s="197"/>
      <c r="IY21" s="197"/>
      <c r="IZ21" s="197"/>
      <c r="JA21" s="199"/>
      <c r="JB21" s="200">
        <f t="shared" si="40"/>
        <v>7</v>
      </c>
      <c r="JC21" s="200">
        <f t="shared" si="41"/>
        <v>9</v>
      </c>
      <c r="JD21" s="200">
        <f t="shared" si="42"/>
        <v>8</v>
      </c>
      <c r="JE21" s="200">
        <f t="shared" si="43"/>
        <v>6</v>
      </c>
      <c r="JF21" s="200">
        <f t="shared" si="44"/>
        <v>6</v>
      </c>
      <c r="JG21" s="200">
        <f t="shared" si="45"/>
        <v>6</v>
      </c>
      <c r="JH21" s="200">
        <f t="shared" si="46"/>
        <v>6</v>
      </c>
      <c r="JI21" s="200">
        <f t="shared" si="47"/>
        <v>15</v>
      </c>
      <c r="JJ21" s="200">
        <f t="shared" si="48"/>
        <v>8</v>
      </c>
      <c r="JK21" s="200">
        <f t="shared" si="49"/>
        <v>9</v>
      </c>
      <c r="JL21" s="200">
        <f t="shared" si="50"/>
        <v>8</v>
      </c>
      <c r="JM21" s="200">
        <f t="shared" si="51"/>
        <v>8</v>
      </c>
      <c r="JN21" s="199"/>
      <c r="JO21" s="200">
        <f t="shared" si="52"/>
        <v>7</v>
      </c>
      <c r="JP21" s="202">
        <v>9.0</v>
      </c>
      <c r="JQ21" s="202">
        <v>8.0</v>
      </c>
      <c r="JR21" s="202">
        <v>6.0</v>
      </c>
      <c r="JS21" s="202">
        <v>6.0</v>
      </c>
      <c r="JT21" s="199"/>
      <c r="JU21" s="199"/>
      <c r="JV21" s="200">
        <f t="shared" ref="JV21:JX21" si="77">IA21-JI21</f>
        <v>0</v>
      </c>
      <c r="JW21" s="200">
        <f t="shared" si="77"/>
        <v>0</v>
      </c>
      <c r="JX21" s="200">
        <f t="shared" si="77"/>
        <v>-2</v>
      </c>
      <c r="JY21" s="199"/>
      <c r="JZ21" s="199"/>
      <c r="KA21" s="199"/>
      <c r="KB21" s="200">
        <f t="shared" ref="KB21:KM21" si="78">JB21-JO21</f>
        <v>0</v>
      </c>
      <c r="KC21" s="200">
        <f t="shared" si="78"/>
        <v>0</v>
      </c>
      <c r="KD21" s="200">
        <f t="shared" si="78"/>
        <v>0</v>
      </c>
      <c r="KE21" s="200">
        <f t="shared" si="78"/>
        <v>0</v>
      </c>
      <c r="KF21" s="200">
        <f t="shared" si="78"/>
        <v>0</v>
      </c>
      <c r="KG21" s="200">
        <f t="shared" si="78"/>
        <v>6</v>
      </c>
      <c r="KH21" s="200">
        <f t="shared" si="78"/>
        <v>6</v>
      </c>
      <c r="KI21" s="200">
        <f t="shared" si="78"/>
        <v>15</v>
      </c>
      <c r="KJ21" s="200">
        <f t="shared" si="78"/>
        <v>8</v>
      </c>
      <c r="KK21" s="200">
        <f t="shared" si="78"/>
        <v>11</v>
      </c>
      <c r="KL21" s="200">
        <f t="shared" si="78"/>
        <v>8</v>
      </c>
      <c r="KM21" s="200">
        <f t="shared" si="78"/>
        <v>8</v>
      </c>
      <c r="KN21" s="199"/>
      <c r="KO21" s="199"/>
      <c r="KP21" s="199"/>
      <c r="KQ21" s="199"/>
      <c r="KR21" s="199"/>
      <c r="KS21" s="199"/>
      <c r="KT21" s="199"/>
      <c r="KU21" s="199"/>
      <c r="KV21" s="199"/>
      <c r="KW21" s="199"/>
      <c r="KX21" s="199"/>
      <c r="KY21" s="199"/>
      <c r="KZ21" s="199"/>
      <c r="LA21" s="199"/>
      <c r="LB21" s="199"/>
      <c r="LC21" s="199"/>
      <c r="LD21" s="199"/>
      <c r="LE21" s="199"/>
      <c r="LF21" s="199"/>
      <c r="LG21" s="199"/>
    </row>
    <row r="22" ht="14.25" customHeight="1">
      <c r="A22" s="156">
        <v>15.0</v>
      </c>
      <c r="B22" s="157" t="s">
        <v>76</v>
      </c>
      <c r="C22" s="158">
        <v>3374130.0</v>
      </c>
      <c r="D22" s="158" t="s">
        <v>81</v>
      </c>
      <c r="E22" s="158" t="s">
        <v>93</v>
      </c>
      <c r="F22" s="159">
        <v>7.0</v>
      </c>
      <c r="G22" s="216">
        <v>291.0</v>
      </c>
      <c r="H22" s="160">
        <v>17.0</v>
      </c>
      <c r="I22" s="161">
        <v>0.0</v>
      </c>
      <c r="J22" s="161">
        <v>2.0</v>
      </c>
      <c r="K22" s="161">
        <v>5.0</v>
      </c>
      <c r="L22" s="161">
        <v>10.0</v>
      </c>
      <c r="M22" s="161">
        <v>3.0</v>
      </c>
      <c r="N22" s="161">
        <v>0.0</v>
      </c>
      <c r="O22" s="162">
        <f t="shared" si="3"/>
        <v>14</v>
      </c>
      <c r="P22" s="203">
        <v>26.0</v>
      </c>
      <c r="Q22" s="164">
        <v>2.0</v>
      </c>
      <c r="R22" s="164">
        <v>3.0</v>
      </c>
      <c r="S22" s="164">
        <v>4.0</v>
      </c>
      <c r="T22" s="165">
        <v>17.0</v>
      </c>
      <c r="U22" s="165">
        <v>11.0</v>
      </c>
      <c r="V22" s="165">
        <v>2.0</v>
      </c>
      <c r="W22" s="166">
        <f t="shared" si="4"/>
        <v>13</v>
      </c>
      <c r="X22" s="203">
        <v>28.0</v>
      </c>
      <c r="Y22" s="165">
        <v>1.0</v>
      </c>
      <c r="Z22" s="165">
        <v>3.0</v>
      </c>
      <c r="AA22" s="165">
        <v>5.0</v>
      </c>
      <c r="AB22" s="165">
        <v>19.0</v>
      </c>
      <c r="AC22" s="165">
        <v>4.0</v>
      </c>
      <c r="AD22" s="165">
        <v>1.0</v>
      </c>
      <c r="AE22" s="166">
        <f t="shared" si="5"/>
        <v>23</v>
      </c>
      <c r="AF22" s="167">
        <v>25.0</v>
      </c>
      <c r="AG22" s="165">
        <v>0.0</v>
      </c>
      <c r="AH22" s="165">
        <v>2.0</v>
      </c>
      <c r="AI22" s="165">
        <v>5.0</v>
      </c>
      <c r="AJ22" s="165">
        <v>18.0</v>
      </c>
      <c r="AK22" s="165">
        <v>3.0</v>
      </c>
      <c r="AL22" s="165">
        <v>7.0</v>
      </c>
      <c r="AM22" s="166">
        <f t="shared" si="6"/>
        <v>15</v>
      </c>
      <c r="AN22" s="167">
        <v>22.0</v>
      </c>
      <c r="AO22" s="165">
        <v>0.0</v>
      </c>
      <c r="AP22" s="165">
        <v>2.0</v>
      </c>
      <c r="AQ22" s="165">
        <v>5.0</v>
      </c>
      <c r="AR22" s="165">
        <v>15.0</v>
      </c>
      <c r="AS22" s="165">
        <v>0.0</v>
      </c>
      <c r="AT22" s="165">
        <v>3.0</v>
      </c>
      <c r="AU22" s="168">
        <f t="shared" si="7"/>
        <v>19</v>
      </c>
      <c r="AV22" s="169">
        <v>249.0</v>
      </c>
      <c r="AW22" s="204">
        <f t="shared" si="8"/>
        <v>23</v>
      </c>
      <c r="AX22" s="169">
        <v>0.0</v>
      </c>
      <c r="AY22" s="169">
        <v>1.0</v>
      </c>
      <c r="AZ22" s="169">
        <v>4.0</v>
      </c>
      <c r="BA22" s="169">
        <v>15.0</v>
      </c>
      <c r="BB22" s="169">
        <v>1.0</v>
      </c>
      <c r="BC22" s="169">
        <v>0.0</v>
      </c>
      <c r="BD22" s="169">
        <v>1.0</v>
      </c>
      <c r="BE22" s="169">
        <v>1.0</v>
      </c>
      <c r="BF22" s="169">
        <v>0.0</v>
      </c>
      <c r="BG22" s="169">
        <v>0.0</v>
      </c>
      <c r="BH22" s="169">
        <v>0.0</v>
      </c>
      <c r="BI22" s="169">
        <v>2.0</v>
      </c>
      <c r="BJ22" s="169">
        <v>0.0</v>
      </c>
      <c r="BK22" s="169">
        <v>0.0</v>
      </c>
      <c r="BL22" s="169">
        <v>0.0</v>
      </c>
      <c r="BM22" s="169">
        <v>0.0</v>
      </c>
      <c r="BN22" s="169">
        <v>0.0</v>
      </c>
      <c r="BO22" s="169">
        <v>0.0</v>
      </c>
      <c r="BP22" s="205">
        <f t="shared" si="9"/>
        <v>2</v>
      </c>
      <c r="BQ22" s="173">
        <v>235.0</v>
      </c>
      <c r="BR22" s="170">
        <f t="shared" si="10"/>
        <v>16</v>
      </c>
      <c r="BS22" s="173">
        <v>1.0</v>
      </c>
      <c r="BT22" s="173">
        <v>1.0</v>
      </c>
      <c r="BU22" s="173">
        <v>2.0</v>
      </c>
      <c r="BV22" s="173">
        <v>12.0</v>
      </c>
      <c r="BW22" s="173">
        <v>0.0</v>
      </c>
      <c r="BX22" s="173">
        <v>0.0</v>
      </c>
      <c r="BY22" s="173">
        <v>0.0</v>
      </c>
      <c r="BZ22" s="173">
        <v>0.0</v>
      </c>
      <c r="CA22" s="173">
        <v>0.0</v>
      </c>
      <c r="CB22" s="173">
        <v>0.0</v>
      </c>
      <c r="CC22" s="173">
        <v>4.0</v>
      </c>
      <c r="CD22" s="173">
        <v>4.0</v>
      </c>
      <c r="CE22" s="173">
        <v>0.0</v>
      </c>
      <c r="CF22" s="173">
        <v>0.0</v>
      </c>
      <c r="CG22" s="173">
        <v>0.0</v>
      </c>
      <c r="CH22" s="173">
        <v>0.0</v>
      </c>
      <c r="CI22" s="173">
        <v>1.0</v>
      </c>
      <c r="CJ22" s="173">
        <v>0.0</v>
      </c>
      <c r="CK22" s="172">
        <f t="shared" si="11"/>
        <v>9</v>
      </c>
      <c r="CL22" s="173">
        <v>230.0</v>
      </c>
      <c r="CM22" s="173">
        <v>96.0</v>
      </c>
      <c r="CN22" s="175">
        <f t="shared" si="12"/>
        <v>16</v>
      </c>
      <c r="CO22" s="173">
        <v>1.0</v>
      </c>
      <c r="CP22" s="173">
        <v>0.0</v>
      </c>
      <c r="CQ22" s="173">
        <v>2.0</v>
      </c>
      <c r="CR22" s="173">
        <v>11.0</v>
      </c>
      <c r="CS22" s="173">
        <v>1.0</v>
      </c>
      <c r="CT22" s="173">
        <v>1.0</v>
      </c>
      <c r="CU22" s="173">
        <v>0.0</v>
      </c>
      <c r="CV22" s="173">
        <v>0.0</v>
      </c>
      <c r="CW22" s="173">
        <v>0.0</v>
      </c>
      <c r="CX22" s="173">
        <v>0.0</v>
      </c>
      <c r="CY22" s="173">
        <v>1.0</v>
      </c>
      <c r="CZ22" s="173">
        <v>1.0</v>
      </c>
      <c r="DA22" s="173">
        <v>0.0</v>
      </c>
      <c r="DB22" s="173">
        <v>0.0</v>
      </c>
      <c r="DC22" s="173">
        <v>0.0</v>
      </c>
      <c r="DD22" s="173">
        <v>0.0</v>
      </c>
      <c r="DE22" s="173">
        <v>0.0</v>
      </c>
      <c r="DF22" s="173">
        <v>0.0</v>
      </c>
      <c r="DG22" s="176">
        <f t="shared" si="13"/>
        <v>2</v>
      </c>
      <c r="DH22" s="177">
        <v>211.0</v>
      </c>
      <c r="DI22" s="177">
        <v>71.0</v>
      </c>
      <c r="DJ22" s="178">
        <v>211.0</v>
      </c>
      <c r="DK22" s="178">
        <v>83.0</v>
      </c>
      <c r="DL22" s="179">
        <f t="shared" si="14"/>
        <v>12</v>
      </c>
      <c r="DM22" s="180">
        <f t="shared" si="15"/>
        <v>4</v>
      </c>
      <c r="DN22" s="180">
        <f t="shared" si="16"/>
        <v>8</v>
      </c>
      <c r="DO22" s="177">
        <v>0.0</v>
      </c>
      <c r="DP22" s="177">
        <v>0.0</v>
      </c>
      <c r="DQ22" s="177">
        <v>0.0</v>
      </c>
      <c r="DR22" s="177">
        <v>4.0</v>
      </c>
      <c r="DS22" s="177">
        <v>1.0</v>
      </c>
      <c r="DT22" s="177">
        <v>0.0</v>
      </c>
      <c r="DU22" s="177">
        <v>3.0</v>
      </c>
      <c r="DV22" s="177">
        <v>4.0</v>
      </c>
      <c r="DW22" s="177">
        <v>2.0</v>
      </c>
      <c r="DX22" s="177">
        <v>1.0</v>
      </c>
      <c r="DY22" s="177">
        <v>2.0</v>
      </c>
      <c r="DZ22" s="177">
        <v>7.0</v>
      </c>
      <c r="EA22" s="177">
        <v>0.0</v>
      </c>
      <c r="EB22" s="177">
        <v>0.0</v>
      </c>
      <c r="EC22" s="177">
        <v>0.0</v>
      </c>
      <c r="ED22" s="177">
        <v>0.0</v>
      </c>
      <c r="EE22" s="177">
        <v>0.0</v>
      </c>
      <c r="EF22" s="177">
        <v>0.0</v>
      </c>
      <c r="EG22" s="179">
        <f t="shared" si="17"/>
        <v>12</v>
      </c>
      <c r="EH22" s="179">
        <f t="shared" si="18"/>
        <v>5</v>
      </c>
      <c r="EI22" s="177">
        <v>216.0</v>
      </c>
      <c r="EJ22" s="177">
        <v>82.0</v>
      </c>
      <c r="EK22" s="178">
        <v>214.0</v>
      </c>
      <c r="EL22" s="178">
        <v>79.0</v>
      </c>
      <c r="EM22" s="185">
        <f t="shared" si="19"/>
        <v>10</v>
      </c>
      <c r="EN22" s="186">
        <f t="shared" si="20"/>
        <v>4</v>
      </c>
      <c r="EO22" s="186">
        <f t="shared" si="21"/>
        <v>6</v>
      </c>
      <c r="EP22" s="177">
        <v>0.0</v>
      </c>
      <c r="EQ22" s="177">
        <v>0.0</v>
      </c>
      <c r="ER22" s="177">
        <v>3.0</v>
      </c>
      <c r="ES22" s="177">
        <v>5.0</v>
      </c>
      <c r="ET22" s="177">
        <v>1.0</v>
      </c>
      <c r="EU22" s="177">
        <v>0.0</v>
      </c>
      <c r="EV22" s="177">
        <v>0.0</v>
      </c>
      <c r="EW22" s="177">
        <v>1.0</v>
      </c>
      <c r="EX22" s="177">
        <v>0.0</v>
      </c>
      <c r="EY22" s="177">
        <v>1.0</v>
      </c>
      <c r="EZ22" s="177">
        <v>0.0</v>
      </c>
      <c r="FA22" s="177">
        <v>3.0</v>
      </c>
      <c r="FB22" s="177">
        <v>0.0</v>
      </c>
      <c r="FC22" s="177">
        <v>0.0</v>
      </c>
      <c r="FD22" s="177">
        <v>0.0</v>
      </c>
      <c r="FE22" s="177">
        <v>0.0</v>
      </c>
      <c r="FF22" s="177">
        <v>0.0</v>
      </c>
      <c r="FG22" s="177">
        <v>0.0</v>
      </c>
      <c r="FH22" s="185">
        <f t="shared" si="22"/>
        <v>4</v>
      </c>
      <c r="FI22" s="185">
        <f t="shared" si="23"/>
        <v>1</v>
      </c>
      <c r="FJ22" s="221">
        <v>212.0</v>
      </c>
      <c r="FK22" s="221">
        <v>50.0</v>
      </c>
      <c r="FL22" s="221">
        <v>206.0</v>
      </c>
      <c r="FM22" s="221">
        <v>46.0</v>
      </c>
      <c r="FN22" s="210"/>
      <c r="FO22" s="210">
        <v>15.0</v>
      </c>
      <c r="FP22" s="188">
        <f t="shared" si="24"/>
        <v>15</v>
      </c>
      <c r="FQ22" s="211">
        <v>4.0</v>
      </c>
      <c r="FR22" s="212">
        <v>11.0</v>
      </c>
      <c r="FS22" s="206">
        <v>0.0</v>
      </c>
      <c r="FT22" s="207">
        <v>0.0</v>
      </c>
      <c r="FU22" s="207">
        <v>3.0</v>
      </c>
      <c r="FV22" s="207">
        <v>9.0</v>
      </c>
      <c r="FW22" s="207">
        <v>0.0</v>
      </c>
      <c r="FX22" s="207">
        <v>1.0</v>
      </c>
      <c r="FY22" s="207">
        <v>0.0</v>
      </c>
      <c r="FZ22" s="207">
        <v>2.0</v>
      </c>
      <c r="GA22" s="207">
        <v>0.0</v>
      </c>
      <c r="GB22" s="207">
        <v>2.0</v>
      </c>
      <c r="GC22" s="207">
        <v>0.0</v>
      </c>
      <c r="GD22" s="207">
        <v>0.0</v>
      </c>
      <c r="GE22" s="207">
        <v>0.0</v>
      </c>
      <c r="GF22" s="207">
        <v>0.0</v>
      </c>
      <c r="GG22" s="207">
        <v>0.0</v>
      </c>
      <c r="GH22" s="207">
        <v>0.0</v>
      </c>
      <c r="GI22" s="207">
        <v>0.0</v>
      </c>
      <c r="GJ22" s="207">
        <v>0.0</v>
      </c>
      <c r="GK22" s="212">
        <v>2.0</v>
      </c>
      <c r="GL22" s="212">
        <v>2.0</v>
      </c>
      <c r="GM22" s="207">
        <v>255.0</v>
      </c>
      <c r="GN22" s="207">
        <v>74.0</v>
      </c>
      <c r="GO22" s="213">
        <v>255.0</v>
      </c>
      <c r="GP22" s="213">
        <v>74.0</v>
      </c>
      <c r="GQ22" s="207"/>
      <c r="GR22" s="213">
        <v>18.0</v>
      </c>
      <c r="GS22" s="193">
        <v>4.0</v>
      </c>
      <c r="GT22" s="194">
        <f t="shared" si="25"/>
        <v>18</v>
      </c>
      <c r="GU22" s="194">
        <f t="shared" si="26"/>
        <v>4</v>
      </c>
      <c r="GV22" s="194">
        <f t="shared" si="27"/>
        <v>14</v>
      </c>
      <c r="GW22" s="207">
        <v>0.0</v>
      </c>
      <c r="GX22" s="207">
        <v>0.0</v>
      </c>
      <c r="GY22" s="207">
        <v>4.0</v>
      </c>
      <c r="GZ22" s="207">
        <v>11.0</v>
      </c>
      <c r="HA22" s="207">
        <v>0.0</v>
      </c>
      <c r="HB22" s="207">
        <v>0.0</v>
      </c>
      <c r="HC22" s="207">
        <v>0.0</v>
      </c>
      <c r="HD22" s="207">
        <v>3.0</v>
      </c>
      <c r="HE22" s="207">
        <v>0.0</v>
      </c>
      <c r="HF22" s="207">
        <v>0.0</v>
      </c>
      <c r="HG22" s="207">
        <v>0.0</v>
      </c>
      <c r="HH22" s="207">
        <v>1.0</v>
      </c>
      <c r="HI22" s="207">
        <v>0.0</v>
      </c>
      <c r="HJ22" s="207">
        <v>0.0</v>
      </c>
      <c r="HK22" s="207">
        <v>0.0</v>
      </c>
      <c r="HL22" s="207">
        <v>0.0</v>
      </c>
      <c r="HM22" s="207">
        <v>0.0</v>
      </c>
      <c r="HN22" s="207">
        <v>0.0</v>
      </c>
      <c r="HO22" s="222"/>
      <c r="HP22" s="222"/>
      <c r="HQ22" s="214"/>
      <c r="HR22" s="197"/>
      <c r="HS22" s="197"/>
      <c r="HT22" s="198">
        <f t="shared" si="28"/>
        <v>17</v>
      </c>
      <c r="HU22" s="198">
        <f t="shared" si="29"/>
        <v>26</v>
      </c>
      <c r="HV22" s="198">
        <f t="shared" si="30"/>
        <v>28</v>
      </c>
      <c r="HW22" s="198">
        <f t="shared" si="31"/>
        <v>25</v>
      </c>
      <c r="HX22" s="198">
        <f t="shared" si="32"/>
        <v>22</v>
      </c>
      <c r="HY22" s="198">
        <f t="shared" si="33"/>
        <v>23</v>
      </c>
      <c r="HZ22" s="198">
        <f t="shared" si="34"/>
        <v>16</v>
      </c>
      <c r="IA22" s="198">
        <f t="shared" si="35"/>
        <v>16</v>
      </c>
      <c r="IB22" s="198">
        <f t="shared" si="36"/>
        <v>12</v>
      </c>
      <c r="IC22" s="198">
        <f t="shared" si="37"/>
        <v>10</v>
      </c>
      <c r="ID22" s="198">
        <f t="shared" si="38"/>
        <v>15</v>
      </c>
      <c r="IE22" s="198">
        <f t="shared" si="39"/>
        <v>18</v>
      </c>
      <c r="IF22" s="197"/>
      <c r="IG22" s="197"/>
      <c r="IH22" s="197"/>
      <c r="II22" s="197"/>
      <c r="IJ22" s="197"/>
      <c r="IK22" s="197"/>
      <c r="IL22" s="197"/>
      <c r="IM22" s="197"/>
      <c r="IN22" s="197"/>
      <c r="IO22" s="197"/>
      <c r="IP22" s="197"/>
      <c r="IQ22" s="197"/>
      <c r="IR22" s="197"/>
      <c r="IS22" s="197"/>
      <c r="IT22" s="197"/>
      <c r="IU22" s="197"/>
      <c r="IV22" s="197"/>
      <c r="IW22" s="197"/>
      <c r="IX22" s="197"/>
      <c r="IY22" s="197"/>
      <c r="IZ22" s="197"/>
      <c r="JA22" s="199"/>
      <c r="JB22" s="200">
        <f t="shared" si="40"/>
        <v>17</v>
      </c>
      <c r="JC22" s="200">
        <f t="shared" si="41"/>
        <v>26</v>
      </c>
      <c r="JD22" s="200">
        <f t="shared" si="42"/>
        <v>28</v>
      </c>
      <c r="JE22" s="200">
        <f t="shared" si="43"/>
        <v>25</v>
      </c>
      <c r="JF22" s="200">
        <f t="shared" si="44"/>
        <v>22</v>
      </c>
      <c r="JG22" s="200">
        <f t="shared" si="45"/>
        <v>23</v>
      </c>
      <c r="JH22" s="200">
        <f t="shared" si="46"/>
        <v>16</v>
      </c>
      <c r="JI22" s="200">
        <f t="shared" si="47"/>
        <v>16</v>
      </c>
      <c r="JJ22" s="200">
        <f t="shared" si="48"/>
        <v>12</v>
      </c>
      <c r="JK22" s="200">
        <f t="shared" si="49"/>
        <v>14</v>
      </c>
      <c r="JL22" s="200">
        <f t="shared" si="50"/>
        <v>15</v>
      </c>
      <c r="JM22" s="200">
        <f t="shared" si="51"/>
        <v>18</v>
      </c>
      <c r="JN22" s="199"/>
      <c r="JO22" s="200">
        <f t="shared" si="52"/>
        <v>17</v>
      </c>
      <c r="JP22" s="202">
        <v>26.0</v>
      </c>
      <c r="JQ22" s="202">
        <v>28.0</v>
      </c>
      <c r="JR22" s="202">
        <v>25.0</v>
      </c>
      <c r="JS22" s="202">
        <v>22.0</v>
      </c>
      <c r="JT22" s="199"/>
      <c r="JU22" s="199"/>
      <c r="JV22" s="200">
        <f t="shared" ref="JV22:JX22" si="79">IA22-JI22</f>
        <v>0</v>
      </c>
      <c r="JW22" s="200">
        <f t="shared" si="79"/>
        <v>0</v>
      </c>
      <c r="JX22" s="200">
        <f t="shared" si="79"/>
        <v>-4</v>
      </c>
      <c r="JY22" s="199"/>
      <c r="JZ22" s="199"/>
      <c r="KA22" s="199"/>
      <c r="KB22" s="200">
        <f t="shared" ref="KB22:KM22" si="80">JB22-JO22</f>
        <v>0</v>
      </c>
      <c r="KC22" s="200">
        <f t="shared" si="80"/>
        <v>0</v>
      </c>
      <c r="KD22" s="200">
        <f t="shared" si="80"/>
        <v>0</v>
      </c>
      <c r="KE22" s="200">
        <f t="shared" si="80"/>
        <v>0</v>
      </c>
      <c r="KF22" s="200">
        <f t="shared" si="80"/>
        <v>0</v>
      </c>
      <c r="KG22" s="200">
        <f t="shared" si="80"/>
        <v>23</v>
      </c>
      <c r="KH22" s="200">
        <f t="shared" si="80"/>
        <v>16</v>
      </c>
      <c r="KI22" s="200">
        <f t="shared" si="80"/>
        <v>16</v>
      </c>
      <c r="KJ22" s="200">
        <f t="shared" si="80"/>
        <v>12</v>
      </c>
      <c r="KK22" s="200">
        <f t="shared" si="80"/>
        <v>18</v>
      </c>
      <c r="KL22" s="200">
        <f t="shared" si="80"/>
        <v>15</v>
      </c>
      <c r="KM22" s="200">
        <f t="shared" si="80"/>
        <v>18</v>
      </c>
      <c r="KN22" s="199"/>
      <c r="KO22" s="199"/>
      <c r="KP22" s="199"/>
      <c r="KQ22" s="199"/>
      <c r="KR22" s="199"/>
      <c r="KS22" s="199"/>
      <c r="KT22" s="199"/>
      <c r="KU22" s="199"/>
      <c r="KV22" s="199"/>
      <c r="KW22" s="199"/>
      <c r="KX22" s="199"/>
      <c r="KY22" s="199"/>
      <c r="KZ22" s="199"/>
      <c r="LA22" s="199"/>
      <c r="LB22" s="199"/>
      <c r="LC22" s="199"/>
      <c r="LD22" s="199"/>
      <c r="LE22" s="199"/>
      <c r="LF22" s="199"/>
      <c r="LG22" s="199"/>
    </row>
    <row r="23" ht="14.25" customHeight="1">
      <c r="A23" s="156">
        <v>16.0</v>
      </c>
      <c r="B23" s="157" t="s">
        <v>94</v>
      </c>
      <c r="C23" s="158">
        <v>3374120.0</v>
      </c>
      <c r="D23" s="158" t="s">
        <v>95</v>
      </c>
      <c r="E23" s="158" t="s">
        <v>96</v>
      </c>
      <c r="F23" s="159">
        <v>14.0</v>
      </c>
      <c r="G23" s="159">
        <v>1205.0</v>
      </c>
      <c r="H23" s="160">
        <v>108.0</v>
      </c>
      <c r="I23" s="224">
        <v>0.0</v>
      </c>
      <c r="J23" s="224">
        <v>0.0</v>
      </c>
      <c r="K23" s="224">
        <v>11.0</v>
      </c>
      <c r="L23" s="161">
        <v>97.0</v>
      </c>
      <c r="M23" s="161">
        <v>10.0</v>
      </c>
      <c r="N23" s="161">
        <v>0.0</v>
      </c>
      <c r="O23" s="162">
        <f t="shared" si="3"/>
        <v>98</v>
      </c>
      <c r="P23" s="203">
        <v>108.0</v>
      </c>
      <c r="Q23" s="164">
        <v>0.0</v>
      </c>
      <c r="R23" s="164">
        <v>0.0</v>
      </c>
      <c r="S23" s="164">
        <v>11.0</v>
      </c>
      <c r="T23" s="165">
        <v>97.0</v>
      </c>
      <c r="U23" s="165">
        <v>7.0</v>
      </c>
      <c r="V23" s="165">
        <v>2.0</v>
      </c>
      <c r="W23" s="166">
        <f t="shared" si="4"/>
        <v>99</v>
      </c>
      <c r="X23" s="225">
        <v>86.0</v>
      </c>
      <c r="Y23" s="165">
        <v>0.0</v>
      </c>
      <c r="Z23" s="165">
        <v>0.0</v>
      </c>
      <c r="AA23" s="165">
        <v>4.0</v>
      </c>
      <c r="AB23" s="165">
        <v>82.0</v>
      </c>
      <c r="AC23" s="165">
        <v>0.0</v>
      </c>
      <c r="AD23" s="165">
        <v>22.0</v>
      </c>
      <c r="AE23" s="166">
        <f t="shared" si="5"/>
        <v>64</v>
      </c>
      <c r="AF23" s="167">
        <v>89.0</v>
      </c>
      <c r="AG23" s="165">
        <v>0.0</v>
      </c>
      <c r="AH23" s="165">
        <v>0.0</v>
      </c>
      <c r="AI23" s="165">
        <v>8.0</v>
      </c>
      <c r="AJ23" s="165">
        <v>81.0</v>
      </c>
      <c r="AK23" s="165">
        <v>17.0</v>
      </c>
      <c r="AL23" s="165">
        <v>20.0</v>
      </c>
      <c r="AM23" s="166">
        <f t="shared" si="6"/>
        <v>52</v>
      </c>
      <c r="AN23" s="167">
        <v>75.0</v>
      </c>
      <c r="AO23" s="165">
        <v>0.0</v>
      </c>
      <c r="AP23" s="165">
        <v>0.0</v>
      </c>
      <c r="AQ23" s="165">
        <v>3.0</v>
      </c>
      <c r="AR23" s="165">
        <v>72.0</v>
      </c>
      <c r="AS23" s="165">
        <v>0.0</v>
      </c>
      <c r="AT23" s="165">
        <v>14.0</v>
      </c>
      <c r="AU23" s="168">
        <f t="shared" si="7"/>
        <v>61</v>
      </c>
      <c r="AV23" s="169">
        <v>1168.0</v>
      </c>
      <c r="AW23" s="204">
        <f t="shared" si="8"/>
        <v>75</v>
      </c>
      <c r="AX23" s="169">
        <v>0.0</v>
      </c>
      <c r="AY23" s="169">
        <v>0.0</v>
      </c>
      <c r="AZ23" s="169">
        <v>1.0</v>
      </c>
      <c r="BA23" s="169">
        <v>72.0</v>
      </c>
      <c r="BB23" s="169">
        <v>0.0</v>
      </c>
      <c r="BC23" s="169">
        <v>0.0</v>
      </c>
      <c r="BD23" s="169">
        <v>0.0</v>
      </c>
      <c r="BE23" s="169">
        <v>2.0</v>
      </c>
      <c r="BF23" s="169">
        <v>0.0</v>
      </c>
      <c r="BG23" s="169">
        <v>0.0</v>
      </c>
      <c r="BH23" s="169">
        <v>0.0</v>
      </c>
      <c r="BI23" s="169">
        <v>1.0</v>
      </c>
      <c r="BJ23" s="169">
        <v>0.0</v>
      </c>
      <c r="BK23" s="169">
        <v>0.0</v>
      </c>
      <c r="BL23" s="169">
        <v>0.0</v>
      </c>
      <c r="BM23" s="169">
        <v>0.0</v>
      </c>
      <c r="BN23" s="169">
        <v>1.0</v>
      </c>
      <c r="BO23" s="169">
        <v>0.0</v>
      </c>
      <c r="BP23" s="205">
        <f t="shared" si="9"/>
        <v>2</v>
      </c>
      <c r="BQ23" s="173">
        <v>1188.0</v>
      </c>
      <c r="BR23" s="170">
        <f t="shared" si="10"/>
        <v>73</v>
      </c>
      <c r="BS23" s="173">
        <v>0.0</v>
      </c>
      <c r="BT23" s="173">
        <v>0.0</v>
      </c>
      <c r="BU23" s="173">
        <v>0.0</v>
      </c>
      <c r="BV23" s="173">
        <v>72.0</v>
      </c>
      <c r="BW23" s="173">
        <v>0.0</v>
      </c>
      <c r="BX23" s="173">
        <v>0.0</v>
      </c>
      <c r="BY23" s="173">
        <v>1.0</v>
      </c>
      <c r="BZ23" s="173">
        <v>0.0</v>
      </c>
      <c r="CA23" s="173">
        <v>0.0</v>
      </c>
      <c r="CB23" s="173">
        <v>0.0</v>
      </c>
      <c r="CC23" s="173">
        <v>0.0</v>
      </c>
      <c r="CD23" s="173">
        <v>0.0</v>
      </c>
      <c r="CE23" s="173">
        <v>0.0</v>
      </c>
      <c r="CF23" s="173">
        <v>0.0</v>
      </c>
      <c r="CG23" s="173">
        <v>0.0</v>
      </c>
      <c r="CH23" s="173">
        <v>0.0</v>
      </c>
      <c r="CI23" s="173">
        <v>2.0</v>
      </c>
      <c r="CJ23" s="173">
        <v>0.0</v>
      </c>
      <c r="CK23" s="172">
        <f t="shared" si="11"/>
        <v>2</v>
      </c>
      <c r="CL23" s="173">
        <v>1172.0</v>
      </c>
      <c r="CM23" s="173">
        <v>338.0</v>
      </c>
      <c r="CN23" s="175">
        <f t="shared" si="12"/>
        <v>70</v>
      </c>
      <c r="CO23" s="173">
        <v>0.0</v>
      </c>
      <c r="CP23" s="173">
        <v>0.0</v>
      </c>
      <c r="CQ23" s="173">
        <v>1.0</v>
      </c>
      <c r="CR23" s="173">
        <v>68.0</v>
      </c>
      <c r="CS23" s="173">
        <v>0.0</v>
      </c>
      <c r="CT23" s="173">
        <v>0.0</v>
      </c>
      <c r="CU23" s="173">
        <v>0.0</v>
      </c>
      <c r="CV23" s="173">
        <v>1.0</v>
      </c>
      <c r="CW23" s="173">
        <v>0.0</v>
      </c>
      <c r="CX23" s="173">
        <v>0.0</v>
      </c>
      <c r="CY23" s="173">
        <v>0.0</v>
      </c>
      <c r="CZ23" s="173">
        <v>0.0</v>
      </c>
      <c r="DA23" s="173">
        <v>0.0</v>
      </c>
      <c r="DB23" s="173">
        <v>0.0</v>
      </c>
      <c r="DC23" s="173">
        <v>0.0</v>
      </c>
      <c r="DD23" s="173">
        <v>1.0</v>
      </c>
      <c r="DE23" s="173">
        <v>3.0</v>
      </c>
      <c r="DF23" s="173">
        <v>0.0</v>
      </c>
      <c r="DG23" s="176">
        <f t="shared" si="13"/>
        <v>4</v>
      </c>
      <c r="DH23" s="177">
        <v>1116.0</v>
      </c>
      <c r="DI23" s="177">
        <v>358.0</v>
      </c>
      <c r="DJ23" s="178">
        <v>1063.0</v>
      </c>
      <c r="DK23" s="178">
        <v>326.0</v>
      </c>
      <c r="DL23" s="179">
        <f t="shared" si="14"/>
        <v>70</v>
      </c>
      <c r="DM23" s="180">
        <f t="shared" si="15"/>
        <v>3</v>
      </c>
      <c r="DN23" s="180">
        <f t="shared" si="16"/>
        <v>67</v>
      </c>
      <c r="DO23" s="177">
        <v>0.0</v>
      </c>
      <c r="DP23" s="177">
        <v>0.0</v>
      </c>
      <c r="DQ23" s="177">
        <v>1.0</v>
      </c>
      <c r="DR23" s="177">
        <v>66.0</v>
      </c>
      <c r="DS23" s="177">
        <v>0.0</v>
      </c>
      <c r="DT23" s="177">
        <v>0.0</v>
      </c>
      <c r="DU23" s="177">
        <v>2.0</v>
      </c>
      <c r="DV23" s="177">
        <v>1.0</v>
      </c>
      <c r="DW23" s="226"/>
      <c r="DX23" s="226"/>
      <c r="DY23" s="226"/>
      <c r="DZ23" s="226"/>
      <c r="EA23" s="226"/>
      <c r="EB23" s="226"/>
      <c r="EC23" s="226"/>
      <c r="ED23" s="177">
        <v>3.0</v>
      </c>
      <c r="EE23" s="177">
        <v>0.0</v>
      </c>
      <c r="EF23" s="177">
        <v>0.0</v>
      </c>
      <c r="EG23" s="179">
        <f t="shared" si="17"/>
        <v>3</v>
      </c>
      <c r="EH23" s="179">
        <f t="shared" si="18"/>
        <v>0</v>
      </c>
      <c r="EI23" s="177">
        <v>1103.0</v>
      </c>
      <c r="EJ23" s="177">
        <v>350.0</v>
      </c>
      <c r="EK23" s="178">
        <v>1034.0</v>
      </c>
      <c r="EL23" s="178">
        <v>326.0</v>
      </c>
      <c r="EM23" s="185">
        <f t="shared" si="19"/>
        <v>65</v>
      </c>
      <c r="EN23" s="186">
        <f t="shared" si="20"/>
        <v>3</v>
      </c>
      <c r="EO23" s="186">
        <f t="shared" si="21"/>
        <v>62</v>
      </c>
      <c r="EP23" s="177">
        <v>0.0</v>
      </c>
      <c r="EQ23" s="177">
        <v>0.0</v>
      </c>
      <c r="ER23" s="177">
        <v>3.0</v>
      </c>
      <c r="ES23" s="177">
        <v>61.0</v>
      </c>
      <c r="ET23" s="177">
        <v>0.0</v>
      </c>
      <c r="EU23" s="177">
        <v>0.0</v>
      </c>
      <c r="EV23" s="177">
        <v>0.0</v>
      </c>
      <c r="EW23" s="177">
        <v>1.0</v>
      </c>
      <c r="EX23" s="177">
        <v>0.0</v>
      </c>
      <c r="EY23" s="177">
        <v>0.0</v>
      </c>
      <c r="EZ23" s="177">
        <v>0.0</v>
      </c>
      <c r="FA23" s="177">
        <v>2.0</v>
      </c>
      <c r="FB23" s="227"/>
      <c r="FC23" s="227"/>
      <c r="FD23" s="227"/>
      <c r="FE23" s="177">
        <v>1.0</v>
      </c>
      <c r="FF23" s="177">
        <v>2.0</v>
      </c>
      <c r="FG23" s="227"/>
      <c r="FH23" s="185">
        <f t="shared" si="22"/>
        <v>5</v>
      </c>
      <c r="FI23" s="185">
        <f t="shared" si="23"/>
        <v>0</v>
      </c>
      <c r="FJ23" s="177">
        <v>1104.0</v>
      </c>
      <c r="FK23" s="177">
        <v>361.0</v>
      </c>
      <c r="FL23" s="177">
        <v>1027.0</v>
      </c>
      <c r="FM23" s="177">
        <v>310.0</v>
      </c>
      <c r="FN23" s="180"/>
      <c r="FO23" s="180">
        <v>61.0</v>
      </c>
      <c r="FP23" s="188">
        <f t="shared" si="24"/>
        <v>61</v>
      </c>
      <c r="FQ23" s="211">
        <v>4.0</v>
      </c>
      <c r="FR23" s="212">
        <v>57.0</v>
      </c>
      <c r="FS23" s="206">
        <v>0.0</v>
      </c>
      <c r="FT23" s="207">
        <v>0.0</v>
      </c>
      <c r="FU23" s="207">
        <v>2.0</v>
      </c>
      <c r="FV23" s="207">
        <v>57.0</v>
      </c>
      <c r="FW23" s="207">
        <v>1.0</v>
      </c>
      <c r="FX23" s="207">
        <v>0.0</v>
      </c>
      <c r="FY23" s="207">
        <v>1.0</v>
      </c>
      <c r="FZ23" s="207">
        <v>0.0</v>
      </c>
      <c r="GA23" s="207">
        <v>0.0</v>
      </c>
      <c r="GB23" s="207">
        <v>0.0</v>
      </c>
      <c r="GC23" s="207">
        <v>1.0</v>
      </c>
      <c r="GD23" s="207">
        <v>0.0</v>
      </c>
      <c r="GE23" s="207">
        <v>0.0</v>
      </c>
      <c r="GF23" s="207">
        <v>0.0</v>
      </c>
      <c r="GG23" s="207">
        <v>0.0</v>
      </c>
      <c r="GH23" s="207">
        <v>0.0</v>
      </c>
      <c r="GI23" s="207">
        <v>5.0</v>
      </c>
      <c r="GJ23" s="207">
        <v>0.0</v>
      </c>
      <c r="GK23" s="212">
        <v>6.0</v>
      </c>
      <c r="GL23" s="212">
        <v>1.0</v>
      </c>
      <c r="GM23" s="207">
        <v>1092.0</v>
      </c>
      <c r="GN23" s="207">
        <v>364.0</v>
      </c>
      <c r="GO23" s="213">
        <v>1011.0</v>
      </c>
      <c r="GP23" s="213">
        <v>306.0</v>
      </c>
      <c r="GQ23" s="207"/>
      <c r="GR23" s="213">
        <v>61.0</v>
      </c>
      <c r="GS23" s="193">
        <v>7.0</v>
      </c>
      <c r="GT23" s="194">
        <f t="shared" si="25"/>
        <v>61</v>
      </c>
      <c r="GU23" s="194">
        <f t="shared" si="26"/>
        <v>7</v>
      </c>
      <c r="GV23" s="194">
        <f t="shared" si="27"/>
        <v>54</v>
      </c>
      <c r="GW23" s="207">
        <v>0.0</v>
      </c>
      <c r="GX23" s="207">
        <v>1.0</v>
      </c>
      <c r="GY23" s="207">
        <v>3.0</v>
      </c>
      <c r="GZ23" s="207">
        <v>52.0</v>
      </c>
      <c r="HA23" s="207">
        <v>0.0</v>
      </c>
      <c r="HB23" s="207">
        <v>0.0</v>
      </c>
      <c r="HC23" s="207">
        <v>3.0</v>
      </c>
      <c r="HD23" s="207">
        <v>2.0</v>
      </c>
      <c r="HE23" s="207">
        <v>0.0</v>
      </c>
      <c r="HF23" s="207">
        <v>0.0</v>
      </c>
      <c r="HG23" s="207">
        <v>0.0</v>
      </c>
      <c r="HH23" s="207">
        <v>2.0</v>
      </c>
      <c r="HI23" s="207">
        <v>0.0</v>
      </c>
      <c r="HJ23" s="207">
        <v>0.0</v>
      </c>
      <c r="HK23" s="207">
        <v>0.0</v>
      </c>
      <c r="HL23" s="207">
        <v>0.0</v>
      </c>
      <c r="HM23" s="207">
        <v>3.0</v>
      </c>
      <c r="HN23" s="207">
        <v>0.0</v>
      </c>
      <c r="HO23" s="222">
        <f>SUM(HE23:HN23)</f>
        <v>5</v>
      </c>
      <c r="HP23" s="222">
        <f>HE23+HF23+HG23+HI23+HJ23+HK23</f>
        <v>0</v>
      </c>
      <c r="HQ23" s="214"/>
      <c r="HR23" s="197"/>
      <c r="HS23" s="197"/>
      <c r="HT23" s="198">
        <f t="shared" si="28"/>
        <v>108</v>
      </c>
      <c r="HU23" s="198">
        <f t="shared" si="29"/>
        <v>108</v>
      </c>
      <c r="HV23" s="198">
        <f t="shared" si="30"/>
        <v>86</v>
      </c>
      <c r="HW23" s="198">
        <f t="shared" si="31"/>
        <v>89</v>
      </c>
      <c r="HX23" s="198">
        <f t="shared" si="32"/>
        <v>75</v>
      </c>
      <c r="HY23" s="198">
        <f t="shared" si="33"/>
        <v>75</v>
      </c>
      <c r="HZ23" s="198">
        <f t="shared" si="34"/>
        <v>73</v>
      </c>
      <c r="IA23" s="198">
        <f t="shared" si="35"/>
        <v>70</v>
      </c>
      <c r="IB23" s="198">
        <f t="shared" si="36"/>
        <v>70</v>
      </c>
      <c r="IC23" s="198">
        <f t="shared" si="37"/>
        <v>65</v>
      </c>
      <c r="ID23" s="198">
        <f t="shared" si="38"/>
        <v>61</v>
      </c>
      <c r="IE23" s="198">
        <f t="shared" si="39"/>
        <v>61</v>
      </c>
      <c r="IF23" s="197"/>
      <c r="IG23" s="197"/>
      <c r="IH23" s="197"/>
      <c r="II23" s="197"/>
      <c r="IJ23" s="197"/>
      <c r="IK23" s="197"/>
      <c r="IL23" s="197"/>
      <c r="IM23" s="197"/>
      <c r="IN23" s="197"/>
      <c r="IO23" s="197"/>
      <c r="IP23" s="197"/>
      <c r="IQ23" s="197"/>
      <c r="IR23" s="197"/>
      <c r="IS23" s="197"/>
      <c r="IT23" s="197"/>
      <c r="IU23" s="197"/>
      <c r="IV23" s="197"/>
      <c r="IW23" s="197"/>
      <c r="IX23" s="197"/>
      <c r="IY23" s="197"/>
      <c r="IZ23" s="197"/>
      <c r="JA23" s="199"/>
      <c r="JB23" s="200">
        <f t="shared" si="40"/>
        <v>108</v>
      </c>
      <c r="JC23" s="200">
        <f t="shared" si="41"/>
        <v>108</v>
      </c>
      <c r="JD23" s="200">
        <f t="shared" si="42"/>
        <v>86</v>
      </c>
      <c r="JE23" s="200">
        <f t="shared" si="43"/>
        <v>89</v>
      </c>
      <c r="JF23" s="200">
        <f t="shared" si="44"/>
        <v>75</v>
      </c>
      <c r="JG23" s="200">
        <f t="shared" si="45"/>
        <v>75</v>
      </c>
      <c r="JH23" s="200">
        <f t="shared" si="46"/>
        <v>73</v>
      </c>
      <c r="JI23" s="200">
        <f t="shared" si="47"/>
        <v>70</v>
      </c>
      <c r="JJ23" s="200">
        <f t="shared" si="48"/>
        <v>70</v>
      </c>
      <c r="JK23" s="200">
        <f t="shared" si="49"/>
        <v>67</v>
      </c>
      <c r="JL23" s="200">
        <f t="shared" si="50"/>
        <v>61</v>
      </c>
      <c r="JM23" s="200">
        <f t="shared" si="51"/>
        <v>61</v>
      </c>
      <c r="JN23" s="199"/>
      <c r="JO23" s="200">
        <f t="shared" si="52"/>
        <v>108</v>
      </c>
      <c r="JP23" s="202">
        <v>108.0</v>
      </c>
      <c r="JQ23" s="228">
        <v>86.0</v>
      </c>
      <c r="JR23" s="228">
        <v>89.0</v>
      </c>
      <c r="JS23" s="228">
        <v>75.0</v>
      </c>
      <c r="JT23" s="199"/>
      <c r="JU23" s="199"/>
      <c r="JV23" s="200">
        <f t="shared" ref="JV23:JX23" si="81">IA23-JI23</f>
        <v>0</v>
      </c>
      <c r="JW23" s="200">
        <f t="shared" si="81"/>
        <v>0</v>
      </c>
      <c r="JX23" s="200">
        <f t="shared" si="81"/>
        <v>-2</v>
      </c>
      <c r="JY23" s="199"/>
      <c r="JZ23" s="199"/>
      <c r="KA23" s="199"/>
      <c r="KB23" s="200">
        <f t="shared" ref="KB23:KM23" si="82">JB23-JO23</f>
        <v>0</v>
      </c>
      <c r="KC23" s="200">
        <f t="shared" si="82"/>
        <v>0</v>
      </c>
      <c r="KD23" s="200">
        <f t="shared" si="82"/>
        <v>0</v>
      </c>
      <c r="KE23" s="200">
        <f t="shared" si="82"/>
        <v>0</v>
      </c>
      <c r="KF23" s="200">
        <f t="shared" si="82"/>
        <v>0</v>
      </c>
      <c r="KG23" s="200">
        <f t="shared" si="82"/>
        <v>75</v>
      </c>
      <c r="KH23" s="200">
        <f t="shared" si="82"/>
        <v>73</v>
      </c>
      <c r="KI23" s="200">
        <f t="shared" si="82"/>
        <v>70</v>
      </c>
      <c r="KJ23" s="200">
        <f t="shared" si="82"/>
        <v>70</v>
      </c>
      <c r="KK23" s="200">
        <f t="shared" si="82"/>
        <v>69</v>
      </c>
      <c r="KL23" s="200">
        <f t="shared" si="82"/>
        <v>61</v>
      </c>
      <c r="KM23" s="200">
        <f t="shared" si="82"/>
        <v>61</v>
      </c>
      <c r="KN23" s="199"/>
      <c r="KO23" s="199"/>
      <c r="KP23" s="199"/>
      <c r="KQ23" s="199"/>
      <c r="KR23" s="199"/>
      <c r="KS23" s="199"/>
      <c r="KT23" s="199"/>
      <c r="KU23" s="199"/>
      <c r="KV23" s="199"/>
      <c r="KW23" s="199"/>
      <c r="KX23" s="199"/>
      <c r="KY23" s="199"/>
      <c r="KZ23" s="199"/>
      <c r="LA23" s="199"/>
      <c r="LB23" s="199"/>
      <c r="LC23" s="199"/>
      <c r="LD23" s="199"/>
      <c r="LE23" s="199"/>
      <c r="LF23" s="199"/>
      <c r="LG23" s="199"/>
    </row>
    <row r="24" ht="14.25" customHeight="1">
      <c r="A24" s="156">
        <v>17.0</v>
      </c>
      <c r="B24" s="229" t="s">
        <v>94</v>
      </c>
      <c r="C24" s="230">
        <v>3374120.0</v>
      </c>
      <c r="D24" s="230" t="s">
        <v>97</v>
      </c>
      <c r="E24" s="230" t="s">
        <v>98</v>
      </c>
      <c r="F24" s="231">
        <v>11.0</v>
      </c>
      <c r="G24" s="232">
        <v>746.0</v>
      </c>
      <c r="H24" s="233">
        <v>4.0</v>
      </c>
      <c r="I24" s="234">
        <v>0.0</v>
      </c>
      <c r="J24" s="162">
        <v>1.0</v>
      </c>
      <c r="K24" s="162">
        <v>1.0</v>
      </c>
      <c r="L24" s="162">
        <v>2.0</v>
      </c>
      <c r="M24" s="234">
        <v>0.0</v>
      </c>
      <c r="N24" s="234">
        <v>0.0</v>
      </c>
      <c r="O24" s="162">
        <f t="shared" si="3"/>
        <v>4</v>
      </c>
      <c r="P24" s="162">
        <v>4.0</v>
      </c>
      <c r="Q24" s="166"/>
      <c r="R24" s="162">
        <v>1.0</v>
      </c>
      <c r="S24" s="162">
        <v>1.0</v>
      </c>
      <c r="T24" s="166">
        <v>2.0</v>
      </c>
      <c r="U24" s="235">
        <v>0.0</v>
      </c>
      <c r="V24" s="235">
        <v>0.0</v>
      </c>
      <c r="W24" s="166">
        <f t="shared" si="4"/>
        <v>4</v>
      </c>
      <c r="X24" s="162">
        <v>4.0</v>
      </c>
      <c r="Y24" s="236"/>
      <c r="Z24" s="162"/>
      <c r="AA24" s="162">
        <v>1.0</v>
      </c>
      <c r="AB24" s="166">
        <v>3.0</v>
      </c>
      <c r="AC24" s="235">
        <v>0.0</v>
      </c>
      <c r="AD24" s="235">
        <v>0.0</v>
      </c>
      <c r="AE24" s="166">
        <f t="shared" si="5"/>
        <v>4</v>
      </c>
      <c r="AF24" s="236">
        <v>2.0</v>
      </c>
      <c r="AG24" s="237">
        <v>0.0</v>
      </c>
      <c r="AH24" s="234">
        <v>0.0</v>
      </c>
      <c r="AI24" s="162">
        <v>1.0</v>
      </c>
      <c r="AJ24" s="162">
        <v>1.0</v>
      </c>
      <c r="AK24" s="237">
        <v>0.0</v>
      </c>
      <c r="AL24" s="237">
        <v>0.0</v>
      </c>
      <c r="AM24" s="166">
        <f t="shared" si="6"/>
        <v>2</v>
      </c>
      <c r="AN24" s="236">
        <v>1.0</v>
      </c>
      <c r="AO24" s="237">
        <v>0.0</v>
      </c>
      <c r="AP24" s="234">
        <v>0.0</v>
      </c>
      <c r="AQ24" s="234">
        <v>0.0</v>
      </c>
      <c r="AR24" s="162">
        <v>1.0</v>
      </c>
      <c r="AS24" s="237">
        <v>0.0</v>
      </c>
      <c r="AT24" s="237">
        <v>0.0</v>
      </c>
      <c r="AU24" s="238">
        <f t="shared" si="7"/>
        <v>1</v>
      </c>
      <c r="AV24" s="234">
        <v>746.0</v>
      </c>
      <c r="AW24" s="239">
        <f t="shared" si="8"/>
        <v>1</v>
      </c>
      <c r="AX24" s="240">
        <v>0.0</v>
      </c>
      <c r="AY24" s="240">
        <v>0.0</v>
      </c>
      <c r="AZ24" s="240">
        <v>0.0</v>
      </c>
      <c r="BA24" s="240">
        <v>1.0</v>
      </c>
      <c r="BB24" s="240">
        <v>0.0</v>
      </c>
      <c r="BC24" s="240">
        <v>0.0</v>
      </c>
      <c r="BD24" s="240">
        <v>0.0</v>
      </c>
      <c r="BE24" s="240">
        <v>0.0</v>
      </c>
      <c r="BF24" s="240">
        <v>0.0</v>
      </c>
      <c r="BG24" s="240">
        <v>0.0</v>
      </c>
      <c r="BH24" s="240">
        <v>0.0</v>
      </c>
      <c r="BI24" s="240">
        <v>0.0</v>
      </c>
      <c r="BJ24" s="240">
        <v>0.0</v>
      </c>
      <c r="BK24" s="240">
        <v>0.0</v>
      </c>
      <c r="BL24" s="240">
        <v>0.0</v>
      </c>
      <c r="BM24" s="240">
        <v>0.0</v>
      </c>
      <c r="BN24" s="240">
        <v>0.0</v>
      </c>
      <c r="BO24" s="240">
        <v>0.0</v>
      </c>
      <c r="BP24" s="166">
        <f t="shared" si="9"/>
        <v>0</v>
      </c>
      <c r="BQ24" s="235">
        <v>738.0</v>
      </c>
      <c r="BR24" s="241">
        <f t="shared" si="10"/>
        <v>3</v>
      </c>
      <c r="BS24" s="235">
        <v>0.0</v>
      </c>
      <c r="BT24" s="235">
        <v>0.0</v>
      </c>
      <c r="BU24" s="235">
        <v>0.0</v>
      </c>
      <c r="BV24" s="235">
        <v>0.0</v>
      </c>
      <c r="BW24" s="235">
        <v>0.0</v>
      </c>
      <c r="BX24" s="235">
        <v>0.0</v>
      </c>
      <c r="BY24" s="235">
        <v>3.0</v>
      </c>
      <c r="BZ24" s="235">
        <v>0.0</v>
      </c>
      <c r="CA24" s="235">
        <v>0.0</v>
      </c>
      <c r="CB24" s="235">
        <v>0.0</v>
      </c>
      <c r="CC24" s="235">
        <v>0.0</v>
      </c>
      <c r="CD24" s="235">
        <v>0.0</v>
      </c>
      <c r="CE24" s="235">
        <v>0.0</v>
      </c>
      <c r="CF24" s="235">
        <v>0.0</v>
      </c>
      <c r="CG24" s="235">
        <v>0.0</v>
      </c>
      <c r="CH24" s="235">
        <v>0.0</v>
      </c>
      <c r="CI24" s="235">
        <v>1.0</v>
      </c>
      <c r="CJ24" s="235">
        <v>0.0</v>
      </c>
      <c r="CK24" s="236">
        <f t="shared" si="11"/>
        <v>1</v>
      </c>
      <c r="CL24" s="235">
        <v>762.0</v>
      </c>
      <c r="CM24" s="235">
        <v>251.0</v>
      </c>
      <c r="CN24" s="242">
        <f t="shared" si="12"/>
        <v>5</v>
      </c>
      <c r="CO24" s="235">
        <v>0.0</v>
      </c>
      <c r="CP24" s="235">
        <v>0.0</v>
      </c>
      <c r="CQ24" s="235">
        <v>3.0</v>
      </c>
      <c r="CR24" s="235">
        <v>0.0</v>
      </c>
      <c r="CS24" s="235">
        <v>0.0</v>
      </c>
      <c r="CT24" s="235">
        <v>0.0</v>
      </c>
      <c r="CU24" s="235">
        <v>0.0</v>
      </c>
      <c r="CV24" s="235">
        <v>2.0</v>
      </c>
      <c r="CW24" s="235">
        <v>0.0</v>
      </c>
      <c r="CX24" s="235">
        <v>0.0</v>
      </c>
      <c r="CY24" s="235">
        <v>0.0</v>
      </c>
      <c r="CZ24" s="235">
        <v>0.0</v>
      </c>
      <c r="DA24" s="235">
        <v>0.0</v>
      </c>
      <c r="DB24" s="235">
        <v>0.0</v>
      </c>
      <c r="DC24" s="235">
        <v>0.0</v>
      </c>
      <c r="DD24" s="235">
        <v>0.0</v>
      </c>
      <c r="DE24" s="235">
        <v>0.0</v>
      </c>
      <c r="DF24" s="235">
        <v>0.0</v>
      </c>
      <c r="DG24" s="242">
        <f t="shared" si="13"/>
        <v>0</v>
      </c>
      <c r="DH24" s="177">
        <v>759.0</v>
      </c>
      <c r="DI24" s="177">
        <v>257.0</v>
      </c>
      <c r="DJ24" s="178">
        <v>759.0</v>
      </c>
      <c r="DK24" s="178">
        <v>257.0</v>
      </c>
      <c r="DL24" s="179">
        <f t="shared" si="14"/>
        <v>5</v>
      </c>
      <c r="DM24" s="180">
        <f t="shared" si="15"/>
        <v>3</v>
      </c>
      <c r="DN24" s="180">
        <f t="shared" si="16"/>
        <v>2</v>
      </c>
      <c r="DO24" s="177">
        <v>0.0</v>
      </c>
      <c r="DP24" s="177">
        <v>0.0</v>
      </c>
      <c r="DQ24" s="177">
        <v>2.0</v>
      </c>
      <c r="DR24" s="177">
        <v>2.0</v>
      </c>
      <c r="DS24" s="177">
        <v>0.0</v>
      </c>
      <c r="DT24" s="177">
        <v>0.0</v>
      </c>
      <c r="DU24" s="177">
        <v>1.0</v>
      </c>
      <c r="DV24" s="177">
        <v>0.0</v>
      </c>
      <c r="DW24" s="177">
        <v>0.0</v>
      </c>
      <c r="DX24" s="177">
        <v>0.0</v>
      </c>
      <c r="DY24" s="177">
        <v>1.0</v>
      </c>
      <c r="DZ24" s="177">
        <v>0.0</v>
      </c>
      <c r="EA24" s="177">
        <v>0.0</v>
      </c>
      <c r="EB24" s="177">
        <v>0.0</v>
      </c>
      <c r="EC24" s="177">
        <v>0.0</v>
      </c>
      <c r="ED24" s="177">
        <v>0.0</v>
      </c>
      <c r="EE24" s="177">
        <v>0.0</v>
      </c>
      <c r="EF24" s="177">
        <v>0.0</v>
      </c>
      <c r="EG24" s="179">
        <f t="shared" si="17"/>
        <v>1</v>
      </c>
      <c r="EH24" s="179">
        <f t="shared" si="18"/>
        <v>1</v>
      </c>
      <c r="EI24" s="177">
        <v>747.0</v>
      </c>
      <c r="EJ24" s="177">
        <v>253.0</v>
      </c>
      <c r="EK24" s="178">
        <v>727.0</v>
      </c>
      <c r="EL24" s="178">
        <v>253.0</v>
      </c>
      <c r="EM24" s="185">
        <f t="shared" si="19"/>
        <v>4</v>
      </c>
      <c r="EN24" s="186">
        <f t="shared" si="20"/>
        <v>3</v>
      </c>
      <c r="EO24" s="186">
        <f t="shared" si="21"/>
        <v>1</v>
      </c>
      <c r="EP24" s="177">
        <v>0.0</v>
      </c>
      <c r="EQ24" s="177">
        <v>0.0</v>
      </c>
      <c r="ER24" s="177">
        <v>3.0</v>
      </c>
      <c r="ES24" s="177">
        <v>1.0</v>
      </c>
      <c r="ET24" s="177">
        <v>0.0</v>
      </c>
      <c r="EU24" s="177">
        <v>0.0</v>
      </c>
      <c r="EV24" s="177">
        <v>0.0</v>
      </c>
      <c r="EW24" s="177">
        <v>0.0</v>
      </c>
      <c r="EX24" s="177">
        <v>0.0</v>
      </c>
      <c r="EY24" s="177">
        <v>0.0</v>
      </c>
      <c r="EZ24" s="177">
        <v>0.0</v>
      </c>
      <c r="FA24" s="177">
        <v>1.0</v>
      </c>
      <c r="FB24" s="177">
        <v>0.0</v>
      </c>
      <c r="FC24" s="177">
        <v>0.0</v>
      </c>
      <c r="FD24" s="177">
        <v>0.0</v>
      </c>
      <c r="FE24" s="177">
        <v>0.0</v>
      </c>
      <c r="FF24" s="177">
        <v>0.0</v>
      </c>
      <c r="FG24" s="177">
        <v>0.0</v>
      </c>
      <c r="FH24" s="185">
        <f t="shared" si="22"/>
        <v>1</v>
      </c>
      <c r="FI24" s="185">
        <f t="shared" si="23"/>
        <v>0</v>
      </c>
      <c r="FJ24" s="177">
        <v>750.0</v>
      </c>
      <c r="FK24" s="177">
        <v>261.0</v>
      </c>
      <c r="FL24" s="177">
        <v>746.0</v>
      </c>
      <c r="FM24" s="177">
        <v>258.0</v>
      </c>
      <c r="FN24" s="180"/>
      <c r="FO24" s="180">
        <v>5.0</v>
      </c>
      <c r="FP24" s="243">
        <v>5.0</v>
      </c>
      <c r="FQ24" s="211">
        <v>3.0</v>
      </c>
      <c r="FR24" s="212">
        <v>2.0</v>
      </c>
      <c r="FS24" s="244">
        <v>0.0</v>
      </c>
      <c r="FT24" s="245">
        <v>0.0</v>
      </c>
      <c r="FU24" s="245">
        <v>3.0</v>
      </c>
      <c r="FV24" s="245">
        <v>2.0</v>
      </c>
      <c r="FW24" s="245">
        <v>0.0</v>
      </c>
      <c r="FX24" s="245">
        <v>0.0</v>
      </c>
      <c r="FY24" s="245">
        <v>0.0</v>
      </c>
      <c r="FZ24" s="245">
        <v>0.0</v>
      </c>
      <c r="GA24" s="245">
        <v>0.0</v>
      </c>
      <c r="GB24" s="245">
        <v>0.0</v>
      </c>
      <c r="GC24" s="245">
        <v>0.0</v>
      </c>
      <c r="GD24" s="245">
        <v>0.0</v>
      </c>
      <c r="GE24" s="245">
        <v>0.0</v>
      </c>
      <c r="GF24" s="245">
        <v>0.0</v>
      </c>
      <c r="GG24" s="245">
        <v>0.0</v>
      </c>
      <c r="GH24" s="245">
        <v>0.0</v>
      </c>
      <c r="GI24" s="245">
        <v>0.0</v>
      </c>
      <c r="GJ24" s="245">
        <v>0.0</v>
      </c>
      <c r="GK24" s="212">
        <v>0.0</v>
      </c>
      <c r="GL24" s="212">
        <v>0.0</v>
      </c>
      <c r="GM24" s="207">
        <v>741.0</v>
      </c>
      <c r="GN24" s="207">
        <v>251.0</v>
      </c>
      <c r="GO24" s="213">
        <v>690.0</v>
      </c>
      <c r="GP24" s="213">
        <v>202.0</v>
      </c>
      <c r="GQ24" s="207"/>
      <c r="GR24" s="213">
        <v>4.0</v>
      </c>
      <c r="GS24" s="193">
        <v>3.0</v>
      </c>
      <c r="GT24" s="194">
        <f t="shared" si="25"/>
        <v>4</v>
      </c>
      <c r="GU24" s="194">
        <f t="shared" si="26"/>
        <v>3</v>
      </c>
      <c r="GV24" s="194">
        <f t="shared" si="27"/>
        <v>1</v>
      </c>
      <c r="GW24" s="207">
        <v>0.0</v>
      </c>
      <c r="GX24" s="207">
        <v>0.0</v>
      </c>
      <c r="GY24" s="207">
        <v>3.0</v>
      </c>
      <c r="GZ24" s="207">
        <v>1.0</v>
      </c>
      <c r="HA24" s="207">
        <v>0.0</v>
      </c>
      <c r="HB24" s="207">
        <v>0.0</v>
      </c>
      <c r="HC24" s="207">
        <v>0.0</v>
      </c>
      <c r="HD24" s="207">
        <v>0.0</v>
      </c>
      <c r="HE24" s="207">
        <v>0.0</v>
      </c>
      <c r="HF24" s="207">
        <v>0.0</v>
      </c>
      <c r="HG24" s="207">
        <v>0.0</v>
      </c>
      <c r="HH24" s="207">
        <v>1.0</v>
      </c>
      <c r="HI24" s="207">
        <v>0.0</v>
      </c>
      <c r="HJ24" s="207">
        <v>0.0</v>
      </c>
      <c r="HK24" s="207">
        <v>0.0</v>
      </c>
      <c r="HL24" s="207">
        <v>0.0</v>
      </c>
      <c r="HM24" s="207">
        <v>0.0</v>
      </c>
      <c r="HN24" s="207">
        <v>0.0</v>
      </c>
      <c r="HO24" s="222">
        <v>1.0</v>
      </c>
      <c r="HP24" s="222">
        <v>0.0</v>
      </c>
      <c r="HQ24" s="246"/>
      <c r="HR24" s="166"/>
      <c r="HS24" s="166"/>
      <c r="HT24" s="166">
        <f t="shared" si="28"/>
        <v>4</v>
      </c>
      <c r="HU24" s="166">
        <f t="shared" si="29"/>
        <v>4</v>
      </c>
      <c r="HV24" s="166">
        <f t="shared" si="30"/>
        <v>4</v>
      </c>
      <c r="HW24" s="166">
        <f t="shared" si="31"/>
        <v>2</v>
      </c>
      <c r="HX24" s="166">
        <f t="shared" si="32"/>
        <v>1</v>
      </c>
      <c r="HY24" s="166">
        <f t="shared" si="33"/>
        <v>1</v>
      </c>
      <c r="HZ24" s="166">
        <f t="shared" si="34"/>
        <v>3</v>
      </c>
      <c r="IA24" s="166">
        <f t="shared" si="35"/>
        <v>5</v>
      </c>
      <c r="IB24" s="198">
        <f t="shared" si="36"/>
        <v>5</v>
      </c>
      <c r="IC24" s="198">
        <f t="shared" si="37"/>
        <v>4</v>
      </c>
      <c r="ID24" s="198">
        <f t="shared" si="38"/>
        <v>5</v>
      </c>
      <c r="IE24" s="198">
        <f t="shared" si="39"/>
        <v>4</v>
      </c>
      <c r="IF24" s="166"/>
      <c r="IG24" s="197"/>
      <c r="IH24" s="166"/>
      <c r="II24" s="166"/>
      <c r="IJ24" s="166"/>
      <c r="IK24" s="166"/>
      <c r="IL24" s="166"/>
      <c r="IM24" s="166"/>
      <c r="IN24" s="166"/>
      <c r="IO24" s="166"/>
      <c r="IP24" s="166"/>
      <c r="IQ24" s="166"/>
      <c r="IR24" s="166"/>
      <c r="IS24" s="166"/>
      <c r="IT24" s="166"/>
      <c r="IU24" s="166"/>
      <c r="IV24" s="166"/>
      <c r="IW24" s="166"/>
      <c r="IX24" s="166"/>
      <c r="IY24" s="166"/>
      <c r="IZ24" s="166"/>
      <c r="JA24" s="199"/>
      <c r="JB24" s="200">
        <f t="shared" si="40"/>
        <v>4</v>
      </c>
      <c r="JC24" s="200">
        <f t="shared" si="41"/>
        <v>4</v>
      </c>
      <c r="JD24" s="200">
        <f t="shared" si="42"/>
        <v>4</v>
      </c>
      <c r="JE24" s="200">
        <f t="shared" si="43"/>
        <v>2</v>
      </c>
      <c r="JF24" s="200">
        <f t="shared" si="44"/>
        <v>1</v>
      </c>
      <c r="JG24" s="200">
        <f t="shared" si="45"/>
        <v>1</v>
      </c>
      <c r="JH24" s="200">
        <f t="shared" si="46"/>
        <v>3</v>
      </c>
      <c r="JI24" s="200">
        <f t="shared" si="47"/>
        <v>5</v>
      </c>
      <c r="JJ24" s="200">
        <f t="shared" si="48"/>
        <v>5</v>
      </c>
      <c r="JK24" s="200">
        <f t="shared" si="49"/>
        <v>5</v>
      </c>
      <c r="JL24" s="200">
        <f t="shared" si="50"/>
        <v>5</v>
      </c>
      <c r="JM24" s="200">
        <f t="shared" si="51"/>
        <v>4</v>
      </c>
      <c r="JN24" s="199"/>
      <c r="JO24" s="200">
        <f t="shared" si="52"/>
        <v>4</v>
      </c>
      <c r="JP24" s="162">
        <v>4.0</v>
      </c>
      <c r="JQ24" s="162">
        <v>4.0</v>
      </c>
      <c r="JR24" s="162">
        <v>2.0</v>
      </c>
      <c r="JS24" s="162">
        <v>1.0</v>
      </c>
      <c r="JT24" s="199"/>
      <c r="JU24" s="199"/>
      <c r="JV24" s="200">
        <f t="shared" ref="JV24:JX24" si="83">IA24-JI24</f>
        <v>0</v>
      </c>
      <c r="JW24" s="200">
        <f t="shared" si="83"/>
        <v>0</v>
      </c>
      <c r="JX24" s="200">
        <f t="shared" si="83"/>
        <v>-1</v>
      </c>
      <c r="JY24" s="199"/>
      <c r="JZ24" s="199"/>
      <c r="KA24" s="199"/>
      <c r="KB24" s="200">
        <f t="shared" ref="KB24:KM24" si="84">JB24-JO24</f>
        <v>0</v>
      </c>
      <c r="KC24" s="200">
        <f t="shared" si="84"/>
        <v>0</v>
      </c>
      <c r="KD24" s="200">
        <f t="shared" si="84"/>
        <v>0</v>
      </c>
      <c r="KE24" s="200">
        <f t="shared" si="84"/>
        <v>0</v>
      </c>
      <c r="KF24" s="200">
        <f t="shared" si="84"/>
        <v>0</v>
      </c>
      <c r="KG24" s="200">
        <f t="shared" si="84"/>
        <v>1</v>
      </c>
      <c r="KH24" s="200">
        <f t="shared" si="84"/>
        <v>3</v>
      </c>
      <c r="KI24" s="200">
        <f t="shared" si="84"/>
        <v>5</v>
      </c>
      <c r="KJ24" s="200">
        <f t="shared" si="84"/>
        <v>5</v>
      </c>
      <c r="KK24" s="200">
        <f t="shared" si="84"/>
        <v>6</v>
      </c>
      <c r="KL24" s="200">
        <f t="shared" si="84"/>
        <v>5</v>
      </c>
      <c r="KM24" s="200">
        <f t="shared" si="84"/>
        <v>4</v>
      </c>
      <c r="KN24" s="199"/>
      <c r="KO24" s="199"/>
      <c r="KP24" s="199"/>
      <c r="KQ24" s="199"/>
      <c r="KR24" s="199"/>
      <c r="KS24" s="199"/>
      <c r="KT24" s="199"/>
      <c r="KU24" s="199"/>
      <c r="KV24" s="199"/>
      <c r="KW24" s="199"/>
      <c r="KX24" s="199"/>
      <c r="KY24" s="199"/>
      <c r="KZ24" s="199"/>
      <c r="LA24" s="199"/>
      <c r="LB24" s="199"/>
      <c r="LC24" s="199"/>
      <c r="LD24" s="199"/>
      <c r="LE24" s="199"/>
      <c r="LF24" s="199"/>
      <c r="LG24" s="199"/>
      <c r="LH24" s="247"/>
      <c r="LI24" s="247"/>
      <c r="LJ24" s="247"/>
      <c r="LK24" s="247"/>
    </row>
    <row r="25" ht="14.25" customHeight="1">
      <c r="A25" s="156">
        <v>18.0</v>
      </c>
      <c r="B25" s="229" t="s">
        <v>94</v>
      </c>
      <c r="C25" s="230">
        <v>3374120.0</v>
      </c>
      <c r="D25" s="230" t="s">
        <v>97</v>
      </c>
      <c r="E25" s="230" t="s">
        <v>99</v>
      </c>
      <c r="F25" s="231">
        <v>6.0</v>
      </c>
      <c r="G25" s="232">
        <v>315.0</v>
      </c>
      <c r="H25" s="233">
        <v>2.0</v>
      </c>
      <c r="I25" s="234">
        <v>0.0</v>
      </c>
      <c r="J25" s="162">
        <v>1.0</v>
      </c>
      <c r="K25" s="162">
        <v>1.0</v>
      </c>
      <c r="L25" s="234">
        <v>0.0</v>
      </c>
      <c r="M25" s="234">
        <v>0.0</v>
      </c>
      <c r="N25" s="234">
        <v>0.0</v>
      </c>
      <c r="O25" s="162">
        <f t="shared" si="3"/>
        <v>2</v>
      </c>
      <c r="P25" s="162">
        <v>2.0</v>
      </c>
      <c r="Q25" s="166"/>
      <c r="R25" s="162">
        <v>1.0</v>
      </c>
      <c r="S25" s="162">
        <v>1.0</v>
      </c>
      <c r="T25" s="166"/>
      <c r="U25" s="235">
        <v>0.0</v>
      </c>
      <c r="V25" s="235">
        <v>0.0</v>
      </c>
      <c r="W25" s="166">
        <f t="shared" si="4"/>
        <v>2</v>
      </c>
      <c r="X25" s="162">
        <v>2.0</v>
      </c>
      <c r="Y25" s="236"/>
      <c r="Z25" s="162">
        <v>1.0</v>
      </c>
      <c r="AA25" s="162">
        <v>1.0</v>
      </c>
      <c r="AB25" s="166"/>
      <c r="AC25" s="235">
        <v>0.0</v>
      </c>
      <c r="AD25" s="235">
        <v>0.0</v>
      </c>
      <c r="AE25" s="166">
        <f t="shared" si="5"/>
        <v>2</v>
      </c>
      <c r="AF25" s="236">
        <v>2.0</v>
      </c>
      <c r="AG25" s="237">
        <v>0.0</v>
      </c>
      <c r="AH25" s="162">
        <v>1.0</v>
      </c>
      <c r="AI25" s="162">
        <v>1.0</v>
      </c>
      <c r="AJ25" s="234">
        <v>0.0</v>
      </c>
      <c r="AK25" s="237">
        <v>0.0</v>
      </c>
      <c r="AL25" s="237">
        <v>0.0</v>
      </c>
      <c r="AM25" s="166">
        <f t="shared" si="6"/>
        <v>2</v>
      </c>
      <c r="AN25" s="236">
        <v>2.0</v>
      </c>
      <c r="AO25" s="237">
        <v>0.0</v>
      </c>
      <c r="AP25" s="162">
        <v>1.0</v>
      </c>
      <c r="AQ25" s="162">
        <v>1.0</v>
      </c>
      <c r="AR25" s="234">
        <v>0.0</v>
      </c>
      <c r="AS25" s="237">
        <v>0.0</v>
      </c>
      <c r="AT25" s="237">
        <v>0.0</v>
      </c>
      <c r="AU25" s="238">
        <f t="shared" si="7"/>
        <v>2</v>
      </c>
      <c r="AV25" s="234">
        <v>315.0</v>
      </c>
      <c r="AW25" s="239">
        <f t="shared" si="8"/>
        <v>0</v>
      </c>
      <c r="AX25" s="240">
        <v>0.0</v>
      </c>
      <c r="AY25" s="240">
        <v>0.0</v>
      </c>
      <c r="AZ25" s="240">
        <v>0.0</v>
      </c>
      <c r="BA25" s="240">
        <v>0.0</v>
      </c>
      <c r="BB25" s="240">
        <v>0.0</v>
      </c>
      <c r="BC25" s="240">
        <v>0.0</v>
      </c>
      <c r="BD25" s="240">
        <v>0.0</v>
      </c>
      <c r="BE25" s="240">
        <v>0.0</v>
      </c>
      <c r="BF25" s="240">
        <v>0.0</v>
      </c>
      <c r="BG25" s="240">
        <v>1.0</v>
      </c>
      <c r="BH25" s="240">
        <v>0.0</v>
      </c>
      <c r="BI25" s="240">
        <v>1.0</v>
      </c>
      <c r="BJ25" s="240">
        <v>0.0</v>
      </c>
      <c r="BK25" s="240">
        <v>0.0</v>
      </c>
      <c r="BL25" s="240">
        <v>0.0</v>
      </c>
      <c r="BM25" s="240">
        <v>0.0</v>
      </c>
      <c r="BN25" s="240">
        <v>0.0</v>
      </c>
      <c r="BO25" s="240">
        <v>0.0</v>
      </c>
      <c r="BP25" s="166">
        <f t="shared" si="9"/>
        <v>2</v>
      </c>
      <c r="BQ25" s="235">
        <v>413.0</v>
      </c>
      <c r="BR25" s="241">
        <f t="shared" si="10"/>
        <v>0</v>
      </c>
      <c r="BS25" s="235">
        <v>0.0</v>
      </c>
      <c r="BT25" s="235">
        <v>0.0</v>
      </c>
      <c r="BU25" s="235">
        <v>0.0</v>
      </c>
      <c r="BV25" s="235">
        <v>0.0</v>
      </c>
      <c r="BW25" s="235">
        <v>0.0</v>
      </c>
      <c r="BX25" s="235">
        <v>0.0</v>
      </c>
      <c r="BY25" s="235">
        <v>0.0</v>
      </c>
      <c r="BZ25" s="235">
        <v>0.0</v>
      </c>
      <c r="CA25" s="235">
        <v>0.0</v>
      </c>
      <c r="CB25" s="235">
        <v>0.0</v>
      </c>
      <c r="CC25" s="235">
        <v>0.0</v>
      </c>
      <c r="CD25" s="235">
        <v>0.0</v>
      </c>
      <c r="CE25" s="235">
        <v>0.0</v>
      </c>
      <c r="CF25" s="235">
        <v>0.0</v>
      </c>
      <c r="CG25" s="235">
        <v>0.0</v>
      </c>
      <c r="CH25" s="235">
        <v>0.0</v>
      </c>
      <c r="CI25" s="235">
        <v>0.0</v>
      </c>
      <c r="CJ25" s="235">
        <v>0.0</v>
      </c>
      <c r="CK25" s="236">
        <f t="shared" si="11"/>
        <v>0</v>
      </c>
      <c r="CL25" s="235">
        <v>453.0</v>
      </c>
      <c r="CM25" s="235">
        <v>128.0</v>
      </c>
      <c r="CN25" s="242">
        <f t="shared" si="12"/>
        <v>1</v>
      </c>
      <c r="CO25" s="235">
        <v>0.0</v>
      </c>
      <c r="CP25" s="235">
        <v>0.0</v>
      </c>
      <c r="CQ25" s="235">
        <v>0.0</v>
      </c>
      <c r="CR25" s="235">
        <v>0.0</v>
      </c>
      <c r="CS25" s="235">
        <v>0.0</v>
      </c>
      <c r="CT25" s="235">
        <v>0.0</v>
      </c>
      <c r="CU25" s="235">
        <v>0.0</v>
      </c>
      <c r="CV25" s="235">
        <v>1.0</v>
      </c>
      <c r="CW25" s="235">
        <v>0.0</v>
      </c>
      <c r="CX25" s="235">
        <v>0.0</v>
      </c>
      <c r="CY25" s="235">
        <v>0.0</v>
      </c>
      <c r="CZ25" s="235">
        <v>0.0</v>
      </c>
      <c r="DA25" s="235">
        <v>0.0</v>
      </c>
      <c r="DB25" s="235">
        <v>0.0</v>
      </c>
      <c r="DC25" s="235">
        <v>0.0</v>
      </c>
      <c r="DD25" s="235">
        <v>0.0</v>
      </c>
      <c r="DE25" s="235">
        <v>0.0</v>
      </c>
      <c r="DF25" s="235">
        <v>0.0</v>
      </c>
      <c r="DG25" s="242">
        <f t="shared" si="13"/>
        <v>0</v>
      </c>
      <c r="DH25" s="177">
        <v>428.0</v>
      </c>
      <c r="DI25" s="177">
        <v>122.0</v>
      </c>
      <c r="DJ25" s="178">
        <v>428.0</v>
      </c>
      <c r="DK25" s="178">
        <v>122.0</v>
      </c>
      <c r="DL25" s="179">
        <f t="shared" si="14"/>
        <v>4</v>
      </c>
      <c r="DM25" s="180">
        <f t="shared" si="15"/>
        <v>1</v>
      </c>
      <c r="DN25" s="180">
        <f t="shared" si="16"/>
        <v>3</v>
      </c>
      <c r="DO25" s="177">
        <v>0.0</v>
      </c>
      <c r="DP25" s="177">
        <v>0.0</v>
      </c>
      <c r="DQ25" s="177">
        <v>0.0</v>
      </c>
      <c r="DR25" s="177">
        <v>1.0</v>
      </c>
      <c r="DS25" s="177">
        <v>0.0</v>
      </c>
      <c r="DT25" s="177">
        <v>0.0</v>
      </c>
      <c r="DU25" s="177">
        <v>1.0</v>
      </c>
      <c r="DV25" s="177">
        <v>2.0</v>
      </c>
      <c r="DW25" s="177">
        <v>0.0</v>
      </c>
      <c r="DX25" s="177">
        <v>0.0</v>
      </c>
      <c r="DY25" s="177">
        <v>0.0</v>
      </c>
      <c r="DZ25" s="177">
        <v>0.0</v>
      </c>
      <c r="EA25" s="177">
        <v>0.0</v>
      </c>
      <c r="EB25" s="177">
        <v>0.0</v>
      </c>
      <c r="EC25" s="177">
        <v>0.0</v>
      </c>
      <c r="ED25" s="177">
        <v>0.0</v>
      </c>
      <c r="EE25" s="177">
        <v>0.0</v>
      </c>
      <c r="EF25" s="177">
        <v>0.0</v>
      </c>
      <c r="EG25" s="179">
        <f t="shared" si="17"/>
        <v>0</v>
      </c>
      <c r="EH25" s="179">
        <f t="shared" si="18"/>
        <v>0</v>
      </c>
      <c r="EI25" s="177">
        <v>409.0</v>
      </c>
      <c r="EJ25" s="177">
        <v>103.0</v>
      </c>
      <c r="EK25" s="178">
        <v>409.0</v>
      </c>
      <c r="EL25" s="178">
        <v>103.0</v>
      </c>
      <c r="EM25" s="185">
        <f t="shared" si="19"/>
        <v>3</v>
      </c>
      <c r="EN25" s="186">
        <v>0.0</v>
      </c>
      <c r="EO25" s="186">
        <v>3.0</v>
      </c>
      <c r="EP25" s="177">
        <v>0.0</v>
      </c>
      <c r="EQ25" s="177">
        <v>0.0</v>
      </c>
      <c r="ER25" s="177">
        <v>1.0</v>
      </c>
      <c r="ES25" s="177">
        <v>2.0</v>
      </c>
      <c r="ET25" s="177">
        <v>0.0</v>
      </c>
      <c r="EU25" s="177">
        <v>0.0</v>
      </c>
      <c r="EV25" s="177">
        <v>0.0</v>
      </c>
      <c r="EW25" s="177">
        <v>0.0</v>
      </c>
      <c r="EX25" s="177">
        <v>0.0</v>
      </c>
      <c r="EY25" s="177">
        <v>0.0</v>
      </c>
      <c r="EZ25" s="177">
        <v>0.0</v>
      </c>
      <c r="FA25" s="177">
        <v>1.0</v>
      </c>
      <c r="FB25" s="177">
        <v>0.0</v>
      </c>
      <c r="FC25" s="177">
        <v>0.0</v>
      </c>
      <c r="FD25" s="177">
        <v>0.0</v>
      </c>
      <c r="FE25" s="177">
        <v>0.0</v>
      </c>
      <c r="FF25" s="177">
        <v>0.0</v>
      </c>
      <c r="FG25" s="177">
        <v>0.0</v>
      </c>
      <c r="FH25" s="185">
        <f t="shared" si="22"/>
        <v>1</v>
      </c>
      <c r="FI25" s="185">
        <f t="shared" si="23"/>
        <v>0</v>
      </c>
      <c r="FJ25" s="177">
        <v>407.0</v>
      </c>
      <c r="FK25" s="177">
        <v>102.0</v>
      </c>
      <c r="FL25" s="177">
        <v>404.0</v>
      </c>
      <c r="FM25" s="177">
        <v>99.0</v>
      </c>
      <c r="FN25" s="180"/>
      <c r="FO25" s="180">
        <v>3.0</v>
      </c>
      <c r="FP25" s="243">
        <v>3.0</v>
      </c>
      <c r="FQ25" s="211">
        <v>0.0</v>
      </c>
      <c r="FR25" s="212">
        <v>3.0</v>
      </c>
      <c r="FS25" s="244">
        <v>0.0</v>
      </c>
      <c r="FT25" s="245">
        <v>0.0</v>
      </c>
      <c r="FU25" s="245">
        <v>0.0</v>
      </c>
      <c r="FV25" s="245">
        <v>3.0</v>
      </c>
      <c r="FW25" s="245">
        <v>0.0</v>
      </c>
      <c r="FX25" s="245">
        <v>0.0</v>
      </c>
      <c r="FY25" s="245">
        <v>0.0</v>
      </c>
      <c r="FZ25" s="245">
        <v>0.0</v>
      </c>
      <c r="GA25" s="245">
        <v>0.0</v>
      </c>
      <c r="GB25" s="245">
        <v>0.0</v>
      </c>
      <c r="GC25" s="245">
        <v>0.0</v>
      </c>
      <c r="GD25" s="245">
        <v>0.0</v>
      </c>
      <c r="GE25" s="245">
        <v>0.0</v>
      </c>
      <c r="GF25" s="245">
        <v>0.0</v>
      </c>
      <c r="GG25" s="245">
        <v>0.0</v>
      </c>
      <c r="GH25" s="245">
        <v>0.0</v>
      </c>
      <c r="GI25" s="245">
        <v>0.0</v>
      </c>
      <c r="GJ25" s="245">
        <v>0.0</v>
      </c>
      <c r="GK25" s="212">
        <v>0.0</v>
      </c>
      <c r="GL25" s="212">
        <v>0.0</v>
      </c>
      <c r="GM25" s="207">
        <v>397.0</v>
      </c>
      <c r="GN25" s="207">
        <v>99.0</v>
      </c>
      <c r="GO25" s="213">
        <v>394.0</v>
      </c>
      <c r="GP25" s="213">
        <v>96.0</v>
      </c>
      <c r="GQ25" s="207"/>
      <c r="GR25" s="213">
        <v>5.0</v>
      </c>
      <c r="GS25" s="193">
        <v>1.0</v>
      </c>
      <c r="GT25" s="194">
        <f t="shared" si="25"/>
        <v>5</v>
      </c>
      <c r="GU25" s="194">
        <f t="shared" si="26"/>
        <v>1</v>
      </c>
      <c r="GV25" s="194">
        <f t="shared" si="27"/>
        <v>4</v>
      </c>
      <c r="GW25" s="207">
        <v>0.0</v>
      </c>
      <c r="GX25" s="207">
        <v>0.0</v>
      </c>
      <c r="GY25" s="207">
        <v>0.0</v>
      </c>
      <c r="GZ25" s="207">
        <v>3.0</v>
      </c>
      <c r="HA25" s="207">
        <v>0.0</v>
      </c>
      <c r="HB25" s="207">
        <v>0.0</v>
      </c>
      <c r="HC25" s="207">
        <v>1.0</v>
      </c>
      <c r="HD25" s="207">
        <v>1.0</v>
      </c>
      <c r="HE25" s="207">
        <v>0.0</v>
      </c>
      <c r="HF25" s="207">
        <v>0.0</v>
      </c>
      <c r="HG25" s="207">
        <v>0.0</v>
      </c>
      <c r="HH25" s="207">
        <v>0.0</v>
      </c>
      <c r="HI25" s="207">
        <v>0.0</v>
      </c>
      <c r="HJ25" s="207">
        <v>0.0</v>
      </c>
      <c r="HK25" s="207">
        <v>0.0</v>
      </c>
      <c r="HL25" s="207">
        <v>0.0</v>
      </c>
      <c r="HM25" s="207">
        <v>0.0</v>
      </c>
      <c r="HN25" s="207">
        <v>0.0</v>
      </c>
      <c r="HO25" s="222">
        <v>0.0</v>
      </c>
      <c r="HP25" s="222">
        <v>0.0</v>
      </c>
      <c r="HQ25" s="246"/>
      <c r="HR25" s="166"/>
      <c r="HS25" s="166"/>
      <c r="HT25" s="166">
        <f t="shared" si="28"/>
        <v>2</v>
      </c>
      <c r="HU25" s="166">
        <f t="shared" si="29"/>
        <v>2</v>
      </c>
      <c r="HV25" s="166">
        <f t="shared" si="30"/>
        <v>2</v>
      </c>
      <c r="HW25" s="166">
        <f t="shared" si="31"/>
        <v>2</v>
      </c>
      <c r="HX25" s="166">
        <f t="shared" si="32"/>
        <v>2</v>
      </c>
      <c r="HY25" s="166">
        <f t="shared" si="33"/>
        <v>0</v>
      </c>
      <c r="HZ25" s="166">
        <f t="shared" si="34"/>
        <v>0</v>
      </c>
      <c r="IA25" s="166">
        <f t="shared" si="35"/>
        <v>1</v>
      </c>
      <c r="IB25" s="198">
        <f t="shared" si="36"/>
        <v>4</v>
      </c>
      <c r="IC25" s="198">
        <f t="shared" si="37"/>
        <v>3</v>
      </c>
      <c r="ID25" s="198">
        <f t="shared" si="38"/>
        <v>3</v>
      </c>
      <c r="IE25" s="198">
        <f t="shared" si="39"/>
        <v>5</v>
      </c>
      <c r="IF25" s="166"/>
      <c r="IG25" s="197"/>
      <c r="IH25" s="166"/>
      <c r="II25" s="166"/>
      <c r="IJ25" s="166"/>
      <c r="IK25" s="166"/>
      <c r="IL25" s="166"/>
      <c r="IM25" s="166"/>
      <c r="IN25" s="166"/>
      <c r="IO25" s="166"/>
      <c r="IP25" s="166"/>
      <c r="IQ25" s="166"/>
      <c r="IR25" s="166"/>
      <c r="IS25" s="166"/>
      <c r="IT25" s="166"/>
      <c r="IU25" s="166"/>
      <c r="IV25" s="166"/>
      <c r="IW25" s="166"/>
      <c r="IX25" s="166"/>
      <c r="IY25" s="166"/>
      <c r="IZ25" s="166"/>
      <c r="JA25" s="199"/>
      <c r="JB25" s="200">
        <f t="shared" si="40"/>
        <v>2</v>
      </c>
      <c r="JC25" s="200">
        <f t="shared" si="41"/>
        <v>2</v>
      </c>
      <c r="JD25" s="200">
        <f t="shared" si="42"/>
        <v>2</v>
      </c>
      <c r="JE25" s="200">
        <f t="shared" si="43"/>
        <v>2</v>
      </c>
      <c r="JF25" s="200">
        <f t="shared" si="44"/>
        <v>2</v>
      </c>
      <c r="JG25" s="200">
        <f t="shared" si="45"/>
        <v>0</v>
      </c>
      <c r="JH25" s="200">
        <f t="shared" si="46"/>
        <v>0</v>
      </c>
      <c r="JI25" s="200">
        <f t="shared" si="47"/>
        <v>1</v>
      </c>
      <c r="JJ25" s="200">
        <f t="shared" si="48"/>
        <v>4</v>
      </c>
      <c r="JK25" s="200">
        <f t="shared" si="49"/>
        <v>4</v>
      </c>
      <c r="JL25" s="200">
        <f t="shared" si="50"/>
        <v>3</v>
      </c>
      <c r="JM25" s="200">
        <f t="shared" si="51"/>
        <v>5</v>
      </c>
      <c r="JN25" s="199"/>
      <c r="JO25" s="200">
        <f t="shared" si="52"/>
        <v>2</v>
      </c>
      <c r="JP25" s="162">
        <v>2.0</v>
      </c>
      <c r="JQ25" s="162">
        <v>2.0</v>
      </c>
      <c r="JR25" s="162">
        <v>2.0</v>
      </c>
      <c r="JS25" s="162">
        <v>2.0</v>
      </c>
      <c r="JT25" s="199"/>
      <c r="JU25" s="199"/>
      <c r="JV25" s="200">
        <f t="shared" ref="JV25:JX25" si="85">IA25-JI25</f>
        <v>0</v>
      </c>
      <c r="JW25" s="200">
        <f t="shared" si="85"/>
        <v>0</v>
      </c>
      <c r="JX25" s="200">
        <f t="shared" si="85"/>
        <v>-1</v>
      </c>
      <c r="JY25" s="199"/>
      <c r="JZ25" s="199"/>
      <c r="KA25" s="199"/>
      <c r="KB25" s="200">
        <f t="shared" ref="KB25:KM25" si="86">JB25-JO25</f>
        <v>0</v>
      </c>
      <c r="KC25" s="200">
        <f t="shared" si="86"/>
        <v>0</v>
      </c>
      <c r="KD25" s="200">
        <f t="shared" si="86"/>
        <v>0</v>
      </c>
      <c r="KE25" s="200">
        <f t="shared" si="86"/>
        <v>0</v>
      </c>
      <c r="KF25" s="200">
        <f t="shared" si="86"/>
        <v>0</v>
      </c>
      <c r="KG25" s="200">
        <f t="shared" si="86"/>
        <v>0</v>
      </c>
      <c r="KH25" s="200">
        <f t="shared" si="86"/>
        <v>0</v>
      </c>
      <c r="KI25" s="200">
        <f t="shared" si="86"/>
        <v>1</v>
      </c>
      <c r="KJ25" s="200">
        <f t="shared" si="86"/>
        <v>4</v>
      </c>
      <c r="KK25" s="200">
        <f t="shared" si="86"/>
        <v>5</v>
      </c>
      <c r="KL25" s="200">
        <f t="shared" si="86"/>
        <v>3</v>
      </c>
      <c r="KM25" s="200">
        <f t="shared" si="86"/>
        <v>5</v>
      </c>
      <c r="KN25" s="199"/>
      <c r="KO25" s="199"/>
      <c r="KP25" s="199"/>
      <c r="KQ25" s="199"/>
      <c r="KR25" s="199"/>
      <c r="KS25" s="199"/>
      <c r="KT25" s="199"/>
      <c r="KU25" s="199"/>
      <c r="KV25" s="199"/>
      <c r="KW25" s="199"/>
      <c r="KX25" s="199"/>
      <c r="KY25" s="199"/>
      <c r="KZ25" s="199"/>
      <c r="LA25" s="199"/>
      <c r="LB25" s="199"/>
      <c r="LC25" s="199"/>
      <c r="LD25" s="199"/>
      <c r="LE25" s="199"/>
      <c r="LF25" s="199"/>
      <c r="LG25" s="199"/>
      <c r="LH25" s="247"/>
      <c r="LI25" s="247"/>
      <c r="LJ25" s="247"/>
      <c r="LK25" s="247"/>
    </row>
    <row r="26" ht="14.25" customHeight="1">
      <c r="A26" s="156">
        <v>19.0</v>
      </c>
      <c r="B26" s="229" t="s">
        <v>94</v>
      </c>
      <c r="C26" s="230">
        <v>3374120.0</v>
      </c>
      <c r="D26" s="230" t="s">
        <v>97</v>
      </c>
      <c r="E26" s="230" t="s">
        <v>100</v>
      </c>
      <c r="F26" s="231">
        <v>6.0</v>
      </c>
      <c r="G26" s="232">
        <v>493.0</v>
      </c>
      <c r="H26" s="233">
        <v>2.0</v>
      </c>
      <c r="I26" s="234">
        <v>0.0</v>
      </c>
      <c r="J26" s="162">
        <v>1.0</v>
      </c>
      <c r="K26" s="234">
        <v>0.0</v>
      </c>
      <c r="L26" s="162">
        <v>1.0</v>
      </c>
      <c r="M26" s="234">
        <v>0.0</v>
      </c>
      <c r="N26" s="234">
        <v>0.0</v>
      </c>
      <c r="O26" s="162">
        <f t="shared" si="3"/>
        <v>2</v>
      </c>
      <c r="P26" s="162">
        <v>2.0</v>
      </c>
      <c r="Q26" s="166"/>
      <c r="R26" s="162">
        <v>1.0</v>
      </c>
      <c r="S26" s="162"/>
      <c r="T26" s="166">
        <v>1.0</v>
      </c>
      <c r="U26" s="236">
        <v>1.0</v>
      </c>
      <c r="V26" s="235">
        <v>0.0</v>
      </c>
      <c r="W26" s="166">
        <f t="shared" si="4"/>
        <v>1</v>
      </c>
      <c r="X26" s="162">
        <v>2.0</v>
      </c>
      <c r="Y26" s="236"/>
      <c r="Z26" s="162">
        <v>1.0</v>
      </c>
      <c r="AA26" s="162"/>
      <c r="AB26" s="166">
        <v>1.0</v>
      </c>
      <c r="AC26" s="235">
        <v>0.0</v>
      </c>
      <c r="AD26" s="235">
        <v>1.0</v>
      </c>
      <c r="AE26" s="166">
        <f t="shared" si="5"/>
        <v>1</v>
      </c>
      <c r="AF26" s="236">
        <v>2.0</v>
      </c>
      <c r="AG26" s="237">
        <v>0.0</v>
      </c>
      <c r="AH26" s="162">
        <v>1.0</v>
      </c>
      <c r="AI26" s="234">
        <v>0.0</v>
      </c>
      <c r="AJ26" s="162">
        <v>1.0</v>
      </c>
      <c r="AK26" s="237">
        <v>0.0</v>
      </c>
      <c r="AL26" s="237">
        <v>0.0</v>
      </c>
      <c r="AM26" s="166">
        <f t="shared" si="6"/>
        <v>2</v>
      </c>
      <c r="AN26" s="236">
        <v>2.0</v>
      </c>
      <c r="AO26" s="237">
        <v>0.0</v>
      </c>
      <c r="AP26" s="162">
        <v>1.0</v>
      </c>
      <c r="AQ26" s="234">
        <v>0.0</v>
      </c>
      <c r="AR26" s="162">
        <v>1.0</v>
      </c>
      <c r="AS26" s="237">
        <v>0.0</v>
      </c>
      <c r="AT26" s="237">
        <v>0.0</v>
      </c>
      <c r="AU26" s="238">
        <f t="shared" si="7"/>
        <v>2</v>
      </c>
      <c r="AV26" s="234">
        <v>493.0</v>
      </c>
      <c r="AW26" s="239">
        <f t="shared" si="8"/>
        <v>2</v>
      </c>
      <c r="AX26" s="240">
        <v>0.0</v>
      </c>
      <c r="AY26" s="240">
        <v>0.0</v>
      </c>
      <c r="AZ26" s="240">
        <v>1.0</v>
      </c>
      <c r="BA26" s="240">
        <v>1.0</v>
      </c>
      <c r="BB26" s="240">
        <v>0.0</v>
      </c>
      <c r="BC26" s="240">
        <v>0.0</v>
      </c>
      <c r="BD26" s="240">
        <v>0.0</v>
      </c>
      <c r="BE26" s="240">
        <v>0.0</v>
      </c>
      <c r="BF26" s="240">
        <v>0.0</v>
      </c>
      <c r="BG26" s="240">
        <v>0.0</v>
      </c>
      <c r="BH26" s="240">
        <v>0.0</v>
      </c>
      <c r="BI26" s="240">
        <v>0.0</v>
      </c>
      <c r="BJ26" s="240">
        <v>0.0</v>
      </c>
      <c r="BK26" s="240">
        <v>0.0</v>
      </c>
      <c r="BL26" s="240">
        <v>0.0</v>
      </c>
      <c r="BM26" s="240">
        <v>0.0</v>
      </c>
      <c r="BN26" s="240">
        <v>0.0</v>
      </c>
      <c r="BO26" s="240">
        <v>0.0</v>
      </c>
      <c r="BP26" s="166">
        <f t="shared" si="9"/>
        <v>0</v>
      </c>
      <c r="BQ26" s="235">
        <v>452.0</v>
      </c>
      <c r="BR26" s="241">
        <f t="shared" si="10"/>
        <v>3</v>
      </c>
      <c r="BS26" s="235">
        <v>0.0</v>
      </c>
      <c r="BT26" s="235">
        <v>0.0</v>
      </c>
      <c r="BU26" s="235">
        <v>2.0</v>
      </c>
      <c r="BV26" s="235">
        <v>0.0</v>
      </c>
      <c r="BW26" s="235">
        <v>0.0</v>
      </c>
      <c r="BX26" s="235">
        <v>1.0</v>
      </c>
      <c r="BY26" s="235">
        <v>0.0</v>
      </c>
      <c r="BZ26" s="235">
        <v>0.0</v>
      </c>
      <c r="CA26" s="235">
        <v>0.0</v>
      </c>
      <c r="CB26" s="235">
        <v>0.0</v>
      </c>
      <c r="CC26" s="235">
        <v>0.0</v>
      </c>
      <c r="CD26" s="235">
        <v>0.0</v>
      </c>
      <c r="CE26" s="235">
        <v>0.0</v>
      </c>
      <c r="CF26" s="235">
        <v>0.0</v>
      </c>
      <c r="CG26" s="235">
        <v>0.0</v>
      </c>
      <c r="CH26" s="235">
        <v>0.0</v>
      </c>
      <c r="CI26" s="235">
        <v>0.0</v>
      </c>
      <c r="CJ26" s="235">
        <v>0.0</v>
      </c>
      <c r="CK26" s="236">
        <f t="shared" si="11"/>
        <v>0</v>
      </c>
      <c r="CL26" s="235">
        <v>445.0</v>
      </c>
      <c r="CM26" s="235">
        <v>134.0</v>
      </c>
      <c r="CN26" s="242">
        <f t="shared" si="12"/>
        <v>4</v>
      </c>
      <c r="CO26" s="235">
        <v>0.0</v>
      </c>
      <c r="CP26" s="235">
        <v>1.0</v>
      </c>
      <c r="CQ26" s="235">
        <v>2.0</v>
      </c>
      <c r="CR26" s="235">
        <v>0.0</v>
      </c>
      <c r="CS26" s="235">
        <v>0.0</v>
      </c>
      <c r="CT26" s="235">
        <v>0.0</v>
      </c>
      <c r="CU26" s="235">
        <v>0.0</v>
      </c>
      <c r="CV26" s="235">
        <v>1.0</v>
      </c>
      <c r="CW26" s="235">
        <v>0.0</v>
      </c>
      <c r="CX26" s="235">
        <v>0.0</v>
      </c>
      <c r="CY26" s="235">
        <v>0.0</v>
      </c>
      <c r="CZ26" s="235">
        <v>0.0</v>
      </c>
      <c r="DA26" s="235">
        <v>0.0</v>
      </c>
      <c r="DB26" s="235">
        <v>0.0</v>
      </c>
      <c r="DC26" s="235">
        <v>0.0</v>
      </c>
      <c r="DD26" s="235">
        <v>0.0</v>
      </c>
      <c r="DE26" s="235">
        <v>0.0</v>
      </c>
      <c r="DF26" s="235">
        <v>0.0</v>
      </c>
      <c r="DG26" s="242">
        <f t="shared" si="13"/>
        <v>0</v>
      </c>
      <c r="DH26" s="177">
        <v>465.0</v>
      </c>
      <c r="DI26" s="177">
        <v>131.0</v>
      </c>
      <c r="DJ26" s="178">
        <v>465.0</v>
      </c>
      <c r="DK26" s="178">
        <v>131.0</v>
      </c>
      <c r="DL26" s="179">
        <f t="shared" si="14"/>
        <v>4</v>
      </c>
      <c r="DM26" s="180">
        <f t="shared" si="15"/>
        <v>1</v>
      </c>
      <c r="DN26" s="180">
        <f t="shared" si="16"/>
        <v>3</v>
      </c>
      <c r="DO26" s="177">
        <v>0.0</v>
      </c>
      <c r="DP26" s="177">
        <v>0.0</v>
      </c>
      <c r="DQ26" s="177">
        <v>0.0</v>
      </c>
      <c r="DR26" s="177">
        <v>1.0</v>
      </c>
      <c r="DS26" s="177">
        <v>0.0</v>
      </c>
      <c r="DT26" s="177">
        <v>1.0</v>
      </c>
      <c r="DU26" s="177">
        <v>0.0</v>
      </c>
      <c r="DV26" s="177">
        <v>2.0</v>
      </c>
      <c r="DW26" s="177">
        <v>0.0</v>
      </c>
      <c r="DX26" s="177">
        <v>1.0</v>
      </c>
      <c r="DY26" s="177">
        <v>0.0</v>
      </c>
      <c r="DZ26" s="177">
        <v>0.0</v>
      </c>
      <c r="EA26" s="177">
        <v>0.0</v>
      </c>
      <c r="EB26" s="177">
        <v>0.0</v>
      </c>
      <c r="EC26" s="177">
        <v>0.0</v>
      </c>
      <c r="ED26" s="177">
        <v>0.0</v>
      </c>
      <c r="EE26" s="177">
        <v>0.0</v>
      </c>
      <c r="EF26" s="177">
        <v>0.0</v>
      </c>
      <c r="EG26" s="179">
        <f t="shared" si="17"/>
        <v>1</v>
      </c>
      <c r="EH26" s="179">
        <f t="shared" si="18"/>
        <v>1</v>
      </c>
      <c r="EI26" s="177">
        <v>457.0</v>
      </c>
      <c r="EJ26" s="177">
        <v>122.0</v>
      </c>
      <c r="EK26" s="178">
        <v>437.0</v>
      </c>
      <c r="EL26" s="178">
        <v>122.0</v>
      </c>
      <c r="EM26" s="185">
        <f t="shared" si="19"/>
        <v>4</v>
      </c>
      <c r="EN26" s="186">
        <f t="shared" ref="EN26:EN73" si="89">(EP26+EQ26+ER26+ET26+EU26+EV26)</f>
        <v>0</v>
      </c>
      <c r="EO26" s="186">
        <f t="shared" ref="EO26:EO181" si="90">ES26+EW26</f>
        <v>4</v>
      </c>
      <c r="EP26" s="177">
        <v>0.0</v>
      </c>
      <c r="EQ26" s="177">
        <v>0.0</v>
      </c>
      <c r="ER26" s="177">
        <v>0.0</v>
      </c>
      <c r="ES26" s="177">
        <v>4.0</v>
      </c>
      <c r="ET26" s="177">
        <v>0.0</v>
      </c>
      <c r="EU26" s="177">
        <v>0.0</v>
      </c>
      <c r="EV26" s="177">
        <v>0.0</v>
      </c>
      <c r="EW26" s="177">
        <v>0.0</v>
      </c>
      <c r="EX26" s="177">
        <v>0.0</v>
      </c>
      <c r="EY26" s="177">
        <v>0.0</v>
      </c>
      <c r="EZ26" s="177">
        <v>0.0</v>
      </c>
      <c r="FA26" s="177">
        <v>0.0</v>
      </c>
      <c r="FB26" s="177">
        <v>0.0</v>
      </c>
      <c r="FC26" s="177">
        <v>0.0</v>
      </c>
      <c r="FD26" s="177">
        <v>0.0</v>
      </c>
      <c r="FE26" s="177">
        <v>0.0</v>
      </c>
      <c r="FF26" s="177">
        <v>0.0</v>
      </c>
      <c r="FG26" s="177">
        <v>0.0</v>
      </c>
      <c r="FH26" s="185">
        <f t="shared" si="22"/>
        <v>0</v>
      </c>
      <c r="FI26" s="185">
        <f t="shared" si="23"/>
        <v>0</v>
      </c>
      <c r="FJ26" s="177">
        <v>456.0</v>
      </c>
      <c r="FK26" s="177">
        <v>124.0</v>
      </c>
      <c r="FL26" s="177">
        <v>455.0</v>
      </c>
      <c r="FM26" s="177">
        <v>123.0</v>
      </c>
      <c r="FN26" s="180"/>
      <c r="FO26" s="180">
        <v>3.0</v>
      </c>
      <c r="FP26" s="243">
        <v>3.0</v>
      </c>
      <c r="FQ26" s="211">
        <v>0.0</v>
      </c>
      <c r="FR26" s="212">
        <v>3.0</v>
      </c>
      <c r="FS26" s="244">
        <v>0.0</v>
      </c>
      <c r="FT26" s="245">
        <v>0.0</v>
      </c>
      <c r="FU26" s="245">
        <v>0.0</v>
      </c>
      <c r="FV26" s="245">
        <v>3.0</v>
      </c>
      <c r="FW26" s="245">
        <v>0.0</v>
      </c>
      <c r="FX26" s="245">
        <v>0.0</v>
      </c>
      <c r="FY26" s="245">
        <v>0.0</v>
      </c>
      <c r="FZ26" s="245">
        <v>0.0</v>
      </c>
      <c r="GA26" s="245">
        <v>0.0</v>
      </c>
      <c r="GB26" s="245">
        <v>0.0</v>
      </c>
      <c r="GC26" s="245">
        <v>0.0</v>
      </c>
      <c r="GD26" s="245">
        <v>1.0</v>
      </c>
      <c r="GE26" s="245">
        <v>0.0</v>
      </c>
      <c r="GF26" s="245">
        <v>0.0</v>
      </c>
      <c r="GG26" s="245">
        <v>0.0</v>
      </c>
      <c r="GH26" s="245">
        <v>0.0</v>
      </c>
      <c r="GI26" s="245">
        <v>0.0</v>
      </c>
      <c r="GJ26" s="245">
        <v>0.0</v>
      </c>
      <c r="GK26" s="212">
        <v>1.0</v>
      </c>
      <c r="GL26" s="212">
        <v>0.0</v>
      </c>
      <c r="GM26" s="207">
        <v>442.0</v>
      </c>
      <c r="GN26" s="207">
        <v>118.0</v>
      </c>
      <c r="GO26" s="213">
        <v>411.0</v>
      </c>
      <c r="GP26" s="213">
        <v>92.0</v>
      </c>
      <c r="GQ26" s="207"/>
      <c r="GR26" s="213">
        <v>3.0</v>
      </c>
      <c r="GS26" s="193">
        <v>0.0</v>
      </c>
      <c r="GT26" s="194">
        <f t="shared" si="25"/>
        <v>3</v>
      </c>
      <c r="GU26" s="194">
        <f t="shared" si="26"/>
        <v>0</v>
      </c>
      <c r="GV26" s="194">
        <f t="shared" si="27"/>
        <v>3</v>
      </c>
      <c r="GW26" s="207">
        <v>0.0</v>
      </c>
      <c r="GX26" s="207">
        <v>0.0</v>
      </c>
      <c r="GY26" s="207">
        <v>0.0</v>
      </c>
      <c r="GZ26" s="207">
        <v>2.0</v>
      </c>
      <c r="HA26" s="207">
        <v>0.0</v>
      </c>
      <c r="HB26" s="207">
        <v>0.0</v>
      </c>
      <c r="HC26" s="207">
        <v>0.0</v>
      </c>
      <c r="HD26" s="207">
        <v>1.0</v>
      </c>
      <c r="HE26" s="207">
        <v>0.0</v>
      </c>
      <c r="HF26" s="207">
        <v>0.0</v>
      </c>
      <c r="HG26" s="207">
        <v>0.0</v>
      </c>
      <c r="HH26" s="207">
        <v>0.0</v>
      </c>
      <c r="HI26" s="207">
        <v>0.0</v>
      </c>
      <c r="HJ26" s="207">
        <v>0.0</v>
      </c>
      <c r="HK26" s="207">
        <v>0.0</v>
      </c>
      <c r="HL26" s="207">
        <v>0.0</v>
      </c>
      <c r="HM26" s="207">
        <v>0.0</v>
      </c>
      <c r="HN26" s="207">
        <v>0.0</v>
      </c>
      <c r="HO26" s="222">
        <v>0.0</v>
      </c>
      <c r="HP26" s="222">
        <v>0.0</v>
      </c>
      <c r="HQ26" s="246"/>
      <c r="HR26" s="166"/>
      <c r="HS26" s="166"/>
      <c r="HT26" s="166">
        <f t="shared" si="28"/>
        <v>2</v>
      </c>
      <c r="HU26" s="166">
        <f t="shared" si="29"/>
        <v>2</v>
      </c>
      <c r="HV26" s="166">
        <f t="shared" si="30"/>
        <v>2</v>
      </c>
      <c r="HW26" s="166">
        <f t="shared" si="31"/>
        <v>2</v>
      </c>
      <c r="HX26" s="166">
        <f t="shared" si="32"/>
        <v>2</v>
      </c>
      <c r="HY26" s="166">
        <f t="shared" si="33"/>
        <v>2</v>
      </c>
      <c r="HZ26" s="166">
        <f t="shared" si="34"/>
        <v>3</v>
      </c>
      <c r="IA26" s="166">
        <f t="shared" si="35"/>
        <v>4</v>
      </c>
      <c r="IB26" s="198">
        <f t="shared" si="36"/>
        <v>4</v>
      </c>
      <c r="IC26" s="198">
        <f t="shared" si="37"/>
        <v>4</v>
      </c>
      <c r="ID26" s="198">
        <f t="shared" si="38"/>
        <v>3</v>
      </c>
      <c r="IE26" s="198">
        <f t="shared" si="39"/>
        <v>3</v>
      </c>
      <c r="IF26" s="166"/>
      <c r="IG26" s="197"/>
      <c r="IH26" s="166"/>
      <c r="II26" s="166"/>
      <c r="IJ26" s="166"/>
      <c r="IK26" s="166"/>
      <c r="IL26" s="166"/>
      <c r="IM26" s="166"/>
      <c r="IN26" s="166"/>
      <c r="IO26" s="166"/>
      <c r="IP26" s="166"/>
      <c r="IQ26" s="166"/>
      <c r="IR26" s="166"/>
      <c r="IS26" s="166"/>
      <c r="IT26" s="166"/>
      <c r="IU26" s="166"/>
      <c r="IV26" s="166"/>
      <c r="IW26" s="166"/>
      <c r="IX26" s="166"/>
      <c r="IY26" s="166"/>
      <c r="IZ26" s="166"/>
      <c r="JA26" s="199"/>
      <c r="JB26" s="200">
        <f t="shared" si="40"/>
        <v>2</v>
      </c>
      <c r="JC26" s="200">
        <f t="shared" si="41"/>
        <v>2</v>
      </c>
      <c r="JD26" s="200">
        <f t="shared" si="42"/>
        <v>2</v>
      </c>
      <c r="JE26" s="200">
        <f t="shared" si="43"/>
        <v>2</v>
      </c>
      <c r="JF26" s="200">
        <f t="shared" si="44"/>
        <v>2</v>
      </c>
      <c r="JG26" s="200">
        <f t="shared" si="45"/>
        <v>2</v>
      </c>
      <c r="JH26" s="200">
        <f t="shared" si="46"/>
        <v>3</v>
      </c>
      <c r="JI26" s="200">
        <f t="shared" si="47"/>
        <v>4</v>
      </c>
      <c r="JJ26" s="200">
        <f t="shared" si="48"/>
        <v>4</v>
      </c>
      <c r="JK26" s="200">
        <f t="shared" si="49"/>
        <v>4</v>
      </c>
      <c r="JL26" s="200">
        <f t="shared" si="50"/>
        <v>3</v>
      </c>
      <c r="JM26" s="200">
        <f t="shared" si="51"/>
        <v>3</v>
      </c>
      <c r="JN26" s="199"/>
      <c r="JO26" s="200">
        <f t="shared" si="52"/>
        <v>2</v>
      </c>
      <c r="JP26" s="162">
        <v>2.0</v>
      </c>
      <c r="JQ26" s="162">
        <v>2.0</v>
      </c>
      <c r="JR26" s="162">
        <v>2.0</v>
      </c>
      <c r="JS26" s="162">
        <v>2.0</v>
      </c>
      <c r="JT26" s="199"/>
      <c r="JU26" s="199"/>
      <c r="JV26" s="200">
        <f t="shared" ref="JV26:JX26" si="87">IA26-JI26</f>
        <v>0</v>
      </c>
      <c r="JW26" s="200">
        <f t="shared" si="87"/>
        <v>0</v>
      </c>
      <c r="JX26" s="200">
        <f t="shared" si="87"/>
        <v>0</v>
      </c>
      <c r="JY26" s="199"/>
      <c r="JZ26" s="199"/>
      <c r="KA26" s="199"/>
      <c r="KB26" s="200">
        <f t="shared" ref="KB26:KM26" si="88">JB26-JO26</f>
        <v>0</v>
      </c>
      <c r="KC26" s="200">
        <f t="shared" si="88"/>
        <v>0</v>
      </c>
      <c r="KD26" s="200">
        <f t="shared" si="88"/>
        <v>0</v>
      </c>
      <c r="KE26" s="200">
        <f t="shared" si="88"/>
        <v>0</v>
      </c>
      <c r="KF26" s="200">
        <f t="shared" si="88"/>
        <v>0</v>
      </c>
      <c r="KG26" s="200">
        <f t="shared" si="88"/>
        <v>2</v>
      </c>
      <c r="KH26" s="200">
        <f t="shared" si="88"/>
        <v>3</v>
      </c>
      <c r="KI26" s="200">
        <f t="shared" si="88"/>
        <v>4</v>
      </c>
      <c r="KJ26" s="200">
        <f t="shared" si="88"/>
        <v>4</v>
      </c>
      <c r="KK26" s="200">
        <f t="shared" si="88"/>
        <v>4</v>
      </c>
      <c r="KL26" s="200">
        <f t="shared" si="88"/>
        <v>3</v>
      </c>
      <c r="KM26" s="200">
        <f t="shared" si="88"/>
        <v>3</v>
      </c>
      <c r="KN26" s="199"/>
      <c r="KO26" s="199"/>
      <c r="KP26" s="199"/>
      <c r="KQ26" s="199"/>
      <c r="KR26" s="199"/>
      <c r="KS26" s="199"/>
      <c r="KT26" s="199"/>
      <c r="KU26" s="199"/>
      <c r="KV26" s="199"/>
      <c r="KW26" s="199"/>
      <c r="KX26" s="199"/>
      <c r="KY26" s="199"/>
      <c r="KZ26" s="199"/>
      <c r="LA26" s="199"/>
      <c r="LB26" s="199"/>
      <c r="LC26" s="199"/>
      <c r="LD26" s="199"/>
      <c r="LE26" s="199"/>
      <c r="LF26" s="199"/>
      <c r="LG26" s="199"/>
      <c r="LH26" s="247"/>
      <c r="LI26" s="247"/>
      <c r="LJ26" s="247"/>
      <c r="LK26" s="247"/>
    </row>
    <row r="27" ht="14.25" customHeight="1">
      <c r="A27" s="156">
        <v>20.0</v>
      </c>
      <c r="B27" s="157" t="s">
        <v>94</v>
      </c>
      <c r="C27" s="158">
        <v>3374120.0</v>
      </c>
      <c r="D27" s="158" t="s">
        <v>95</v>
      </c>
      <c r="E27" s="158" t="s">
        <v>101</v>
      </c>
      <c r="F27" s="159">
        <v>10.0</v>
      </c>
      <c r="G27" s="159">
        <v>767.0</v>
      </c>
      <c r="H27" s="160">
        <v>25.0</v>
      </c>
      <c r="I27" s="224">
        <v>0.0</v>
      </c>
      <c r="J27" s="224">
        <v>0.0</v>
      </c>
      <c r="K27" s="224">
        <v>2.0</v>
      </c>
      <c r="L27" s="161">
        <v>23.0</v>
      </c>
      <c r="M27" s="161">
        <v>0.0</v>
      </c>
      <c r="N27" s="161">
        <v>0.0</v>
      </c>
      <c r="O27" s="162">
        <f t="shared" si="3"/>
        <v>25</v>
      </c>
      <c r="P27" s="203">
        <v>29.0</v>
      </c>
      <c r="Q27" s="248">
        <v>0.0</v>
      </c>
      <c r="R27" s="248">
        <v>0.0</v>
      </c>
      <c r="S27" s="248">
        <v>4.0</v>
      </c>
      <c r="T27" s="248">
        <v>25.0</v>
      </c>
      <c r="U27" s="165">
        <v>4.0</v>
      </c>
      <c r="V27" s="165">
        <v>0.0</v>
      </c>
      <c r="W27" s="166">
        <f t="shared" si="4"/>
        <v>25</v>
      </c>
      <c r="X27" s="203">
        <v>24.0</v>
      </c>
      <c r="Y27" s="165">
        <v>0.0</v>
      </c>
      <c r="Z27" s="224">
        <v>0.0</v>
      </c>
      <c r="AA27" s="224">
        <v>2.0</v>
      </c>
      <c r="AB27" s="164">
        <v>22.0</v>
      </c>
      <c r="AC27" s="165">
        <v>0.0</v>
      </c>
      <c r="AD27" s="165">
        <v>5.0</v>
      </c>
      <c r="AE27" s="166">
        <f t="shared" si="5"/>
        <v>19</v>
      </c>
      <c r="AF27" s="167">
        <v>28.0</v>
      </c>
      <c r="AG27" s="159">
        <v>0.0</v>
      </c>
      <c r="AH27" s="224">
        <v>0.0</v>
      </c>
      <c r="AI27" s="224">
        <v>4.0</v>
      </c>
      <c r="AJ27" s="161">
        <v>24.0</v>
      </c>
      <c r="AK27" s="159">
        <v>7.0</v>
      </c>
      <c r="AL27" s="159">
        <v>3.0</v>
      </c>
      <c r="AM27" s="166">
        <f t="shared" si="6"/>
        <v>18</v>
      </c>
      <c r="AN27" s="167">
        <v>20.0</v>
      </c>
      <c r="AO27" s="159">
        <v>0.0</v>
      </c>
      <c r="AP27" s="224">
        <v>0.0</v>
      </c>
      <c r="AQ27" s="224">
        <v>2.0</v>
      </c>
      <c r="AR27" s="161">
        <v>18.0</v>
      </c>
      <c r="AS27" s="249">
        <v>0.0</v>
      </c>
      <c r="AT27" s="249">
        <v>0.0</v>
      </c>
      <c r="AU27" s="238">
        <f t="shared" si="7"/>
        <v>20</v>
      </c>
      <c r="AV27" s="250">
        <v>683.0</v>
      </c>
      <c r="AW27" s="204">
        <f t="shared" si="8"/>
        <v>20</v>
      </c>
      <c r="AX27" s="169">
        <v>0.0</v>
      </c>
      <c r="AY27" s="169">
        <v>0.0</v>
      </c>
      <c r="AZ27" s="169">
        <v>2.0</v>
      </c>
      <c r="BA27" s="169">
        <v>18.0</v>
      </c>
      <c r="BB27" s="169">
        <v>0.0</v>
      </c>
      <c r="BC27" s="169">
        <v>0.0</v>
      </c>
      <c r="BD27" s="169">
        <v>0.0</v>
      </c>
      <c r="BE27" s="169">
        <v>0.0</v>
      </c>
      <c r="BF27" s="169">
        <v>0.0</v>
      </c>
      <c r="BG27" s="169">
        <v>0.0</v>
      </c>
      <c r="BH27" s="169">
        <v>0.0</v>
      </c>
      <c r="BI27" s="169">
        <v>0.0</v>
      </c>
      <c r="BJ27" s="169">
        <v>0.0</v>
      </c>
      <c r="BK27" s="169">
        <v>0.0</v>
      </c>
      <c r="BL27" s="169">
        <v>0.0</v>
      </c>
      <c r="BM27" s="169">
        <v>0.0</v>
      </c>
      <c r="BN27" s="169">
        <v>0.0</v>
      </c>
      <c r="BO27" s="169">
        <v>0.0</v>
      </c>
      <c r="BP27" s="205">
        <f t="shared" si="9"/>
        <v>0</v>
      </c>
      <c r="BQ27" s="173">
        <v>693.0</v>
      </c>
      <c r="BR27" s="170">
        <f t="shared" si="10"/>
        <v>24</v>
      </c>
      <c r="BS27" s="173">
        <v>0.0</v>
      </c>
      <c r="BT27" s="173">
        <v>0.0</v>
      </c>
      <c r="BU27" s="173">
        <v>2.0</v>
      </c>
      <c r="BV27" s="173">
        <v>17.0</v>
      </c>
      <c r="BW27" s="173">
        <v>1.0</v>
      </c>
      <c r="BX27" s="173">
        <v>0.0</v>
      </c>
      <c r="BY27" s="173">
        <v>0.0</v>
      </c>
      <c r="BZ27" s="173">
        <v>4.0</v>
      </c>
      <c r="CA27" s="173">
        <v>0.0</v>
      </c>
      <c r="CB27" s="173">
        <v>0.0</v>
      </c>
      <c r="CC27" s="173">
        <v>0.0</v>
      </c>
      <c r="CD27" s="173">
        <v>0.0</v>
      </c>
      <c r="CE27" s="173">
        <v>0.0</v>
      </c>
      <c r="CF27" s="173">
        <v>0.0</v>
      </c>
      <c r="CG27" s="173">
        <v>0.0</v>
      </c>
      <c r="CH27" s="173">
        <v>0.0</v>
      </c>
      <c r="CI27" s="173">
        <v>1.0</v>
      </c>
      <c r="CJ27" s="173">
        <v>0.0</v>
      </c>
      <c r="CK27" s="172">
        <f t="shared" si="11"/>
        <v>1</v>
      </c>
      <c r="CL27" s="173">
        <v>691.0</v>
      </c>
      <c r="CM27" s="173">
        <v>159.0</v>
      </c>
      <c r="CN27" s="175">
        <f t="shared" si="12"/>
        <v>29</v>
      </c>
      <c r="CO27" s="173">
        <v>1.0</v>
      </c>
      <c r="CP27" s="173">
        <v>0.0</v>
      </c>
      <c r="CQ27" s="173">
        <v>1.0</v>
      </c>
      <c r="CR27" s="173">
        <v>20.0</v>
      </c>
      <c r="CS27" s="173">
        <v>0.0</v>
      </c>
      <c r="CT27" s="173">
        <v>0.0</v>
      </c>
      <c r="CU27" s="173">
        <v>2.0</v>
      </c>
      <c r="CV27" s="173">
        <v>5.0</v>
      </c>
      <c r="CW27" s="173">
        <v>0.0</v>
      </c>
      <c r="CX27" s="173">
        <v>0.0</v>
      </c>
      <c r="CY27" s="173">
        <v>0.0</v>
      </c>
      <c r="CZ27" s="173">
        <v>1.0</v>
      </c>
      <c r="DA27" s="173">
        <v>0.0</v>
      </c>
      <c r="DB27" s="173">
        <v>0.0</v>
      </c>
      <c r="DC27" s="173">
        <v>0.0</v>
      </c>
      <c r="DD27" s="173">
        <v>1.0</v>
      </c>
      <c r="DE27" s="173">
        <v>0.0</v>
      </c>
      <c r="DF27" s="173">
        <v>0.0</v>
      </c>
      <c r="DG27" s="176">
        <f t="shared" si="13"/>
        <v>2</v>
      </c>
      <c r="DH27" s="177">
        <v>651.0</v>
      </c>
      <c r="DI27" s="177">
        <v>180.0</v>
      </c>
      <c r="DJ27" s="178">
        <v>591.0</v>
      </c>
      <c r="DK27" s="178">
        <v>175.0</v>
      </c>
      <c r="DL27" s="179">
        <f t="shared" si="14"/>
        <v>28</v>
      </c>
      <c r="DM27" s="180">
        <f t="shared" si="15"/>
        <v>3</v>
      </c>
      <c r="DN27" s="180">
        <f t="shared" si="16"/>
        <v>25</v>
      </c>
      <c r="DO27" s="177">
        <v>1.0</v>
      </c>
      <c r="DP27" s="177">
        <v>0.0</v>
      </c>
      <c r="DQ27" s="177">
        <v>2.0</v>
      </c>
      <c r="DR27" s="177">
        <v>25.0</v>
      </c>
      <c r="DS27" s="177">
        <v>0.0</v>
      </c>
      <c r="DT27" s="177">
        <v>0.0</v>
      </c>
      <c r="DU27" s="177">
        <v>0.0</v>
      </c>
      <c r="DV27" s="177">
        <v>0.0</v>
      </c>
      <c r="DW27" s="177">
        <v>0.0</v>
      </c>
      <c r="DX27" s="177">
        <v>0.0</v>
      </c>
      <c r="DY27" s="177">
        <v>0.0</v>
      </c>
      <c r="DZ27" s="177">
        <v>1.0</v>
      </c>
      <c r="EA27" s="177">
        <v>0.0</v>
      </c>
      <c r="EB27" s="177">
        <v>0.0</v>
      </c>
      <c r="EC27" s="177">
        <v>0.0</v>
      </c>
      <c r="ED27" s="177">
        <v>0.0</v>
      </c>
      <c r="EE27" s="177">
        <v>0.0</v>
      </c>
      <c r="EF27" s="177">
        <v>0.0</v>
      </c>
      <c r="EG27" s="179">
        <f t="shared" si="17"/>
        <v>1</v>
      </c>
      <c r="EH27" s="179">
        <f t="shared" si="18"/>
        <v>0</v>
      </c>
      <c r="EI27" s="177">
        <v>653.0</v>
      </c>
      <c r="EJ27" s="177">
        <v>186.0</v>
      </c>
      <c r="EK27" s="178">
        <v>576.0</v>
      </c>
      <c r="EL27" s="178">
        <v>167.0</v>
      </c>
      <c r="EM27" s="185">
        <f t="shared" si="19"/>
        <v>27</v>
      </c>
      <c r="EN27" s="186">
        <f t="shared" si="89"/>
        <v>3</v>
      </c>
      <c r="EO27" s="186">
        <f t="shared" si="90"/>
        <v>24</v>
      </c>
      <c r="EP27" s="177">
        <v>0.0</v>
      </c>
      <c r="EQ27" s="177">
        <v>0.0</v>
      </c>
      <c r="ER27" s="177">
        <v>2.0</v>
      </c>
      <c r="ES27" s="177">
        <v>23.0</v>
      </c>
      <c r="ET27" s="177">
        <v>0.0</v>
      </c>
      <c r="EU27" s="177">
        <v>0.0</v>
      </c>
      <c r="EV27" s="177">
        <v>1.0</v>
      </c>
      <c r="EW27" s="177">
        <v>1.0</v>
      </c>
      <c r="EX27" s="177">
        <v>1.0</v>
      </c>
      <c r="EY27" s="177">
        <v>0.0</v>
      </c>
      <c r="EZ27" s="177">
        <v>0.0</v>
      </c>
      <c r="FA27" s="177">
        <v>1.0</v>
      </c>
      <c r="FB27" s="227"/>
      <c r="FC27" s="227"/>
      <c r="FD27" s="227"/>
      <c r="FE27" s="227"/>
      <c r="FF27" s="177">
        <v>1.0</v>
      </c>
      <c r="FG27" s="227"/>
      <c r="FH27" s="185">
        <f t="shared" si="22"/>
        <v>3</v>
      </c>
      <c r="FI27" s="185">
        <f t="shared" si="23"/>
        <v>1</v>
      </c>
      <c r="FJ27" s="177">
        <v>650.0</v>
      </c>
      <c r="FK27" s="177">
        <v>184.0</v>
      </c>
      <c r="FL27" s="177">
        <v>563.0</v>
      </c>
      <c r="FM27" s="177">
        <v>144.0</v>
      </c>
      <c r="FN27" s="180"/>
      <c r="FO27" s="180">
        <v>27.0</v>
      </c>
      <c r="FP27" s="188">
        <f t="shared" ref="FP27:FP28" si="93">SUM(FS27:FZ27)</f>
        <v>27</v>
      </c>
      <c r="FQ27" s="211">
        <v>1.0</v>
      </c>
      <c r="FR27" s="212">
        <v>26.0</v>
      </c>
      <c r="FS27" s="206">
        <v>0.0</v>
      </c>
      <c r="FT27" s="207">
        <v>0.0</v>
      </c>
      <c r="FU27" s="207">
        <v>1.0</v>
      </c>
      <c r="FV27" s="207">
        <v>26.0</v>
      </c>
      <c r="FW27" s="207">
        <v>0.0</v>
      </c>
      <c r="FX27" s="207">
        <v>0.0</v>
      </c>
      <c r="FY27" s="207">
        <v>0.0</v>
      </c>
      <c r="FZ27" s="207">
        <v>0.0</v>
      </c>
      <c r="GA27" s="207">
        <v>0.0</v>
      </c>
      <c r="GB27" s="207">
        <v>0.0</v>
      </c>
      <c r="GC27" s="207">
        <v>0.0</v>
      </c>
      <c r="GD27" s="207">
        <v>0.0</v>
      </c>
      <c r="GE27" s="207">
        <v>0.0</v>
      </c>
      <c r="GF27" s="207">
        <v>0.0</v>
      </c>
      <c r="GG27" s="207">
        <v>0.0</v>
      </c>
      <c r="GH27" s="207">
        <v>0.0</v>
      </c>
      <c r="GI27" s="207">
        <v>0.0</v>
      </c>
      <c r="GJ27" s="207">
        <v>0.0</v>
      </c>
      <c r="GK27" s="212">
        <v>0.0</v>
      </c>
      <c r="GL27" s="212">
        <v>0.0</v>
      </c>
      <c r="GM27" s="207">
        <v>658.0</v>
      </c>
      <c r="GN27" s="207">
        <v>185.0</v>
      </c>
      <c r="GO27" s="213">
        <v>594.0</v>
      </c>
      <c r="GP27" s="213">
        <v>129.0</v>
      </c>
      <c r="GQ27" s="207"/>
      <c r="GR27" s="213">
        <v>22.0</v>
      </c>
      <c r="GS27" s="193">
        <v>1.0</v>
      </c>
      <c r="GT27" s="194">
        <f t="shared" si="25"/>
        <v>22</v>
      </c>
      <c r="GU27" s="194">
        <f t="shared" si="26"/>
        <v>1</v>
      </c>
      <c r="GV27" s="194">
        <f t="shared" si="27"/>
        <v>21</v>
      </c>
      <c r="GW27" s="207">
        <v>0.0</v>
      </c>
      <c r="GX27" s="207">
        <v>0.0</v>
      </c>
      <c r="GY27" s="207">
        <v>1.0</v>
      </c>
      <c r="GZ27" s="207">
        <v>21.0</v>
      </c>
      <c r="HA27" s="207">
        <v>0.0</v>
      </c>
      <c r="HB27" s="207">
        <v>0.0</v>
      </c>
      <c r="HC27" s="207">
        <v>0.0</v>
      </c>
      <c r="HD27" s="207">
        <v>0.0</v>
      </c>
      <c r="HE27" s="207">
        <v>0.0</v>
      </c>
      <c r="HF27" s="207">
        <v>0.0</v>
      </c>
      <c r="HG27" s="207">
        <v>0.0</v>
      </c>
      <c r="HH27" s="207">
        <v>3.0</v>
      </c>
      <c r="HI27" s="207">
        <v>0.0</v>
      </c>
      <c r="HJ27" s="207">
        <v>0.0</v>
      </c>
      <c r="HK27" s="207">
        <v>0.0</v>
      </c>
      <c r="HL27" s="207">
        <v>1.0</v>
      </c>
      <c r="HM27" s="207">
        <v>1.0</v>
      </c>
      <c r="HN27" s="207">
        <v>0.0</v>
      </c>
      <c r="HO27" s="222">
        <f>SUM(HE27:HN27)</f>
        <v>5</v>
      </c>
      <c r="HP27" s="222">
        <f>HE27+HF27+HG27+HI27+HJ27+HK27</f>
        <v>0</v>
      </c>
      <c r="HQ27" s="214"/>
      <c r="HR27" s="197"/>
      <c r="HS27" s="197"/>
      <c r="HT27" s="198">
        <f t="shared" si="28"/>
        <v>25</v>
      </c>
      <c r="HU27" s="198">
        <f t="shared" si="29"/>
        <v>29</v>
      </c>
      <c r="HV27" s="198">
        <f t="shared" si="30"/>
        <v>24</v>
      </c>
      <c r="HW27" s="198">
        <f t="shared" si="31"/>
        <v>28</v>
      </c>
      <c r="HX27" s="198">
        <f t="shared" si="32"/>
        <v>20</v>
      </c>
      <c r="HY27" s="198">
        <f t="shared" si="33"/>
        <v>20</v>
      </c>
      <c r="HZ27" s="198">
        <f t="shared" si="34"/>
        <v>24</v>
      </c>
      <c r="IA27" s="198">
        <f t="shared" si="35"/>
        <v>29</v>
      </c>
      <c r="IB27" s="198">
        <f t="shared" si="36"/>
        <v>28</v>
      </c>
      <c r="IC27" s="198">
        <f t="shared" si="37"/>
        <v>27</v>
      </c>
      <c r="ID27" s="198">
        <f t="shared" si="38"/>
        <v>27</v>
      </c>
      <c r="IE27" s="198">
        <f t="shared" si="39"/>
        <v>22</v>
      </c>
      <c r="IF27" s="197"/>
      <c r="IG27" s="197"/>
      <c r="IH27" s="197"/>
      <c r="II27" s="197"/>
      <c r="IJ27" s="197"/>
      <c r="IK27" s="197"/>
      <c r="IL27" s="197"/>
      <c r="IM27" s="197"/>
      <c r="IN27" s="197"/>
      <c r="IO27" s="197"/>
      <c r="IP27" s="197"/>
      <c r="IQ27" s="197"/>
      <c r="IR27" s="197"/>
      <c r="IS27" s="197"/>
      <c r="IT27" s="197"/>
      <c r="IU27" s="197"/>
      <c r="IV27" s="197"/>
      <c r="IW27" s="197"/>
      <c r="IX27" s="197"/>
      <c r="IY27" s="197"/>
      <c r="IZ27" s="197"/>
      <c r="JA27" s="199"/>
      <c r="JB27" s="200">
        <f t="shared" si="40"/>
        <v>25</v>
      </c>
      <c r="JC27" s="200">
        <f t="shared" si="41"/>
        <v>29</v>
      </c>
      <c r="JD27" s="200">
        <f t="shared" si="42"/>
        <v>24</v>
      </c>
      <c r="JE27" s="200">
        <f t="shared" si="43"/>
        <v>28</v>
      </c>
      <c r="JF27" s="200">
        <f t="shared" si="44"/>
        <v>20</v>
      </c>
      <c r="JG27" s="200">
        <f t="shared" si="45"/>
        <v>20</v>
      </c>
      <c r="JH27" s="200">
        <f t="shared" si="46"/>
        <v>24</v>
      </c>
      <c r="JI27" s="200">
        <f t="shared" si="47"/>
        <v>29</v>
      </c>
      <c r="JJ27" s="200">
        <f t="shared" si="48"/>
        <v>28</v>
      </c>
      <c r="JK27" s="200">
        <f t="shared" si="49"/>
        <v>29</v>
      </c>
      <c r="JL27" s="200">
        <f t="shared" si="50"/>
        <v>27</v>
      </c>
      <c r="JM27" s="200">
        <f t="shared" si="51"/>
        <v>22</v>
      </c>
      <c r="JN27" s="199"/>
      <c r="JO27" s="200">
        <f t="shared" si="52"/>
        <v>25</v>
      </c>
      <c r="JP27" s="202">
        <v>29.0</v>
      </c>
      <c r="JQ27" s="202">
        <v>24.0</v>
      </c>
      <c r="JR27" s="202">
        <v>28.0</v>
      </c>
      <c r="JS27" s="202">
        <v>20.0</v>
      </c>
      <c r="JT27" s="199"/>
      <c r="JU27" s="199"/>
      <c r="JV27" s="200">
        <f t="shared" ref="JV27:JX27" si="91">IA27-JI27</f>
        <v>0</v>
      </c>
      <c r="JW27" s="200">
        <f t="shared" si="91"/>
        <v>0</v>
      </c>
      <c r="JX27" s="200">
        <f t="shared" si="91"/>
        <v>-2</v>
      </c>
      <c r="JY27" s="199"/>
      <c r="JZ27" s="199"/>
      <c r="KA27" s="199"/>
      <c r="KB27" s="200">
        <f t="shared" ref="KB27:KM27" si="92">JB27-JO27</f>
        <v>0</v>
      </c>
      <c r="KC27" s="200">
        <f t="shared" si="92"/>
        <v>0</v>
      </c>
      <c r="KD27" s="200">
        <f t="shared" si="92"/>
        <v>0</v>
      </c>
      <c r="KE27" s="200">
        <f t="shared" si="92"/>
        <v>0</v>
      </c>
      <c r="KF27" s="200">
        <f t="shared" si="92"/>
        <v>0</v>
      </c>
      <c r="KG27" s="200">
        <f t="shared" si="92"/>
        <v>20</v>
      </c>
      <c r="KH27" s="200">
        <f t="shared" si="92"/>
        <v>24</v>
      </c>
      <c r="KI27" s="200">
        <f t="shared" si="92"/>
        <v>29</v>
      </c>
      <c r="KJ27" s="200">
        <f t="shared" si="92"/>
        <v>28</v>
      </c>
      <c r="KK27" s="200">
        <f t="shared" si="92"/>
        <v>31</v>
      </c>
      <c r="KL27" s="200">
        <f t="shared" si="92"/>
        <v>27</v>
      </c>
      <c r="KM27" s="200">
        <f t="shared" si="92"/>
        <v>22</v>
      </c>
      <c r="KN27" s="199"/>
      <c r="KO27" s="199"/>
      <c r="KP27" s="199"/>
      <c r="KQ27" s="199"/>
      <c r="KR27" s="199"/>
      <c r="KS27" s="199"/>
      <c r="KT27" s="199"/>
      <c r="KU27" s="199"/>
      <c r="KV27" s="199"/>
      <c r="KW27" s="199"/>
      <c r="KX27" s="199"/>
      <c r="KY27" s="199"/>
      <c r="KZ27" s="199"/>
      <c r="LA27" s="199"/>
      <c r="LB27" s="199"/>
      <c r="LC27" s="199"/>
      <c r="LD27" s="199"/>
      <c r="LE27" s="199"/>
      <c r="LF27" s="199"/>
      <c r="LG27" s="199"/>
    </row>
    <row r="28" ht="14.25" customHeight="1">
      <c r="A28" s="156">
        <v>21.0</v>
      </c>
      <c r="B28" s="229" t="s">
        <v>94</v>
      </c>
      <c r="C28" s="230">
        <v>3374120.0</v>
      </c>
      <c r="D28" s="230" t="s">
        <v>97</v>
      </c>
      <c r="E28" s="230" t="s">
        <v>102</v>
      </c>
      <c r="F28" s="231">
        <v>14.0</v>
      </c>
      <c r="G28" s="232">
        <v>364.0</v>
      </c>
      <c r="H28" s="233">
        <v>0.0</v>
      </c>
      <c r="I28" s="234">
        <v>0.0</v>
      </c>
      <c r="J28" s="234">
        <v>0.0</v>
      </c>
      <c r="K28" s="234">
        <v>0.0</v>
      </c>
      <c r="L28" s="234">
        <v>0.0</v>
      </c>
      <c r="M28" s="234">
        <v>0.0</v>
      </c>
      <c r="N28" s="234">
        <v>0.0</v>
      </c>
      <c r="O28" s="162">
        <f t="shared" si="3"/>
        <v>0</v>
      </c>
      <c r="P28" s="162">
        <v>0.0</v>
      </c>
      <c r="Q28" s="240">
        <v>0.0</v>
      </c>
      <c r="R28" s="234">
        <v>0.0</v>
      </c>
      <c r="S28" s="234">
        <v>0.0</v>
      </c>
      <c r="T28" s="240">
        <v>0.0</v>
      </c>
      <c r="U28" s="235">
        <v>0.0</v>
      </c>
      <c r="V28" s="235">
        <v>0.0</v>
      </c>
      <c r="W28" s="166">
        <f t="shared" si="4"/>
        <v>0</v>
      </c>
      <c r="X28" s="162">
        <v>0.0</v>
      </c>
      <c r="Y28" s="235">
        <v>0.0</v>
      </c>
      <c r="Z28" s="234">
        <v>0.0</v>
      </c>
      <c r="AA28" s="234">
        <v>0.0</v>
      </c>
      <c r="AB28" s="240">
        <v>0.0</v>
      </c>
      <c r="AC28" s="235">
        <v>0.0</v>
      </c>
      <c r="AD28" s="235">
        <v>0.0</v>
      </c>
      <c r="AE28" s="166">
        <f t="shared" si="5"/>
        <v>0</v>
      </c>
      <c r="AF28" s="236">
        <v>1.0</v>
      </c>
      <c r="AG28" s="237">
        <v>0.0</v>
      </c>
      <c r="AH28" s="234">
        <v>0.0</v>
      </c>
      <c r="AI28" s="234">
        <v>0.0</v>
      </c>
      <c r="AJ28" s="234">
        <v>0.0</v>
      </c>
      <c r="AK28" s="237">
        <v>0.0</v>
      </c>
      <c r="AL28" s="237">
        <v>0.0</v>
      </c>
      <c r="AM28" s="240">
        <v>0.0</v>
      </c>
      <c r="AN28" s="236">
        <v>0.0</v>
      </c>
      <c r="AO28" s="237">
        <v>0.0</v>
      </c>
      <c r="AP28" s="234">
        <v>0.0</v>
      </c>
      <c r="AQ28" s="234">
        <v>0.0</v>
      </c>
      <c r="AR28" s="234">
        <v>0.0</v>
      </c>
      <c r="AS28" s="237">
        <v>0.0</v>
      </c>
      <c r="AT28" s="237">
        <v>0.0</v>
      </c>
      <c r="AU28" s="238">
        <f t="shared" si="7"/>
        <v>0</v>
      </c>
      <c r="AV28" s="234">
        <v>322.0</v>
      </c>
      <c r="AW28" s="239">
        <f t="shared" si="8"/>
        <v>0</v>
      </c>
      <c r="AX28" s="240">
        <v>0.0</v>
      </c>
      <c r="AY28" s="240">
        <v>0.0</v>
      </c>
      <c r="AZ28" s="240">
        <v>0.0</v>
      </c>
      <c r="BA28" s="240">
        <v>0.0</v>
      </c>
      <c r="BB28" s="240">
        <v>0.0</v>
      </c>
      <c r="BC28" s="240">
        <v>0.0</v>
      </c>
      <c r="BD28" s="240">
        <v>0.0</v>
      </c>
      <c r="BE28" s="240">
        <v>0.0</v>
      </c>
      <c r="BF28" s="240">
        <v>0.0</v>
      </c>
      <c r="BG28" s="240">
        <v>0.0</v>
      </c>
      <c r="BH28" s="240">
        <v>0.0</v>
      </c>
      <c r="BI28" s="240">
        <v>0.0</v>
      </c>
      <c r="BJ28" s="240">
        <v>0.0</v>
      </c>
      <c r="BK28" s="240">
        <v>0.0</v>
      </c>
      <c r="BL28" s="240">
        <v>0.0</v>
      </c>
      <c r="BM28" s="240">
        <v>0.0</v>
      </c>
      <c r="BN28" s="240">
        <v>0.0</v>
      </c>
      <c r="BO28" s="240">
        <v>0.0</v>
      </c>
      <c r="BP28" s="166">
        <f t="shared" si="9"/>
        <v>0</v>
      </c>
      <c r="BQ28" s="235">
        <v>305.0</v>
      </c>
      <c r="BR28" s="241">
        <f t="shared" si="10"/>
        <v>1</v>
      </c>
      <c r="BS28" s="235">
        <v>0.0</v>
      </c>
      <c r="BT28" s="235">
        <v>0.0</v>
      </c>
      <c r="BU28" s="235">
        <v>0.0</v>
      </c>
      <c r="BV28" s="235">
        <v>0.0</v>
      </c>
      <c r="BW28" s="235">
        <v>1.0</v>
      </c>
      <c r="BX28" s="235">
        <v>0.0</v>
      </c>
      <c r="BY28" s="235">
        <v>0.0</v>
      </c>
      <c r="BZ28" s="235">
        <v>0.0</v>
      </c>
      <c r="CA28" s="235">
        <v>0.0</v>
      </c>
      <c r="CB28" s="235">
        <v>0.0</v>
      </c>
      <c r="CC28" s="235">
        <v>0.0</v>
      </c>
      <c r="CD28" s="235">
        <v>0.0</v>
      </c>
      <c r="CE28" s="235">
        <v>0.0</v>
      </c>
      <c r="CF28" s="235">
        <v>0.0</v>
      </c>
      <c r="CG28" s="235">
        <v>0.0</v>
      </c>
      <c r="CH28" s="235">
        <v>0.0</v>
      </c>
      <c r="CI28" s="235">
        <v>0.0</v>
      </c>
      <c r="CJ28" s="235">
        <v>0.0</v>
      </c>
      <c r="CK28" s="236">
        <f t="shared" si="11"/>
        <v>0</v>
      </c>
      <c r="CL28" s="235">
        <v>336.0</v>
      </c>
      <c r="CM28" s="235">
        <v>95.0</v>
      </c>
      <c r="CN28" s="242">
        <f t="shared" si="12"/>
        <v>2</v>
      </c>
      <c r="CO28" s="235">
        <v>1.0</v>
      </c>
      <c r="CP28" s="235">
        <v>0.0</v>
      </c>
      <c r="CQ28" s="235">
        <v>0.0</v>
      </c>
      <c r="CR28" s="235">
        <v>0.0</v>
      </c>
      <c r="CS28" s="235">
        <v>0.0</v>
      </c>
      <c r="CT28" s="235">
        <v>0.0</v>
      </c>
      <c r="CU28" s="235">
        <v>0.0</v>
      </c>
      <c r="CV28" s="235">
        <v>1.0</v>
      </c>
      <c r="CW28" s="235">
        <v>0.0</v>
      </c>
      <c r="CX28" s="235">
        <v>0.0</v>
      </c>
      <c r="CY28" s="235">
        <v>0.0</v>
      </c>
      <c r="CZ28" s="235">
        <v>0.0</v>
      </c>
      <c r="DA28" s="235">
        <v>0.0</v>
      </c>
      <c r="DB28" s="235">
        <v>0.0</v>
      </c>
      <c r="DC28" s="235">
        <v>0.0</v>
      </c>
      <c r="DD28" s="235">
        <v>0.0</v>
      </c>
      <c r="DE28" s="235">
        <v>0.0</v>
      </c>
      <c r="DF28" s="235">
        <v>0.0</v>
      </c>
      <c r="DG28" s="242">
        <f t="shared" si="13"/>
        <v>0</v>
      </c>
      <c r="DH28" s="177">
        <v>311.0</v>
      </c>
      <c r="DI28" s="177">
        <v>85.0</v>
      </c>
      <c r="DJ28" s="178">
        <v>311.0</v>
      </c>
      <c r="DK28" s="178">
        <v>85.0</v>
      </c>
      <c r="DL28" s="179">
        <f t="shared" si="14"/>
        <v>0</v>
      </c>
      <c r="DM28" s="180">
        <f t="shared" si="15"/>
        <v>0</v>
      </c>
      <c r="DN28" s="180">
        <f t="shared" si="16"/>
        <v>0</v>
      </c>
      <c r="DO28" s="177">
        <v>0.0</v>
      </c>
      <c r="DP28" s="177">
        <v>0.0</v>
      </c>
      <c r="DQ28" s="177">
        <v>0.0</v>
      </c>
      <c r="DR28" s="177">
        <v>0.0</v>
      </c>
      <c r="DS28" s="177">
        <v>0.0</v>
      </c>
      <c r="DT28" s="177">
        <v>0.0</v>
      </c>
      <c r="DU28" s="177">
        <v>0.0</v>
      </c>
      <c r="DV28" s="177">
        <v>0.0</v>
      </c>
      <c r="DW28" s="177">
        <v>1.0</v>
      </c>
      <c r="DX28" s="177">
        <v>0.0</v>
      </c>
      <c r="DY28" s="177">
        <v>0.0</v>
      </c>
      <c r="DZ28" s="177">
        <v>1.0</v>
      </c>
      <c r="EA28" s="177">
        <v>0.0</v>
      </c>
      <c r="EB28" s="177">
        <v>0.0</v>
      </c>
      <c r="EC28" s="177">
        <v>0.0</v>
      </c>
      <c r="ED28" s="177">
        <v>0.0</v>
      </c>
      <c r="EE28" s="177">
        <v>0.0</v>
      </c>
      <c r="EF28" s="177">
        <v>0.0</v>
      </c>
      <c r="EG28" s="179">
        <f t="shared" si="17"/>
        <v>2</v>
      </c>
      <c r="EH28" s="179">
        <f t="shared" si="18"/>
        <v>1</v>
      </c>
      <c r="EI28" s="177">
        <v>301.0</v>
      </c>
      <c r="EJ28" s="177">
        <v>74.0</v>
      </c>
      <c r="EK28" s="178">
        <v>195.0</v>
      </c>
      <c r="EL28" s="178">
        <v>74.0</v>
      </c>
      <c r="EM28" s="185">
        <f t="shared" si="19"/>
        <v>0</v>
      </c>
      <c r="EN28" s="186">
        <f t="shared" si="89"/>
        <v>0</v>
      </c>
      <c r="EO28" s="186">
        <f t="shared" si="90"/>
        <v>0</v>
      </c>
      <c r="EP28" s="177">
        <v>0.0</v>
      </c>
      <c r="EQ28" s="177">
        <v>0.0</v>
      </c>
      <c r="ER28" s="177">
        <v>0.0</v>
      </c>
      <c r="ES28" s="177">
        <v>0.0</v>
      </c>
      <c r="ET28" s="177">
        <v>0.0</v>
      </c>
      <c r="EU28" s="177">
        <v>0.0</v>
      </c>
      <c r="EV28" s="177">
        <v>0.0</v>
      </c>
      <c r="EW28" s="177">
        <v>0.0</v>
      </c>
      <c r="EX28" s="177">
        <v>0.0</v>
      </c>
      <c r="EY28" s="177">
        <v>0.0</v>
      </c>
      <c r="EZ28" s="177">
        <v>0.0</v>
      </c>
      <c r="FA28" s="177">
        <v>0.0</v>
      </c>
      <c r="FB28" s="177">
        <v>0.0</v>
      </c>
      <c r="FC28" s="177">
        <v>0.0</v>
      </c>
      <c r="FD28" s="177">
        <v>0.0</v>
      </c>
      <c r="FE28" s="177">
        <v>0.0</v>
      </c>
      <c r="FF28" s="177">
        <v>0.0</v>
      </c>
      <c r="FG28" s="177">
        <v>0.0</v>
      </c>
      <c r="FH28" s="185">
        <f t="shared" si="22"/>
        <v>0</v>
      </c>
      <c r="FI28" s="185">
        <f t="shared" si="23"/>
        <v>0</v>
      </c>
      <c r="FJ28" s="177">
        <v>293.0</v>
      </c>
      <c r="FK28" s="177">
        <v>74.0</v>
      </c>
      <c r="FL28" s="177">
        <v>292.0</v>
      </c>
      <c r="FM28" s="177">
        <v>73.0</v>
      </c>
      <c r="FN28" s="180"/>
      <c r="FO28" s="180">
        <v>0.0</v>
      </c>
      <c r="FP28" s="188">
        <f t="shared" si="93"/>
        <v>0</v>
      </c>
      <c r="FQ28" s="211">
        <v>0.0</v>
      </c>
      <c r="FR28" s="212">
        <v>0.0</v>
      </c>
      <c r="FS28" s="244">
        <v>0.0</v>
      </c>
      <c r="FT28" s="245">
        <v>0.0</v>
      </c>
      <c r="FU28" s="245">
        <v>0.0</v>
      </c>
      <c r="FV28" s="245">
        <v>0.0</v>
      </c>
      <c r="FW28" s="245">
        <v>0.0</v>
      </c>
      <c r="FX28" s="245">
        <v>0.0</v>
      </c>
      <c r="FY28" s="245">
        <v>0.0</v>
      </c>
      <c r="FZ28" s="245">
        <v>0.0</v>
      </c>
      <c r="GA28" s="245">
        <v>0.0</v>
      </c>
      <c r="GB28" s="245">
        <v>0.0</v>
      </c>
      <c r="GC28" s="245">
        <v>0.0</v>
      </c>
      <c r="GD28" s="245">
        <v>0.0</v>
      </c>
      <c r="GE28" s="245">
        <v>0.0</v>
      </c>
      <c r="GF28" s="245">
        <v>0.0</v>
      </c>
      <c r="GG28" s="245">
        <v>0.0</v>
      </c>
      <c r="GH28" s="245">
        <v>0.0</v>
      </c>
      <c r="GI28" s="245">
        <v>0.0</v>
      </c>
      <c r="GJ28" s="245">
        <v>0.0</v>
      </c>
      <c r="GK28" s="212">
        <v>0.0</v>
      </c>
      <c r="GL28" s="212">
        <v>0.0</v>
      </c>
      <c r="GM28" s="207">
        <v>281.0</v>
      </c>
      <c r="GN28" s="207">
        <v>71.0</v>
      </c>
      <c r="GO28" s="213">
        <v>279.0</v>
      </c>
      <c r="GP28" s="213">
        <v>70.0</v>
      </c>
      <c r="GQ28" s="207"/>
      <c r="GR28" s="213">
        <v>0.0</v>
      </c>
      <c r="GS28" s="193">
        <v>0.0</v>
      </c>
      <c r="GT28" s="194">
        <f t="shared" si="25"/>
        <v>0</v>
      </c>
      <c r="GU28" s="194">
        <f t="shared" si="26"/>
        <v>0</v>
      </c>
      <c r="GV28" s="194">
        <f t="shared" si="27"/>
        <v>0</v>
      </c>
      <c r="GW28" s="207">
        <v>0.0</v>
      </c>
      <c r="GX28" s="207">
        <v>0.0</v>
      </c>
      <c r="GY28" s="207">
        <v>0.0</v>
      </c>
      <c r="GZ28" s="207">
        <v>0.0</v>
      </c>
      <c r="HA28" s="207">
        <v>0.0</v>
      </c>
      <c r="HB28" s="207">
        <v>0.0</v>
      </c>
      <c r="HC28" s="207">
        <v>0.0</v>
      </c>
      <c r="HD28" s="207">
        <v>0.0</v>
      </c>
      <c r="HE28" s="207">
        <v>0.0</v>
      </c>
      <c r="HF28" s="207">
        <v>0.0</v>
      </c>
      <c r="HG28" s="207">
        <v>0.0</v>
      </c>
      <c r="HH28" s="207">
        <v>0.0</v>
      </c>
      <c r="HI28" s="207">
        <v>0.0</v>
      </c>
      <c r="HJ28" s="207">
        <v>0.0</v>
      </c>
      <c r="HK28" s="207">
        <v>0.0</v>
      </c>
      <c r="HL28" s="207">
        <v>0.0</v>
      </c>
      <c r="HM28" s="207">
        <v>0.0</v>
      </c>
      <c r="HN28" s="207">
        <v>0.0</v>
      </c>
      <c r="HO28" s="222">
        <v>0.0</v>
      </c>
      <c r="HP28" s="222">
        <v>0.0</v>
      </c>
      <c r="HQ28" s="251"/>
      <c r="HR28" s="166"/>
      <c r="HS28" s="166"/>
      <c r="HT28" s="166">
        <f t="shared" si="28"/>
        <v>0</v>
      </c>
      <c r="HU28" s="166">
        <f t="shared" si="29"/>
        <v>0</v>
      </c>
      <c r="HV28" s="166">
        <f t="shared" si="30"/>
        <v>0</v>
      </c>
      <c r="HW28" s="240">
        <v>0.0</v>
      </c>
      <c r="HX28" s="166">
        <f t="shared" si="32"/>
        <v>0</v>
      </c>
      <c r="HY28" s="166">
        <f t="shared" si="33"/>
        <v>0</v>
      </c>
      <c r="HZ28" s="166">
        <f t="shared" si="34"/>
        <v>1</v>
      </c>
      <c r="IA28" s="166">
        <f t="shared" si="35"/>
        <v>2</v>
      </c>
      <c r="IB28" s="198">
        <f t="shared" si="36"/>
        <v>0</v>
      </c>
      <c r="IC28" s="198">
        <f t="shared" si="37"/>
        <v>0</v>
      </c>
      <c r="ID28" s="198">
        <f t="shared" si="38"/>
        <v>0</v>
      </c>
      <c r="IE28" s="198">
        <f t="shared" si="39"/>
        <v>0</v>
      </c>
      <c r="IF28" s="166"/>
      <c r="IG28" s="197"/>
      <c r="IH28" s="166"/>
      <c r="II28" s="166"/>
      <c r="IJ28" s="166"/>
      <c r="IK28" s="166"/>
      <c r="IL28" s="166"/>
      <c r="IM28" s="166"/>
      <c r="IN28" s="166"/>
      <c r="IO28" s="166"/>
      <c r="IP28" s="166"/>
      <c r="IQ28" s="166"/>
      <c r="IR28" s="166"/>
      <c r="IS28" s="166"/>
      <c r="IT28" s="166"/>
      <c r="IU28" s="166"/>
      <c r="IV28" s="166"/>
      <c r="IW28" s="166"/>
      <c r="IX28" s="166"/>
      <c r="IY28" s="166"/>
      <c r="IZ28" s="166"/>
      <c r="JA28" s="199"/>
      <c r="JB28" s="200">
        <f t="shared" si="40"/>
        <v>0</v>
      </c>
      <c r="JC28" s="200">
        <f t="shared" si="41"/>
        <v>0</v>
      </c>
      <c r="JD28" s="200">
        <f t="shared" si="42"/>
        <v>0</v>
      </c>
      <c r="JE28" s="200">
        <f t="shared" si="43"/>
        <v>0</v>
      </c>
      <c r="JF28" s="200">
        <f t="shared" si="44"/>
        <v>0</v>
      </c>
      <c r="JG28" s="200">
        <f t="shared" si="45"/>
        <v>0</v>
      </c>
      <c r="JH28" s="200">
        <f t="shared" si="46"/>
        <v>1</v>
      </c>
      <c r="JI28" s="200">
        <f t="shared" si="47"/>
        <v>2</v>
      </c>
      <c r="JJ28" s="200">
        <f t="shared" si="48"/>
        <v>0</v>
      </c>
      <c r="JK28" s="200">
        <f t="shared" si="49"/>
        <v>0</v>
      </c>
      <c r="JL28" s="200">
        <f t="shared" si="50"/>
        <v>0</v>
      </c>
      <c r="JM28" s="200">
        <f t="shared" si="51"/>
        <v>0</v>
      </c>
      <c r="JN28" s="199"/>
      <c r="JO28" s="200">
        <f t="shared" si="52"/>
        <v>0</v>
      </c>
      <c r="JP28" s="162">
        <v>0.0</v>
      </c>
      <c r="JQ28" s="162">
        <v>0.0</v>
      </c>
      <c r="JR28" s="162">
        <v>1.0</v>
      </c>
      <c r="JS28" s="162">
        <v>0.0</v>
      </c>
      <c r="JT28" s="199"/>
      <c r="JU28" s="199"/>
      <c r="JV28" s="200">
        <f t="shared" ref="JV28:JX28" si="94">IA28-JI28</f>
        <v>0</v>
      </c>
      <c r="JW28" s="200">
        <f t="shared" si="94"/>
        <v>0</v>
      </c>
      <c r="JX28" s="200">
        <f t="shared" si="94"/>
        <v>0</v>
      </c>
      <c r="JY28" s="199"/>
      <c r="JZ28" s="199"/>
      <c r="KA28" s="199"/>
      <c r="KB28" s="200">
        <f t="shared" ref="KB28:KM28" si="95">JB28-JO28</f>
        <v>0</v>
      </c>
      <c r="KC28" s="200">
        <f t="shared" si="95"/>
        <v>0</v>
      </c>
      <c r="KD28" s="200">
        <f t="shared" si="95"/>
        <v>0</v>
      </c>
      <c r="KE28" s="200">
        <f t="shared" si="95"/>
        <v>-1</v>
      </c>
      <c r="KF28" s="200">
        <f t="shared" si="95"/>
        <v>0</v>
      </c>
      <c r="KG28" s="200">
        <f t="shared" si="95"/>
        <v>0</v>
      </c>
      <c r="KH28" s="200">
        <f t="shared" si="95"/>
        <v>1</v>
      </c>
      <c r="KI28" s="200">
        <f t="shared" si="95"/>
        <v>2</v>
      </c>
      <c r="KJ28" s="200">
        <f t="shared" si="95"/>
        <v>0</v>
      </c>
      <c r="KK28" s="200">
        <f t="shared" si="95"/>
        <v>0</v>
      </c>
      <c r="KL28" s="200">
        <f t="shared" si="95"/>
        <v>0</v>
      </c>
      <c r="KM28" s="200">
        <f t="shared" si="95"/>
        <v>0</v>
      </c>
      <c r="KN28" s="199"/>
      <c r="KO28" s="199"/>
      <c r="KP28" s="199"/>
      <c r="KQ28" s="199"/>
      <c r="KR28" s="199"/>
      <c r="KS28" s="199"/>
      <c r="KT28" s="199"/>
      <c r="KU28" s="199"/>
      <c r="KV28" s="199"/>
      <c r="KW28" s="199"/>
      <c r="KX28" s="199"/>
      <c r="KY28" s="199"/>
      <c r="KZ28" s="199"/>
      <c r="LA28" s="199"/>
      <c r="LB28" s="199"/>
      <c r="LC28" s="199"/>
      <c r="LD28" s="199"/>
      <c r="LE28" s="199"/>
      <c r="LF28" s="199"/>
      <c r="LG28" s="199"/>
      <c r="LH28" s="247"/>
      <c r="LI28" s="247"/>
      <c r="LJ28" s="247"/>
      <c r="LK28" s="247"/>
    </row>
    <row r="29" ht="14.25" customHeight="1">
      <c r="A29" s="156">
        <v>22.0</v>
      </c>
      <c r="B29" s="229" t="s">
        <v>94</v>
      </c>
      <c r="C29" s="230">
        <v>3374120.0</v>
      </c>
      <c r="D29" s="230" t="s">
        <v>97</v>
      </c>
      <c r="E29" s="230" t="s">
        <v>103</v>
      </c>
      <c r="F29" s="231">
        <v>8.0</v>
      </c>
      <c r="G29" s="232">
        <v>322.0</v>
      </c>
      <c r="H29" s="233">
        <v>10.0</v>
      </c>
      <c r="I29" s="234">
        <v>0.0</v>
      </c>
      <c r="J29" s="162">
        <v>2.0</v>
      </c>
      <c r="K29" s="162">
        <v>3.0</v>
      </c>
      <c r="L29" s="162">
        <v>5.0</v>
      </c>
      <c r="M29" s="234">
        <v>0.0</v>
      </c>
      <c r="N29" s="234">
        <v>0.0</v>
      </c>
      <c r="O29" s="162">
        <f t="shared" si="3"/>
        <v>10</v>
      </c>
      <c r="P29" s="162">
        <v>10.0</v>
      </c>
      <c r="Q29" s="240">
        <v>0.0</v>
      </c>
      <c r="R29" s="162">
        <v>2.0</v>
      </c>
      <c r="S29" s="162">
        <v>3.0</v>
      </c>
      <c r="T29" s="166">
        <v>5.0</v>
      </c>
      <c r="U29" s="235">
        <v>0.0</v>
      </c>
      <c r="V29" s="235">
        <v>0.0</v>
      </c>
      <c r="W29" s="166">
        <f t="shared" si="4"/>
        <v>10</v>
      </c>
      <c r="X29" s="162">
        <v>9.0</v>
      </c>
      <c r="Y29" s="236"/>
      <c r="Z29" s="162">
        <v>0.0</v>
      </c>
      <c r="AA29" s="162">
        <v>4.0</v>
      </c>
      <c r="AB29" s="166">
        <v>5.0</v>
      </c>
      <c r="AC29" s="236"/>
      <c r="AD29" s="236">
        <v>1.0</v>
      </c>
      <c r="AE29" s="166">
        <f t="shared" si="5"/>
        <v>8</v>
      </c>
      <c r="AF29" s="236">
        <v>9.0</v>
      </c>
      <c r="AG29" s="237">
        <v>0.0</v>
      </c>
      <c r="AH29" s="162">
        <v>0.0</v>
      </c>
      <c r="AI29" s="162">
        <v>4.0</v>
      </c>
      <c r="AJ29" s="162">
        <v>5.0</v>
      </c>
      <c r="AK29" s="237">
        <v>0.0</v>
      </c>
      <c r="AL29" s="237">
        <v>2.0</v>
      </c>
      <c r="AM29" s="166">
        <f t="shared" ref="AM29:AM73" si="98">AF29-(AK29+AL29)</f>
        <v>7</v>
      </c>
      <c r="AN29" s="236">
        <v>7.0</v>
      </c>
      <c r="AO29" s="237">
        <v>0.0</v>
      </c>
      <c r="AP29" s="234">
        <v>0.0</v>
      </c>
      <c r="AQ29" s="234">
        <v>1.0</v>
      </c>
      <c r="AR29" s="234">
        <v>6.0</v>
      </c>
      <c r="AS29" s="237">
        <v>0.0</v>
      </c>
      <c r="AT29" s="237">
        <v>0.0</v>
      </c>
      <c r="AU29" s="238">
        <f t="shared" si="7"/>
        <v>7</v>
      </c>
      <c r="AV29" s="234">
        <v>364.0</v>
      </c>
      <c r="AW29" s="239">
        <f t="shared" si="8"/>
        <v>6</v>
      </c>
      <c r="AX29" s="240">
        <v>0.0</v>
      </c>
      <c r="AY29" s="240">
        <v>0.0</v>
      </c>
      <c r="AZ29" s="240">
        <v>1.0</v>
      </c>
      <c r="BA29" s="240">
        <v>5.0</v>
      </c>
      <c r="BB29" s="240">
        <v>0.0</v>
      </c>
      <c r="BC29" s="240">
        <v>0.0</v>
      </c>
      <c r="BD29" s="240">
        <v>0.0</v>
      </c>
      <c r="BE29" s="240">
        <v>0.0</v>
      </c>
      <c r="BF29" s="240">
        <v>0.0</v>
      </c>
      <c r="BG29" s="240">
        <v>0.0</v>
      </c>
      <c r="BH29" s="240">
        <v>0.0</v>
      </c>
      <c r="BI29" s="240">
        <v>0.0</v>
      </c>
      <c r="BJ29" s="240">
        <v>0.0</v>
      </c>
      <c r="BK29" s="240">
        <v>0.0</v>
      </c>
      <c r="BL29" s="240">
        <v>0.0</v>
      </c>
      <c r="BM29" s="240">
        <v>0.0</v>
      </c>
      <c r="BN29" s="240">
        <v>0.0</v>
      </c>
      <c r="BO29" s="240">
        <v>0.0</v>
      </c>
      <c r="BP29" s="235">
        <v>0.0</v>
      </c>
      <c r="BQ29" s="235">
        <v>380.0</v>
      </c>
      <c r="BR29" s="241">
        <f t="shared" si="10"/>
        <v>5</v>
      </c>
      <c r="BS29" s="235">
        <v>0.0</v>
      </c>
      <c r="BT29" s="235">
        <v>0.0</v>
      </c>
      <c r="BU29" s="235">
        <v>1.0</v>
      </c>
      <c r="BV29" s="235">
        <v>4.0</v>
      </c>
      <c r="BW29" s="235">
        <v>0.0</v>
      </c>
      <c r="BX29" s="235">
        <v>0.0</v>
      </c>
      <c r="BY29" s="235">
        <v>0.0</v>
      </c>
      <c r="BZ29" s="235">
        <v>0.0</v>
      </c>
      <c r="CA29" s="235">
        <v>0.0</v>
      </c>
      <c r="CB29" s="235">
        <v>0.0</v>
      </c>
      <c r="CC29" s="235">
        <v>0.0</v>
      </c>
      <c r="CD29" s="235">
        <v>0.0</v>
      </c>
      <c r="CE29" s="235">
        <v>0.0</v>
      </c>
      <c r="CF29" s="235">
        <v>0.0</v>
      </c>
      <c r="CG29" s="235">
        <v>0.0</v>
      </c>
      <c r="CH29" s="235">
        <v>0.0</v>
      </c>
      <c r="CI29" s="235">
        <v>1.0</v>
      </c>
      <c r="CJ29" s="235">
        <v>0.0</v>
      </c>
      <c r="CK29" s="236">
        <f t="shared" si="11"/>
        <v>1</v>
      </c>
      <c r="CL29" s="235">
        <v>398.0</v>
      </c>
      <c r="CM29" s="235">
        <v>120.0</v>
      </c>
      <c r="CN29" s="242">
        <f t="shared" si="12"/>
        <v>5</v>
      </c>
      <c r="CO29" s="235">
        <v>0.0</v>
      </c>
      <c r="CP29" s="235">
        <v>0.0</v>
      </c>
      <c r="CQ29" s="235">
        <v>1.0</v>
      </c>
      <c r="CR29" s="235">
        <v>4.0</v>
      </c>
      <c r="CS29" s="235">
        <v>0.0</v>
      </c>
      <c r="CT29" s="235">
        <v>0.0</v>
      </c>
      <c r="CU29" s="235">
        <v>0.0</v>
      </c>
      <c r="CV29" s="235">
        <v>0.0</v>
      </c>
      <c r="CW29" s="235">
        <v>0.0</v>
      </c>
      <c r="CX29" s="235">
        <v>0.0</v>
      </c>
      <c r="CY29" s="235">
        <v>0.0</v>
      </c>
      <c r="CZ29" s="235">
        <v>0.0</v>
      </c>
      <c r="DA29" s="235">
        <v>0.0</v>
      </c>
      <c r="DB29" s="235">
        <v>0.0</v>
      </c>
      <c r="DC29" s="235">
        <v>0.0</v>
      </c>
      <c r="DD29" s="235">
        <v>0.0</v>
      </c>
      <c r="DE29" s="235">
        <v>0.0</v>
      </c>
      <c r="DF29" s="235">
        <v>0.0</v>
      </c>
      <c r="DG29" s="242">
        <f t="shared" si="13"/>
        <v>0</v>
      </c>
      <c r="DH29" s="177">
        <v>375.0</v>
      </c>
      <c r="DI29" s="177">
        <v>111.0</v>
      </c>
      <c r="DJ29" s="178">
        <v>375.0</v>
      </c>
      <c r="DK29" s="178">
        <v>111.0</v>
      </c>
      <c r="DL29" s="179">
        <f t="shared" si="14"/>
        <v>5</v>
      </c>
      <c r="DM29" s="180">
        <f t="shared" si="15"/>
        <v>2</v>
      </c>
      <c r="DN29" s="180">
        <f t="shared" si="16"/>
        <v>3</v>
      </c>
      <c r="DO29" s="177">
        <v>0.0</v>
      </c>
      <c r="DP29" s="177">
        <v>0.0</v>
      </c>
      <c r="DQ29" s="177">
        <v>2.0</v>
      </c>
      <c r="DR29" s="177">
        <v>3.0</v>
      </c>
      <c r="DS29" s="177">
        <v>0.0</v>
      </c>
      <c r="DT29" s="177">
        <v>0.0</v>
      </c>
      <c r="DU29" s="177">
        <v>0.0</v>
      </c>
      <c r="DV29" s="177">
        <v>0.0</v>
      </c>
      <c r="DW29" s="177">
        <v>0.0</v>
      </c>
      <c r="DX29" s="177">
        <v>0.0</v>
      </c>
      <c r="DY29" s="177">
        <v>0.0</v>
      </c>
      <c r="DZ29" s="177">
        <v>0.0</v>
      </c>
      <c r="EA29" s="177">
        <v>0.0</v>
      </c>
      <c r="EB29" s="177">
        <v>0.0</v>
      </c>
      <c r="EC29" s="177">
        <v>0.0</v>
      </c>
      <c r="ED29" s="177">
        <v>0.0</v>
      </c>
      <c r="EE29" s="177">
        <v>0.0</v>
      </c>
      <c r="EF29" s="177">
        <v>0.0</v>
      </c>
      <c r="EG29" s="179">
        <f t="shared" si="17"/>
        <v>0</v>
      </c>
      <c r="EH29" s="179">
        <f t="shared" si="18"/>
        <v>0</v>
      </c>
      <c r="EI29" s="177">
        <v>370.0</v>
      </c>
      <c r="EJ29" s="177">
        <v>104.0</v>
      </c>
      <c r="EK29" s="178">
        <v>336.0</v>
      </c>
      <c r="EL29" s="178">
        <v>104.0</v>
      </c>
      <c r="EM29" s="185">
        <f t="shared" si="19"/>
        <v>5</v>
      </c>
      <c r="EN29" s="186">
        <f t="shared" si="89"/>
        <v>2</v>
      </c>
      <c r="EO29" s="186">
        <f t="shared" si="90"/>
        <v>3</v>
      </c>
      <c r="EP29" s="177">
        <v>0.0</v>
      </c>
      <c r="EQ29" s="177">
        <v>0.0</v>
      </c>
      <c r="ER29" s="177">
        <v>2.0</v>
      </c>
      <c r="ES29" s="177">
        <v>2.0</v>
      </c>
      <c r="ET29" s="177">
        <v>0.0</v>
      </c>
      <c r="EU29" s="177">
        <v>0.0</v>
      </c>
      <c r="EV29" s="177">
        <v>0.0</v>
      </c>
      <c r="EW29" s="177">
        <v>1.0</v>
      </c>
      <c r="EX29" s="177">
        <v>0.0</v>
      </c>
      <c r="EY29" s="177">
        <v>0.0</v>
      </c>
      <c r="EZ29" s="177">
        <v>0.0</v>
      </c>
      <c r="FA29" s="177">
        <v>1.0</v>
      </c>
      <c r="FB29" s="177">
        <v>0.0</v>
      </c>
      <c r="FC29" s="177">
        <v>0.0</v>
      </c>
      <c r="FD29" s="177">
        <v>0.0</v>
      </c>
      <c r="FE29" s="177">
        <v>0.0</v>
      </c>
      <c r="FF29" s="177">
        <v>0.0</v>
      </c>
      <c r="FG29" s="177">
        <v>0.0</v>
      </c>
      <c r="FH29" s="185">
        <f t="shared" si="22"/>
        <v>1</v>
      </c>
      <c r="FI29" s="185">
        <f t="shared" si="23"/>
        <v>0</v>
      </c>
      <c r="FJ29" s="177">
        <v>371.0</v>
      </c>
      <c r="FK29" s="177">
        <v>105.0</v>
      </c>
      <c r="FL29" s="177">
        <v>371.0</v>
      </c>
      <c r="FM29" s="177">
        <v>105.0</v>
      </c>
      <c r="FN29" s="180"/>
      <c r="FO29" s="180">
        <v>5.0</v>
      </c>
      <c r="FP29" s="243">
        <v>5.0</v>
      </c>
      <c r="FQ29" s="211">
        <v>3.0</v>
      </c>
      <c r="FR29" s="212">
        <v>2.0</v>
      </c>
      <c r="FS29" s="244">
        <v>0.0</v>
      </c>
      <c r="FT29" s="245">
        <v>0.0</v>
      </c>
      <c r="FU29" s="245">
        <v>2.0</v>
      </c>
      <c r="FV29" s="245">
        <v>2.0</v>
      </c>
      <c r="FW29" s="245">
        <v>0.0</v>
      </c>
      <c r="FX29" s="245">
        <v>0.0</v>
      </c>
      <c r="FY29" s="245">
        <v>1.0</v>
      </c>
      <c r="FZ29" s="245">
        <v>0.0</v>
      </c>
      <c r="GA29" s="245">
        <v>0.0</v>
      </c>
      <c r="GB29" s="245">
        <v>0.0</v>
      </c>
      <c r="GC29" s="245">
        <v>0.0</v>
      </c>
      <c r="GD29" s="245">
        <v>1.0</v>
      </c>
      <c r="GE29" s="245">
        <v>0.0</v>
      </c>
      <c r="GF29" s="245">
        <v>0.0</v>
      </c>
      <c r="GG29" s="245">
        <v>0.0</v>
      </c>
      <c r="GH29" s="245">
        <v>0.0</v>
      </c>
      <c r="GI29" s="245">
        <v>0.0</v>
      </c>
      <c r="GJ29" s="245">
        <v>0.0</v>
      </c>
      <c r="GK29" s="212">
        <v>1.0</v>
      </c>
      <c r="GL29" s="212">
        <v>0.0</v>
      </c>
      <c r="GM29" s="207">
        <v>365.0</v>
      </c>
      <c r="GN29" s="207">
        <v>95.0</v>
      </c>
      <c r="GO29" s="213">
        <v>323.0</v>
      </c>
      <c r="GP29" s="213">
        <v>60.0</v>
      </c>
      <c r="GQ29" s="207"/>
      <c r="GR29" s="213">
        <v>3.0</v>
      </c>
      <c r="GS29" s="193">
        <v>1.0</v>
      </c>
      <c r="GT29" s="194">
        <f t="shared" si="25"/>
        <v>3</v>
      </c>
      <c r="GU29" s="194">
        <f t="shared" si="26"/>
        <v>1</v>
      </c>
      <c r="GV29" s="194">
        <f t="shared" si="27"/>
        <v>2</v>
      </c>
      <c r="GW29" s="207">
        <v>0.0</v>
      </c>
      <c r="GX29" s="207">
        <v>0.0</v>
      </c>
      <c r="GY29" s="207">
        <v>1.0</v>
      </c>
      <c r="GZ29" s="207">
        <v>2.0</v>
      </c>
      <c r="HA29" s="207">
        <v>0.0</v>
      </c>
      <c r="HB29" s="207">
        <v>0.0</v>
      </c>
      <c r="HC29" s="207">
        <v>0.0</v>
      </c>
      <c r="HD29" s="207">
        <v>0.0</v>
      </c>
      <c r="HE29" s="207">
        <v>0.0</v>
      </c>
      <c r="HF29" s="207">
        <v>0.0</v>
      </c>
      <c r="HG29" s="207">
        <v>0.0</v>
      </c>
      <c r="HH29" s="207">
        <v>0.0</v>
      </c>
      <c r="HI29" s="207">
        <v>0.0</v>
      </c>
      <c r="HJ29" s="207">
        <v>0.0</v>
      </c>
      <c r="HK29" s="207">
        <v>0.0</v>
      </c>
      <c r="HL29" s="207">
        <v>0.0</v>
      </c>
      <c r="HM29" s="207">
        <v>0.0</v>
      </c>
      <c r="HN29" s="207">
        <v>0.0</v>
      </c>
      <c r="HO29" s="222">
        <v>0.0</v>
      </c>
      <c r="HP29" s="222">
        <v>0.0</v>
      </c>
      <c r="HQ29" s="246"/>
      <c r="HR29" s="166"/>
      <c r="HS29" s="166"/>
      <c r="HT29" s="166">
        <f t="shared" si="28"/>
        <v>10</v>
      </c>
      <c r="HU29" s="166">
        <f t="shared" si="29"/>
        <v>10</v>
      </c>
      <c r="HV29" s="166">
        <f t="shared" si="30"/>
        <v>9</v>
      </c>
      <c r="HW29" s="166">
        <f t="shared" ref="HW29:HW185" si="99">AF29</f>
        <v>9</v>
      </c>
      <c r="HX29" s="166">
        <f t="shared" si="32"/>
        <v>7</v>
      </c>
      <c r="HY29" s="166">
        <f t="shared" si="33"/>
        <v>6</v>
      </c>
      <c r="HZ29" s="166">
        <f t="shared" si="34"/>
        <v>5</v>
      </c>
      <c r="IA29" s="166">
        <f t="shared" si="35"/>
        <v>5</v>
      </c>
      <c r="IB29" s="198">
        <f t="shared" si="36"/>
        <v>5</v>
      </c>
      <c r="IC29" s="198">
        <f t="shared" si="37"/>
        <v>5</v>
      </c>
      <c r="ID29" s="198">
        <f t="shared" si="38"/>
        <v>5</v>
      </c>
      <c r="IE29" s="198">
        <f t="shared" si="39"/>
        <v>3</v>
      </c>
      <c r="IF29" s="166"/>
      <c r="IG29" s="197"/>
      <c r="IH29" s="166"/>
      <c r="II29" s="166"/>
      <c r="IJ29" s="166"/>
      <c r="IK29" s="166"/>
      <c r="IL29" s="166"/>
      <c r="IM29" s="166"/>
      <c r="IN29" s="166"/>
      <c r="IO29" s="166"/>
      <c r="IP29" s="166"/>
      <c r="IQ29" s="166"/>
      <c r="IR29" s="166"/>
      <c r="IS29" s="166"/>
      <c r="IT29" s="166"/>
      <c r="IU29" s="166"/>
      <c r="IV29" s="166"/>
      <c r="IW29" s="166"/>
      <c r="IX29" s="166"/>
      <c r="IY29" s="166"/>
      <c r="IZ29" s="166"/>
      <c r="JA29" s="199"/>
      <c r="JB29" s="200">
        <f t="shared" si="40"/>
        <v>5</v>
      </c>
      <c r="JC29" s="200">
        <f t="shared" si="41"/>
        <v>10</v>
      </c>
      <c r="JD29" s="200">
        <f t="shared" si="42"/>
        <v>9</v>
      </c>
      <c r="JE29" s="200">
        <f t="shared" si="43"/>
        <v>9</v>
      </c>
      <c r="JF29" s="200">
        <f t="shared" si="44"/>
        <v>7</v>
      </c>
      <c r="JG29" s="200">
        <f t="shared" si="45"/>
        <v>6</v>
      </c>
      <c r="JH29" s="200">
        <f t="shared" si="46"/>
        <v>5</v>
      </c>
      <c r="JI29" s="200">
        <f t="shared" si="47"/>
        <v>5</v>
      </c>
      <c r="JJ29" s="200">
        <f t="shared" si="48"/>
        <v>5</v>
      </c>
      <c r="JK29" s="200">
        <f t="shared" si="49"/>
        <v>6</v>
      </c>
      <c r="JL29" s="200">
        <f t="shared" si="50"/>
        <v>5</v>
      </c>
      <c r="JM29" s="200">
        <f t="shared" si="51"/>
        <v>3</v>
      </c>
      <c r="JN29" s="199"/>
      <c r="JO29" s="200">
        <f t="shared" si="52"/>
        <v>10</v>
      </c>
      <c r="JP29" s="162">
        <v>10.0</v>
      </c>
      <c r="JQ29" s="162">
        <v>9.0</v>
      </c>
      <c r="JR29" s="162">
        <v>9.0</v>
      </c>
      <c r="JS29" s="162">
        <v>7.0</v>
      </c>
      <c r="JT29" s="199"/>
      <c r="JU29" s="199"/>
      <c r="JV29" s="200">
        <f t="shared" ref="JV29:JX29" si="96">IA29-JI29</f>
        <v>0</v>
      </c>
      <c r="JW29" s="200">
        <f t="shared" si="96"/>
        <v>0</v>
      </c>
      <c r="JX29" s="200">
        <f t="shared" si="96"/>
        <v>-1</v>
      </c>
      <c r="JY29" s="199"/>
      <c r="JZ29" s="199"/>
      <c r="KA29" s="199"/>
      <c r="KB29" s="200">
        <f t="shared" ref="KB29:KM29" si="97">JB29-JO29</f>
        <v>-5</v>
      </c>
      <c r="KC29" s="200">
        <f t="shared" si="97"/>
        <v>0</v>
      </c>
      <c r="KD29" s="200">
        <f t="shared" si="97"/>
        <v>0</v>
      </c>
      <c r="KE29" s="200">
        <f t="shared" si="97"/>
        <v>0</v>
      </c>
      <c r="KF29" s="200">
        <f t="shared" si="97"/>
        <v>0</v>
      </c>
      <c r="KG29" s="200">
        <f t="shared" si="97"/>
        <v>6</v>
      </c>
      <c r="KH29" s="200">
        <f t="shared" si="97"/>
        <v>5</v>
      </c>
      <c r="KI29" s="200">
        <f t="shared" si="97"/>
        <v>5</v>
      </c>
      <c r="KJ29" s="200">
        <f t="shared" si="97"/>
        <v>5</v>
      </c>
      <c r="KK29" s="200">
        <f t="shared" si="97"/>
        <v>7</v>
      </c>
      <c r="KL29" s="200">
        <f t="shared" si="97"/>
        <v>5</v>
      </c>
      <c r="KM29" s="200">
        <f t="shared" si="97"/>
        <v>3</v>
      </c>
      <c r="KN29" s="199"/>
      <c r="KO29" s="199"/>
      <c r="KP29" s="199"/>
      <c r="KQ29" s="199"/>
      <c r="KR29" s="199"/>
      <c r="KS29" s="199"/>
      <c r="KT29" s="199"/>
      <c r="KU29" s="199"/>
      <c r="KV29" s="199"/>
      <c r="KW29" s="199"/>
      <c r="KX29" s="199"/>
      <c r="KY29" s="199"/>
      <c r="KZ29" s="199"/>
      <c r="LA29" s="199"/>
      <c r="LB29" s="199"/>
      <c r="LC29" s="199"/>
      <c r="LD29" s="199"/>
      <c r="LE29" s="199"/>
      <c r="LF29" s="199"/>
      <c r="LG29" s="199"/>
      <c r="LH29" s="247"/>
      <c r="LI29" s="247"/>
      <c r="LJ29" s="247"/>
      <c r="LK29" s="247"/>
    </row>
    <row r="30" ht="14.25" customHeight="1">
      <c r="A30" s="156">
        <v>23.0</v>
      </c>
      <c r="B30" s="157" t="s">
        <v>94</v>
      </c>
      <c r="C30" s="158">
        <v>3374120.0</v>
      </c>
      <c r="D30" s="158" t="s">
        <v>95</v>
      </c>
      <c r="E30" s="158" t="s">
        <v>104</v>
      </c>
      <c r="F30" s="159">
        <v>16.0</v>
      </c>
      <c r="G30" s="2">
        <v>2191.0</v>
      </c>
      <c r="H30" s="160">
        <v>112.0</v>
      </c>
      <c r="I30" s="224">
        <v>0.0</v>
      </c>
      <c r="J30" s="224">
        <v>0.0</v>
      </c>
      <c r="K30" s="224">
        <v>12.0</v>
      </c>
      <c r="L30" s="161">
        <v>100.0</v>
      </c>
      <c r="M30" s="161">
        <v>0.0</v>
      </c>
      <c r="N30" s="161">
        <v>1.0</v>
      </c>
      <c r="O30" s="162">
        <f t="shared" si="3"/>
        <v>111</v>
      </c>
      <c r="P30" s="203">
        <v>118.0</v>
      </c>
      <c r="Q30" s="248">
        <v>0.0</v>
      </c>
      <c r="R30" s="248">
        <v>0.0</v>
      </c>
      <c r="S30" s="248">
        <v>14.0</v>
      </c>
      <c r="T30" s="252">
        <v>104.0</v>
      </c>
      <c r="U30" s="252">
        <v>6.0</v>
      </c>
      <c r="V30" s="252">
        <v>1.0</v>
      </c>
      <c r="W30" s="166">
        <f t="shared" si="4"/>
        <v>111</v>
      </c>
      <c r="X30" s="203">
        <v>103.0</v>
      </c>
      <c r="Y30" s="252">
        <v>0.0</v>
      </c>
      <c r="Z30" s="252">
        <v>0.0</v>
      </c>
      <c r="AA30" s="252">
        <v>9.0</v>
      </c>
      <c r="AB30" s="252">
        <v>94.0</v>
      </c>
      <c r="AC30" s="165">
        <v>0.0</v>
      </c>
      <c r="AD30" s="165">
        <v>15.0</v>
      </c>
      <c r="AE30" s="166">
        <f t="shared" si="5"/>
        <v>88</v>
      </c>
      <c r="AF30" s="167">
        <v>89.0</v>
      </c>
      <c r="AG30" s="160"/>
      <c r="AH30" s="253">
        <v>1.0</v>
      </c>
      <c r="AI30" s="253">
        <v>10.0</v>
      </c>
      <c r="AJ30" s="253">
        <v>78.0</v>
      </c>
      <c r="AK30" s="158">
        <v>7.0</v>
      </c>
      <c r="AL30" s="158">
        <v>21.0</v>
      </c>
      <c r="AM30" s="166">
        <f t="shared" si="98"/>
        <v>61</v>
      </c>
      <c r="AN30" s="167">
        <v>87.0</v>
      </c>
      <c r="AO30" s="165">
        <v>0.0</v>
      </c>
      <c r="AP30" s="165">
        <v>0.0</v>
      </c>
      <c r="AQ30" s="252">
        <v>11.0</v>
      </c>
      <c r="AR30" s="252">
        <v>76.0</v>
      </c>
      <c r="AS30" s="165"/>
      <c r="AT30" s="165"/>
      <c r="AU30" s="168">
        <f t="shared" si="7"/>
        <v>87</v>
      </c>
      <c r="AV30" s="169">
        <v>2257.0</v>
      </c>
      <c r="AW30" s="204">
        <f t="shared" si="8"/>
        <v>77</v>
      </c>
      <c r="AX30" s="169">
        <v>0.0</v>
      </c>
      <c r="AY30" s="169">
        <v>1.0</v>
      </c>
      <c r="AZ30" s="169">
        <v>8.0</v>
      </c>
      <c r="BA30" s="169">
        <v>68.0</v>
      </c>
      <c r="BB30" s="169">
        <v>0.0</v>
      </c>
      <c r="BC30" s="169">
        <v>0.0</v>
      </c>
      <c r="BD30" s="169">
        <v>0.0</v>
      </c>
      <c r="BE30" s="169">
        <v>0.0</v>
      </c>
      <c r="BF30" s="169">
        <v>0.0</v>
      </c>
      <c r="BG30" s="169">
        <v>0.0</v>
      </c>
      <c r="BH30" s="169">
        <v>1.0</v>
      </c>
      <c r="BI30" s="169">
        <v>9.0</v>
      </c>
      <c r="BJ30" s="169">
        <v>0.0</v>
      </c>
      <c r="BK30" s="169">
        <v>0.0</v>
      </c>
      <c r="BL30" s="169">
        <v>0.0</v>
      </c>
      <c r="BM30" s="169">
        <v>0.0</v>
      </c>
      <c r="BN30" s="169">
        <v>0.0</v>
      </c>
      <c r="BO30" s="169">
        <v>0.0</v>
      </c>
      <c r="BP30" s="205">
        <f t="shared" ref="BP30:BP40" si="102">SUM(BF30:BO30)</f>
        <v>10</v>
      </c>
      <c r="BQ30" s="173">
        <v>2257.0</v>
      </c>
      <c r="BR30" s="170">
        <f t="shared" si="10"/>
        <v>83</v>
      </c>
      <c r="BS30" s="173">
        <v>0.0</v>
      </c>
      <c r="BT30" s="173">
        <v>1.0</v>
      </c>
      <c r="BU30" s="173">
        <v>4.0</v>
      </c>
      <c r="BV30" s="173">
        <v>71.0</v>
      </c>
      <c r="BW30" s="173">
        <v>0.0</v>
      </c>
      <c r="BX30" s="173">
        <v>2.0</v>
      </c>
      <c r="BY30" s="173">
        <v>0.0</v>
      </c>
      <c r="BZ30" s="173">
        <v>5.0</v>
      </c>
      <c r="CA30" s="173">
        <v>0.0</v>
      </c>
      <c r="CB30" s="173">
        <v>0.0</v>
      </c>
      <c r="CC30" s="173">
        <v>0.0</v>
      </c>
      <c r="CD30" s="173">
        <v>0.0</v>
      </c>
      <c r="CE30" s="173">
        <v>0.0</v>
      </c>
      <c r="CF30" s="173">
        <v>0.0</v>
      </c>
      <c r="CG30" s="173">
        <v>0.0</v>
      </c>
      <c r="CH30" s="173">
        <v>0.0</v>
      </c>
      <c r="CI30" s="173">
        <v>0.0</v>
      </c>
      <c r="CJ30" s="173">
        <v>0.0</v>
      </c>
      <c r="CK30" s="172">
        <f t="shared" si="11"/>
        <v>0</v>
      </c>
      <c r="CL30" s="173">
        <v>2245.0</v>
      </c>
      <c r="CM30" s="173">
        <v>712.0</v>
      </c>
      <c r="CN30" s="175">
        <f t="shared" si="12"/>
        <v>102</v>
      </c>
      <c r="CO30" s="173">
        <v>0.0</v>
      </c>
      <c r="CP30" s="173">
        <v>2.0</v>
      </c>
      <c r="CQ30" s="173">
        <v>5.0</v>
      </c>
      <c r="CR30" s="173">
        <v>74.0</v>
      </c>
      <c r="CS30" s="173">
        <v>0.0</v>
      </c>
      <c r="CT30" s="173">
        <v>0.0</v>
      </c>
      <c r="CU30" s="173">
        <v>3.0</v>
      </c>
      <c r="CV30" s="173">
        <v>18.0</v>
      </c>
      <c r="CW30" s="173">
        <v>0.0</v>
      </c>
      <c r="CX30" s="173">
        <v>0.0</v>
      </c>
      <c r="CY30" s="173">
        <v>0.0</v>
      </c>
      <c r="CZ30" s="173">
        <v>0.0</v>
      </c>
      <c r="DA30" s="173">
        <v>0.0</v>
      </c>
      <c r="DB30" s="173">
        <v>0.0</v>
      </c>
      <c r="DC30" s="173">
        <v>0.0</v>
      </c>
      <c r="DD30" s="173">
        <v>1.0</v>
      </c>
      <c r="DE30" s="173">
        <v>1.0</v>
      </c>
      <c r="DF30" s="173">
        <v>0.0</v>
      </c>
      <c r="DG30" s="176">
        <f t="shared" si="13"/>
        <v>2</v>
      </c>
      <c r="DH30" s="177">
        <v>1827.0</v>
      </c>
      <c r="DI30" s="177">
        <v>608.0</v>
      </c>
      <c r="DJ30" s="178">
        <v>1694.0</v>
      </c>
      <c r="DK30" s="178">
        <v>520.0</v>
      </c>
      <c r="DL30" s="179">
        <f t="shared" si="14"/>
        <v>89</v>
      </c>
      <c r="DM30" s="180">
        <f t="shared" si="15"/>
        <v>7</v>
      </c>
      <c r="DN30" s="180">
        <f t="shared" si="16"/>
        <v>82</v>
      </c>
      <c r="DO30" s="177">
        <v>0.0</v>
      </c>
      <c r="DP30" s="177">
        <v>3.0</v>
      </c>
      <c r="DQ30" s="177">
        <v>4.0</v>
      </c>
      <c r="DR30" s="177">
        <v>82.0</v>
      </c>
      <c r="DS30" s="177">
        <v>0.0</v>
      </c>
      <c r="DT30" s="177">
        <v>0.0</v>
      </c>
      <c r="DU30" s="177">
        <v>0.0</v>
      </c>
      <c r="DV30" s="177">
        <v>0.0</v>
      </c>
      <c r="DW30" s="177">
        <v>0.0</v>
      </c>
      <c r="DX30" s="177">
        <v>0.0</v>
      </c>
      <c r="DY30" s="177">
        <v>0.0</v>
      </c>
      <c r="DZ30" s="177">
        <v>3.0</v>
      </c>
      <c r="EA30" s="226"/>
      <c r="EB30" s="177">
        <v>1.0</v>
      </c>
      <c r="EC30" s="226"/>
      <c r="ED30" s="177">
        <v>3.0</v>
      </c>
      <c r="EE30" s="177">
        <v>5.0</v>
      </c>
      <c r="EF30" s="177">
        <v>0.0</v>
      </c>
      <c r="EG30" s="179">
        <f t="shared" si="17"/>
        <v>12</v>
      </c>
      <c r="EH30" s="179">
        <f t="shared" si="18"/>
        <v>6</v>
      </c>
      <c r="EI30" s="177">
        <v>1821.0</v>
      </c>
      <c r="EJ30" s="177">
        <v>598.0</v>
      </c>
      <c r="EK30" s="178">
        <v>1667.0</v>
      </c>
      <c r="EL30" s="178">
        <v>518.0</v>
      </c>
      <c r="EM30" s="185">
        <f t="shared" si="19"/>
        <v>83</v>
      </c>
      <c r="EN30" s="186">
        <f t="shared" si="89"/>
        <v>8</v>
      </c>
      <c r="EO30" s="186">
        <f t="shared" si="90"/>
        <v>75</v>
      </c>
      <c r="EP30" s="177">
        <v>0.0</v>
      </c>
      <c r="EQ30" s="177">
        <v>1.0</v>
      </c>
      <c r="ER30" s="177">
        <v>6.0</v>
      </c>
      <c r="ES30" s="177">
        <v>74.0</v>
      </c>
      <c r="ET30" s="177">
        <v>0.0</v>
      </c>
      <c r="EU30" s="177">
        <v>0.0</v>
      </c>
      <c r="EV30" s="177">
        <v>1.0</v>
      </c>
      <c r="EW30" s="177">
        <v>1.0</v>
      </c>
      <c r="EX30" s="177">
        <v>0.0</v>
      </c>
      <c r="EY30" s="177">
        <v>0.0</v>
      </c>
      <c r="EZ30" s="177">
        <v>0.0</v>
      </c>
      <c r="FA30" s="177">
        <v>7.0</v>
      </c>
      <c r="FB30" s="221">
        <v>0.0</v>
      </c>
      <c r="FC30" s="177">
        <v>0.0</v>
      </c>
      <c r="FD30" s="221">
        <v>0.0</v>
      </c>
      <c r="FE30" s="227"/>
      <c r="FF30" s="177">
        <v>1.0</v>
      </c>
      <c r="FG30" s="227"/>
      <c r="FH30" s="185">
        <f t="shared" si="22"/>
        <v>8</v>
      </c>
      <c r="FI30" s="185">
        <f t="shared" si="23"/>
        <v>0</v>
      </c>
      <c r="FJ30" s="177">
        <v>1830.0</v>
      </c>
      <c r="FK30" s="177">
        <v>613.0</v>
      </c>
      <c r="FL30" s="177">
        <v>1683.0</v>
      </c>
      <c r="FM30" s="177">
        <v>506.0</v>
      </c>
      <c r="FN30" s="180"/>
      <c r="FO30" s="180">
        <v>91.0</v>
      </c>
      <c r="FP30" s="188">
        <f t="shared" ref="FP30:FP37" si="103">SUM(FS30:FZ30)</f>
        <v>91</v>
      </c>
      <c r="FQ30" s="211">
        <v>10.0</v>
      </c>
      <c r="FR30" s="212">
        <v>81.0</v>
      </c>
      <c r="FS30" s="206">
        <v>0.0</v>
      </c>
      <c r="FT30" s="207">
        <v>0.0</v>
      </c>
      <c r="FU30" s="207">
        <v>5.0</v>
      </c>
      <c r="FV30" s="207">
        <v>70.0</v>
      </c>
      <c r="FW30" s="207">
        <v>0.0</v>
      </c>
      <c r="FX30" s="207">
        <v>4.0</v>
      </c>
      <c r="FY30" s="207">
        <v>1.0</v>
      </c>
      <c r="FZ30" s="207">
        <v>11.0</v>
      </c>
      <c r="GA30" s="207">
        <v>0.0</v>
      </c>
      <c r="GB30" s="207">
        <v>1.0</v>
      </c>
      <c r="GC30" s="207">
        <v>1.0</v>
      </c>
      <c r="GD30" s="207">
        <v>5.0</v>
      </c>
      <c r="GE30" s="207">
        <v>0.0</v>
      </c>
      <c r="GF30" s="207">
        <v>0.0</v>
      </c>
      <c r="GG30" s="207">
        <v>0.0</v>
      </c>
      <c r="GH30" s="207">
        <v>1.0</v>
      </c>
      <c r="GI30" s="207">
        <v>0.0</v>
      </c>
      <c r="GJ30" s="207">
        <v>0.0</v>
      </c>
      <c r="GK30" s="212">
        <v>8.0</v>
      </c>
      <c r="GL30" s="212">
        <v>2.0</v>
      </c>
      <c r="GM30" s="207">
        <v>1839.0</v>
      </c>
      <c r="GN30" s="207">
        <v>625.0</v>
      </c>
      <c r="GO30" s="213">
        <v>1659.0</v>
      </c>
      <c r="GP30" s="213">
        <v>473.0</v>
      </c>
      <c r="GQ30" s="207"/>
      <c r="GR30" s="213">
        <v>94.0</v>
      </c>
      <c r="GS30" s="193">
        <v>14.0</v>
      </c>
      <c r="GT30" s="194">
        <f t="shared" si="25"/>
        <v>94</v>
      </c>
      <c r="GU30" s="194">
        <f t="shared" si="26"/>
        <v>14</v>
      </c>
      <c r="GV30" s="194">
        <f t="shared" si="27"/>
        <v>80</v>
      </c>
      <c r="GW30" s="207">
        <v>0.0</v>
      </c>
      <c r="GX30" s="207">
        <v>1.0</v>
      </c>
      <c r="GY30" s="207">
        <v>5.0</v>
      </c>
      <c r="GZ30" s="207">
        <v>75.0</v>
      </c>
      <c r="HA30" s="207">
        <v>0.0</v>
      </c>
      <c r="HB30" s="207">
        <v>2.0</v>
      </c>
      <c r="HC30" s="207">
        <v>6.0</v>
      </c>
      <c r="HD30" s="207">
        <v>5.0</v>
      </c>
      <c r="HE30" s="207">
        <v>0.0</v>
      </c>
      <c r="HF30" s="207">
        <v>1.0</v>
      </c>
      <c r="HG30" s="207">
        <v>2.0</v>
      </c>
      <c r="HH30" s="207">
        <v>5.0</v>
      </c>
      <c r="HI30" s="207">
        <v>0.0</v>
      </c>
      <c r="HJ30" s="207">
        <v>0.0</v>
      </c>
      <c r="HK30" s="207">
        <v>0.0</v>
      </c>
      <c r="HL30" s="207">
        <v>0.0</v>
      </c>
      <c r="HM30" s="207">
        <v>1.0</v>
      </c>
      <c r="HN30" s="207">
        <v>0.0</v>
      </c>
      <c r="HO30" s="222">
        <f t="shared" ref="HO30:HO37" si="104">SUM(HE30:HN30)</f>
        <v>9</v>
      </c>
      <c r="HP30" s="222">
        <f t="shared" ref="HP30:HP37" si="105">HE30+HF30+HG30+HI30+HJ30+HK30</f>
        <v>3</v>
      </c>
      <c r="HQ30" s="214"/>
      <c r="HR30" s="197"/>
      <c r="HS30" s="197"/>
      <c r="HT30" s="198">
        <f t="shared" si="28"/>
        <v>112</v>
      </c>
      <c r="HU30" s="198">
        <f t="shared" si="29"/>
        <v>118</v>
      </c>
      <c r="HV30" s="198">
        <f t="shared" si="30"/>
        <v>103</v>
      </c>
      <c r="HW30" s="198">
        <f t="shared" si="99"/>
        <v>89</v>
      </c>
      <c r="HX30" s="198">
        <f t="shared" si="32"/>
        <v>87</v>
      </c>
      <c r="HY30" s="198">
        <f t="shared" si="33"/>
        <v>77</v>
      </c>
      <c r="HZ30" s="198">
        <f t="shared" si="34"/>
        <v>83</v>
      </c>
      <c r="IA30" s="198">
        <f t="shared" si="35"/>
        <v>102</v>
      </c>
      <c r="IB30" s="198">
        <f t="shared" si="36"/>
        <v>89</v>
      </c>
      <c r="IC30" s="198">
        <f t="shared" si="37"/>
        <v>83</v>
      </c>
      <c r="ID30" s="198">
        <f t="shared" si="38"/>
        <v>91</v>
      </c>
      <c r="IE30" s="198">
        <f t="shared" si="39"/>
        <v>94</v>
      </c>
      <c r="IF30" s="197"/>
      <c r="IG30" s="197"/>
      <c r="IH30" s="197"/>
      <c r="II30" s="197"/>
      <c r="IJ30" s="197"/>
      <c r="IK30" s="197"/>
      <c r="IL30" s="197"/>
      <c r="IM30" s="197"/>
      <c r="IN30" s="197"/>
      <c r="IO30" s="197"/>
      <c r="IP30" s="197"/>
      <c r="IQ30" s="197"/>
      <c r="IR30" s="197"/>
      <c r="IS30" s="197"/>
      <c r="IT30" s="197"/>
      <c r="IU30" s="197"/>
      <c r="IV30" s="197"/>
      <c r="IW30" s="197"/>
      <c r="IX30" s="197"/>
      <c r="IY30" s="197"/>
      <c r="IZ30" s="197"/>
      <c r="JA30" s="199"/>
      <c r="JB30" s="200">
        <f t="shared" si="40"/>
        <v>112</v>
      </c>
      <c r="JC30" s="200">
        <f t="shared" si="41"/>
        <v>118</v>
      </c>
      <c r="JD30" s="200">
        <f t="shared" si="42"/>
        <v>103</v>
      </c>
      <c r="JE30" s="200">
        <f t="shared" si="43"/>
        <v>89</v>
      </c>
      <c r="JF30" s="200">
        <f t="shared" si="44"/>
        <v>87</v>
      </c>
      <c r="JG30" s="200">
        <f t="shared" si="45"/>
        <v>77</v>
      </c>
      <c r="JH30" s="200">
        <f t="shared" si="46"/>
        <v>83</v>
      </c>
      <c r="JI30" s="200">
        <f t="shared" si="47"/>
        <v>102</v>
      </c>
      <c r="JJ30" s="200">
        <f t="shared" si="48"/>
        <v>89</v>
      </c>
      <c r="JK30" s="200">
        <f t="shared" si="49"/>
        <v>90</v>
      </c>
      <c r="JL30" s="200">
        <f t="shared" si="50"/>
        <v>91</v>
      </c>
      <c r="JM30" s="200">
        <f t="shared" si="51"/>
        <v>94</v>
      </c>
      <c r="JN30" s="199"/>
      <c r="JO30" s="200">
        <f t="shared" si="52"/>
        <v>112</v>
      </c>
      <c r="JP30" s="202">
        <v>118.0</v>
      </c>
      <c r="JQ30" s="202">
        <v>103.0</v>
      </c>
      <c r="JR30" s="202">
        <v>89.0</v>
      </c>
      <c r="JS30" s="202">
        <v>87.0</v>
      </c>
      <c r="JT30" s="199"/>
      <c r="JU30" s="199"/>
      <c r="JV30" s="200">
        <f t="shared" ref="JV30:JX30" si="100">IA30-JI30</f>
        <v>0</v>
      </c>
      <c r="JW30" s="200">
        <f t="shared" si="100"/>
        <v>0</v>
      </c>
      <c r="JX30" s="200">
        <f t="shared" si="100"/>
        <v>-7</v>
      </c>
      <c r="JY30" s="199"/>
      <c r="JZ30" s="199"/>
      <c r="KA30" s="199"/>
      <c r="KB30" s="200">
        <f t="shared" ref="KB30:KM30" si="101">JB30-JO30</f>
        <v>0</v>
      </c>
      <c r="KC30" s="200">
        <f t="shared" si="101"/>
        <v>0</v>
      </c>
      <c r="KD30" s="200">
        <f t="shared" si="101"/>
        <v>0</v>
      </c>
      <c r="KE30" s="200">
        <f t="shared" si="101"/>
        <v>0</v>
      </c>
      <c r="KF30" s="200">
        <f t="shared" si="101"/>
        <v>0</v>
      </c>
      <c r="KG30" s="200">
        <f t="shared" si="101"/>
        <v>77</v>
      </c>
      <c r="KH30" s="200">
        <f t="shared" si="101"/>
        <v>83</v>
      </c>
      <c r="KI30" s="200">
        <f t="shared" si="101"/>
        <v>102</v>
      </c>
      <c r="KJ30" s="200">
        <f t="shared" si="101"/>
        <v>89</v>
      </c>
      <c r="KK30" s="200">
        <f t="shared" si="101"/>
        <v>97</v>
      </c>
      <c r="KL30" s="200">
        <f t="shared" si="101"/>
        <v>91</v>
      </c>
      <c r="KM30" s="200">
        <f t="shared" si="101"/>
        <v>94</v>
      </c>
      <c r="KN30" s="199"/>
      <c r="KO30" s="199"/>
      <c r="KP30" s="199"/>
      <c r="KQ30" s="199"/>
      <c r="KR30" s="199"/>
      <c r="KS30" s="199"/>
      <c r="KT30" s="199"/>
      <c r="KU30" s="199"/>
      <c r="KV30" s="199"/>
      <c r="KW30" s="199"/>
      <c r="KX30" s="199"/>
      <c r="KY30" s="199"/>
      <c r="KZ30" s="199"/>
      <c r="LA30" s="199"/>
      <c r="LB30" s="199"/>
      <c r="LC30" s="199"/>
      <c r="LD30" s="199"/>
      <c r="LE30" s="199"/>
      <c r="LF30" s="199"/>
      <c r="LG30" s="199"/>
    </row>
    <row r="31" ht="14.25" customHeight="1">
      <c r="A31" s="156">
        <v>24.0</v>
      </c>
      <c r="B31" s="157" t="s">
        <v>94</v>
      </c>
      <c r="C31" s="158">
        <v>3374120.0</v>
      </c>
      <c r="D31" s="158" t="s">
        <v>95</v>
      </c>
      <c r="E31" s="158" t="s">
        <v>105</v>
      </c>
      <c r="F31" s="159">
        <v>10.0</v>
      </c>
      <c r="G31" s="159">
        <v>476.0</v>
      </c>
      <c r="H31" s="160">
        <v>11.0</v>
      </c>
      <c r="I31" s="224">
        <v>0.0</v>
      </c>
      <c r="J31" s="224">
        <v>0.0</v>
      </c>
      <c r="K31" s="224">
        <v>2.0</v>
      </c>
      <c r="L31" s="161">
        <v>9.0</v>
      </c>
      <c r="M31" s="161">
        <v>0.0</v>
      </c>
      <c r="N31" s="161">
        <v>1.0</v>
      </c>
      <c r="O31" s="162">
        <f t="shared" si="3"/>
        <v>10</v>
      </c>
      <c r="P31" s="203">
        <v>15.0</v>
      </c>
      <c r="Q31" s="248">
        <v>0.0</v>
      </c>
      <c r="R31" s="248">
        <v>1.0</v>
      </c>
      <c r="S31" s="248">
        <v>1.0</v>
      </c>
      <c r="T31" s="252">
        <v>13.0</v>
      </c>
      <c r="U31" s="252">
        <v>4.0</v>
      </c>
      <c r="V31" s="252">
        <v>1.0</v>
      </c>
      <c r="W31" s="166">
        <f t="shared" si="4"/>
        <v>10</v>
      </c>
      <c r="X31" s="203">
        <v>15.0</v>
      </c>
      <c r="Y31" s="252">
        <v>0.0</v>
      </c>
      <c r="Z31" s="252">
        <v>0.0</v>
      </c>
      <c r="AA31" s="252">
        <v>2.0</v>
      </c>
      <c r="AB31" s="252">
        <v>13.0</v>
      </c>
      <c r="AC31" s="165">
        <v>2.0</v>
      </c>
      <c r="AD31" s="165">
        <v>2.0</v>
      </c>
      <c r="AE31" s="166">
        <f t="shared" si="5"/>
        <v>11</v>
      </c>
      <c r="AF31" s="167">
        <v>14.0</v>
      </c>
      <c r="AG31" s="254"/>
      <c r="AH31" s="254"/>
      <c r="AI31" s="252">
        <v>2.0</v>
      </c>
      <c r="AJ31" s="252">
        <v>12.0</v>
      </c>
      <c r="AK31" s="165">
        <v>2.0</v>
      </c>
      <c r="AL31" s="165">
        <v>3.0</v>
      </c>
      <c r="AM31" s="166">
        <f t="shared" si="98"/>
        <v>9</v>
      </c>
      <c r="AN31" s="167">
        <v>13.0</v>
      </c>
      <c r="AO31" s="165">
        <v>0.0</v>
      </c>
      <c r="AP31" s="165">
        <v>0.0</v>
      </c>
      <c r="AQ31" s="252">
        <v>2.0</v>
      </c>
      <c r="AR31" s="252">
        <v>11.0</v>
      </c>
      <c r="AS31" s="165"/>
      <c r="AT31" s="165"/>
      <c r="AU31" s="168">
        <f t="shared" si="7"/>
        <v>13</v>
      </c>
      <c r="AV31" s="169">
        <v>446.0</v>
      </c>
      <c r="AW31" s="204">
        <f t="shared" si="8"/>
        <v>13</v>
      </c>
      <c r="AX31" s="169">
        <v>0.0</v>
      </c>
      <c r="AY31" s="169">
        <v>0.0</v>
      </c>
      <c r="AZ31" s="169">
        <v>2.0</v>
      </c>
      <c r="BA31" s="169">
        <v>10.0</v>
      </c>
      <c r="BB31" s="169">
        <v>0.0</v>
      </c>
      <c r="BC31" s="169">
        <v>0.0</v>
      </c>
      <c r="BD31" s="169">
        <v>0.0</v>
      </c>
      <c r="BE31" s="169">
        <v>1.0</v>
      </c>
      <c r="BF31" s="169">
        <v>0.0</v>
      </c>
      <c r="BG31" s="169">
        <v>0.0</v>
      </c>
      <c r="BH31" s="169">
        <v>0.0</v>
      </c>
      <c r="BI31" s="169">
        <v>1.0</v>
      </c>
      <c r="BJ31" s="169">
        <v>0.0</v>
      </c>
      <c r="BK31" s="169">
        <v>0.0</v>
      </c>
      <c r="BL31" s="169">
        <v>0.0</v>
      </c>
      <c r="BM31" s="169">
        <v>0.0</v>
      </c>
      <c r="BN31" s="169">
        <v>0.0</v>
      </c>
      <c r="BO31" s="169">
        <v>0.0</v>
      </c>
      <c r="BP31" s="205">
        <f t="shared" si="102"/>
        <v>1</v>
      </c>
      <c r="BQ31" s="173">
        <v>449.0</v>
      </c>
      <c r="BR31" s="170">
        <f t="shared" si="10"/>
        <v>14</v>
      </c>
      <c r="BS31" s="173">
        <v>0.0</v>
      </c>
      <c r="BT31" s="173">
        <v>0.0</v>
      </c>
      <c r="BU31" s="173">
        <v>2.0</v>
      </c>
      <c r="BV31" s="173">
        <v>9.0</v>
      </c>
      <c r="BW31" s="173">
        <v>0.0</v>
      </c>
      <c r="BX31" s="173">
        <v>0.0</v>
      </c>
      <c r="BY31" s="173">
        <v>1.0</v>
      </c>
      <c r="BZ31" s="173">
        <v>2.0</v>
      </c>
      <c r="CA31" s="173">
        <v>0.0</v>
      </c>
      <c r="CB31" s="173">
        <v>0.0</v>
      </c>
      <c r="CC31" s="173">
        <v>0.0</v>
      </c>
      <c r="CD31" s="173">
        <v>2.0</v>
      </c>
      <c r="CE31" s="173">
        <v>0.0</v>
      </c>
      <c r="CF31" s="173">
        <v>0.0</v>
      </c>
      <c r="CG31" s="173">
        <v>0.0</v>
      </c>
      <c r="CH31" s="173">
        <v>0.0</v>
      </c>
      <c r="CI31" s="173">
        <v>0.0</v>
      </c>
      <c r="CJ31" s="173">
        <v>0.0</v>
      </c>
      <c r="CK31" s="172">
        <f t="shared" si="11"/>
        <v>2</v>
      </c>
      <c r="CL31" s="173">
        <v>443.0</v>
      </c>
      <c r="CM31" s="173">
        <v>119.0</v>
      </c>
      <c r="CN31" s="175">
        <f t="shared" si="12"/>
        <v>18</v>
      </c>
      <c r="CO31" s="173">
        <v>0.0</v>
      </c>
      <c r="CP31" s="173">
        <v>0.0</v>
      </c>
      <c r="CQ31" s="173">
        <v>3.0</v>
      </c>
      <c r="CR31" s="173">
        <v>10.0</v>
      </c>
      <c r="CS31" s="173">
        <v>0.0</v>
      </c>
      <c r="CT31" s="173">
        <v>0.0</v>
      </c>
      <c r="CU31" s="173">
        <v>1.0</v>
      </c>
      <c r="CV31" s="173">
        <v>4.0</v>
      </c>
      <c r="CW31" s="173">
        <v>0.0</v>
      </c>
      <c r="CX31" s="173">
        <v>0.0</v>
      </c>
      <c r="CY31" s="173">
        <v>0.0</v>
      </c>
      <c r="CZ31" s="173">
        <v>0.0</v>
      </c>
      <c r="DA31" s="173">
        <v>0.0</v>
      </c>
      <c r="DB31" s="173">
        <v>0.0</v>
      </c>
      <c r="DC31" s="173">
        <v>0.0</v>
      </c>
      <c r="DD31" s="173">
        <v>0.0</v>
      </c>
      <c r="DE31" s="173">
        <v>1.0</v>
      </c>
      <c r="DF31" s="173">
        <v>0.0</v>
      </c>
      <c r="DG31" s="176">
        <f t="shared" si="13"/>
        <v>1</v>
      </c>
      <c r="DH31" s="177">
        <v>355.0</v>
      </c>
      <c r="DI31" s="177">
        <v>77.0</v>
      </c>
      <c r="DJ31" s="178">
        <v>297.0</v>
      </c>
      <c r="DK31" s="178">
        <v>40.0</v>
      </c>
      <c r="DL31" s="179">
        <f t="shared" si="14"/>
        <v>18</v>
      </c>
      <c r="DM31" s="180">
        <f t="shared" si="15"/>
        <v>4</v>
      </c>
      <c r="DN31" s="180">
        <f t="shared" si="16"/>
        <v>14</v>
      </c>
      <c r="DO31" s="177">
        <v>0.0</v>
      </c>
      <c r="DP31" s="177">
        <v>0.0</v>
      </c>
      <c r="DQ31" s="177">
        <v>4.0</v>
      </c>
      <c r="DR31" s="177">
        <v>14.0</v>
      </c>
      <c r="DS31" s="177">
        <v>0.0</v>
      </c>
      <c r="DT31" s="177">
        <v>0.0</v>
      </c>
      <c r="DU31" s="177">
        <v>0.0</v>
      </c>
      <c r="DV31" s="177">
        <v>0.0</v>
      </c>
      <c r="DW31" s="177">
        <v>0.0</v>
      </c>
      <c r="DX31" s="177">
        <v>0.0</v>
      </c>
      <c r="DY31" s="177">
        <v>0.0</v>
      </c>
      <c r="DZ31" s="177">
        <v>0.0</v>
      </c>
      <c r="EA31" s="177">
        <v>0.0</v>
      </c>
      <c r="EB31" s="177">
        <v>0.0</v>
      </c>
      <c r="EC31" s="177">
        <v>0.0</v>
      </c>
      <c r="ED31" s="177">
        <v>0.0</v>
      </c>
      <c r="EE31" s="177">
        <v>0.0</v>
      </c>
      <c r="EF31" s="177">
        <v>0.0</v>
      </c>
      <c r="EG31" s="179">
        <f t="shared" si="17"/>
        <v>0</v>
      </c>
      <c r="EH31" s="179">
        <f t="shared" si="18"/>
        <v>0</v>
      </c>
      <c r="EI31" s="177">
        <v>364.0</v>
      </c>
      <c r="EJ31" s="177">
        <v>79.0</v>
      </c>
      <c r="EK31" s="178">
        <v>303.0</v>
      </c>
      <c r="EL31" s="178">
        <v>48.0</v>
      </c>
      <c r="EM31" s="185">
        <f t="shared" si="19"/>
        <v>14</v>
      </c>
      <c r="EN31" s="186">
        <f t="shared" si="89"/>
        <v>3</v>
      </c>
      <c r="EO31" s="186">
        <f t="shared" si="90"/>
        <v>11</v>
      </c>
      <c r="EP31" s="177">
        <v>0.0</v>
      </c>
      <c r="EQ31" s="177">
        <v>0.0</v>
      </c>
      <c r="ER31" s="177">
        <v>3.0</v>
      </c>
      <c r="ES31" s="177">
        <v>11.0</v>
      </c>
      <c r="ET31" s="177">
        <v>0.0</v>
      </c>
      <c r="EU31" s="177">
        <v>0.0</v>
      </c>
      <c r="EV31" s="177">
        <v>0.0</v>
      </c>
      <c r="EW31" s="177">
        <v>0.0</v>
      </c>
      <c r="EX31" s="177">
        <v>0.0</v>
      </c>
      <c r="EY31" s="177">
        <v>0.0</v>
      </c>
      <c r="EZ31" s="177">
        <v>0.0</v>
      </c>
      <c r="FA31" s="177">
        <v>3.0</v>
      </c>
      <c r="FB31" s="227"/>
      <c r="FC31" s="227"/>
      <c r="FD31" s="227"/>
      <c r="FE31" s="227"/>
      <c r="FF31" s="177">
        <v>1.0</v>
      </c>
      <c r="FG31" s="227"/>
      <c r="FH31" s="185">
        <f t="shared" si="22"/>
        <v>4</v>
      </c>
      <c r="FI31" s="185">
        <f t="shared" si="23"/>
        <v>0</v>
      </c>
      <c r="FJ31" s="177">
        <v>352.0</v>
      </c>
      <c r="FK31" s="177">
        <v>80.0</v>
      </c>
      <c r="FL31" s="177">
        <v>294.0</v>
      </c>
      <c r="FM31" s="177">
        <v>40.0</v>
      </c>
      <c r="FN31" s="180"/>
      <c r="FO31" s="180">
        <v>14.0</v>
      </c>
      <c r="FP31" s="188">
        <f t="shared" si="103"/>
        <v>14</v>
      </c>
      <c r="FQ31" s="211">
        <v>3.0</v>
      </c>
      <c r="FR31" s="212">
        <v>11.0</v>
      </c>
      <c r="FS31" s="206">
        <v>0.0</v>
      </c>
      <c r="FT31" s="207">
        <v>0.0</v>
      </c>
      <c r="FU31" s="207">
        <v>3.0</v>
      </c>
      <c r="FV31" s="207">
        <v>11.0</v>
      </c>
      <c r="FW31" s="207">
        <v>0.0</v>
      </c>
      <c r="FX31" s="207">
        <v>0.0</v>
      </c>
      <c r="FY31" s="207">
        <v>0.0</v>
      </c>
      <c r="FZ31" s="207">
        <v>0.0</v>
      </c>
      <c r="GA31" s="207">
        <v>0.0</v>
      </c>
      <c r="GB31" s="207">
        <v>0.0</v>
      </c>
      <c r="GC31" s="207">
        <v>0.0</v>
      </c>
      <c r="GD31" s="207">
        <v>0.0</v>
      </c>
      <c r="GE31" s="207">
        <v>0.0</v>
      </c>
      <c r="GF31" s="207">
        <v>0.0</v>
      </c>
      <c r="GG31" s="207">
        <v>0.0</v>
      </c>
      <c r="GH31" s="207">
        <v>0.0</v>
      </c>
      <c r="GI31" s="207">
        <v>0.0</v>
      </c>
      <c r="GJ31" s="207">
        <v>0.0</v>
      </c>
      <c r="GK31" s="212">
        <v>0.0</v>
      </c>
      <c r="GL31" s="212">
        <v>0.0</v>
      </c>
      <c r="GM31" s="207">
        <v>350.0</v>
      </c>
      <c r="GN31" s="207">
        <v>80.0</v>
      </c>
      <c r="GO31" s="213">
        <v>293.0</v>
      </c>
      <c r="GP31" s="213">
        <v>37.0</v>
      </c>
      <c r="GQ31" s="207"/>
      <c r="GR31" s="213">
        <v>14.0</v>
      </c>
      <c r="GS31" s="193">
        <v>2.0</v>
      </c>
      <c r="GT31" s="194">
        <f t="shared" si="25"/>
        <v>14</v>
      </c>
      <c r="GU31" s="194">
        <f t="shared" si="26"/>
        <v>2</v>
      </c>
      <c r="GV31" s="194">
        <f t="shared" si="27"/>
        <v>12</v>
      </c>
      <c r="GW31" s="207">
        <v>0.0</v>
      </c>
      <c r="GX31" s="207">
        <v>0.0</v>
      </c>
      <c r="GY31" s="207">
        <v>2.0</v>
      </c>
      <c r="GZ31" s="207">
        <v>10.0</v>
      </c>
      <c r="HA31" s="207">
        <v>0.0</v>
      </c>
      <c r="HB31" s="207">
        <v>0.0</v>
      </c>
      <c r="HC31" s="207">
        <v>0.0</v>
      </c>
      <c r="HD31" s="207">
        <v>2.0</v>
      </c>
      <c r="HE31" s="207">
        <v>0.0</v>
      </c>
      <c r="HF31" s="207">
        <v>0.0</v>
      </c>
      <c r="HG31" s="207">
        <v>0.0</v>
      </c>
      <c r="HH31" s="207">
        <v>2.0</v>
      </c>
      <c r="HI31" s="207">
        <v>0.0</v>
      </c>
      <c r="HJ31" s="207">
        <v>0.0</v>
      </c>
      <c r="HK31" s="207">
        <v>0.0</v>
      </c>
      <c r="HL31" s="207">
        <v>0.0</v>
      </c>
      <c r="HM31" s="207">
        <v>0.0</v>
      </c>
      <c r="HN31" s="207">
        <v>0.0</v>
      </c>
      <c r="HO31" s="222">
        <f t="shared" si="104"/>
        <v>2</v>
      </c>
      <c r="HP31" s="222">
        <f t="shared" si="105"/>
        <v>0</v>
      </c>
      <c r="HQ31" s="214"/>
      <c r="HR31" s="197"/>
      <c r="HS31" s="197"/>
      <c r="HT31" s="198">
        <f t="shared" si="28"/>
        <v>11</v>
      </c>
      <c r="HU31" s="198">
        <f t="shared" si="29"/>
        <v>15</v>
      </c>
      <c r="HV31" s="198">
        <f t="shared" si="30"/>
        <v>15</v>
      </c>
      <c r="HW31" s="198">
        <f t="shared" si="99"/>
        <v>14</v>
      </c>
      <c r="HX31" s="198">
        <f t="shared" si="32"/>
        <v>13</v>
      </c>
      <c r="HY31" s="198">
        <f t="shared" si="33"/>
        <v>13</v>
      </c>
      <c r="HZ31" s="198">
        <f t="shared" si="34"/>
        <v>14</v>
      </c>
      <c r="IA31" s="198">
        <f t="shared" si="35"/>
        <v>18</v>
      </c>
      <c r="IB31" s="198">
        <f t="shared" si="36"/>
        <v>18</v>
      </c>
      <c r="IC31" s="198">
        <f t="shared" si="37"/>
        <v>14</v>
      </c>
      <c r="ID31" s="198">
        <f t="shared" si="38"/>
        <v>14</v>
      </c>
      <c r="IE31" s="198">
        <f t="shared" si="39"/>
        <v>14</v>
      </c>
      <c r="IF31" s="197"/>
      <c r="IG31" s="197"/>
      <c r="IH31" s="197"/>
      <c r="II31" s="197"/>
      <c r="IJ31" s="197"/>
      <c r="IK31" s="197"/>
      <c r="IL31" s="197"/>
      <c r="IM31" s="197"/>
      <c r="IN31" s="197"/>
      <c r="IO31" s="197"/>
      <c r="IP31" s="197"/>
      <c r="IQ31" s="197"/>
      <c r="IR31" s="197"/>
      <c r="IS31" s="197"/>
      <c r="IT31" s="197"/>
      <c r="IU31" s="197"/>
      <c r="IV31" s="197"/>
      <c r="IW31" s="197"/>
      <c r="IX31" s="197"/>
      <c r="IY31" s="197"/>
      <c r="IZ31" s="197"/>
      <c r="JA31" s="199"/>
      <c r="JB31" s="200">
        <f t="shared" si="40"/>
        <v>11</v>
      </c>
      <c r="JC31" s="200">
        <f t="shared" si="41"/>
        <v>15</v>
      </c>
      <c r="JD31" s="200">
        <f t="shared" si="42"/>
        <v>15</v>
      </c>
      <c r="JE31" s="200">
        <f t="shared" si="43"/>
        <v>14</v>
      </c>
      <c r="JF31" s="200">
        <f t="shared" si="44"/>
        <v>13</v>
      </c>
      <c r="JG31" s="200">
        <f t="shared" si="45"/>
        <v>13</v>
      </c>
      <c r="JH31" s="200">
        <f t="shared" si="46"/>
        <v>14</v>
      </c>
      <c r="JI31" s="200">
        <f t="shared" si="47"/>
        <v>18</v>
      </c>
      <c r="JJ31" s="200">
        <f t="shared" si="48"/>
        <v>18</v>
      </c>
      <c r="JK31" s="200">
        <f t="shared" si="49"/>
        <v>17</v>
      </c>
      <c r="JL31" s="200">
        <f t="shared" si="50"/>
        <v>14</v>
      </c>
      <c r="JM31" s="200">
        <f t="shared" si="51"/>
        <v>14</v>
      </c>
      <c r="JN31" s="199"/>
      <c r="JO31" s="200">
        <f t="shared" si="52"/>
        <v>11</v>
      </c>
      <c r="JP31" s="202">
        <v>15.0</v>
      </c>
      <c r="JQ31" s="202">
        <v>15.0</v>
      </c>
      <c r="JR31" s="202">
        <v>14.0</v>
      </c>
      <c r="JS31" s="202">
        <v>13.0</v>
      </c>
      <c r="JT31" s="199"/>
      <c r="JU31" s="199"/>
      <c r="JV31" s="200">
        <f t="shared" ref="JV31:JX31" si="106">IA31-JI31</f>
        <v>0</v>
      </c>
      <c r="JW31" s="200">
        <f t="shared" si="106"/>
        <v>0</v>
      </c>
      <c r="JX31" s="200">
        <f t="shared" si="106"/>
        <v>-3</v>
      </c>
      <c r="JY31" s="199"/>
      <c r="JZ31" s="199"/>
      <c r="KA31" s="199"/>
      <c r="KB31" s="200">
        <f t="shared" ref="KB31:KM31" si="107">JB31-JO31</f>
        <v>0</v>
      </c>
      <c r="KC31" s="200">
        <f t="shared" si="107"/>
        <v>0</v>
      </c>
      <c r="KD31" s="200">
        <f t="shared" si="107"/>
        <v>0</v>
      </c>
      <c r="KE31" s="200">
        <f t="shared" si="107"/>
        <v>0</v>
      </c>
      <c r="KF31" s="200">
        <f t="shared" si="107"/>
        <v>0</v>
      </c>
      <c r="KG31" s="200">
        <f t="shared" si="107"/>
        <v>13</v>
      </c>
      <c r="KH31" s="200">
        <f t="shared" si="107"/>
        <v>14</v>
      </c>
      <c r="KI31" s="200">
        <f t="shared" si="107"/>
        <v>18</v>
      </c>
      <c r="KJ31" s="200">
        <f t="shared" si="107"/>
        <v>18</v>
      </c>
      <c r="KK31" s="200">
        <f t="shared" si="107"/>
        <v>20</v>
      </c>
      <c r="KL31" s="200">
        <f t="shared" si="107"/>
        <v>14</v>
      </c>
      <c r="KM31" s="200">
        <f t="shared" si="107"/>
        <v>14</v>
      </c>
      <c r="KN31" s="199"/>
      <c r="KO31" s="199"/>
      <c r="KP31" s="199"/>
      <c r="KQ31" s="199"/>
      <c r="KR31" s="199"/>
      <c r="KS31" s="199"/>
      <c r="KT31" s="199"/>
      <c r="KU31" s="199"/>
      <c r="KV31" s="199"/>
      <c r="KW31" s="199"/>
      <c r="KX31" s="199"/>
      <c r="KY31" s="199"/>
      <c r="KZ31" s="199"/>
      <c r="LA31" s="199"/>
      <c r="LB31" s="199"/>
      <c r="LC31" s="199"/>
      <c r="LD31" s="199"/>
      <c r="LE31" s="199"/>
      <c r="LF31" s="199"/>
      <c r="LG31" s="199"/>
    </row>
    <row r="32" ht="14.25" customHeight="1">
      <c r="A32" s="156">
        <v>25.0</v>
      </c>
      <c r="B32" s="255" t="s">
        <v>106</v>
      </c>
      <c r="C32" s="256">
        <v>3374110.0</v>
      </c>
      <c r="D32" s="256" t="s">
        <v>107</v>
      </c>
      <c r="E32" s="256" t="s">
        <v>108</v>
      </c>
      <c r="F32" s="257">
        <v>11.0</v>
      </c>
      <c r="G32" s="2">
        <v>972.0</v>
      </c>
      <c r="H32" s="160">
        <v>35.0</v>
      </c>
      <c r="I32" s="161">
        <v>0.0</v>
      </c>
      <c r="J32" s="161">
        <v>4.0</v>
      </c>
      <c r="K32" s="161">
        <v>7.0</v>
      </c>
      <c r="L32" s="161">
        <v>24.0</v>
      </c>
      <c r="M32" s="161">
        <v>0.0</v>
      </c>
      <c r="N32" s="161">
        <v>0.0</v>
      </c>
      <c r="O32" s="162">
        <f t="shared" si="3"/>
        <v>35</v>
      </c>
      <c r="P32" s="203">
        <v>34.0</v>
      </c>
      <c r="Q32" s="164">
        <v>1.0</v>
      </c>
      <c r="R32" s="164">
        <v>2.0</v>
      </c>
      <c r="S32" s="164">
        <v>5.0</v>
      </c>
      <c r="T32" s="165">
        <v>26.0</v>
      </c>
      <c r="U32" s="258">
        <v>8.0</v>
      </c>
      <c r="V32" s="259">
        <v>1.0</v>
      </c>
      <c r="W32" s="166">
        <f t="shared" si="4"/>
        <v>25</v>
      </c>
      <c r="X32" s="203">
        <v>42.0</v>
      </c>
      <c r="Y32" s="165">
        <v>1.0</v>
      </c>
      <c r="Z32" s="165">
        <v>7.0</v>
      </c>
      <c r="AA32" s="165">
        <v>7.0</v>
      </c>
      <c r="AB32" s="165">
        <v>27.0</v>
      </c>
      <c r="AC32" s="258">
        <v>9.0</v>
      </c>
      <c r="AD32" s="259">
        <v>0.0</v>
      </c>
      <c r="AE32" s="166">
        <f t="shared" si="5"/>
        <v>33</v>
      </c>
      <c r="AF32" s="167">
        <v>46.0</v>
      </c>
      <c r="AG32" s="165">
        <v>3.0</v>
      </c>
      <c r="AH32" s="165">
        <v>5.0</v>
      </c>
      <c r="AI32" s="165">
        <v>6.0</v>
      </c>
      <c r="AJ32" s="165">
        <v>32.0</v>
      </c>
      <c r="AK32" s="258">
        <v>6.0</v>
      </c>
      <c r="AL32" s="259">
        <v>0.0</v>
      </c>
      <c r="AM32" s="166">
        <f t="shared" si="98"/>
        <v>40</v>
      </c>
      <c r="AN32" s="167">
        <v>44.0</v>
      </c>
      <c r="AO32" s="165">
        <v>5.0</v>
      </c>
      <c r="AP32" s="165">
        <v>4.0</v>
      </c>
      <c r="AQ32" s="165">
        <v>9.0</v>
      </c>
      <c r="AR32" s="165">
        <v>26.0</v>
      </c>
      <c r="AS32" s="258">
        <v>5.0</v>
      </c>
      <c r="AT32" s="259">
        <v>2.0</v>
      </c>
      <c r="AU32" s="168">
        <f t="shared" si="7"/>
        <v>37</v>
      </c>
      <c r="AV32" s="169">
        <v>912.0</v>
      </c>
      <c r="AW32" s="204">
        <f t="shared" si="8"/>
        <v>45</v>
      </c>
      <c r="AX32" s="260">
        <v>2.0</v>
      </c>
      <c r="AY32" s="261">
        <v>3.0</v>
      </c>
      <c r="AZ32" s="261">
        <v>9.0</v>
      </c>
      <c r="BA32" s="261">
        <v>29.0</v>
      </c>
      <c r="BB32" s="261">
        <v>0.0</v>
      </c>
      <c r="BC32" s="261">
        <v>0.0</v>
      </c>
      <c r="BD32" s="261">
        <v>0.0</v>
      </c>
      <c r="BE32" s="261">
        <v>2.0</v>
      </c>
      <c r="BF32" s="261">
        <v>1.0</v>
      </c>
      <c r="BG32" s="261">
        <v>0.0</v>
      </c>
      <c r="BH32" s="261">
        <v>1.0</v>
      </c>
      <c r="BI32" s="261">
        <v>0.0</v>
      </c>
      <c r="BJ32" s="261">
        <v>0.0</v>
      </c>
      <c r="BK32" s="261">
        <v>0.0</v>
      </c>
      <c r="BL32" s="261">
        <v>0.0</v>
      </c>
      <c r="BM32" s="261">
        <v>0.0</v>
      </c>
      <c r="BN32" s="261">
        <v>1.0</v>
      </c>
      <c r="BO32" s="261">
        <v>0.0</v>
      </c>
      <c r="BP32" s="205">
        <f t="shared" si="102"/>
        <v>3</v>
      </c>
      <c r="BQ32" s="173">
        <v>944.0</v>
      </c>
      <c r="BR32" s="170">
        <f t="shared" si="10"/>
        <v>44</v>
      </c>
      <c r="BS32" s="173">
        <v>2.0</v>
      </c>
      <c r="BT32" s="173">
        <v>3.0</v>
      </c>
      <c r="BU32" s="173">
        <v>8.0</v>
      </c>
      <c r="BV32" s="173">
        <v>30.0</v>
      </c>
      <c r="BW32" s="173">
        <v>0.0</v>
      </c>
      <c r="BX32" s="173">
        <v>1.0</v>
      </c>
      <c r="BY32" s="173">
        <v>0.0</v>
      </c>
      <c r="BZ32" s="173">
        <v>0.0</v>
      </c>
      <c r="CA32" s="173">
        <v>0.0</v>
      </c>
      <c r="CB32" s="173">
        <v>0.0</v>
      </c>
      <c r="CC32" s="173">
        <v>0.0</v>
      </c>
      <c r="CD32" s="173">
        <v>2.0</v>
      </c>
      <c r="CE32" s="173">
        <v>0.0</v>
      </c>
      <c r="CF32" s="173">
        <v>0.0</v>
      </c>
      <c r="CG32" s="173">
        <v>0.0</v>
      </c>
      <c r="CH32" s="173">
        <v>0.0</v>
      </c>
      <c r="CI32" s="173">
        <v>0.0</v>
      </c>
      <c r="CJ32" s="173">
        <v>0.0</v>
      </c>
      <c r="CK32" s="172">
        <f t="shared" si="11"/>
        <v>2</v>
      </c>
      <c r="CL32" s="173">
        <v>920.0</v>
      </c>
      <c r="CM32" s="173">
        <v>329.0</v>
      </c>
      <c r="CN32" s="175">
        <f t="shared" si="12"/>
        <v>47</v>
      </c>
      <c r="CO32" s="173">
        <v>2.0</v>
      </c>
      <c r="CP32" s="173">
        <v>0.0</v>
      </c>
      <c r="CQ32" s="173">
        <v>11.0</v>
      </c>
      <c r="CR32" s="173">
        <v>27.0</v>
      </c>
      <c r="CS32" s="173">
        <v>0.0</v>
      </c>
      <c r="CT32" s="173">
        <v>0.0</v>
      </c>
      <c r="CU32" s="173">
        <v>4.0</v>
      </c>
      <c r="CV32" s="173">
        <v>3.0</v>
      </c>
      <c r="CW32" s="173">
        <v>0.0</v>
      </c>
      <c r="CX32" s="173">
        <v>0.0</v>
      </c>
      <c r="CY32" s="173">
        <v>0.0</v>
      </c>
      <c r="CZ32" s="173">
        <v>0.0</v>
      </c>
      <c r="DA32" s="173">
        <v>0.0</v>
      </c>
      <c r="DB32" s="173">
        <v>0.0</v>
      </c>
      <c r="DC32" s="173">
        <v>0.0</v>
      </c>
      <c r="DD32" s="173">
        <v>1.0</v>
      </c>
      <c r="DE32" s="173">
        <v>0.0</v>
      </c>
      <c r="DF32" s="173">
        <v>0.0</v>
      </c>
      <c r="DG32" s="176">
        <f t="shared" si="13"/>
        <v>1</v>
      </c>
      <c r="DH32" s="177">
        <v>805.0</v>
      </c>
      <c r="DI32" s="177">
        <v>291.0</v>
      </c>
      <c r="DJ32" s="178">
        <v>741.0</v>
      </c>
      <c r="DK32" s="178">
        <v>268.0</v>
      </c>
      <c r="DL32" s="179">
        <f t="shared" si="14"/>
        <v>49</v>
      </c>
      <c r="DM32" s="180">
        <f t="shared" si="15"/>
        <v>18</v>
      </c>
      <c r="DN32" s="180">
        <f t="shared" si="16"/>
        <v>31</v>
      </c>
      <c r="DO32" s="177">
        <v>1.0</v>
      </c>
      <c r="DP32" s="177">
        <v>0.0</v>
      </c>
      <c r="DQ32" s="177">
        <v>15.0</v>
      </c>
      <c r="DR32" s="177">
        <v>31.0</v>
      </c>
      <c r="DS32" s="177">
        <v>0.0</v>
      </c>
      <c r="DT32" s="177">
        <v>1.0</v>
      </c>
      <c r="DU32" s="177">
        <v>1.0</v>
      </c>
      <c r="DV32" s="177">
        <v>0.0</v>
      </c>
      <c r="DW32" s="177">
        <v>0.0</v>
      </c>
      <c r="DX32" s="177">
        <v>0.0</v>
      </c>
      <c r="DY32" s="177">
        <v>1.0</v>
      </c>
      <c r="DZ32" s="177">
        <v>0.0</v>
      </c>
      <c r="EA32" s="177">
        <v>0.0</v>
      </c>
      <c r="EB32" s="177">
        <v>0.0</v>
      </c>
      <c r="EC32" s="177">
        <v>0.0</v>
      </c>
      <c r="ED32" s="177">
        <v>3.0</v>
      </c>
      <c r="EE32" s="177">
        <v>0.0</v>
      </c>
      <c r="EF32" s="177">
        <v>0.0</v>
      </c>
      <c r="EG32" s="179">
        <f t="shared" si="17"/>
        <v>4</v>
      </c>
      <c r="EH32" s="179">
        <f t="shared" si="18"/>
        <v>1</v>
      </c>
      <c r="EI32" s="177">
        <v>785.0</v>
      </c>
      <c r="EJ32" s="177">
        <v>283.0</v>
      </c>
      <c r="EK32" s="178">
        <v>744.0</v>
      </c>
      <c r="EL32" s="178">
        <v>274.0</v>
      </c>
      <c r="EM32" s="185">
        <f t="shared" si="19"/>
        <v>45</v>
      </c>
      <c r="EN32" s="186">
        <f t="shared" si="89"/>
        <v>17</v>
      </c>
      <c r="EO32" s="186">
        <f t="shared" si="90"/>
        <v>28</v>
      </c>
      <c r="EP32" s="177">
        <v>1.0</v>
      </c>
      <c r="EQ32" s="177">
        <v>1.0</v>
      </c>
      <c r="ER32" s="177">
        <v>15.0</v>
      </c>
      <c r="ES32" s="177">
        <v>28.0</v>
      </c>
      <c r="ET32" s="177">
        <v>0.0</v>
      </c>
      <c r="EU32" s="177">
        <v>0.0</v>
      </c>
      <c r="EV32" s="177">
        <v>0.0</v>
      </c>
      <c r="EW32" s="177">
        <v>0.0</v>
      </c>
      <c r="EX32" s="177">
        <v>0.0</v>
      </c>
      <c r="EY32" s="177">
        <v>0.0</v>
      </c>
      <c r="EZ32" s="177">
        <v>0.0</v>
      </c>
      <c r="FA32" s="177">
        <v>4.0</v>
      </c>
      <c r="FB32" s="177">
        <v>0.0</v>
      </c>
      <c r="FC32" s="177">
        <v>0.0</v>
      </c>
      <c r="FD32" s="177">
        <v>0.0</v>
      </c>
      <c r="FE32" s="177">
        <v>0.0</v>
      </c>
      <c r="FF32" s="177">
        <v>0.0</v>
      </c>
      <c r="FG32" s="177">
        <v>0.0</v>
      </c>
      <c r="FH32" s="185">
        <f t="shared" si="22"/>
        <v>4</v>
      </c>
      <c r="FI32" s="185">
        <f t="shared" si="23"/>
        <v>0</v>
      </c>
      <c r="FJ32" s="177">
        <v>797.0</v>
      </c>
      <c r="FK32" s="177">
        <v>301.0</v>
      </c>
      <c r="FL32" s="177">
        <v>731.0</v>
      </c>
      <c r="FM32" s="177">
        <v>277.0</v>
      </c>
      <c r="FN32" s="180"/>
      <c r="FO32" s="180">
        <v>46.0</v>
      </c>
      <c r="FP32" s="188">
        <f t="shared" si="103"/>
        <v>46</v>
      </c>
      <c r="FQ32" s="211">
        <v>16.0</v>
      </c>
      <c r="FR32" s="212">
        <v>30.0</v>
      </c>
      <c r="FS32" s="206">
        <v>0.0</v>
      </c>
      <c r="FT32" s="207">
        <v>2.0</v>
      </c>
      <c r="FU32" s="207">
        <v>11.0</v>
      </c>
      <c r="FV32" s="207">
        <v>29.0</v>
      </c>
      <c r="FW32" s="207">
        <v>3.0</v>
      </c>
      <c r="FX32" s="207">
        <v>0.0</v>
      </c>
      <c r="FY32" s="207">
        <v>0.0</v>
      </c>
      <c r="FZ32" s="207">
        <v>1.0</v>
      </c>
      <c r="GA32" s="207">
        <v>0.0</v>
      </c>
      <c r="GB32" s="207">
        <v>0.0</v>
      </c>
      <c r="GC32" s="207">
        <v>1.0</v>
      </c>
      <c r="GD32" s="207">
        <v>1.0</v>
      </c>
      <c r="GE32" s="207">
        <v>0.0</v>
      </c>
      <c r="GF32" s="207">
        <v>0.0</v>
      </c>
      <c r="GG32" s="207">
        <v>0.0</v>
      </c>
      <c r="GH32" s="207">
        <v>1.0</v>
      </c>
      <c r="GI32" s="207">
        <v>0.0</v>
      </c>
      <c r="GJ32" s="207">
        <v>0.0</v>
      </c>
      <c r="GK32" s="212">
        <v>3.0</v>
      </c>
      <c r="GL32" s="212">
        <v>1.0</v>
      </c>
      <c r="GM32" s="207">
        <v>787.0</v>
      </c>
      <c r="GN32" s="207">
        <v>283.0</v>
      </c>
      <c r="GO32" s="213">
        <v>749.0</v>
      </c>
      <c r="GP32" s="213">
        <v>274.0</v>
      </c>
      <c r="GQ32" s="207"/>
      <c r="GR32" s="213">
        <v>40.0</v>
      </c>
      <c r="GS32" s="193">
        <v>11.0</v>
      </c>
      <c r="GT32" s="194">
        <f t="shared" si="25"/>
        <v>40</v>
      </c>
      <c r="GU32" s="194">
        <f t="shared" si="26"/>
        <v>11</v>
      </c>
      <c r="GV32" s="194">
        <f t="shared" si="27"/>
        <v>29</v>
      </c>
      <c r="GW32" s="207">
        <v>1.0</v>
      </c>
      <c r="GX32" s="207">
        <v>1.0</v>
      </c>
      <c r="GY32" s="207">
        <v>9.0</v>
      </c>
      <c r="GZ32" s="207">
        <v>29.0</v>
      </c>
      <c r="HA32" s="207">
        <v>0.0</v>
      </c>
      <c r="HB32" s="207">
        <v>0.0</v>
      </c>
      <c r="HC32" s="207">
        <v>0.0</v>
      </c>
      <c r="HD32" s="207">
        <v>0.0</v>
      </c>
      <c r="HE32" s="207">
        <v>2.0</v>
      </c>
      <c r="HF32" s="207">
        <v>1.0</v>
      </c>
      <c r="HG32" s="207">
        <v>1.0</v>
      </c>
      <c r="HH32" s="207">
        <v>4.0</v>
      </c>
      <c r="HI32" s="207">
        <v>0.0</v>
      </c>
      <c r="HJ32" s="207">
        <v>0.0</v>
      </c>
      <c r="HK32" s="207">
        <v>0.0</v>
      </c>
      <c r="HL32" s="207">
        <v>0.0</v>
      </c>
      <c r="HM32" s="207">
        <v>0.0</v>
      </c>
      <c r="HN32" s="207">
        <v>0.0</v>
      </c>
      <c r="HO32" s="222">
        <f t="shared" si="104"/>
        <v>8</v>
      </c>
      <c r="HP32" s="222">
        <f t="shared" si="105"/>
        <v>4</v>
      </c>
      <c r="HQ32" s="214"/>
      <c r="HR32" s="197"/>
      <c r="HS32" s="197"/>
      <c r="HT32" s="198">
        <f t="shared" si="28"/>
        <v>35</v>
      </c>
      <c r="HU32" s="198">
        <f t="shared" si="29"/>
        <v>34</v>
      </c>
      <c r="HV32" s="198">
        <f t="shared" si="30"/>
        <v>42</v>
      </c>
      <c r="HW32" s="198">
        <f t="shared" si="99"/>
        <v>46</v>
      </c>
      <c r="HX32" s="198">
        <f t="shared" si="32"/>
        <v>44</v>
      </c>
      <c r="HY32" s="198">
        <f t="shared" si="33"/>
        <v>45</v>
      </c>
      <c r="HZ32" s="198">
        <f t="shared" si="34"/>
        <v>44</v>
      </c>
      <c r="IA32" s="198">
        <f t="shared" si="35"/>
        <v>47</v>
      </c>
      <c r="IB32" s="198">
        <f t="shared" si="36"/>
        <v>49</v>
      </c>
      <c r="IC32" s="198">
        <f t="shared" si="37"/>
        <v>45</v>
      </c>
      <c r="ID32" s="198">
        <f t="shared" si="38"/>
        <v>46</v>
      </c>
      <c r="IE32" s="198">
        <f t="shared" si="39"/>
        <v>40</v>
      </c>
      <c r="IF32" s="197"/>
      <c r="IG32" s="197"/>
      <c r="IH32" s="197"/>
      <c r="II32" s="197"/>
      <c r="IJ32" s="197"/>
      <c r="IK32" s="197"/>
      <c r="IL32" s="197"/>
      <c r="IM32" s="197"/>
      <c r="IN32" s="197"/>
      <c r="IO32" s="197"/>
      <c r="IP32" s="197"/>
      <c r="IQ32" s="197"/>
      <c r="IR32" s="197"/>
      <c r="IS32" s="197"/>
      <c r="IT32" s="197"/>
      <c r="IU32" s="197"/>
      <c r="IV32" s="197"/>
      <c r="IW32" s="197"/>
      <c r="IX32" s="197"/>
      <c r="IY32" s="197"/>
      <c r="IZ32" s="197"/>
      <c r="JA32" s="199"/>
      <c r="JB32" s="200">
        <f t="shared" si="40"/>
        <v>35</v>
      </c>
      <c r="JC32" s="200">
        <f t="shared" si="41"/>
        <v>34</v>
      </c>
      <c r="JD32" s="200">
        <f t="shared" si="42"/>
        <v>42</v>
      </c>
      <c r="JE32" s="200">
        <f t="shared" si="43"/>
        <v>46</v>
      </c>
      <c r="JF32" s="200">
        <f t="shared" si="44"/>
        <v>44</v>
      </c>
      <c r="JG32" s="200">
        <f t="shared" si="45"/>
        <v>45</v>
      </c>
      <c r="JH32" s="200">
        <f t="shared" si="46"/>
        <v>44</v>
      </c>
      <c r="JI32" s="200">
        <f t="shared" si="47"/>
        <v>47</v>
      </c>
      <c r="JJ32" s="200">
        <f t="shared" si="48"/>
        <v>49</v>
      </c>
      <c r="JK32" s="200">
        <f t="shared" si="49"/>
        <v>49</v>
      </c>
      <c r="JL32" s="200">
        <f t="shared" si="50"/>
        <v>46</v>
      </c>
      <c r="JM32" s="200">
        <f t="shared" si="51"/>
        <v>40</v>
      </c>
      <c r="JN32" s="199"/>
      <c r="JO32" s="200">
        <f t="shared" si="52"/>
        <v>35</v>
      </c>
      <c r="JP32" s="202">
        <v>34.0</v>
      </c>
      <c r="JQ32" s="202">
        <v>42.0</v>
      </c>
      <c r="JR32" s="202">
        <v>46.0</v>
      </c>
      <c r="JS32" s="202">
        <v>44.0</v>
      </c>
      <c r="JT32" s="199"/>
      <c r="JU32" s="199"/>
      <c r="JV32" s="200">
        <f t="shared" ref="JV32:JX32" si="108">IA32-JI32</f>
        <v>0</v>
      </c>
      <c r="JW32" s="200">
        <f t="shared" si="108"/>
        <v>0</v>
      </c>
      <c r="JX32" s="200">
        <f t="shared" si="108"/>
        <v>-4</v>
      </c>
      <c r="JY32" s="199"/>
      <c r="JZ32" s="199"/>
      <c r="KA32" s="199"/>
      <c r="KB32" s="200">
        <f t="shared" ref="KB32:KM32" si="109">JB32-JO32</f>
        <v>0</v>
      </c>
      <c r="KC32" s="200">
        <f t="shared" si="109"/>
        <v>0</v>
      </c>
      <c r="KD32" s="200">
        <f t="shared" si="109"/>
        <v>0</v>
      </c>
      <c r="KE32" s="200">
        <f t="shared" si="109"/>
        <v>0</v>
      </c>
      <c r="KF32" s="200">
        <f t="shared" si="109"/>
        <v>0</v>
      </c>
      <c r="KG32" s="200">
        <f t="shared" si="109"/>
        <v>45</v>
      </c>
      <c r="KH32" s="200">
        <f t="shared" si="109"/>
        <v>44</v>
      </c>
      <c r="KI32" s="200">
        <f t="shared" si="109"/>
        <v>47</v>
      </c>
      <c r="KJ32" s="200">
        <f t="shared" si="109"/>
        <v>49</v>
      </c>
      <c r="KK32" s="200">
        <f t="shared" si="109"/>
        <v>53</v>
      </c>
      <c r="KL32" s="200">
        <f t="shared" si="109"/>
        <v>46</v>
      </c>
      <c r="KM32" s="200">
        <f t="shared" si="109"/>
        <v>40</v>
      </c>
      <c r="KN32" s="199"/>
      <c r="KO32" s="199"/>
      <c r="KP32" s="199"/>
      <c r="KQ32" s="199"/>
      <c r="KR32" s="199"/>
      <c r="KS32" s="199"/>
      <c r="KT32" s="199"/>
      <c r="KU32" s="199"/>
      <c r="KV32" s="199"/>
      <c r="KW32" s="199"/>
      <c r="KX32" s="199"/>
      <c r="KY32" s="199"/>
      <c r="KZ32" s="199"/>
      <c r="LA32" s="199"/>
      <c r="LB32" s="199"/>
      <c r="LC32" s="199"/>
      <c r="LD32" s="199"/>
      <c r="LE32" s="199"/>
      <c r="LF32" s="199"/>
      <c r="LG32" s="199"/>
    </row>
    <row r="33" ht="14.25" customHeight="1">
      <c r="A33" s="156">
        <v>26.0</v>
      </c>
      <c r="B33" s="255" t="s">
        <v>106</v>
      </c>
      <c r="C33" s="256">
        <v>3374110.0</v>
      </c>
      <c r="D33" s="256" t="s">
        <v>107</v>
      </c>
      <c r="E33" s="256" t="s">
        <v>109</v>
      </c>
      <c r="F33" s="159">
        <v>7.0</v>
      </c>
      <c r="G33" s="159">
        <v>161.0</v>
      </c>
      <c r="H33" s="160">
        <v>6.0</v>
      </c>
      <c r="I33" s="161">
        <v>0.0</v>
      </c>
      <c r="J33" s="161">
        <v>0.0</v>
      </c>
      <c r="K33" s="161">
        <v>2.0</v>
      </c>
      <c r="L33" s="161">
        <v>4.0</v>
      </c>
      <c r="M33" s="161">
        <v>0.0</v>
      </c>
      <c r="N33" s="161">
        <v>0.0</v>
      </c>
      <c r="O33" s="162">
        <f t="shared" si="3"/>
        <v>6</v>
      </c>
      <c r="P33" s="203">
        <v>8.0</v>
      </c>
      <c r="Q33" s="164">
        <v>0.0</v>
      </c>
      <c r="R33" s="164">
        <v>0.0</v>
      </c>
      <c r="S33" s="164">
        <v>3.0</v>
      </c>
      <c r="T33" s="165">
        <v>5.0</v>
      </c>
      <c r="U33" s="259">
        <v>2.0</v>
      </c>
      <c r="V33" s="259">
        <v>0.0</v>
      </c>
      <c r="W33" s="166">
        <f t="shared" si="4"/>
        <v>6</v>
      </c>
      <c r="X33" s="203">
        <v>11.0</v>
      </c>
      <c r="Y33" s="165">
        <v>0.0</v>
      </c>
      <c r="Z33" s="165">
        <v>0.0</v>
      </c>
      <c r="AA33" s="165">
        <v>4.0</v>
      </c>
      <c r="AB33" s="165">
        <v>7.0</v>
      </c>
      <c r="AC33" s="259">
        <v>1.0</v>
      </c>
      <c r="AD33" s="259">
        <v>1.0</v>
      </c>
      <c r="AE33" s="166">
        <f t="shared" si="5"/>
        <v>9</v>
      </c>
      <c r="AF33" s="167">
        <v>11.0</v>
      </c>
      <c r="AG33" s="165">
        <v>0.0</v>
      </c>
      <c r="AH33" s="165">
        <v>0.0</v>
      </c>
      <c r="AI33" s="165">
        <v>3.0</v>
      </c>
      <c r="AJ33" s="165">
        <v>8.0</v>
      </c>
      <c r="AK33" s="259">
        <v>2.0</v>
      </c>
      <c r="AL33" s="259">
        <v>1.0</v>
      </c>
      <c r="AM33" s="166">
        <f t="shared" si="98"/>
        <v>8</v>
      </c>
      <c r="AN33" s="167">
        <v>10.0</v>
      </c>
      <c r="AO33" s="165">
        <v>0.0</v>
      </c>
      <c r="AP33" s="165">
        <v>0.0</v>
      </c>
      <c r="AQ33" s="165">
        <v>2.0</v>
      </c>
      <c r="AR33" s="165">
        <v>8.0</v>
      </c>
      <c r="AS33" s="259">
        <v>4.0</v>
      </c>
      <c r="AT33" s="259">
        <v>2.0</v>
      </c>
      <c r="AU33" s="168">
        <f t="shared" si="7"/>
        <v>4</v>
      </c>
      <c r="AV33" s="169">
        <v>173.0</v>
      </c>
      <c r="AW33" s="204">
        <f t="shared" si="8"/>
        <v>11</v>
      </c>
      <c r="AX33" s="262">
        <v>0.0</v>
      </c>
      <c r="AY33" s="263">
        <v>0.0</v>
      </c>
      <c r="AZ33" s="263">
        <v>2.0</v>
      </c>
      <c r="BA33" s="263">
        <v>8.0</v>
      </c>
      <c r="BB33" s="263">
        <v>1.0</v>
      </c>
      <c r="BC33" s="263">
        <v>0.0</v>
      </c>
      <c r="BD33" s="263">
        <v>0.0</v>
      </c>
      <c r="BE33" s="263">
        <v>0.0</v>
      </c>
      <c r="BF33" s="263">
        <v>0.0</v>
      </c>
      <c r="BG33" s="263">
        <v>0.0</v>
      </c>
      <c r="BH33" s="263">
        <v>0.0</v>
      </c>
      <c r="BI33" s="263">
        <v>0.0</v>
      </c>
      <c r="BJ33" s="263">
        <v>0.0</v>
      </c>
      <c r="BK33" s="263">
        <v>0.0</v>
      </c>
      <c r="BL33" s="263">
        <v>0.0</v>
      </c>
      <c r="BM33" s="263">
        <v>0.0</v>
      </c>
      <c r="BN33" s="263">
        <v>0.0</v>
      </c>
      <c r="BO33" s="263">
        <v>0.0</v>
      </c>
      <c r="BP33" s="205">
        <f t="shared" si="102"/>
        <v>0</v>
      </c>
      <c r="BQ33" s="173">
        <v>176.0</v>
      </c>
      <c r="BR33" s="170">
        <f t="shared" si="10"/>
        <v>10</v>
      </c>
      <c r="BS33" s="173">
        <v>1.0</v>
      </c>
      <c r="BT33" s="173">
        <v>0.0</v>
      </c>
      <c r="BU33" s="173">
        <v>2.0</v>
      </c>
      <c r="BV33" s="173">
        <v>7.0</v>
      </c>
      <c r="BW33" s="173">
        <v>0.0</v>
      </c>
      <c r="BX33" s="173">
        <v>0.0</v>
      </c>
      <c r="BY33" s="173">
        <v>0.0</v>
      </c>
      <c r="BZ33" s="173">
        <v>0.0</v>
      </c>
      <c r="CA33" s="173">
        <v>0.0</v>
      </c>
      <c r="CB33" s="173">
        <v>0.0</v>
      </c>
      <c r="CC33" s="173">
        <v>0.0</v>
      </c>
      <c r="CD33" s="173">
        <v>1.0</v>
      </c>
      <c r="CE33" s="173">
        <v>0.0</v>
      </c>
      <c r="CF33" s="173">
        <v>0.0</v>
      </c>
      <c r="CG33" s="173">
        <v>0.0</v>
      </c>
      <c r="CH33" s="173">
        <v>0.0</v>
      </c>
      <c r="CI33" s="173">
        <v>0.0</v>
      </c>
      <c r="CJ33" s="173">
        <v>0.0</v>
      </c>
      <c r="CK33" s="172">
        <f t="shared" si="11"/>
        <v>1</v>
      </c>
      <c r="CL33" s="173">
        <v>162.0</v>
      </c>
      <c r="CM33" s="173">
        <v>55.0</v>
      </c>
      <c r="CN33" s="175">
        <f t="shared" si="12"/>
        <v>8</v>
      </c>
      <c r="CO33" s="173">
        <v>0.0</v>
      </c>
      <c r="CP33" s="173">
        <v>0.0</v>
      </c>
      <c r="CQ33" s="173">
        <v>2.0</v>
      </c>
      <c r="CR33" s="173">
        <v>6.0</v>
      </c>
      <c r="CS33" s="173">
        <v>0.0</v>
      </c>
      <c r="CT33" s="173">
        <v>0.0</v>
      </c>
      <c r="CU33" s="173">
        <v>0.0</v>
      </c>
      <c r="CV33" s="173">
        <v>0.0</v>
      </c>
      <c r="CW33" s="173">
        <v>0.0</v>
      </c>
      <c r="CX33" s="173">
        <v>0.0</v>
      </c>
      <c r="CY33" s="173">
        <v>0.0</v>
      </c>
      <c r="CZ33" s="173">
        <v>0.0</v>
      </c>
      <c r="DA33" s="173">
        <v>0.0</v>
      </c>
      <c r="DB33" s="173">
        <v>0.0</v>
      </c>
      <c r="DC33" s="173">
        <v>0.0</v>
      </c>
      <c r="DD33" s="173">
        <v>0.0</v>
      </c>
      <c r="DE33" s="173">
        <v>0.0</v>
      </c>
      <c r="DF33" s="173">
        <v>0.0</v>
      </c>
      <c r="DG33" s="176">
        <f t="shared" si="13"/>
        <v>0</v>
      </c>
      <c r="DH33" s="177">
        <v>141.0</v>
      </c>
      <c r="DI33" s="177">
        <v>50.0</v>
      </c>
      <c r="DJ33" s="178">
        <v>117.0</v>
      </c>
      <c r="DK33" s="178">
        <v>41.0</v>
      </c>
      <c r="DL33" s="179">
        <f t="shared" si="14"/>
        <v>9</v>
      </c>
      <c r="DM33" s="180">
        <f t="shared" si="15"/>
        <v>2</v>
      </c>
      <c r="DN33" s="180">
        <f t="shared" si="16"/>
        <v>7</v>
      </c>
      <c r="DO33" s="177">
        <v>0.0</v>
      </c>
      <c r="DP33" s="177">
        <v>0.0</v>
      </c>
      <c r="DQ33" s="177">
        <v>2.0</v>
      </c>
      <c r="DR33" s="177">
        <v>7.0</v>
      </c>
      <c r="DS33" s="177">
        <v>0.0</v>
      </c>
      <c r="DT33" s="177">
        <v>0.0</v>
      </c>
      <c r="DU33" s="177">
        <v>0.0</v>
      </c>
      <c r="DV33" s="177">
        <v>0.0</v>
      </c>
      <c r="DW33" s="177">
        <v>0.0</v>
      </c>
      <c r="DX33" s="177">
        <v>0.0</v>
      </c>
      <c r="DY33" s="177">
        <v>0.0</v>
      </c>
      <c r="DZ33" s="177">
        <v>0.0</v>
      </c>
      <c r="EA33" s="177">
        <v>0.0</v>
      </c>
      <c r="EB33" s="177">
        <v>0.0</v>
      </c>
      <c r="EC33" s="177">
        <v>1.0</v>
      </c>
      <c r="ED33" s="177">
        <v>0.0</v>
      </c>
      <c r="EE33" s="177">
        <v>0.0</v>
      </c>
      <c r="EF33" s="177">
        <v>0.0</v>
      </c>
      <c r="EG33" s="179">
        <f t="shared" si="17"/>
        <v>1</v>
      </c>
      <c r="EH33" s="179">
        <f t="shared" si="18"/>
        <v>1</v>
      </c>
      <c r="EI33" s="177">
        <v>142.0</v>
      </c>
      <c r="EJ33" s="177">
        <v>49.0</v>
      </c>
      <c r="EK33" s="178">
        <v>134.0</v>
      </c>
      <c r="EL33" s="178">
        <v>48.0</v>
      </c>
      <c r="EM33" s="185">
        <f t="shared" si="19"/>
        <v>8</v>
      </c>
      <c r="EN33" s="186">
        <f t="shared" si="89"/>
        <v>1</v>
      </c>
      <c r="EO33" s="186">
        <f t="shared" si="90"/>
        <v>7</v>
      </c>
      <c r="EP33" s="177">
        <v>1.0</v>
      </c>
      <c r="EQ33" s="177">
        <v>0.0</v>
      </c>
      <c r="ER33" s="177">
        <v>0.0</v>
      </c>
      <c r="ES33" s="177">
        <v>7.0</v>
      </c>
      <c r="ET33" s="177">
        <v>0.0</v>
      </c>
      <c r="EU33" s="177">
        <v>0.0</v>
      </c>
      <c r="EV33" s="177">
        <v>0.0</v>
      </c>
      <c r="EW33" s="177">
        <v>0.0</v>
      </c>
      <c r="EX33" s="177">
        <v>0.0</v>
      </c>
      <c r="EY33" s="177">
        <v>0.0</v>
      </c>
      <c r="EZ33" s="177">
        <v>0.0</v>
      </c>
      <c r="FA33" s="177">
        <v>1.0</v>
      </c>
      <c r="FB33" s="177">
        <v>0.0</v>
      </c>
      <c r="FC33" s="177">
        <v>0.0</v>
      </c>
      <c r="FD33" s="177">
        <v>0.0</v>
      </c>
      <c r="FE33" s="177">
        <v>0.0</v>
      </c>
      <c r="FF33" s="177">
        <v>0.0</v>
      </c>
      <c r="FG33" s="177">
        <v>0.0</v>
      </c>
      <c r="FH33" s="185">
        <f t="shared" si="22"/>
        <v>1</v>
      </c>
      <c r="FI33" s="185">
        <f t="shared" si="23"/>
        <v>0</v>
      </c>
      <c r="FJ33" s="177">
        <v>146.0</v>
      </c>
      <c r="FK33" s="177">
        <v>53.0</v>
      </c>
      <c r="FL33" s="177">
        <v>129.0</v>
      </c>
      <c r="FM33" s="177">
        <v>46.0</v>
      </c>
      <c r="FN33" s="180"/>
      <c r="FO33" s="180">
        <v>8.0</v>
      </c>
      <c r="FP33" s="188">
        <f t="shared" si="103"/>
        <v>8</v>
      </c>
      <c r="FQ33" s="211">
        <v>2.0</v>
      </c>
      <c r="FR33" s="212">
        <v>6.0</v>
      </c>
      <c r="FS33" s="206">
        <v>0.0</v>
      </c>
      <c r="FT33" s="207">
        <v>0.0</v>
      </c>
      <c r="FU33" s="207">
        <v>1.0</v>
      </c>
      <c r="FV33" s="207">
        <v>6.0</v>
      </c>
      <c r="FW33" s="207">
        <v>1.0</v>
      </c>
      <c r="FX33" s="207">
        <v>0.0</v>
      </c>
      <c r="FY33" s="207">
        <v>0.0</v>
      </c>
      <c r="FZ33" s="207">
        <v>0.0</v>
      </c>
      <c r="GA33" s="207">
        <v>0.0</v>
      </c>
      <c r="GB33" s="207">
        <v>0.0</v>
      </c>
      <c r="GC33" s="207">
        <v>0.0</v>
      </c>
      <c r="GD33" s="207">
        <v>2.0</v>
      </c>
      <c r="GE33" s="207">
        <v>0.0</v>
      </c>
      <c r="GF33" s="207">
        <v>0.0</v>
      </c>
      <c r="GG33" s="207">
        <v>0.0</v>
      </c>
      <c r="GH33" s="207">
        <v>0.0</v>
      </c>
      <c r="GI33" s="207">
        <v>1.0</v>
      </c>
      <c r="GJ33" s="207">
        <v>0.0</v>
      </c>
      <c r="GK33" s="212">
        <v>3.0</v>
      </c>
      <c r="GL33" s="212">
        <v>0.0</v>
      </c>
      <c r="GM33" s="207">
        <v>143.0</v>
      </c>
      <c r="GN33" s="207">
        <v>51.0</v>
      </c>
      <c r="GO33" s="213">
        <v>107.0</v>
      </c>
      <c r="GP33" s="213">
        <v>40.0</v>
      </c>
      <c r="GQ33" s="207"/>
      <c r="GR33" s="213">
        <v>6.0</v>
      </c>
      <c r="GS33" s="193">
        <v>1.0</v>
      </c>
      <c r="GT33" s="194">
        <f t="shared" si="25"/>
        <v>6</v>
      </c>
      <c r="GU33" s="194">
        <f t="shared" si="26"/>
        <v>1</v>
      </c>
      <c r="GV33" s="194">
        <f t="shared" si="27"/>
        <v>5</v>
      </c>
      <c r="GW33" s="207">
        <v>0.0</v>
      </c>
      <c r="GX33" s="207">
        <v>0.0</v>
      </c>
      <c r="GY33" s="207">
        <v>1.0</v>
      </c>
      <c r="GZ33" s="207">
        <v>5.0</v>
      </c>
      <c r="HA33" s="207">
        <v>0.0</v>
      </c>
      <c r="HB33" s="207">
        <v>0.0</v>
      </c>
      <c r="HC33" s="207">
        <v>0.0</v>
      </c>
      <c r="HD33" s="207">
        <v>0.0</v>
      </c>
      <c r="HE33" s="207">
        <v>0.0</v>
      </c>
      <c r="HF33" s="207">
        <v>0.0</v>
      </c>
      <c r="HG33" s="207">
        <v>0.0</v>
      </c>
      <c r="HH33" s="207">
        <v>1.0</v>
      </c>
      <c r="HI33" s="207">
        <v>0.0</v>
      </c>
      <c r="HJ33" s="207">
        <v>0.0</v>
      </c>
      <c r="HK33" s="207">
        <v>0.0</v>
      </c>
      <c r="HL33" s="207">
        <v>0.0</v>
      </c>
      <c r="HM33" s="207">
        <v>0.0</v>
      </c>
      <c r="HN33" s="207">
        <v>0.0</v>
      </c>
      <c r="HO33" s="222">
        <f t="shared" si="104"/>
        <v>1</v>
      </c>
      <c r="HP33" s="222">
        <f t="shared" si="105"/>
        <v>0</v>
      </c>
      <c r="HQ33" s="214"/>
      <c r="HR33" s="197"/>
      <c r="HS33" s="197"/>
      <c r="HT33" s="198">
        <f t="shared" si="28"/>
        <v>6</v>
      </c>
      <c r="HU33" s="198">
        <f t="shared" si="29"/>
        <v>8</v>
      </c>
      <c r="HV33" s="198">
        <f t="shared" si="30"/>
        <v>11</v>
      </c>
      <c r="HW33" s="198">
        <f t="shared" si="99"/>
        <v>11</v>
      </c>
      <c r="HX33" s="198">
        <f t="shared" si="32"/>
        <v>10</v>
      </c>
      <c r="HY33" s="198">
        <f t="shared" si="33"/>
        <v>11</v>
      </c>
      <c r="HZ33" s="198">
        <f t="shared" si="34"/>
        <v>10</v>
      </c>
      <c r="IA33" s="198">
        <f t="shared" si="35"/>
        <v>8</v>
      </c>
      <c r="IB33" s="198">
        <f t="shared" si="36"/>
        <v>9</v>
      </c>
      <c r="IC33" s="198">
        <f t="shared" si="37"/>
        <v>8</v>
      </c>
      <c r="ID33" s="198">
        <f t="shared" si="38"/>
        <v>8</v>
      </c>
      <c r="IE33" s="198">
        <f t="shared" si="39"/>
        <v>6</v>
      </c>
      <c r="IF33" s="197"/>
      <c r="IG33" s="197"/>
      <c r="IH33" s="197"/>
      <c r="II33" s="197"/>
      <c r="IJ33" s="197"/>
      <c r="IK33" s="197"/>
      <c r="IL33" s="197"/>
      <c r="IM33" s="197"/>
      <c r="IN33" s="197"/>
      <c r="IO33" s="197"/>
      <c r="IP33" s="197"/>
      <c r="IQ33" s="197"/>
      <c r="IR33" s="197"/>
      <c r="IS33" s="197"/>
      <c r="IT33" s="197"/>
      <c r="IU33" s="197"/>
      <c r="IV33" s="197"/>
      <c r="IW33" s="197"/>
      <c r="IX33" s="197"/>
      <c r="IY33" s="197"/>
      <c r="IZ33" s="197"/>
      <c r="JA33" s="199"/>
      <c r="JB33" s="200">
        <f t="shared" si="40"/>
        <v>6</v>
      </c>
      <c r="JC33" s="200">
        <f t="shared" si="41"/>
        <v>8</v>
      </c>
      <c r="JD33" s="200">
        <f t="shared" si="42"/>
        <v>11</v>
      </c>
      <c r="JE33" s="200">
        <f t="shared" si="43"/>
        <v>11</v>
      </c>
      <c r="JF33" s="200">
        <f t="shared" si="44"/>
        <v>10</v>
      </c>
      <c r="JG33" s="200">
        <f t="shared" si="45"/>
        <v>11</v>
      </c>
      <c r="JH33" s="200">
        <f t="shared" si="46"/>
        <v>10</v>
      </c>
      <c r="JI33" s="200">
        <f t="shared" si="47"/>
        <v>8</v>
      </c>
      <c r="JJ33" s="200">
        <f t="shared" si="48"/>
        <v>9</v>
      </c>
      <c r="JK33" s="200">
        <f t="shared" si="49"/>
        <v>9</v>
      </c>
      <c r="JL33" s="200">
        <f t="shared" si="50"/>
        <v>8</v>
      </c>
      <c r="JM33" s="200">
        <f t="shared" si="51"/>
        <v>6</v>
      </c>
      <c r="JN33" s="199"/>
      <c r="JO33" s="200">
        <f t="shared" si="52"/>
        <v>6</v>
      </c>
      <c r="JP33" s="202">
        <v>8.0</v>
      </c>
      <c r="JQ33" s="202">
        <v>11.0</v>
      </c>
      <c r="JR33" s="202">
        <v>11.0</v>
      </c>
      <c r="JS33" s="202">
        <v>10.0</v>
      </c>
      <c r="JT33" s="199"/>
      <c r="JU33" s="199"/>
      <c r="JV33" s="200">
        <f t="shared" ref="JV33:JX33" si="110">IA33-JI33</f>
        <v>0</v>
      </c>
      <c r="JW33" s="200">
        <f t="shared" si="110"/>
        <v>0</v>
      </c>
      <c r="JX33" s="200">
        <f t="shared" si="110"/>
        <v>-1</v>
      </c>
      <c r="JY33" s="199"/>
      <c r="JZ33" s="199"/>
      <c r="KA33" s="199"/>
      <c r="KB33" s="200">
        <f t="shared" ref="KB33:KM33" si="111">JB33-JO33</f>
        <v>0</v>
      </c>
      <c r="KC33" s="200">
        <f t="shared" si="111"/>
        <v>0</v>
      </c>
      <c r="KD33" s="200">
        <f t="shared" si="111"/>
        <v>0</v>
      </c>
      <c r="KE33" s="200">
        <f t="shared" si="111"/>
        <v>0</v>
      </c>
      <c r="KF33" s="200">
        <f t="shared" si="111"/>
        <v>0</v>
      </c>
      <c r="KG33" s="200">
        <f t="shared" si="111"/>
        <v>11</v>
      </c>
      <c r="KH33" s="200">
        <f t="shared" si="111"/>
        <v>10</v>
      </c>
      <c r="KI33" s="200">
        <f t="shared" si="111"/>
        <v>8</v>
      </c>
      <c r="KJ33" s="200">
        <f t="shared" si="111"/>
        <v>9</v>
      </c>
      <c r="KK33" s="200">
        <f t="shared" si="111"/>
        <v>10</v>
      </c>
      <c r="KL33" s="200">
        <f t="shared" si="111"/>
        <v>8</v>
      </c>
      <c r="KM33" s="200">
        <f t="shared" si="111"/>
        <v>6</v>
      </c>
      <c r="KN33" s="199"/>
      <c r="KO33" s="199"/>
      <c r="KP33" s="199"/>
      <c r="KQ33" s="199"/>
      <c r="KR33" s="199"/>
      <c r="KS33" s="199"/>
      <c r="KT33" s="199"/>
      <c r="KU33" s="199"/>
      <c r="KV33" s="199"/>
      <c r="KW33" s="199"/>
      <c r="KX33" s="199"/>
      <c r="KY33" s="199"/>
      <c r="KZ33" s="199"/>
      <c r="LA33" s="199"/>
      <c r="LB33" s="199"/>
      <c r="LC33" s="199"/>
      <c r="LD33" s="199"/>
      <c r="LE33" s="199"/>
      <c r="LF33" s="199"/>
      <c r="LG33" s="199"/>
    </row>
    <row r="34" ht="14.25" customHeight="1">
      <c r="A34" s="156">
        <v>27.0</v>
      </c>
      <c r="B34" s="255" t="s">
        <v>106</v>
      </c>
      <c r="C34" s="256">
        <v>3374110.0</v>
      </c>
      <c r="D34" s="256" t="s">
        <v>107</v>
      </c>
      <c r="E34" s="256" t="s">
        <v>110</v>
      </c>
      <c r="F34" s="159">
        <v>9.0</v>
      </c>
      <c r="G34" s="159">
        <v>344.0</v>
      </c>
      <c r="H34" s="160">
        <v>30.0</v>
      </c>
      <c r="I34" s="161">
        <v>1.0</v>
      </c>
      <c r="J34" s="161">
        <v>1.0</v>
      </c>
      <c r="K34" s="161">
        <v>4.0</v>
      </c>
      <c r="L34" s="161">
        <v>24.0</v>
      </c>
      <c r="M34" s="161">
        <v>0.0</v>
      </c>
      <c r="N34" s="161">
        <v>0.0</v>
      </c>
      <c r="O34" s="162">
        <f t="shared" si="3"/>
        <v>30</v>
      </c>
      <c r="P34" s="203">
        <v>30.0</v>
      </c>
      <c r="Q34" s="164">
        <v>1.0</v>
      </c>
      <c r="R34" s="164">
        <v>2.0</v>
      </c>
      <c r="S34" s="164">
        <v>3.0</v>
      </c>
      <c r="T34" s="165">
        <v>24.0</v>
      </c>
      <c r="U34" s="259">
        <v>0.0</v>
      </c>
      <c r="V34" s="259">
        <v>0.0</v>
      </c>
      <c r="W34" s="166">
        <f t="shared" si="4"/>
        <v>30</v>
      </c>
      <c r="X34" s="203">
        <v>24.0</v>
      </c>
      <c r="Y34" s="165">
        <v>1.0</v>
      </c>
      <c r="Z34" s="165">
        <v>1.0</v>
      </c>
      <c r="AA34" s="165">
        <v>1.0</v>
      </c>
      <c r="AB34" s="165">
        <v>21.0</v>
      </c>
      <c r="AC34" s="259">
        <v>1.0</v>
      </c>
      <c r="AD34" s="259">
        <v>0.0</v>
      </c>
      <c r="AE34" s="166">
        <f t="shared" si="5"/>
        <v>23</v>
      </c>
      <c r="AF34" s="167">
        <v>22.0</v>
      </c>
      <c r="AG34" s="165">
        <v>0.0</v>
      </c>
      <c r="AH34" s="165">
        <v>0.0</v>
      </c>
      <c r="AI34" s="165">
        <v>2.0</v>
      </c>
      <c r="AJ34" s="165">
        <v>20.0</v>
      </c>
      <c r="AK34" s="259">
        <v>4.0</v>
      </c>
      <c r="AL34" s="259">
        <v>4.0</v>
      </c>
      <c r="AM34" s="166">
        <f t="shared" si="98"/>
        <v>14</v>
      </c>
      <c r="AN34" s="167">
        <v>26.0</v>
      </c>
      <c r="AO34" s="165">
        <v>0.0</v>
      </c>
      <c r="AP34" s="165">
        <v>1.0</v>
      </c>
      <c r="AQ34" s="165">
        <v>4.0</v>
      </c>
      <c r="AR34" s="165">
        <v>21.0</v>
      </c>
      <c r="AS34" s="259">
        <v>1.0</v>
      </c>
      <c r="AT34" s="259">
        <v>1.0</v>
      </c>
      <c r="AU34" s="168">
        <f t="shared" si="7"/>
        <v>24</v>
      </c>
      <c r="AV34" s="169">
        <v>359.0</v>
      </c>
      <c r="AW34" s="204">
        <f t="shared" si="8"/>
        <v>24</v>
      </c>
      <c r="AX34" s="262">
        <v>1.0</v>
      </c>
      <c r="AY34" s="263">
        <v>0.0</v>
      </c>
      <c r="AZ34" s="263">
        <v>5.0</v>
      </c>
      <c r="BA34" s="263">
        <v>18.0</v>
      </c>
      <c r="BB34" s="263">
        <v>0.0</v>
      </c>
      <c r="BC34" s="263">
        <v>0.0</v>
      </c>
      <c r="BD34" s="263">
        <v>0.0</v>
      </c>
      <c r="BE34" s="263">
        <v>0.0</v>
      </c>
      <c r="BF34" s="263">
        <v>0.0</v>
      </c>
      <c r="BG34" s="263">
        <v>0.0</v>
      </c>
      <c r="BH34" s="263">
        <v>1.0</v>
      </c>
      <c r="BI34" s="263">
        <v>1.0</v>
      </c>
      <c r="BJ34" s="263">
        <v>0.0</v>
      </c>
      <c r="BK34" s="263">
        <v>0.0</v>
      </c>
      <c r="BL34" s="263">
        <v>0.0</v>
      </c>
      <c r="BM34" s="263">
        <v>0.0</v>
      </c>
      <c r="BN34" s="263">
        <v>1.0</v>
      </c>
      <c r="BO34" s="263">
        <v>0.0</v>
      </c>
      <c r="BP34" s="205">
        <f t="shared" si="102"/>
        <v>3</v>
      </c>
      <c r="BQ34" s="173">
        <v>327.0</v>
      </c>
      <c r="BR34" s="170">
        <f t="shared" si="10"/>
        <v>23</v>
      </c>
      <c r="BS34" s="173">
        <v>1.0</v>
      </c>
      <c r="BT34" s="173">
        <v>0.0</v>
      </c>
      <c r="BU34" s="173">
        <v>5.0</v>
      </c>
      <c r="BV34" s="173">
        <v>16.0</v>
      </c>
      <c r="BW34" s="173">
        <v>1.0</v>
      </c>
      <c r="BX34" s="173">
        <v>0.0</v>
      </c>
      <c r="BY34" s="173">
        <v>0.0</v>
      </c>
      <c r="BZ34" s="173">
        <v>0.0</v>
      </c>
      <c r="CA34" s="173">
        <v>0.0</v>
      </c>
      <c r="CB34" s="173">
        <v>0.0</v>
      </c>
      <c r="CC34" s="173">
        <v>1.0</v>
      </c>
      <c r="CD34" s="173">
        <v>0.0</v>
      </c>
      <c r="CE34" s="173">
        <v>0.0</v>
      </c>
      <c r="CF34" s="173">
        <v>0.0</v>
      </c>
      <c r="CG34" s="173">
        <v>0.0</v>
      </c>
      <c r="CH34" s="173">
        <v>0.0</v>
      </c>
      <c r="CI34" s="173">
        <v>2.0</v>
      </c>
      <c r="CJ34" s="173">
        <v>0.0</v>
      </c>
      <c r="CK34" s="172">
        <f t="shared" si="11"/>
        <v>3</v>
      </c>
      <c r="CL34" s="173">
        <v>332.0</v>
      </c>
      <c r="CM34" s="173">
        <v>124.0</v>
      </c>
      <c r="CN34" s="175">
        <f t="shared" si="12"/>
        <v>24</v>
      </c>
      <c r="CO34" s="173">
        <v>2.0</v>
      </c>
      <c r="CP34" s="173">
        <v>0.0</v>
      </c>
      <c r="CQ34" s="173">
        <v>5.0</v>
      </c>
      <c r="CR34" s="173">
        <v>17.0</v>
      </c>
      <c r="CS34" s="173">
        <v>0.0</v>
      </c>
      <c r="CT34" s="173">
        <v>0.0</v>
      </c>
      <c r="CU34" s="173">
        <v>0.0</v>
      </c>
      <c r="CV34" s="173">
        <v>0.0</v>
      </c>
      <c r="CW34" s="173">
        <v>0.0</v>
      </c>
      <c r="CX34" s="173">
        <v>0.0</v>
      </c>
      <c r="CY34" s="173">
        <v>0.0</v>
      </c>
      <c r="CZ34" s="173">
        <v>0.0</v>
      </c>
      <c r="DA34" s="173">
        <v>0.0</v>
      </c>
      <c r="DB34" s="173">
        <v>0.0</v>
      </c>
      <c r="DC34" s="173">
        <v>0.0</v>
      </c>
      <c r="DD34" s="173">
        <v>0.0</v>
      </c>
      <c r="DE34" s="173">
        <v>0.0</v>
      </c>
      <c r="DF34" s="173">
        <v>0.0</v>
      </c>
      <c r="DG34" s="176">
        <f t="shared" si="13"/>
        <v>0</v>
      </c>
      <c r="DH34" s="177">
        <v>282.0</v>
      </c>
      <c r="DI34" s="177">
        <v>112.0</v>
      </c>
      <c r="DJ34" s="178">
        <v>258.0</v>
      </c>
      <c r="DK34" s="178">
        <v>97.0</v>
      </c>
      <c r="DL34" s="179">
        <f t="shared" si="14"/>
        <v>22</v>
      </c>
      <c r="DM34" s="180">
        <f t="shared" si="15"/>
        <v>5</v>
      </c>
      <c r="DN34" s="180">
        <f t="shared" si="16"/>
        <v>17</v>
      </c>
      <c r="DO34" s="177">
        <v>2.0</v>
      </c>
      <c r="DP34" s="177">
        <v>0.0</v>
      </c>
      <c r="DQ34" s="177">
        <v>3.0</v>
      </c>
      <c r="DR34" s="177">
        <v>17.0</v>
      </c>
      <c r="DS34" s="177">
        <v>0.0</v>
      </c>
      <c r="DT34" s="177">
        <v>0.0</v>
      </c>
      <c r="DU34" s="177">
        <v>0.0</v>
      </c>
      <c r="DV34" s="177">
        <v>0.0</v>
      </c>
      <c r="DW34" s="177">
        <v>0.0</v>
      </c>
      <c r="DX34" s="177">
        <v>0.0</v>
      </c>
      <c r="DY34" s="177">
        <v>2.0</v>
      </c>
      <c r="DZ34" s="177">
        <v>0.0</v>
      </c>
      <c r="EA34" s="177">
        <v>0.0</v>
      </c>
      <c r="EB34" s="177">
        <v>0.0</v>
      </c>
      <c r="EC34" s="177">
        <v>0.0</v>
      </c>
      <c r="ED34" s="177">
        <v>0.0</v>
      </c>
      <c r="EE34" s="177">
        <v>0.0</v>
      </c>
      <c r="EF34" s="177">
        <v>0.0</v>
      </c>
      <c r="EG34" s="179">
        <f t="shared" si="17"/>
        <v>2</v>
      </c>
      <c r="EH34" s="179">
        <f t="shared" si="18"/>
        <v>2</v>
      </c>
      <c r="EI34" s="177">
        <v>280.0</v>
      </c>
      <c r="EJ34" s="177">
        <v>100.0</v>
      </c>
      <c r="EK34" s="178">
        <v>253.0</v>
      </c>
      <c r="EL34" s="178">
        <v>92.0</v>
      </c>
      <c r="EM34" s="185">
        <f t="shared" si="19"/>
        <v>20</v>
      </c>
      <c r="EN34" s="186">
        <f t="shared" si="89"/>
        <v>3</v>
      </c>
      <c r="EO34" s="186">
        <f t="shared" si="90"/>
        <v>17</v>
      </c>
      <c r="EP34" s="177">
        <v>1.0</v>
      </c>
      <c r="EQ34" s="177">
        <v>2.0</v>
      </c>
      <c r="ER34" s="177">
        <v>0.0</v>
      </c>
      <c r="ES34" s="177">
        <v>17.0</v>
      </c>
      <c r="ET34" s="177">
        <v>0.0</v>
      </c>
      <c r="EU34" s="177">
        <v>0.0</v>
      </c>
      <c r="EV34" s="177">
        <v>0.0</v>
      </c>
      <c r="EW34" s="177">
        <v>0.0</v>
      </c>
      <c r="EX34" s="177">
        <v>0.0</v>
      </c>
      <c r="EY34" s="177">
        <v>0.0</v>
      </c>
      <c r="EZ34" s="177">
        <v>0.0</v>
      </c>
      <c r="FA34" s="177">
        <v>1.0</v>
      </c>
      <c r="FB34" s="177">
        <v>0.0</v>
      </c>
      <c r="FC34" s="177">
        <v>0.0</v>
      </c>
      <c r="FD34" s="177">
        <v>0.0</v>
      </c>
      <c r="FE34" s="177">
        <v>1.0</v>
      </c>
      <c r="FF34" s="177">
        <v>0.0</v>
      </c>
      <c r="FG34" s="177">
        <v>0.0</v>
      </c>
      <c r="FH34" s="185">
        <f t="shared" si="22"/>
        <v>2</v>
      </c>
      <c r="FI34" s="185">
        <f t="shared" si="23"/>
        <v>0</v>
      </c>
      <c r="FJ34" s="177">
        <v>276.0</v>
      </c>
      <c r="FK34" s="177">
        <v>105.0</v>
      </c>
      <c r="FL34" s="177">
        <v>243.0</v>
      </c>
      <c r="FM34" s="177">
        <v>93.0</v>
      </c>
      <c r="FN34" s="180"/>
      <c r="FO34" s="180">
        <v>17.0</v>
      </c>
      <c r="FP34" s="188">
        <f t="shared" si="103"/>
        <v>17</v>
      </c>
      <c r="FQ34" s="211">
        <v>4.0</v>
      </c>
      <c r="FR34" s="212">
        <v>13.0</v>
      </c>
      <c r="FS34" s="206">
        <v>1.0</v>
      </c>
      <c r="FT34" s="207">
        <v>1.0</v>
      </c>
      <c r="FU34" s="207">
        <v>1.0</v>
      </c>
      <c r="FV34" s="207">
        <v>13.0</v>
      </c>
      <c r="FW34" s="207">
        <v>1.0</v>
      </c>
      <c r="FX34" s="207">
        <v>0.0</v>
      </c>
      <c r="FY34" s="207">
        <v>0.0</v>
      </c>
      <c r="FZ34" s="207">
        <v>0.0</v>
      </c>
      <c r="GA34" s="207">
        <v>0.0</v>
      </c>
      <c r="GB34" s="207">
        <v>0.0</v>
      </c>
      <c r="GC34" s="207">
        <v>0.0</v>
      </c>
      <c r="GD34" s="207">
        <v>0.0</v>
      </c>
      <c r="GE34" s="207">
        <v>0.0</v>
      </c>
      <c r="GF34" s="207">
        <v>0.0</v>
      </c>
      <c r="GG34" s="207">
        <v>0.0</v>
      </c>
      <c r="GH34" s="207">
        <v>1.0</v>
      </c>
      <c r="GI34" s="207">
        <v>0.0</v>
      </c>
      <c r="GJ34" s="207">
        <v>0.0</v>
      </c>
      <c r="GK34" s="212">
        <v>1.0</v>
      </c>
      <c r="GL34" s="212">
        <v>0.0</v>
      </c>
      <c r="GM34" s="207">
        <v>278.0</v>
      </c>
      <c r="GN34" s="207">
        <v>103.0</v>
      </c>
      <c r="GO34" s="213">
        <v>244.0</v>
      </c>
      <c r="GP34" s="213">
        <v>86.0</v>
      </c>
      <c r="GQ34" s="207"/>
      <c r="GR34" s="213">
        <v>15.0</v>
      </c>
      <c r="GS34" s="193">
        <v>4.0</v>
      </c>
      <c r="GT34" s="194">
        <f t="shared" si="25"/>
        <v>15</v>
      </c>
      <c r="GU34" s="194">
        <f t="shared" si="26"/>
        <v>4</v>
      </c>
      <c r="GV34" s="194">
        <f t="shared" si="27"/>
        <v>11</v>
      </c>
      <c r="GW34" s="207">
        <v>1.0</v>
      </c>
      <c r="GX34" s="207">
        <v>2.0</v>
      </c>
      <c r="GY34" s="207">
        <v>0.0</v>
      </c>
      <c r="GZ34" s="207">
        <v>11.0</v>
      </c>
      <c r="HA34" s="207">
        <v>1.0</v>
      </c>
      <c r="HB34" s="207">
        <v>0.0</v>
      </c>
      <c r="HC34" s="207">
        <v>0.0</v>
      </c>
      <c r="HD34" s="207">
        <v>0.0</v>
      </c>
      <c r="HE34" s="207">
        <v>0.0</v>
      </c>
      <c r="HF34" s="207">
        <v>0.0</v>
      </c>
      <c r="HG34" s="207">
        <v>1.0</v>
      </c>
      <c r="HH34" s="207">
        <v>1.0</v>
      </c>
      <c r="HI34" s="207">
        <v>0.0</v>
      </c>
      <c r="HJ34" s="207">
        <v>0.0</v>
      </c>
      <c r="HK34" s="207">
        <v>0.0</v>
      </c>
      <c r="HL34" s="207">
        <v>0.0</v>
      </c>
      <c r="HM34" s="207">
        <v>1.0</v>
      </c>
      <c r="HN34" s="207">
        <v>0.0</v>
      </c>
      <c r="HO34" s="222">
        <f t="shared" si="104"/>
        <v>3</v>
      </c>
      <c r="HP34" s="222">
        <f t="shared" si="105"/>
        <v>1</v>
      </c>
      <c r="HQ34" s="214"/>
      <c r="HR34" s="197"/>
      <c r="HS34" s="197"/>
      <c r="HT34" s="198">
        <f t="shared" si="28"/>
        <v>30</v>
      </c>
      <c r="HU34" s="198">
        <f t="shared" si="29"/>
        <v>30</v>
      </c>
      <c r="HV34" s="198">
        <f t="shared" si="30"/>
        <v>24</v>
      </c>
      <c r="HW34" s="198">
        <f t="shared" si="99"/>
        <v>22</v>
      </c>
      <c r="HX34" s="198">
        <f t="shared" si="32"/>
        <v>26</v>
      </c>
      <c r="HY34" s="198">
        <f t="shared" si="33"/>
        <v>24</v>
      </c>
      <c r="HZ34" s="198">
        <f t="shared" si="34"/>
        <v>23</v>
      </c>
      <c r="IA34" s="198">
        <f t="shared" si="35"/>
        <v>24</v>
      </c>
      <c r="IB34" s="198">
        <f t="shared" si="36"/>
        <v>22</v>
      </c>
      <c r="IC34" s="198">
        <f t="shared" si="37"/>
        <v>20</v>
      </c>
      <c r="ID34" s="198">
        <f t="shared" si="38"/>
        <v>17</v>
      </c>
      <c r="IE34" s="198">
        <f t="shared" si="39"/>
        <v>15</v>
      </c>
      <c r="IF34" s="197"/>
      <c r="IG34" s="197"/>
      <c r="IH34" s="197"/>
      <c r="II34" s="197"/>
      <c r="IJ34" s="197"/>
      <c r="IK34" s="197"/>
      <c r="IL34" s="197"/>
      <c r="IM34" s="197"/>
      <c r="IN34" s="197"/>
      <c r="IO34" s="197"/>
      <c r="IP34" s="197"/>
      <c r="IQ34" s="197"/>
      <c r="IR34" s="197"/>
      <c r="IS34" s="197"/>
      <c r="IT34" s="197"/>
      <c r="IU34" s="197"/>
      <c r="IV34" s="197"/>
      <c r="IW34" s="197"/>
      <c r="IX34" s="197"/>
      <c r="IY34" s="197"/>
      <c r="IZ34" s="197"/>
      <c r="JA34" s="199"/>
      <c r="JB34" s="200">
        <f t="shared" si="40"/>
        <v>30</v>
      </c>
      <c r="JC34" s="200">
        <f t="shared" si="41"/>
        <v>30</v>
      </c>
      <c r="JD34" s="200">
        <f t="shared" si="42"/>
        <v>24</v>
      </c>
      <c r="JE34" s="200">
        <f t="shared" si="43"/>
        <v>22</v>
      </c>
      <c r="JF34" s="200">
        <f t="shared" si="44"/>
        <v>26</v>
      </c>
      <c r="JG34" s="200">
        <f t="shared" si="45"/>
        <v>24</v>
      </c>
      <c r="JH34" s="200">
        <f t="shared" si="46"/>
        <v>23</v>
      </c>
      <c r="JI34" s="200">
        <f t="shared" si="47"/>
        <v>24</v>
      </c>
      <c r="JJ34" s="200">
        <f t="shared" si="48"/>
        <v>22</v>
      </c>
      <c r="JK34" s="200">
        <f t="shared" si="49"/>
        <v>21</v>
      </c>
      <c r="JL34" s="200">
        <f t="shared" si="50"/>
        <v>17</v>
      </c>
      <c r="JM34" s="200">
        <f t="shared" si="51"/>
        <v>15</v>
      </c>
      <c r="JN34" s="199"/>
      <c r="JO34" s="200">
        <f t="shared" si="52"/>
        <v>30</v>
      </c>
      <c r="JP34" s="202">
        <v>30.0</v>
      </c>
      <c r="JQ34" s="202">
        <v>24.0</v>
      </c>
      <c r="JR34" s="202">
        <v>22.0</v>
      </c>
      <c r="JS34" s="202">
        <v>26.0</v>
      </c>
      <c r="JT34" s="199"/>
      <c r="JU34" s="199"/>
      <c r="JV34" s="200">
        <f t="shared" ref="JV34:JX34" si="112">IA34-JI34</f>
        <v>0</v>
      </c>
      <c r="JW34" s="200">
        <f t="shared" si="112"/>
        <v>0</v>
      </c>
      <c r="JX34" s="200">
        <f t="shared" si="112"/>
        <v>-1</v>
      </c>
      <c r="JY34" s="199"/>
      <c r="JZ34" s="199"/>
      <c r="KA34" s="199"/>
      <c r="KB34" s="200">
        <f t="shared" ref="KB34:KM34" si="113">JB34-JO34</f>
        <v>0</v>
      </c>
      <c r="KC34" s="200">
        <f t="shared" si="113"/>
        <v>0</v>
      </c>
      <c r="KD34" s="200">
        <f t="shared" si="113"/>
        <v>0</v>
      </c>
      <c r="KE34" s="200">
        <f t="shared" si="113"/>
        <v>0</v>
      </c>
      <c r="KF34" s="200">
        <f t="shared" si="113"/>
        <v>0</v>
      </c>
      <c r="KG34" s="200">
        <f t="shared" si="113"/>
        <v>24</v>
      </c>
      <c r="KH34" s="200">
        <f t="shared" si="113"/>
        <v>23</v>
      </c>
      <c r="KI34" s="200">
        <f t="shared" si="113"/>
        <v>24</v>
      </c>
      <c r="KJ34" s="200">
        <f t="shared" si="113"/>
        <v>22</v>
      </c>
      <c r="KK34" s="200">
        <f t="shared" si="113"/>
        <v>22</v>
      </c>
      <c r="KL34" s="200">
        <f t="shared" si="113"/>
        <v>17</v>
      </c>
      <c r="KM34" s="200">
        <f t="shared" si="113"/>
        <v>15</v>
      </c>
      <c r="KN34" s="199"/>
      <c r="KO34" s="199"/>
      <c r="KP34" s="199"/>
      <c r="KQ34" s="199"/>
      <c r="KR34" s="199"/>
      <c r="KS34" s="199"/>
      <c r="KT34" s="199"/>
      <c r="KU34" s="199"/>
      <c r="KV34" s="199"/>
      <c r="KW34" s="199"/>
      <c r="KX34" s="199"/>
      <c r="KY34" s="199"/>
      <c r="KZ34" s="199"/>
      <c r="LA34" s="199"/>
      <c r="LB34" s="199"/>
      <c r="LC34" s="199"/>
      <c r="LD34" s="199"/>
      <c r="LE34" s="199"/>
      <c r="LF34" s="199"/>
      <c r="LG34" s="199"/>
    </row>
    <row r="35" ht="14.25" customHeight="1">
      <c r="A35" s="156">
        <v>28.0</v>
      </c>
      <c r="B35" s="264" t="s">
        <v>106</v>
      </c>
      <c r="C35" s="265">
        <v>3374110.0</v>
      </c>
      <c r="D35" s="265" t="s">
        <v>111</v>
      </c>
      <c r="E35" s="266" t="s">
        <v>112</v>
      </c>
      <c r="F35" s="267">
        <v>6.0</v>
      </c>
      <c r="G35" s="268">
        <v>210.0</v>
      </c>
      <c r="H35" s="267">
        <v>10.0</v>
      </c>
      <c r="I35" s="202">
        <v>0.0</v>
      </c>
      <c r="J35" s="202">
        <v>0.0</v>
      </c>
      <c r="K35" s="202">
        <v>2.0</v>
      </c>
      <c r="L35" s="202">
        <v>8.0</v>
      </c>
      <c r="M35" s="202">
        <v>0.0</v>
      </c>
      <c r="N35" s="202">
        <v>0.0</v>
      </c>
      <c r="O35" s="162">
        <f t="shared" si="3"/>
        <v>10</v>
      </c>
      <c r="P35" s="203">
        <v>10.0</v>
      </c>
      <c r="Q35" s="202">
        <v>0.0</v>
      </c>
      <c r="R35" s="202">
        <v>0.0</v>
      </c>
      <c r="S35" s="202">
        <v>2.0</v>
      </c>
      <c r="T35" s="269">
        <v>8.0</v>
      </c>
      <c r="U35" s="269">
        <v>0.0</v>
      </c>
      <c r="V35" s="269">
        <v>0.0</v>
      </c>
      <c r="W35" s="166">
        <f t="shared" si="4"/>
        <v>10</v>
      </c>
      <c r="X35" s="203">
        <v>10.0</v>
      </c>
      <c r="Y35" s="202">
        <v>0.0</v>
      </c>
      <c r="Z35" s="202">
        <v>0.0</v>
      </c>
      <c r="AA35" s="202">
        <v>2.0</v>
      </c>
      <c r="AB35" s="269">
        <v>8.0</v>
      </c>
      <c r="AC35" s="269">
        <v>0.0</v>
      </c>
      <c r="AD35" s="269">
        <v>0.0</v>
      </c>
      <c r="AE35" s="166">
        <f t="shared" si="5"/>
        <v>10</v>
      </c>
      <c r="AF35" s="167">
        <v>5.0</v>
      </c>
      <c r="AG35" s="270">
        <v>0.0</v>
      </c>
      <c r="AH35" s="270">
        <v>0.0</v>
      </c>
      <c r="AI35" s="270">
        <v>2.0</v>
      </c>
      <c r="AJ35" s="270">
        <v>3.0</v>
      </c>
      <c r="AK35" s="270">
        <v>0.0</v>
      </c>
      <c r="AL35" s="270">
        <v>5.0</v>
      </c>
      <c r="AM35" s="166">
        <f t="shared" si="98"/>
        <v>0</v>
      </c>
      <c r="AN35" s="167">
        <v>5.0</v>
      </c>
      <c r="AO35" s="270">
        <v>0.0</v>
      </c>
      <c r="AP35" s="270">
        <v>0.0</v>
      </c>
      <c r="AQ35" s="270">
        <v>2.0</v>
      </c>
      <c r="AR35" s="270">
        <v>3.0</v>
      </c>
      <c r="AS35" s="270">
        <v>0.0</v>
      </c>
      <c r="AT35" s="270">
        <v>5.0</v>
      </c>
      <c r="AU35" s="168">
        <f t="shared" si="7"/>
        <v>0</v>
      </c>
      <c r="AV35" s="271">
        <v>210.0</v>
      </c>
      <c r="AW35" s="204">
        <f t="shared" si="8"/>
        <v>1</v>
      </c>
      <c r="AX35" s="271">
        <v>0.0</v>
      </c>
      <c r="AY35" s="271">
        <v>0.0</v>
      </c>
      <c r="AZ35" s="272">
        <v>1.0</v>
      </c>
      <c r="BA35" s="271">
        <v>0.0</v>
      </c>
      <c r="BB35" s="271">
        <v>0.0</v>
      </c>
      <c r="BC35" s="271">
        <v>0.0</v>
      </c>
      <c r="BD35" s="271">
        <v>0.0</v>
      </c>
      <c r="BE35" s="271">
        <v>0.0</v>
      </c>
      <c r="BF35" s="271">
        <v>0.0</v>
      </c>
      <c r="BG35" s="271">
        <v>0.0</v>
      </c>
      <c r="BH35" s="271">
        <v>0.0</v>
      </c>
      <c r="BI35" s="271">
        <v>0.0</v>
      </c>
      <c r="BJ35" s="271">
        <v>0.0</v>
      </c>
      <c r="BK35" s="271">
        <v>0.0</v>
      </c>
      <c r="BL35" s="271">
        <v>0.0</v>
      </c>
      <c r="BM35" s="271">
        <v>0.0</v>
      </c>
      <c r="BN35" s="271">
        <v>1.0</v>
      </c>
      <c r="BO35" s="271">
        <v>0.0</v>
      </c>
      <c r="BP35" s="205">
        <f t="shared" si="102"/>
        <v>1</v>
      </c>
      <c r="BQ35" s="273">
        <v>210.0</v>
      </c>
      <c r="BR35" s="170">
        <f t="shared" si="10"/>
        <v>1</v>
      </c>
      <c r="BS35" s="273">
        <v>0.0</v>
      </c>
      <c r="BT35" s="273">
        <v>0.0</v>
      </c>
      <c r="BU35" s="273">
        <v>0.0</v>
      </c>
      <c r="BV35" s="273">
        <v>1.0</v>
      </c>
      <c r="BW35" s="273">
        <v>0.0</v>
      </c>
      <c r="BX35" s="273">
        <v>0.0</v>
      </c>
      <c r="BY35" s="273">
        <v>0.0</v>
      </c>
      <c r="BZ35" s="273">
        <v>0.0</v>
      </c>
      <c r="CA35" s="273">
        <v>0.0</v>
      </c>
      <c r="CB35" s="273">
        <v>0.0</v>
      </c>
      <c r="CC35" s="273">
        <v>0.0</v>
      </c>
      <c r="CD35" s="273">
        <v>0.0</v>
      </c>
      <c r="CE35" s="273">
        <v>0.0</v>
      </c>
      <c r="CF35" s="273">
        <v>0.0</v>
      </c>
      <c r="CG35" s="273">
        <v>0.0</v>
      </c>
      <c r="CH35" s="273">
        <v>0.0</v>
      </c>
      <c r="CI35" s="273">
        <v>2.0</v>
      </c>
      <c r="CJ35" s="273">
        <v>0.0</v>
      </c>
      <c r="CK35" s="172">
        <f t="shared" si="11"/>
        <v>2</v>
      </c>
      <c r="CL35" s="273">
        <v>210.0</v>
      </c>
      <c r="CM35" s="273">
        <v>46.0</v>
      </c>
      <c r="CN35" s="175">
        <f t="shared" si="12"/>
        <v>3</v>
      </c>
      <c r="CO35" s="273">
        <v>1.0</v>
      </c>
      <c r="CP35" s="273">
        <v>0.0</v>
      </c>
      <c r="CQ35" s="273">
        <v>0.0</v>
      </c>
      <c r="CR35" s="273">
        <v>1.0</v>
      </c>
      <c r="CS35" s="273">
        <v>0.0</v>
      </c>
      <c r="CT35" s="273">
        <v>1.0</v>
      </c>
      <c r="CU35" s="273">
        <v>0.0</v>
      </c>
      <c r="CV35" s="273">
        <v>0.0</v>
      </c>
      <c r="CW35" s="273">
        <v>0.0</v>
      </c>
      <c r="CX35" s="273">
        <v>0.0</v>
      </c>
      <c r="CY35" s="273">
        <v>0.0</v>
      </c>
      <c r="CZ35" s="273">
        <v>0.0</v>
      </c>
      <c r="DA35" s="273">
        <v>0.0</v>
      </c>
      <c r="DB35" s="273">
        <v>0.0</v>
      </c>
      <c r="DC35" s="273">
        <v>0.0</v>
      </c>
      <c r="DD35" s="273">
        <v>0.0</v>
      </c>
      <c r="DE35" s="273">
        <v>0.0</v>
      </c>
      <c r="DF35" s="273">
        <v>0.0</v>
      </c>
      <c r="DG35" s="176">
        <f t="shared" si="13"/>
        <v>0</v>
      </c>
      <c r="DH35" s="274">
        <v>219.0</v>
      </c>
      <c r="DI35" s="275">
        <v>46.0</v>
      </c>
      <c r="DJ35" s="274">
        <v>219.0</v>
      </c>
      <c r="DK35" s="275">
        <v>46.0</v>
      </c>
      <c r="DL35" s="179">
        <f t="shared" si="14"/>
        <v>3</v>
      </c>
      <c r="DM35" s="180">
        <f t="shared" si="15"/>
        <v>2</v>
      </c>
      <c r="DN35" s="180">
        <f t="shared" si="16"/>
        <v>1</v>
      </c>
      <c r="DO35" s="274">
        <v>1.0</v>
      </c>
      <c r="DP35" s="275">
        <v>1.0</v>
      </c>
      <c r="DQ35" s="275">
        <v>0.0</v>
      </c>
      <c r="DR35" s="275">
        <v>1.0</v>
      </c>
      <c r="DS35" s="275">
        <v>0.0</v>
      </c>
      <c r="DT35" s="275">
        <v>0.0</v>
      </c>
      <c r="DU35" s="275">
        <v>0.0</v>
      </c>
      <c r="DV35" s="275">
        <v>0.0</v>
      </c>
      <c r="DW35" s="275">
        <v>0.0</v>
      </c>
      <c r="DX35" s="275">
        <v>0.0</v>
      </c>
      <c r="DY35" s="275">
        <v>0.0</v>
      </c>
      <c r="DZ35" s="275">
        <v>0.0</v>
      </c>
      <c r="EA35" s="275">
        <v>0.0</v>
      </c>
      <c r="EB35" s="275">
        <v>0.0</v>
      </c>
      <c r="EC35" s="275">
        <v>0.0</v>
      </c>
      <c r="ED35" s="275">
        <v>0.0</v>
      </c>
      <c r="EE35" s="275">
        <v>0.0</v>
      </c>
      <c r="EF35" s="275">
        <v>0.0</v>
      </c>
      <c r="EG35" s="179">
        <f t="shared" si="17"/>
        <v>0</v>
      </c>
      <c r="EH35" s="179">
        <f t="shared" si="18"/>
        <v>0</v>
      </c>
      <c r="EI35" s="274">
        <v>218.0</v>
      </c>
      <c r="EJ35" s="275">
        <v>45.0</v>
      </c>
      <c r="EK35" s="275">
        <v>218.0</v>
      </c>
      <c r="EL35" s="275">
        <v>45.0</v>
      </c>
      <c r="EM35" s="185">
        <f t="shared" si="19"/>
        <v>4</v>
      </c>
      <c r="EN35" s="186">
        <f t="shared" si="89"/>
        <v>3</v>
      </c>
      <c r="EO35" s="186">
        <f t="shared" si="90"/>
        <v>1</v>
      </c>
      <c r="EP35" s="274">
        <v>1.0</v>
      </c>
      <c r="EQ35" s="275">
        <v>1.0</v>
      </c>
      <c r="ER35" s="275">
        <v>0.0</v>
      </c>
      <c r="ES35" s="275">
        <v>1.0</v>
      </c>
      <c r="ET35" s="275">
        <v>0.0</v>
      </c>
      <c r="EU35" s="275">
        <v>0.0</v>
      </c>
      <c r="EV35" s="275">
        <v>1.0</v>
      </c>
      <c r="EW35" s="275">
        <v>0.0</v>
      </c>
      <c r="EX35" s="275">
        <v>0.0</v>
      </c>
      <c r="EY35" s="275">
        <v>0.0</v>
      </c>
      <c r="EZ35" s="275">
        <v>0.0</v>
      </c>
      <c r="FA35" s="275">
        <v>0.0</v>
      </c>
      <c r="FB35" s="275">
        <v>0.0</v>
      </c>
      <c r="FC35" s="275">
        <v>0.0</v>
      </c>
      <c r="FD35" s="275">
        <v>0.0</v>
      </c>
      <c r="FE35" s="275">
        <v>0.0</v>
      </c>
      <c r="FF35" s="275">
        <v>0.0</v>
      </c>
      <c r="FG35" s="275">
        <v>0.0</v>
      </c>
      <c r="FH35" s="185">
        <f t="shared" si="22"/>
        <v>0</v>
      </c>
      <c r="FI35" s="185">
        <f t="shared" si="23"/>
        <v>0</v>
      </c>
      <c r="FJ35" s="276">
        <v>213.0</v>
      </c>
      <c r="FK35" s="277">
        <v>44.0</v>
      </c>
      <c r="FL35" s="277">
        <v>212.0</v>
      </c>
      <c r="FM35" s="277">
        <v>44.0</v>
      </c>
      <c r="FN35" s="210"/>
      <c r="FO35" s="210">
        <v>1.0</v>
      </c>
      <c r="FP35" s="188">
        <f t="shared" si="103"/>
        <v>1</v>
      </c>
      <c r="FQ35" s="211">
        <v>0.0</v>
      </c>
      <c r="FR35" s="212">
        <v>1.0</v>
      </c>
      <c r="FS35" s="206">
        <v>0.0</v>
      </c>
      <c r="FT35" s="207">
        <v>0.0</v>
      </c>
      <c r="FU35" s="207">
        <v>0.0</v>
      </c>
      <c r="FV35" s="207">
        <v>1.0</v>
      </c>
      <c r="FW35" s="207">
        <v>0.0</v>
      </c>
      <c r="FX35" s="207">
        <v>0.0</v>
      </c>
      <c r="FY35" s="207">
        <v>0.0</v>
      </c>
      <c r="FZ35" s="207">
        <v>0.0</v>
      </c>
      <c r="GA35" s="207">
        <v>0.0</v>
      </c>
      <c r="GB35" s="207">
        <v>0.0</v>
      </c>
      <c r="GC35" s="207">
        <v>0.0</v>
      </c>
      <c r="GD35" s="207">
        <v>0.0</v>
      </c>
      <c r="GE35" s="207">
        <v>0.0</v>
      </c>
      <c r="GF35" s="207">
        <v>1.0</v>
      </c>
      <c r="GG35" s="207">
        <v>2.0</v>
      </c>
      <c r="GH35" s="207">
        <v>0.0</v>
      </c>
      <c r="GI35" s="207">
        <v>0.0</v>
      </c>
      <c r="GJ35" s="207">
        <v>0.0</v>
      </c>
      <c r="GK35" s="212">
        <v>3.0</v>
      </c>
      <c r="GL35" s="212">
        <v>3.0</v>
      </c>
      <c r="GM35" s="207">
        <v>208.0</v>
      </c>
      <c r="GN35" s="207">
        <v>46.0</v>
      </c>
      <c r="GO35" s="213">
        <v>208.0</v>
      </c>
      <c r="GP35" s="213">
        <v>46.0</v>
      </c>
      <c r="GQ35" s="207"/>
      <c r="GR35" s="213">
        <v>0.0</v>
      </c>
      <c r="GS35" s="193">
        <v>0.0</v>
      </c>
      <c r="GT35" s="194">
        <f t="shared" si="25"/>
        <v>0</v>
      </c>
      <c r="GU35" s="194">
        <f t="shared" si="26"/>
        <v>0</v>
      </c>
      <c r="GV35" s="194">
        <f t="shared" si="27"/>
        <v>0</v>
      </c>
      <c r="GW35" s="207">
        <v>0.0</v>
      </c>
      <c r="GX35" s="207">
        <v>0.0</v>
      </c>
      <c r="GY35" s="207">
        <v>0.0</v>
      </c>
      <c r="GZ35" s="207">
        <v>0.0</v>
      </c>
      <c r="HA35" s="207">
        <v>0.0</v>
      </c>
      <c r="HB35" s="207">
        <v>0.0</v>
      </c>
      <c r="HC35" s="207">
        <v>0.0</v>
      </c>
      <c r="HD35" s="207">
        <v>0.0</v>
      </c>
      <c r="HE35" s="207">
        <v>0.0</v>
      </c>
      <c r="HF35" s="207">
        <v>0.0</v>
      </c>
      <c r="HG35" s="207">
        <v>0.0</v>
      </c>
      <c r="HH35" s="207">
        <v>1.0</v>
      </c>
      <c r="HI35" s="207">
        <v>0.0</v>
      </c>
      <c r="HJ35" s="207">
        <v>0.0</v>
      </c>
      <c r="HK35" s="207">
        <v>0.0</v>
      </c>
      <c r="HL35" s="207">
        <v>0.0</v>
      </c>
      <c r="HM35" s="207">
        <v>0.0</v>
      </c>
      <c r="HN35" s="207">
        <v>0.0</v>
      </c>
      <c r="HO35" s="222">
        <f t="shared" si="104"/>
        <v>1</v>
      </c>
      <c r="HP35" s="222">
        <f t="shared" si="105"/>
        <v>0</v>
      </c>
      <c r="HQ35" s="214"/>
      <c r="HR35" s="197"/>
      <c r="HS35" s="197"/>
      <c r="HT35" s="198">
        <f t="shared" si="28"/>
        <v>10</v>
      </c>
      <c r="HU35" s="198">
        <f t="shared" si="29"/>
        <v>10</v>
      </c>
      <c r="HV35" s="198">
        <f t="shared" si="30"/>
        <v>10</v>
      </c>
      <c r="HW35" s="198">
        <f t="shared" si="99"/>
        <v>5</v>
      </c>
      <c r="HX35" s="198">
        <f t="shared" si="32"/>
        <v>5</v>
      </c>
      <c r="HY35" s="198">
        <f t="shared" si="33"/>
        <v>1</v>
      </c>
      <c r="HZ35" s="198">
        <f t="shared" si="34"/>
        <v>1</v>
      </c>
      <c r="IA35" s="198">
        <f t="shared" si="35"/>
        <v>3</v>
      </c>
      <c r="IB35" s="198">
        <f t="shared" si="36"/>
        <v>3</v>
      </c>
      <c r="IC35" s="198">
        <f t="shared" si="37"/>
        <v>4</v>
      </c>
      <c r="ID35" s="198">
        <f t="shared" si="38"/>
        <v>1</v>
      </c>
      <c r="IE35" s="198">
        <f t="shared" si="39"/>
        <v>0</v>
      </c>
      <c r="IF35" s="197"/>
      <c r="IG35" s="197"/>
      <c r="IH35" s="197"/>
      <c r="II35" s="197"/>
      <c r="IJ35" s="197"/>
      <c r="IK35" s="197"/>
      <c r="IL35" s="197"/>
      <c r="IM35" s="197"/>
      <c r="IN35" s="197"/>
      <c r="IO35" s="197"/>
      <c r="IP35" s="197"/>
      <c r="IQ35" s="197"/>
      <c r="IR35" s="197"/>
      <c r="IS35" s="197"/>
      <c r="IT35" s="197"/>
      <c r="IU35" s="197"/>
      <c r="IV35" s="197"/>
      <c r="IW35" s="197"/>
      <c r="IX35" s="197"/>
      <c r="IY35" s="197"/>
      <c r="IZ35" s="197"/>
      <c r="JA35" s="199"/>
      <c r="JB35" s="199">
        <f t="shared" si="40"/>
        <v>10</v>
      </c>
      <c r="JC35" s="199">
        <f t="shared" si="41"/>
        <v>10</v>
      </c>
      <c r="JD35" s="199">
        <f t="shared" si="42"/>
        <v>10</v>
      </c>
      <c r="JE35" s="199">
        <f t="shared" si="43"/>
        <v>5</v>
      </c>
      <c r="JF35" s="199">
        <f t="shared" si="44"/>
        <v>5</v>
      </c>
      <c r="JG35" s="199">
        <f t="shared" si="45"/>
        <v>1</v>
      </c>
      <c r="JH35" s="199">
        <f t="shared" si="46"/>
        <v>1</v>
      </c>
      <c r="JI35" s="200">
        <f t="shared" si="47"/>
        <v>3</v>
      </c>
      <c r="JJ35" s="200">
        <f t="shared" si="48"/>
        <v>3</v>
      </c>
      <c r="JK35" s="200">
        <f t="shared" si="49"/>
        <v>4</v>
      </c>
      <c r="JL35" s="200">
        <f t="shared" si="50"/>
        <v>1</v>
      </c>
      <c r="JM35" s="200">
        <f t="shared" si="51"/>
        <v>0</v>
      </c>
      <c r="JN35" s="199"/>
      <c r="JO35" s="199">
        <f t="shared" si="52"/>
        <v>10</v>
      </c>
      <c r="JP35" s="202">
        <v>10.0</v>
      </c>
      <c r="JQ35" s="202">
        <v>10.0</v>
      </c>
      <c r="JR35" s="202">
        <v>5.0</v>
      </c>
      <c r="JS35" s="202">
        <v>5.0</v>
      </c>
      <c r="JT35" s="199"/>
      <c r="JU35" s="199"/>
      <c r="JV35" s="200">
        <f t="shared" ref="JV35:JX35" si="114">IA35-JI35</f>
        <v>0</v>
      </c>
      <c r="JW35" s="200">
        <f t="shared" si="114"/>
        <v>0</v>
      </c>
      <c r="JX35" s="200">
        <f t="shared" si="114"/>
        <v>0</v>
      </c>
      <c r="JY35" s="199"/>
      <c r="JZ35" s="199"/>
      <c r="KA35" s="199"/>
      <c r="KB35" s="199">
        <f t="shared" ref="KB35:KM35" si="115">JB35-JO35</f>
        <v>0</v>
      </c>
      <c r="KC35" s="199">
        <f t="shared" si="115"/>
        <v>0</v>
      </c>
      <c r="KD35" s="199">
        <f t="shared" si="115"/>
        <v>0</v>
      </c>
      <c r="KE35" s="199">
        <f t="shared" si="115"/>
        <v>0</v>
      </c>
      <c r="KF35" s="199">
        <f t="shared" si="115"/>
        <v>0</v>
      </c>
      <c r="KG35" s="199">
        <f t="shared" si="115"/>
        <v>1</v>
      </c>
      <c r="KH35" s="199">
        <f t="shared" si="115"/>
        <v>1</v>
      </c>
      <c r="KI35" s="199">
        <f t="shared" si="115"/>
        <v>3</v>
      </c>
      <c r="KJ35" s="199">
        <f t="shared" si="115"/>
        <v>3</v>
      </c>
      <c r="KK35" s="199">
        <f t="shared" si="115"/>
        <v>4</v>
      </c>
      <c r="KL35" s="199">
        <f t="shared" si="115"/>
        <v>1</v>
      </c>
      <c r="KM35" s="199">
        <f t="shared" si="115"/>
        <v>0</v>
      </c>
      <c r="KN35" s="199"/>
      <c r="KO35" s="199"/>
      <c r="KP35" s="199"/>
      <c r="KQ35" s="199"/>
      <c r="KR35" s="199"/>
      <c r="KS35" s="199"/>
      <c r="KT35" s="199"/>
      <c r="KU35" s="199"/>
      <c r="KV35" s="199"/>
      <c r="KW35" s="199"/>
      <c r="KX35" s="199"/>
      <c r="KY35" s="199"/>
      <c r="KZ35" s="199"/>
      <c r="LA35" s="199"/>
      <c r="LB35" s="199"/>
      <c r="LC35" s="199"/>
      <c r="LD35" s="199"/>
      <c r="LE35" s="199"/>
      <c r="LF35" s="199"/>
      <c r="LG35" s="199"/>
      <c r="LH35" s="278"/>
      <c r="LI35" s="278"/>
      <c r="LJ35" s="278"/>
      <c r="LK35" s="278"/>
    </row>
    <row r="36" ht="14.25" customHeight="1">
      <c r="A36" s="156">
        <v>29.0</v>
      </c>
      <c r="B36" s="264" t="s">
        <v>106</v>
      </c>
      <c r="C36" s="265">
        <v>3374110.0</v>
      </c>
      <c r="D36" s="265" t="s">
        <v>111</v>
      </c>
      <c r="E36" s="265" t="s">
        <v>113</v>
      </c>
      <c r="F36" s="279">
        <v>7.0</v>
      </c>
      <c r="G36" s="280">
        <v>307.0</v>
      </c>
      <c r="H36" s="267">
        <v>9.0</v>
      </c>
      <c r="I36" s="202">
        <v>0.0</v>
      </c>
      <c r="J36" s="202">
        <v>0.0</v>
      </c>
      <c r="K36" s="202">
        <v>2.0</v>
      </c>
      <c r="L36" s="202">
        <v>7.0</v>
      </c>
      <c r="M36" s="202">
        <v>0.0</v>
      </c>
      <c r="N36" s="202">
        <v>0.0</v>
      </c>
      <c r="O36" s="162">
        <f t="shared" si="3"/>
        <v>9</v>
      </c>
      <c r="P36" s="203">
        <v>9.0</v>
      </c>
      <c r="Q36" s="202">
        <v>0.0</v>
      </c>
      <c r="R36" s="202">
        <v>0.0</v>
      </c>
      <c r="S36" s="202">
        <v>2.0</v>
      </c>
      <c r="T36" s="269">
        <v>7.0</v>
      </c>
      <c r="U36" s="269">
        <v>0.0</v>
      </c>
      <c r="V36" s="269">
        <v>0.0</v>
      </c>
      <c r="W36" s="166">
        <f t="shared" si="4"/>
        <v>9</v>
      </c>
      <c r="X36" s="203">
        <v>9.0</v>
      </c>
      <c r="Y36" s="202">
        <v>0.0</v>
      </c>
      <c r="Z36" s="202">
        <v>0.0</v>
      </c>
      <c r="AA36" s="202">
        <v>2.0</v>
      </c>
      <c r="AB36" s="269">
        <v>7.0</v>
      </c>
      <c r="AC36" s="269">
        <v>0.0</v>
      </c>
      <c r="AD36" s="269">
        <v>0.0</v>
      </c>
      <c r="AE36" s="166">
        <f t="shared" si="5"/>
        <v>9</v>
      </c>
      <c r="AF36" s="167">
        <v>9.0</v>
      </c>
      <c r="AG36" s="202">
        <v>0.0</v>
      </c>
      <c r="AH36" s="202">
        <v>0.0</v>
      </c>
      <c r="AI36" s="202">
        <v>2.0</v>
      </c>
      <c r="AJ36" s="269">
        <v>7.0</v>
      </c>
      <c r="AK36" s="269">
        <v>0.0</v>
      </c>
      <c r="AL36" s="269">
        <v>0.0</v>
      </c>
      <c r="AM36" s="166">
        <f t="shared" si="98"/>
        <v>9</v>
      </c>
      <c r="AN36" s="167">
        <v>5.0</v>
      </c>
      <c r="AO36" s="202">
        <v>0.0</v>
      </c>
      <c r="AP36" s="202">
        <v>0.0</v>
      </c>
      <c r="AQ36" s="202">
        <v>2.0</v>
      </c>
      <c r="AR36" s="269">
        <v>3.0</v>
      </c>
      <c r="AS36" s="269">
        <v>0.0</v>
      </c>
      <c r="AT36" s="269">
        <v>4.0</v>
      </c>
      <c r="AU36" s="168">
        <f t="shared" si="7"/>
        <v>1</v>
      </c>
      <c r="AV36" s="271">
        <v>307.0</v>
      </c>
      <c r="AW36" s="204">
        <f t="shared" si="8"/>
        <v>2</v>
      </c>
      <c r="AX36" s="271">
        <v>0.0</v>
      </c>
      <c r="AY36" s="271">
        <v>0.0</v>
      </c>
      <c r="AZ36" s="202">
        <v>2.0</v>
      </c>
      <c r="BA36" s="271">
        <v>0.0</v>
      </c>
      <c r="BB36" s="271">
        <v>0.0</v>
      </c>
      <c r="BC36" s="271">
        <v>0.0</v>
      </c>
      <c r="BD36" s="271">
        <v>0.0</v>
      </c>
      <c r="BE36" s="271">
        <v>0.0</v>
      </c>
      <c r="BF36" s="271">
        <v>0.0</v>
      </c>
      <c r="BG36" s="271">
        <v>0.0</v>
      </c>
      <c r="BH36" s="271">
        <v>0.0</v>
      </c>
      <c r="BI36" s="271">
        <v>0.0</v>
      </c>
      <c r="BJ36" s="271">
        <v>0.0</v>
      </c>
      <c r="BK36" s="271">
        <v>0.0</v>
      </c>
      <c r="BL36" s="271">
        <v>0.0</v>
      </c>
      <c r="BM36" s="271">
        <v>0.0</v>
      </c>
      <c r="BN36" s="271">
        <v>1.0</v>
      </c>
      <c r="BO36" s="271">
        <v>0.0</v>
      </c>
      <c r="BP36" s="205">
        <f t="shared" si="102"/>
        <v>1</v>
      </c>
      <c r="BQ36" s="273">
        <v>308.0</v>
      </c>
      <c r="BR36" s="170">
        <f t="shared" si="10"/>
        <v>3</v>
      </c>
      <c r="BS36" s="273">
        <v>0.0</v>
      </c>
      <c r="BT36" s="273">
        <v>0.0</v>
      </c>
      <c r="BU36" s="273">
        <v>0.0</v>
      </c>
      <c r="BV36" s="273">
        <v>2.0</v>
      </c>
      <c r="BW36" s="273">
        <v>0.0</v>
      </c>
      <c r="BX36" s="273">
        <v>0.0</v>
      </c>
      <c r="BY36" s="273">
        <v>0.0</v>
      </c>
      <c r="BZ36" s="273">
        <v>1.0</v>
      </c>
      <c r="CA36" s="273">
        <v>0.0</v>
      </c>
      <c r="CB36" s="273">
        <v>0.0</v>
      </c>
      <c r="CC36" s="273">
        <v>0.0</v>
      </c>
      <c r="CD36" s="273">
        <v>0.0</v>
      </c>
      <c r="CE36" s="273">
        <v>0.0</v>
      </c>
      <c r="CF36" s="273">
        <v>0.0</v>
      </c>
      <c r="CG36" s="273">
        <v>0.0</v>
      </c>
      <c r="CH36" s="273">
        <v>0.0</v>
      </c>
      <c r="CI36" s="273">
        <v>1.0</v>
      </c>
      <c r="CJ36" s="273">
        <v>0.0</v>
      </c>
      <c r="CK36" s="172">
        <f t="shared" si="11"/>
        <v>1</v>
      </c>
      <c r="CL36" s="273">
        <v>308.0</v>
      </c>
      <c r="CM36" s="273">
        <v>62.0</v>
      </c>
      <c r="CN36" s="175">
        <f t="shared" si="12"/>
        <v>10</v>
      </c>
      <c r="CO36" s="273">
        <v>0.0</v>
      </c>
      <c r="CP36" s="273">
        <v>1.0</v>
      </c>
      <c r="CQ36" s="273">
        <v>1.0</v>
      </c>
      <c r="CR36" s="273">
        <v>7.0</v>
      </c>
      <c r="CS36" s="273">
        <v>0.0</v>
      </c>
      <c r="CT36" s="273">
        <v>0.0</v>
      </c>
      <c r="CU36" s="273">
        <v>1.0</v>
      </c>
      <c r="CV36" s="273">
        <v>0.0</v>
      </c>
      <c r="CW36" s="273">
        <v>0.0</v>
      </c>
      <c r="CX36" s="273">
        <v>0.0</v>
      </c>
      <c r="CY36" s="273">
        <v>0.0</v>
      </c>
      <c r="CZ36" s="273">
        <v>0.0</v>
      </c>
      <c r="DA36" s="273">
        <v>0.0</v>
      </c>
      <c r="DB36" s="273">
        <v>0.0</v>
      </c>
      <c r="DC36" s="273">
        <v>0.0</v>
      </c>
      <c r="DD36" s="273">
        <v>0.0</v>
      </c>
      <c r="DE36" s="273">
        <v>0.0</v>
      </c>
      <c r="DF36" s="273">
        <v>0.0</v>
      </c>
      <c r="DG36" s="176">
        <f t="shared" si="13"/>
        <v>0</v>
      </c>
      <c r="DH36" s="281">
        <v>245.0</v>
      </c>
      <c r="DI36" s="282">
        <v>58.0</v>
      </c>
      <c r="DJ36" s="281">
        <v>245.0</v>
      </c>
      <c r="DK36" s="282">
        <v>58.0</v>
      </c>
      <c r="DL36" s="179">
        <f t="shared" si="14"/>
        <v>10</v>
      </c>
      <c r="DM36" s="180">
        <f t="shared" si="15"/>
        <v>3</v>
      </c>
      <c r="DN36" s="180">
        <f t="shared" si="16"/>
        <v>7</v>
      </c>
      <c r="DO36" s="281">
        <v>0.0</v>
      </c>
      <c r="DP36" s="282">
        <v>1.0</v>
      </c>
      <c r="DQ36" s="282">
        <v>2.0</v>
      </c>
      <c r="DR36" s="282">
        <v>7.0</v>
      </c>
      <c r="DS36" s="282">
        <v>0.0</v>
      </c>
      <c r="DT36" s="282">
        <v>0.0</v>
      </c>
      <c r="DU36" s="282">
        <v>0.0</v>
      </c>
      <c r="DV36" s="282">
        <v>0.0</v>
      </c>
      <c r="DW36" s="282">
        <v>0.0</v>
      </c>
      <c r="DX36" s="282">
        <v>0.0</v>
      </c>
      <c r="DY36" s="282">
        <v>0.0</v>
      </c>
      <c r="DZ36" s="282">
        <v>0.0</v>
      </c>
      <c r="EA36" s="282">
        <v>0.0</v>
      </c>
      <c r="EB36" s="282">
        <v>0.0</v>
      </c>
      <c r="EC36" s="282">
        <v>0.0</v>
      </c>
      <c r="ED36" s="282">
        <v>0.0</v>
      </c>
      <c r="EE36" s="282">
        <v>0.0</v>
      </c>
      <c r="EF36" s="282">
        <v>0.0</v>
      </c>
      <c r="EG36" s="179">
        <f t="shared" si="17"/>
        <v>0</v>
      </c>
      <c r="EH36" s="179">
        <f t="shared" si="18"/>
        <v>0</v>
      </c>
      <c r="EI36" s="281">
        <v>237.0</v>
      </c>
      <c r="EJ36" s="282">
        <v>57.0</v>
      </c>
      <c r="EK36" s="282">
        <v>237.0</v>
      </c>
      <c r="EL36" s="282">
        <v>57.0</v>
      </c>
      <c r="EM36" s="185">
        <f t="shared" si="19"/>
        <v>14</v>
      </c>
      <c r="EN36" s="186">
        <f t="shared" si="89"/>
        <v>5</v>
      </c>
      <c r="EO36" s="186">
        <f t="shared" si="90"/>
        <v>9</v>
      </c>
      <c r="EP36" s="281">
        <v>0.0</v>
      </c>
      <c r="EQ36" s="282">
        <v>1.0</v>
      </c>
      <c r="ER36" s="282">
        <v>2.0</v>
      </c>
      <c r="ES36" s="282">
        <v>5.0</v>
      </c>
      <c r="ET36" s="282">
        <v>0.0</v>
      </c>
      <c r="EU36" s="282">
        <v>0.0</v>
      </c>
      <c r="EV36" s="282">
        <v>2.0</v>
      </c>
      <c r="EW36" s="282">
        <v>4.0</v>
      </c>
      <c r="EX36" s="282">
        <v>0.0</v>
      </c>
      <c r="EY36" s="282">
        <v>0.0</v>
      </c>
      <c r="EZ36" s="282">
        <v>0.0</v>
      </c>
      <c r="FA36" s="282">
        <v>2.0</v>
      </c>
      <c r="FB36" s="282">
        <v>0.0</v>
      </c>
      <c r="FC36" s="282">
        <v>0.0</v>
      </c>
      <c r="FD36" s="282">
        <v>0.0</v>
      </c>
      <c r="FE36" s="282">
        <v>0.0</v>
      </c>
      <c r="FF36" s="282">
        <v>0.0</v>
      </c>
      <c r="FG36" s="282">
        <v>0.0</v>
      </c>
      <c r="FH36" s="185">
        <f t="shared" si="22"/>
        <v>2</v>
      </c>
      <c r="FI36" s="185">
        <f t="shared" si="23"/>
        <v>0</v>
      </c>
      <c r="FJ36" s="283">
        <v>230.0</v>
      </c>
      <c r="FK36" s="284">
        <v>59.0</v>
      </c>
      <c r="FL36" s="284">
        <v>227.0</v>
      </c>
      <c r="FM36" s="284">
        <v>58.0</v>
      </c>
      <c r="FN36" s="210"/>
      <c r="FO36" s="210">
        <v>13.0</v>
      </c>
      <c r="FP36" s="188">
        <f t="shared" si="103"/>
        <v>13</v>
      </c>
      <c r="FQ36" s="211">
        <v>5.0</v>
      </c>
      <c r="FR36" s="212">
        <v>8.0</v>
      </c>
      <c r="FS36" s="206">
        <v>0.0</v>
      </c>
      <c r="FT36" s="207">
        <v>0.0</v>
      </c>
      <c r="FU36" s="207">
        <v>5.0</v>
      </c>
      <c r="FV36" s="207">
        <v>7.0</v>
      </c>
      <c r="FW36" s="207">
        <v>0.0</v>
      </c>
      <c r="FX36" s="207">
        <v>0.0</v>
      </c>
      <c r="FY36" s="207">
        <v>0.0</v>
      </c>
      <c r="FZ36" s="207">
        <v>1.0</v>
      </c>
      <c r="GA36" s="207">
        <v>0.0</v>
      </c>
      <c r="GB36" s="207">
        <v>0.0</v>
      </c>
      <c r="GC36" s="207">
        <v>0.0</v>
      </c>
      <c r="GD36" s="207">
        <v>0.0</v>
      </c>
      <c r="GE36" s="207">
        <v>0.0</v>
      </c>
      <c r="GF36" s="207">
        <v>0.0</v>
      </c>
      <c r="GG36" s="207">
        <v>0.0</v>
      </c>
      <c r="GH36" s="207">
        <v>2.0</v>
      </c>
      <c r="GI36" s="207">
        <v>0.0</v>
      </c>
      <c r="GJ36" s="207">
        <v>0.0</v>
      </c>
      <c r="GK36" s="212">
        <v>2.0</v>
      </c>
      <c r="GL36" s="212">
        <v>0.0</v>
      </c>
      <c r="GM36" s="207">
        <v>227.0</v>
      </c>
      <c r="GN36" s="207">
        <v>58.0</v>
      </c>
      <c r="GO36" s="213">
        <v>227.0</v>
      </c>
      <c r="GP36" s="213">
        <v>58.0</v>
      </c>
      <c r="GQ36" s="207"/>
      <c r="GR36" s="213">
        <v>11.0</v>
      </c>
      <c r="GS36" s="193">
        <v>4.0</v>
      </c>
      <c r="GT36" s="194">
        <f t="shared" si="25"/>
        <v>11</v>
      </c>
      <c r="GU36" s="194">
        <f t="shared" si="26"/>
        <v>4</v>
      </c>
      <c r="GV36" s="194">
        <f t="shared" si="27"/>
        <v>7</v>
      </c>
      <c r="GW36" s="207">
        <v>0.0</v>
      </c>
      <c r="GX36" s="207">
        <v>0.0</v>
      </c>
      <c r="GY36" s="207">
        <v>4.0</v>
      </c>
      <c r="GZ36" s="207">
        <v>5.0</v>
      </c>
      <c r="HA36" s="207">
        <v>0.0</v>
      </c>
      <c r="HB36" s="207">
        <v>0.0</v>
      </c>
      <c r="HC36" s="207">
        <v>0.0</v>
      </c>
      <c r="HD36" s="207">
        <v>2.0</v>
      </c>
      <c r="HE36" s="207">
        <v>0.0</v>
      </c>
      <c r="HF36" s="207">
        <v>0.0</v>
      </c>
      <c r="HG36" s="207">
        <v>1.0</v>
      </c>
      <c r="HH36" s="207">
        <v>3.0</v>
      </c>
      <c r="HI36" s="207">
        <v>0.0</v>
      </c>
      <c r="HJ36" s="207">
        <v>0.0</v>
      </c>
      <c r="HK36" s="207">
        <v>0.0</v>
      </c>
      <c r="HL36" s="207">
        <v>0.0</v>
      </c>
      <c r="HM36" s="207">
        <v>0.0</v>
      </c>
      <c r="HN36" s="207">
        <v>0.0</v>
      </c>
      <c r="HO36" s="222">
        <f t="shared" si="104"/>
        <v>4</v>
      </c>
      <c r="HP36" s="222">
        <f t="shared" si="105"/>
        <v>1</v>
      </c>
      <c r="HQ36" s="214"/>
      <c r="HR36" s="197"/>
      <c r="HS36" s="197"/>
      <c r="HT36" s="198">
        <f t="shared" si="28"/>
        <v>9</v>
      </c>
      <c r="HU36" s="198">
        <f t="shared" si="29"/>
        <v>9</v>
      </c>
      <c r="HV36" s="198">
        <f t="shared" si="30"/>
        <v>9</v>
      </c>
      <c r="HW36" s="198">
        <f t="shared" si="99"/>
        <v>9</v>
      </c>
      <c r="HX36" s="198">
        <f t="shared" si="32"/>
        <v>5</v>
      </c>
      <c r="HY36" s="198">
        <f t="shared" si="33"/>
        <v>2</v>
      </c>
      <c r="HZ36" s="198">
        <f t="shared" si="34"/>
        <v>3</v>
      </c>
      <c r="IA36" s="198">
        <f t="shared" si="35"/>
        <v>10</v>
      </c>
      <c r="IB36" s="198">
        <f t="shared" si="36"/>
        <v>10</v>
      </c>
      <c r="IC36" s="198">
        <f t="shared" si="37"/>
        <v>14</v>
      </c>
      <c r="ID36" s="198">
        <f t="shared" si="38"/>
        <v>13</v>
      </c>
      <c r="IE36" s="198">
        <f t="shared" si="39"/>
        <v>11</v>
      </c>
      <c r="IF36" s="197"/>
      <c r="IG36" s="197"/>
      <c r="IH36" s="197"/>
      <c r="II36" s="197"/>
      <c r="IJ36" s="197"/>
      <c r="IK36" s="197"/>
      <c r="IL36" s="197"/>
      <c r="IM36" s="197"/>
      <c r="IN36" s="197"/>
      <c r="IO36" s="197"/>
      <c r="IP36" s="197"/>
      <c r="IQ36" s="197"/>
      <c r="IR36" s="197"/>
      <c r="IS36" s="197"/>
      <c r="IT36" s="197"/>
      <c r="IU36" s="197"/>
      <c r="IV36" s="197"/>
      <c r="IW36" s="197"/>
      <c r="IX36" s="197"/>
      <c r="IY36" s="197"/>
      <c r="IZ36" s="197"/>
      <c r="JA36" s="199"/>
      <c r="JB36" s="199">
        <f t="shared" si="40"/>
        <v>9</v>
      </c>
      <c r="JC36" s="199">
        <f t="shared" si="41"/>
        <v>9</v>
      </c>
      <c r="JD36" s="199">
        <f t="shared" si="42"/>
        <v>9</v>
      </c>
      <c r="JE36" s="199">
        <f t="shared" si="43"/>
        <v>9</v>
      </c>
      <c r="JF36" s="199">
        <f t="shared" si="44"/>
        <v>5</v>
      </c>
      <c r="JG36" s="199">
        <f t="shared" si="45"/>
        <v>2</v>
      </c>
      <c r="JH36" s="199">
        <f t="shared" si="46"/>
        <v>3</v>
      </c>
      <c r="JI36" s="200">
        <f t="shared" si="47"/>
        <v>10</v>
      </c>
      <c r="JJ36" s="200">
        <f t="shared" si="48"/>
        <v>10</v>
      </c>
      <c r="JK36" s="200">
        <f t="shared" si="49"/>
        <v>16</v>
      </c>
      <c r="JL36" s="200">
        <f t="shared" si="50"/>
        <v>13</v>
      </c>
      <c r="JM36" s="200">
        <f t="shared" si="51"/>
        <v>11</v>
      </c>
      <c r="JN36" s="199"/>
      <c r="JO36" s="199">
        <f t="shared" si="52"/>
        <v>9</v>
      </c>
      <c r="JP36" s="202">
        <v>9.0</v>
      </c>
      <c r="JQ36" s="202">
        <v>9.0</v>
      </c>
      <c r="JR36" s="202">
        <v>9.0</v>
      </c>
      <c r="JS36" s="202">
        <v>5.0</v>
      </c>
      <c r="JT36" s="199"/>
      <c r="JU36" s="199"/>
      <c r="JV36" s="200">
        <f t="shared" ref="JV36:JX36" si="116">IA36-JI36</f>
        <v>0</v>
      </c>
      <c r="JW36" s="200">
        <f t="shared" si="116"/>
        <v>0</v>
      </c>
      <c r="JX36" s="200">
        <f t="shared" si="116"/>
        <v>-2</v>
      </c>
      <c r="JY36" s="199"/>
      <c r="JZ36" s="199"/>
      <c r="KA36" s="199"/>
      <c r="KB36" s="199">
        <f t="shared" ref="KB36:KM36" si="117">JB36-JO36</f>
        <v>0</v>
      </c>
      <c r="KC36" s="199">
        <f t="shared" si="117"/>
        <v>0</v>
      </c>
      <c r="KD36" s="199">
        <f t="shared" si="117"/>
        <v>0</v>
      </c>
      <c r="KE36" s="199">
        <f t="shared" si="117"/>
        <v>0</v>
      </c>
      <c r="KF36" s="199">
        <f t="shared" si="117"/>
        <v>0</v>
      </c>
      <c r="KG36" s="199">
        <f t="shared" si="117"/>
        <v>2</v>
      </c>
      <c r="KH36" s="199">
        <f t="shared" si="117"/>
        <v>3</v>
      </c>
      <c r="KI36" s="199">
        <f t="shared" si="117"/>
        <v>10</v>
      </c>
      <c r="KJ36" s="199">
        <f t="shared" si="117"/>
        <v>10</v>
      </c>
      <c r="KK36" s="199">
        <f t="shared" si="117"/>
        <v>18</v>
      </c>
      <c r="KL36" s="199">
        <f t="shared" si="117"/>
        <v>13</v>
      </c>
      <c r="KM36" s="199">
        <f t="shared" si="117"/>
        <v>11</v>
      </c>
      <c r="KN36" s="199"/>
      <c r="KO36" s="199"/>
      <c r="KP36" s="199"/>
      <c r="KQ36" s="199"/>
      <c r="KR36" s="199"/>
      <c r="KS36" s="199"/>
      <c r="KT36" s="199"/>
      <c r="KU36" s="199"/>
      <c r="KV36" s="199"/>
      <c r="KW36" s="199"/>
      <c r="KX36" s="199"/>
      <c r="KY36" s="199"/>
      <c r="KZ36" s="199"/>
      <c r="LA36" s="199"/>
      <c r="LB36" s="199"/>
      <c r="LC36" s="199"/>
      <c r="LD36" s="199"/>
      <c r="LE36" s="199"/>
      <c r="LF36" s="199"/>
      <c r="LG36" s="199"/>
      <c r="LH36" s="278"/>
      <c r="LI36" s="278"/>
      <c r="LJ36" s="278"/>
      <c r="LK36" s="278"/>
    </row>
    <row r="37" ht="14.25" customHeight="1">
      <c r="A37" s="156">
        <v>30.0</v>
      </c>
      <c r="B37" s="264" t="s">
        <v>106</v>
      </c>
      <c r="C37" s="265">
        <v>3374110.0</v>
      </c>
      <c r="D37" s="265" t="s">
        <v>111</v>
      </c>
      <c r="E37" s="265" t="s">
        <v>114</v>
      </c>
      <c r="F37" s="279">
        <v>10.0</v>
      </c>
      <c r="G37" s="280">
        <v>385.0</v>
      </c>
      <c r="H37" s="267">
        <v>14.0</v>
      </c>
      <c r="I37" s="202">
        <v>0.0</v>
      </c>
      <c r="J37" s="202">
        <v>0.0</v>
      </c>
      <c r="K37" s="202">
        <v>3.0</v>
      </c>
      <c r="L37" s="202">
        <v>11.0</v>
      </c>
      <c r="M37" s="202">
        <v>0.0</v>
      </c>
      <c r="N37" s="202">
        <v>0.0</v>
      </c>
      <c r="O37" s="162">
        <f t="shared" si="3"/>
        <v>14</v>
      </c>
      <c r="P37" s="203">
        <v>14.0</v>
      </c>
      <c r="Q37" s="202">
        <v>0.0</v>
      </c>
      <c r="R37" s="202">
        <v>0.0</v>
      </c>
      <c r="S37" s="202">
        <v>3.0</v>
      </c>
      <c r="T37" s="269">
        <v>11.0</v>
      </c>
      <c r="U37" s="269">
        <v>0.0</v>
      </c>
      <c r="V37" s="269">
        <v>0.0</v>
      </c>
      <c r="W37" s="166">
        <f t="shared" si="4"/>
        <v>14</v>
      </c>
      <c r="X37" s="203">
        <v>14.0</v>
      </c>
      <c r="Y37" s="202">
        <v>0.0</v>
      </c>
      <c r="Z37" s="202">
        <v>0.0</v>
      </c>
      <c r="AA37" s="202">
        <v>3.0</v>
      </c>
      <c r="AB37" s="269">
        <v>11.0</v>
      </c>
      <c r="AC37" s="269">
        <v>0.0</v>
      </c>
      <c r="AD37" s="269">
        <v>0.0</v>
      </c>
      <c r="AE37" s="166">
        <f t="shared" si="5"/>
        <v>14</v>
      </c>
      <c r="AF37" s="167">
        <v>10.0</v>
      </c>
      <c r="AG37" s="270">
        <v>0.0</v>
      </c>
      <c r="AH37" s="270">
        <v>0.0</v>
      </c>
      <c r="AI37" s="270">
        <v>3.0</v>
      </c>
      <c r="AJ37" s="270">
        <v>7.0</v>
      </c>
      <c r="AK37" s="270">
        <v>0.0</v>
      </c>
      <c r="AL37" s="270">
        <v>4.0</v>
      </c>
      <c r="AM37" s="166">
        <f t="shared" si="98"/>
        <v>6</v>
      </c>
      <c r="AN37" s="167">
        <v>10.0</v>
      </c>
      <c r="AO37" s="270">
        <v>0.0</v>
      </c>
      <c r="AP37" s="270">
        <v>0.0</v>
      </c>
      <c r="AQ37" s="270">
        <v>3.0</v>
      </c>
      <c r="AR37" s="270">
        <v>7.0</v>
      </c>
      <c r="AS37" s="270">
        <v>0.0</v>
      </c>
      <c r="AT37" s="270">
        <v>4.0</v>
      </c>
      <c r="AU37" s="168">
        <f t="shared" si="7"/>
        <v>6</v>
      </c>
      <c r="AV37" s="271">
        <v>389.0</v>
      </c>
      <c r="AW37" s="204">
        <f t="shared" si="8"/>
        <v>3</v>
      </c>
      <c r="AX37" s="271">
        <v>0.0</v>
      </c>
      <c r="AY37" s="271">
        <v>0.0</v>
      </c>
      <c r="AZ37" s="202">
        <v>3.0</v>
      </c>
      <c r="BA37" s="271">
        <v>0.0</v>
      </c>
      <c r="BB37" s="271">
        <v>0.0</v>
      </c>
      <c r="BC37" s="271">
        <v>0.0</v>
      </c>
      <c r="BD37" s="271">
        <v>0.0</v>
      </c>
      <c r="BE37" s="271">
        <v>0.0</v>
      </c>
      <c r="BF37" s="271">
        <v>0.0</v>
      </c>
      <c r="BG37" s="271">
        <v>0.0</v>
      </c>
      <c r="BH37" s="271">
        <v>0.0</v>
      </c>
      <c r="BI37" s="271">
        <v>0.0</v>
      </c>
      <c r="BJ37" s="271">
        <v>0.0</v>
      </c>
      <c r="BK37" s="271">
        <v>0.0</v>
      </c>
      <c r="BL37" s="271">
        <v>0.0</v>
      </c>
      <c r="BM37" s="271">
        <v>0.0</v>
      </c>
      <c r="BN37" s="271">
        <v>1.0</v>
      </c>
      <c r="BO37" s="271">
        <v>0.0</v>
      </c>
      <c r="BP37" s="205">
        <f t="shared" si="102"/>
        <v>1</v>
      </c>
      <c r="BQ37" s="273">
        <v>390.0</v>
      </c>
      <c r="BR37" s="170">
        <f t="shared" si="10"/>
        <v>3</v>
      </c>
      <c r="BS37" s="273">
        <v>0.0</v>
      </c>
      <c r="BT37" s="273">
        <v>0.0</v>
      </c>
      <c r="BU37" s="273">
        <v>0.0</v>
      </c>
      <c r="BV37" s="273">
        <v>3.0</v>
      </c>
      <c r="BW37" s="273">
        <v>0.0</v>
      </c>
      <c r="BX37" s="273">
        <v>0.0</v>
      </c>
      <c r="BY37" s="273">
        <v>0.0</v>
      </c>
      <c r="BZ37" s="273">
        <v>0.0</v>
      </c>
      <c r="CA37" s="273">
        <v>0.0</v>
      </c>
      <c r="CB37" s="273">
        <v>0.0</v>
      </c>
      <c r="CC37" s="273">
        <v>0.0</v>
      </c>
      <c r="CD37" s="273">
        <v>0.0</v>
      </c>
      <c r="CE37" s="273">
        <v>0.0</v>
      </c>
      <c r="CF37" s="273">
        <v>0.0</v>
      </c>
      <c r="CG37" s="273">
        <v>0.0</v>
      </c>
      <c r="CH37" s="273">
        <v>0.0</v>
      </c>
      <c r="CI37" s="273">
        <v>2.0</v>
      </c>
      <c r="CJ37" s="273">
        <v>0.0</v>
      </c>
      <c r="CK37" s="172">
        <f t="shared" si="11"/>
        <v>2</v>
      </c>
      <c r="CL37" s="273">
        <v>392.0</v>
      </c>
      <c r="CM37" s="273">
        <v>93.0</v>
      </c>
      <c r="CN37" s="175">
        <f t="shared" si="12"/>
        <v>2</v>
      </c>
      <c r="CO37" s="273">
        <v>0.0</v>
      </c>
      <c r="CP37" s="273">
        <v>0.0</v>
      </c>
      <c r="CQ37" s="273">
        <v>0.0</v>
      </c>
      <c r="CR37" s="273">
        <v>1.0</v>
      </c>
      <c r="CS37" s="273">
        <v>0.0</v>
      </c>
      <c r="CT37" s="273">
        <v>0.0</v>
      </c>
      <c r="CU37" s="273">
        <v>1.0</v>
      </c>
      <c r="CV37" s="273">
        <v>0.0</v>
      </c>
      <c r="CW37" s="273">
        <v>0.0</v>
      </c>
      <c r="CX37" s="273">
        <v>0.0</v>
      </c>
      <c r="CY37" s="273">
        <v>0.0</v>
      </c>
      <c r="CZ37" s="273">
        <v>0.0</v>
      </c>
      <c r="DA37" s="273">
        <v>0.0</v>
      </c>
      <c r="DB37" s="273">
        <v>0.0</v>
      </c>
      <c r="DC37" s="273">
        <v>0.0</v>
      </c>
      <c r="DD37" s="273">
        <v>0.0</v>
      </c>
      <c r="DE37" s="273">
        <v>0.0</v>
      </c>
      <c r="DF37" s="273">
        <v>0.0</v>
      </c>
      <c r="DG37" s="176">
        <f t="shared" si="13"/>
        <v>0</v>
      </c>
      <c r="DH37" s="281">
        <v>343.0</v>
      </c>
      <c r="DI37" s="282">
        <v>78.0</v>
      </c>
      <c r="DJ37" s="281">
        <v>343.0</v>
      </c>
      <c r="DK37" s="282">
        <v>78.0</v>
      </c>
      <c r="DL37" s="179">
        <f t="shared" si="14"/>
        <v>2</v>
      </c>
      <c r="DM37" s="180">
        <f t="shared" si="15"/>
        <v>1</v>
      </c>
      <c r="DN37" s="180">
        <f t="shared" si="16"/>
        <v>1</v>
      </c>
      <c r="DO37" s="281">
        <v>0.0</v>
      </c>
      <c r="DP37" s="282">
        <v>0.0</v>
      </c>
      <c r="DQ37" s="282">
        <v>1.0</v>
      </c>
      <c r="DR37" s="282">
        <v>1.0</v>
      </c>
      <c r="DS37" s="282">
        <v>0.0</v>
      </c>
      <c r="DT37" s="282">
        <v>0.0</v>
      </c>
      <c r="DU37" s="282">
        <v>0.0</v>
      </c>
      <c r="DV37" s="282">
        <v>0.0</v>
      </c>
      <c r="DW37" s="282">
        <v>0.0</v>
      </c>
      <c r="DX37" s="282">
        <v>0.0</v>
      </c>
      <c r="DY37" s="282">
        <v>0.0</v>
      </c>
      <c r="DZ37" s="282">
        <v>0.0</v>
      </c>
      <c r="EA37" s="282">
        <v>0.0</v>
      </c>
      <c r="EB37" s="282">
        <v>0.0</v>
      </c>
      <c r="EC37" s="282">
        <v>0.0</v>
      </c>
      <c r="ED37" s="282">
        <v>0.0</v>
      </c>
      <c r="EE37" s="282">
        <v>0.0</v>
      </c>
      <c r="EF37" s="282">
        <v>0.0</v>
      </c>
      <c r="EG37" s="179">
        <f t="shared" si="17"/>
        <v>0</v>
      </c>
      <c r="EH37" s="179">
        <f t="shared" si="18"/>
        <v>0</v>
      </c>
      <c r="EI37" s="281">
        <v>339.0</v>
      </c>
      <c r="EJ37" s="282">
        <v>76.0</v>
      </c>
      <c r="EK37" s="282">
        <v>339.0</v>
      </c>
      <c r="EL37" s="282">
        <v>76.0</v>
      </c>
      <c r="EM37" s="185">
        <f t="shared" si="19"/>
        <v>4</v>
      </c>
      <c r="EN37" s="186">
        <f t="shared" si="89"/>
        <v>2</v>
      </c>
      <c r="EO37" s="186">
        <f t="shared" si="90"/>
        <v>2</v>
      </c>
      <c r="EP37" s="281">
        <v>0.0</v>
      </c>
      <c r="EQ37" s="282">
        <v>0.0</v>
      </c>
      <c r="ER37" s="282">
        <v>1.0</v>
      </c>
      <c r="ES37" s="282">
        <v>1.0</v>
      </c>
      <c r="ET37" s="282">
        <v>0.0</v>
      </c>
      <c r="EU37" s="282">
        <v>0.0</v>
      </c>
      <c r="EV37" s="282">
        <v>1.0</v>
      </c>
      <c r="EW37" s="282">
        <v>1.0</v>
      </c>
      <c r="EX37" s="282">
        <v>0.0</v>
      </c>
      <c r="EY37" s="282">
        <v>0.0</v>
      </c>
      <c r="EZ37" s="282">
        <v>0.0</v>
      </c>
      <c r="FA37" s="282">
        <v>0.0</v>
      </c>
      <c r="FB37" s="282">
        <v>0.0</v>
      </c>
      <c r="FC37" s="282">
        <v>0.0</v>
      </c>
      <c r="FD37" s="282">
        <v>0.0</v>
      </c>
      <c r="FE37" s="282">
        <v>0.0</v>
      </c>
      <c r="FF37" s="282">
        <v>0.0</v>
      </c>
      <c r="FG37" s="282">
        <v>0.0</v>
      </c>
      <c r="FH37" s="185">
        <f t="shared" si="22"/>
        <v>0</v>
      </c>
      <c r="FI37" s="185">
        <f t="shared" si="23"/>
        <v>0</v>
      </c>
      <c r="FJ37" s="283">
        <v>340.0</v>
      </c>
      <c r="FK37" s="284">
        <v>81.0</v>
      </c>
      <c r="FL37" s="284">
        <v>336.0</v>
      </c>
      <c r="FM37" s="284">
        <v>80.0</v>
      </c>
      <c r="FN37" s="210"/>
      <c r="FO37" s="210">
        <v>2.0</v>
      </c>
      <c r="FP37" s="188">
        <f t="shared" si="103"/>
        <v>2</v>
      </c>
      <c r="FQ37" s="211">
        <v>1.0</v>
      </c>
      <c r="FR37" s="212">
        <v>1.0</v>
      </c>
      <c r="FS37" s="206">
        <v>0.0</v>
      </c>
      <c r="FT37" s="207">
        <v>0.0</v>
      </c>
      <c r="FU37" s="207">
        <v>0.0</v>
      </c>
      <c r="FV37" s="207">
        <v>1.0</v>
      </c>
      <c r="FW37" s="207">
        <v>0.0</v>
      </c>
      <c r="FX37" s="207">
        <v>0.0</v>
      </c>
      <c r="FY37" s="207">
        <v>1.0</v>
      </c>
      <c r="FZ37" s="207">
        <v>0.0</v>
      </c>
      <c r="GA37" s="207">
        <v>0.0</v>
      </c>
      <c r="GB37" s="207">
        <v>0.0</v>
      </c>
      <c r="GC37" s="207">
        <v>0.0</v>
      </c>
      <c r="GD37" s="207">
        <v>1.0</v>
      </c>
      <c r="GE37" s="207">
        <v>0.0</v>
      </c>
      <c r="GF37" s="207">
        <v>0.0</v>
      </c>
      <c r="GG37" s="207">
        <v>2.0</v>
      </c>
      <c r="GH37" s="207">
        <v>0.0</v>
      </c>
      <c r="GI37" s="207">
        <v>0.0</v>
      </c>
      <c r="GJ37" s="207">
        <v>0.0</v>
      </c>
      <c r="GK37" s="212">
        <v>3.0</v>
      </c>
      <c r="GL37" s="212">
        <v>2.0</v>
      </c>
      <c r="GM37" s="207">
        <v>328.0</v>
      </c>
      <c r="GN37" s="207">
        <v>76.0</v>
      </c>
      <c r="GO37" s="213">
        <v>328.0</v>
      </c>
      <c r="GP37" s="213">
        <v>76.0</v>
      </c>
      <c r="GQ37" s="207"/>
      <c r="GR37" s="213">
        <v>2.0</v>
      </c>
      <c r="GS37" s="193">
        <v>1.0</v>
      </c>
      <c r="GT37" s="194">
        <f t="shared" si="25"/>
        <v>2</v>
      </c>
      <c r="GU37" s="194">
        <f t="shared" si="26"/>
        <v>1</v>
      </c>
      <c r="GV37" s="194">
        <f t="shared" si="27"/>
        <v>1</v>
      </c>
      <c r="GW37" s="207">
        <v>0.0</v>
      </c>
      <c r="GX37" s="207">
        <v>0.0</v>
      </c>
      <c r="GY37" s="207">
        <v>1.0</v>
      </c>
      <c r="GZ37" s="207">
        <v>1.0</v>
      </c>
      <c r="HA37" s="207">
        <v>0.0</v>
      </c>
      <c r="HB37" s="207">
        <v>0.0</v>
      </c>
      <c r="HC37" s="207">
        <v>0.0</v>
      </c>
      <c r="HD37" s="207">
        <v>0.0</v>
      </c>
      <c r="HE37" s="207">
        <v>0.0</v>
      </c>
      <c r="HF37" s="207">
        <v>0.0</v>
      </c>
      <c r="HG37" s="207">
        <v>0.0</v>
      </c>
      <c r="HH37" s="207">
        <v>0.0</v>
      </c>
      <c r="HI37" s="207">
        <v>0.0</v>
      </c>
      <c r="HJ37" s="207">
        <v>0.0</v>
      </c>
      <c r="HK37" s="207">
        <v>0.0</v>
      </c>
      <c r="HL37" s="207"/>
      <c r="HM37" s="207"/>
      <c r="HN37" s="207">
        <v>0.0</v>
      </c>
      <c r="HO37" s="222">
        <f t="shared" si="104"/>
        <v>0</v>
      </c>
      <c r="HP37" s="222">
        <f t="shared" si="105"/>
        <v>0</v>
      </c>
      <c r="HQ37" s="214"/>
      <c r="HR37" s="197"/>
      <c r="HS37" s="197"/>
      <c r="HT37" s="198">
        <f t="shared" si="28"/>
        <v>14</v>
      </c>
      <c r="HU37" s="198">
        <f t="shared" si="29"/>
        <v>14</v>
      </c>
      <c r="HV37" s="198">
        <f t="shared" si="30"/>
        <v>14</v>
      </c>
      <c r="HW37" s="198">
        <f t="shared" si="99"/>
        <v>10</v>
      </c>
      <c r="HX37" s="198">
        <f t="shared" si="32"/>
        <v>10</v>
      </c>
      <c r="HY37" s="198">
        <f t="shared" si="33"/>
        <v>3</v>
      </c>
      <c r="HZ37" s="198">
        <f t="shared" si="34"/>
        <v>3</v>
      </c>
      <c r="IA37" s="198">
        <f t="shared" si="35"/>
        <v>2</v>
      </c>
      <c r="IB37" s="198">
        <f t="shared" si="36"/>
        <v>2</v>
      </c>
      <c r="IC37" s="198">
        <f t="shared" si="37"/>
        <v>4</v>
      </c>
      <c r="ID37" s="198">
        <f t="shared" si="38"/>
        <v>2</v>
      </c>
      <c r="IE37" s="198">
        <f t="shared" si="39"/>
        <v>2</v>
      </c>
      <c r="IF37" s="197"/>
      <c r="IG37" s="197"/>
      <c r="IH37" s="197"/>
      <c r="II37" s="197"/>
      <c r="IJ37" s="197"/>
      <c r="IK37" s="197"/>
      <c r="IL37" s="197"/>
      <c r="IM37" s="197"/>
      <c r="IN37" s="197"/>
      <c r="IO37" s="197"/>
      <c r="IP37" s="197"/>
      <c r="IQ37" s="197"/>
      <c r="IR37" s="197"/>
      <c r="IS37" s="197"/>
      <c r="IT37" s="197"/>
      <c r="IU37" s="197"/>
      <c r="IV37" s="197"/>
      <c r="IW37" s="197"/>
      <c r="IX37" s="197"/>
      <c r="IY37" s="197"/>
      <c r="IZ37" s="197"/>
      <c r="JA37" s="199"/>
      <c r="JB37" s="199">
        <f t="shared" si="40"/>
        <v>14</v>
      </c>
      <c r="JC37" s="199">
        <f t="shared" si="41"/>
        <v>14</v>
      </c>
      <c r="JD37" s="199">
        <f t="shared" si="42"/>
        <v>14</v>
      </c>
      <c r="JE37" s="199">
        <f t="shared" si="43"/>
        <v>10</v>
      </c>
      <c r="JF37" s="199">
        <f t="shared" si="44"/>
        <v>10</v>
      </c>
      <c r="JG37" s="199">
        <f t="shared" si="45"/>
        <v>3</v>
      </c>
      <c r="JH37" s="199">
        <f t="shared" si="46"/>
        <v>3</v>
      </c>
      <c r="JI37" s="200">
        <f t="shared" si="47"/>
        <v>2</v>
      </c>
      <c r="JJ37" s="200">
        <f t="shared" si="48"/>
        <v>2</v>
      </c>
      <c r="JK37" s="200">
        <f t="shared" si="49"/>
        <v>4</v>
      </c>
      <c r="JL37" s="200">
        <f t="shared" si="50"/>
        <v>2</v>
      </c>
      <c r="JM37" s="200">
        <f t="shared" si="51"/>
        <v>2</v>
      </c>
      <c r="JN37" s="199"/>
      <c r="JO37" s="199">
        <f t="shared" si="52"/>
        <v>14</v>
      </c>
      <c r="JP37" s="202">
        <v>14.0</v>
      </c>
      <c r="JQ37" s="202">
        <v>14.0</v>
      </c>
      <c r="JR37" s="202">
        <v>10.0</v>
      </c>
      <c r="JS37" s="202">
        <v>10.0</v>
      </c>
      <c r="JT37" s="199"/>
      <c r="JU37" s="199"/>
      <c r="JV37" s="200">
        <f t="shared" ref="JV37:JX37" si="118">IA37-JI37</f>
        <v>0</v>
      </c>
      <c r="JW37" s="200">
        <f t="shared" si="118"/>
        <v>0</v>
      </c>
      <c r="JX37" s="200">
        <f t="shared" si="118"/>
        <v>0</v>
      </c>
      <c r="JY37" s="199"/>
      <c r="JZ37" s="199"/>
      <c r="KA37" s="199"/>
      <c r="KB37" s="199">
        <f t="shared" ref="KB37:KM37" si="119">JB37-JO37</f>
        <v>0</v>
      </c>
      <c r="KC37" s="199">
        <f t="shared" si="119"/>
        <v>0</v>
      </c>
      <c r="KD37" s="199">
        <f t="shared" si="119"/>
        <v>0</v>
      </c>
      <c r="KE37" s="199">
        <f t="shared" si="119"/>
        <v>0</v>
      </c>
      <c r="KF37" s="199">
        <f t="shared" si="119"/>
        <v>0</v>
      </c>
      <c r="KG37" s="199">
        <f t="shared" si="119"/>
        <v>3</v>
      </c>
      <c r="KH37" s="199">
        <f t="shared" si="119"/>
        <v>3</v>
      </c>
      <c r="KI37" s="199">
        <f t="shared" si="119"/>
        <v>2</v>
      </c>
      <c r="KJ37" s="199">
        <f t="shared" si="119"/>
        <v>2</v>
      </c>
      <c r="KK37" s="199">
        <f t="shared" si="119"/>
        <v>4</v>
      </c>
      <c r="KL37" s="199">
        <f t="shared" si="119"/>
        <v>2</v>
      </c>
      <c r="KM37" s="199">
        <f t="shared" si="119"/>
        <v>2</v>
      </c>
      <c r="KN37" s="199"/>
      <c r="KO37" s="199"/>
      <c r="KP37" s="199"/>
      <c r="KQ37" s="199"/>
      <c r="KR37" s="199"/>
      <c r="KS37" s="199"/>
      <c r="KT37" s="199"/>
      <c r="KU37" s="199"/>
      <c r="KV37" s="199"/>
      <c r="KW37" s="199"/>
      <c r="KX37" s="199"/>
      <c r="KY37" s="199"/>
      <c r="KZ37" s="199"/>
      <c r="LA37" s="199"/>
      <c r="LB37" s="199"/>
      <c r="LC37" s="199"/>
      <c r="LD37" s="199"/>
      <c r="LE37" s="199"/>
      <c r="LF37" s="199"/>
      <c r="LG37" s="199"/>
      <c r="LH37" s="278"/>
      <c r="LI37" s="278"/>
      <c r="LJ37" s="278"/>
      <c r="LK37" s="278"/>
    </row>
    <row r="38" ht="14.25" customHeight="1">
      <c r="A38" s="156">
        <v>31.0</v>
      </c>
      <c r="B38" s="157" t="s">
        <v>106</v>
      </c>
      <c r="C38" s="158">
        <v>3374110.0</v>
      </c>
      <c r="D38" s="158" t="s">
        <v>115</v>
      </c>
      <c r="E38" s="158" t="s">
        <v>116</v>
      </c>
      <c r="F38" s="159">
        <v>9.0</v>
      </c>
      <c r="G38" s="285">
        <v>291.0</v>
      </c>
      <c r="H38" s="160">
        <v>1.0</v>
      </c>
      <c r="I38" s="161">
        <v>0.0</v>
      </c>
      <c r="J38" s="161">
        <v>0.0</v>
      </c>
      <c r="K38" s="161">
        <v>1.0</v>
      </c>
      <c r="L38" s="161">
        <v>0.0</v>
      </c>
      <c r="M38" s="161">
        <v>1.0</v>
      </c>
      <c r="N38" s="161">
        <v>0.0</v>
      </c>
      <c r="O38" s="162">
        <f t="shared" si="3"/>
        <v>0</v>
      </c>
      <c r="P38" s="203">
        <v>1.0</v>
      </c>
      <c r="Q38" s="164">
        <v>0.0</v>
      </c>
      <c r="R38" s="164">
        <v>0.0</v>
      </c>
      <c r="S38" s="164">
        <v>1.0</v>
      </c>
      <c r="T38" s="165">
        <v>0.0</v>
      </c>
      <c r="U38" s="165">
        <v>0.0</v>
      </c>
      <c r="V38" s="165">
        <v>0.0</v>
      </c>
      <c r="W38" s="166">
        <f t="shared" si="4"/>
        <v>1</v>
      </c>
      <c r="X38" s="203">
        <v>1.0</v>
      </c>
      <c r="Y38" s="165">
        <v>0.0</v>
      </c>
      <c r="Z38" s="165">
        <v>0.0</v>
      </c>
      <c r="AA38" s="165">
        <v>1.0</v>
      </c>
      <c r="AB38" s="165">
        <v>0.0</v>
      </c>
      <c r="AC38" s="165">
        <v>0.0</v>
      </c>
      <c r="AD38" s="165">
        <v>0.0</v>
      </c>
      <c r="AE38" s="166">
        <f t="shared" si="5"/>
        <v>1</v>
      </c>
      <c r="AF38" s="167">
        <v>1.0</v>
      </c>
      <c r="AG38" s="165">
        <v>0.0</v>
      </c>
      <c r="AH38" s="165">
        <v>0.0</v>
      </c>
      <c r="AI38" s="165">
        <v>1.0</v>
      </c>
      <c r="AJ38" s="165">
        <v>0.0</v>
      </c>
      <c r="AK38" s="165">
        <v>0.0</v>
      </c>
      <c r="AL38" s="165">
        <v>0.0</v>
      </c>
      <c r="AM38" s="166">
        <f t="shared" si="98"/>
        <v>1</v>
      </c>
      <c r="AN38" s="167">
        <v>16.0</v>
      </c>
      <c r="AO38" s="165">
        <v>1.0</v>
      </c>
      <c r="AP38" s="165">
        <v>4.0</v>
      </c>
      <c r="AQ38" s="165">
        <v>6.0</v>
      </c>
      <c r="AR38" s="165">
        <v>5.0</v>
      </c>
      <c r="AS38" s="165">
        <v>15.0</v>
      </c>
      <c r="AT38" s="165">
        <v>0.0</v>
      </c>
      <c r="AU38" s="168">
        <f t="shared" si="7"/>
        <v>1</v>
      </c>
      <c r="AV38" s="169">
        <v>335.0</v>
      </c>
      <c r="AW38" s="204">
        <f t="shared" si="8"/>
        <v>11</v>
      </c>
      <c r="AX38" s="169">
        <v>0.0</v>
      </c>
      <c r="AY38" s="169">
        <v>1.0</v>
      </c>
      <c r="AZ38" s="169">
        <v>6.0</v>
      </c>
      <c r="BA38" s="169">
        <v>3.0</v>
      </c>
      <c r="BB38" s="169">
        <v>0.0</v>
      </c>
      <c r="BC38" s="169">
        <v>0.0</v>
      </c>
      <c r="BD38" s="169">
        <v>1.0</v>
      </c>
      <c r="BE38" s="169">
        <v>0.0</v>
      </c>
      <c r="BF38" s="169">
        <v>0.0</v>
      </c>
      <c r="BG38" s="169">
        <v>3.0</v>
      </c>
      <c r="BH38" s="169">
        <v>0.0</v>
      </c>
      <c r="BI38" s="169">
        <v>2.0</v>
      </c>
      <c r="BJ38" s="169">
        <v>0.0</v>
      </c>
      <c r="BK38" s="169">
        <v>0.0</v>
      </c>
      <c r="BL38" s="169">
        <v>0.0</v>
      </c>
      <c r="BM38" s="169">
        <v>0.0</v>
      </c>
      <c r="BN38" s="169">
        <v>0.0</v>
      </c>
      <c r="BO38" s="169">
        <v>0.0</v>
      </c>
      <c r="BP38" s="205">
        <f t="shared" si="102"/>
        <v>5</v>
      </c>
      <c r="BQ38" s="286">
        <v>341.0</v>
      </c>
      <c r="BR38" s="170">
        <f t="shared" si="10"/>
        <v>6</v>
      </c>
      <c r="BS38" s="286">
        <v>0.0</v>
      </c>
      <c r="BT38" s="287">
        <v>0.0</v>
      </c>
      <c r="BU38" s="287">
        <v>0.0</v>
      </c>
      <c r="BV38" s="287">
        <v>2.0</v>
      </c>
      <c r="BW38" s="287">
        <v>0.0</v>
      </c>
      <c r="BX38" s="287">
        <v>1.0</v>
      </c>
      <c r="BY38" s="287">
        <v>0.0</v>
      </c>
      <c r="BZ38" s="287">
        <v>3.0</v>
      </c>
      <c r="CA38" s="287">
        <v>0.0</v>
      </c>
      <c r="CB38" s="287">
        <v>2.0</v>
      </c>
      <c r="CC38" s="287">
        <v>5.0</v>
      </c>
      <c r="CD38" s="288">
        <v>2.0</v>
      </c>
      <c r="CE38" s="287">
        <v>0.0</v>
      </c>
      <c r="CF38" s="287">
        <v>0.0</v>
      </c>
      <c r="CG38" s="287">
        <v>0.0</v>
      </c>
      <c r="CH38" s="287">
        <v>0.0</v>
      </c>
      <c r="CI38" s="287">
        <v>0.0</v>
      </c>
      <c r="CJ38" s="287">
        <v>0.0</v>
      </c>
      <c r="CK38" s="172">
        <f t="shared" si="11"/>
        <v>9</v>
      </c>
      <c r="CL38" s="173">
        <v>293.0</v>
      </c>
      <c r="CM38" s="173">
        <v>109.0</v>
      </c>
      <c r="CN38" s="175">
        <f t="shared" si="12"/>
        <v>12</v>
      </c>
      <c r="CO38" s="173">
        <v>0.0</v>
      </c>
      <c r="CP38" s="173">
        <v>1.0</v>
      </c>
      <c r="CQ38" s="173">
        <v>0.0</v>
      </c>
      <c r="CR38" s="173">
        <v>4.0</v>
      </c>
      <c r="CS38" s="173">
        <v>0.0</v>
      </c>
      <c r="CT38" s="173">
        <v>2.0</v>
      </c>
      <c r="CU38" s="173">
        <v>0.0</v>
      </c>
      <c r="CV38" s="173">
        <v>5.0</v>
      </c>
      <c r="CW38" s="173">
        <v>0.0</v>
      </c>
      <c r="CX38" s="173">
        <v>0.0</v>
      </c>
      <c r="CY38" s="173">
        <v>0.0</v>
      </c>
      <c r="CZ38" s="173">
        <v>1.0</v>
      </c>
      <c r="DA38" s="173">
        <v>0.0</v>
      </c>
      <c r="DB38" s="173">
        <v>0.0</v>
      </c>
      <c r="DC38" s="173">
        <v>0.0</v>
      </c>
      <c r="DD38" s="173">
        <v>0.0</v>
      </c>
      <c r="DE38" s="173">
        <v>0.0</v>
      </c>
      <c r="DF38" s="173">
        <v>0.0</v>
      </c>
      <c r="DG38" s="176">
        <f t="shared" si="13"/>
        <v>1</v>
      </c>
      <c r="DH38" s="177">
        <v>277.0</v>
      </c>
      <c r="DI38" s="177">
        <v>99.0</v>
      </c>
      <c r="DJ38" s="178">
        <v>277.0</v>
      </c>
      <c r="DK38" s="178">
        <v>99.0</v>
      </c>
      <c r="DL38" s="179">
        <f t="shared" si="14"/>
        <v>13</v>
      </c>
      <c r="DM38" s="180">
        <f t="shared" si="15"/>
        <v>2</v>
      </c>
      <c r="DN38" s="180">
        <f t="shared" si="16"/>
        <v>11</v>
      </c>
      <c r="DO38" s="177">
        <v>0.0</v>
      </c>
      <c r="DP38" s="177">
        <v>1.0</v>
      </c>
      <c r="DQ38" s="177">
        <v>0.0</v>
      </c>
      <c r="DR38" s="177">
        <v>9.0</v>
      </c>
      <c r="DS38" s="177">
        <v>1.0</v>
      </c>
      <c r="DT38" s="177">
        <v>0.0</v>
      </c>
      <c r="DU38" s="177">
        <v>0.0</v>
      </c>
      <c r="DV38" s="177">
        <v>2.0</v>
      </c>
      <c r="DW38" s="177">
        <v>1.0</v>
      </c>
      <c r="DX38" s="177">
        <v>1.0</v>
      </c>
      <c r="DY38" s="177">
        <v>0.0</v>
      </c>
      <c r="DZ38" s="177">
        <v>0.0</v>
      </c>
      <c r="EA38" s="177">
        <v>0.0</v>
      </c>
      <c r="EB38" s="177">
        <v>0.0</v>
      </c>
      <c r="EC38" s="177">
        <v>0.0</v>
      </c>
      <c r="ED38" s="177">
        <v>0.0</v>
      </c>
      <c r="EE38" s="177">
        <v>0.0</v>
      </c>
      <c r="EF38" s="177">
        <v>0.0</v>
      </c>
      <c r="EG38" s="179">
        <f t="shared" si="17"/>
        <v>2</v>
      </c>
      <c r="EH38" s="179">
        <f t="shared" si="18"/>
        <v>2</v>
      </c>
      <c r="EI38" s="177">
        <v>270.0</v>
      </c>
      <c r="EJ38" s="177">
        <v>99.0</v>
      </c>
      <c r="EK38" s="178">
        <v>270.0</v>
      </c>
      <c r="EL38" s="178">
        <v>99.0</v>
      </c>
      <c r="EM38" s="185">
        <f t="shared" si="19"/>
        <v>12</v>
      </c>
      <c r="EN38" s="186">
        <f t="shared" si="89"/>
        <v>1</v>
      </c>
      <c r="EO38" s="186">
        <f t="shared" si="90"/>
        <v>11</v>
      </c>
      <c r="EP38" s="177">
        <v>0.0</v>
      </c>
      <c r="EQ38" s="177">
        <v>0.0</v>
      </c>
      <c r="ER38" s="177">
        <v>1.0</v>
      </c>
      <c r="ES38" s="177">
        <v>11.0</v>
      </c>
      <c r="ET38" s="177">
        <v>0.0</v>
      </c>
      <c r="EU38" s="177">
        <v>0.0</v>
      </c>
      <c r="EV38" s="177">
        <v>0.0</v>
      </c>
      <c r="EW38" s="177">
        <v>0.0</v>
      </c>
      <c r="EX38" s="177">
        <v>0.0</v>
      </c>
      <c r="EY38" s="177">
        <v>0.0</v>
      </c>
      <c r="EZ38" s="177">
        <v>0.0</v>
      </c>
      <c r="FA38" s="177">
        <v>0.0</v>
      </c>
      <c r="FB38" s="177">
        <v>0.0</v>
      </c>
      <c r="FC38" s="177">
        <v>0.0</v>
      </c>
      <c r="FD38" s="177">
        <v>0.0</v>
      </c>
      <c r="FE38" s="177">
        <v>0.0</v>
      </c>
      <c r="FF38" s="177">
        <v>0.0</v>
      </c>
      <c r="FG38" s="177">
        <v>0.0</v>
      </c>
      <c r="FH38" s="185">
        <f t="shared" si="22"/>
        <v>0</v>
      </c>
      <c r="FI38" s="185">
        <f t="shared" si="23"/>
        <v>0</v>
      </c>
      <c r="FJ38" s="177">
        <v>266.0</v>
      </c>
      <c r="FK38" s="177">
        <v>98.0</v>
      </c>
      <c r="FL38" s="177">
        <v>266.0</v>
      </c>
      <c r="FM38" s="177">
        <v>98.0</v>
      </c>
      <c r="FN38" s="180"/>
      <c r="FO38" s="180">
        <v>11.0</v>
      </c>
      <c r="FP38" s="243">
        <v>11.0</v>
      </c>
      <c r="FQ38" s="211">
        <v>2.0</v>
      </c>
      <c r="FR38" s="212">
        <v>9.0</v>
      </c>
      <c r="FS38" s="206">
        <v>0.0</v>
      </c>
      <c r="FT38" s="207">
        <v>0.0</v>
      </c>
      <c r="FU38" s="207">
        <v>2.0</v>
      </c>
      <c r="FV38" s="207">
        <v>9.0</v>
      </c>
      <c r="FW38" s="207">
        <v>0.0</v>
      </c>
      <c r="FX38" s="207">
        <v>0.0</v>
      </c>
      <c r="FY38" s="207">
        <v>0.0</v>
      </c>
      <c r="FZ38" s="207">
        <v>0.0</v>
      </c>
      <c r="GA38" s="207">
        <v>0.0</v>
      </c>
      <c r="GB38" s="207">
        <v>0.0</v>
      </c>
      <c r="GC38" s="207">
        <v>0.0</v>
      </c>
      <c r="GD38" s="207">
        <v>1.0</v>
      </c>
      <c r="GE38" s="207">
        <v>0.0</v>
      </c>
      <c r="GF38" s="207">
        <v>0.0</v>
      </c>
      <c r="GG38" s="207">
        <v>0.0</v>
      </c>
      <c r="GH38" s="207">
        <v>0.0</v>
      </c>
      <c r="GI38" s="207">
        <v>0.0</v>
      </c>
      <c r="GJ38" s="207">
        <v>0.0</v>
      </c>
      <c r="GK38" s="212">
        <v>1.0</v>
      </c>
      <c r="GL38" s="212">
        <v>0.0</v>
      </c>
      <c r="GM38" s="207">
        <v>268.0</v>
      </c>
      <c r="GN38" s="207">
        <v>103.0</v>
      </c>
      <c r="GO38" s="213">
        <v>257.0</v>
      </c>
      <c r="GP38" s="213">
        <v>99.0</v>
      </c>
      <c r="GQ38" s="207"/>
      <c r="GR38" s="213">
        <v>10.0</v>
      </c>
      <c r="GS38" s="193">
        <v>2.0</v>
      </c>
      <c r="GT38" s="194">
        <f t="shared" si="25"/>
        <v>10</v>
      </c>
      <c r="GU38" s="194">
        <f t="shared" si="26"/>
        <v>2</v>
      </c>
      <c r="GV38" s="194">
        <f t="shared" si="27"/>
        <v>8</v>
      </c>
      <c r="GW38" s="207">
        <v>0.0</v>
      </c>
      <c r="GX38" s="207">
        <v>0.0</v>
      </c>
      <c r="GY38" s="207">
        <v>2.0</v>
      </c>
      <c r="GZ38" s="207">
        <v>8.0</v>
      </c>
      <c r="HA38" s="207">
        <v>0.0</v>
      </c>
      <c r="HB38" s="207">
        <v>0.0</v>
      </c>
      <c r="HC38" s="207">
        <v>0.0</v>
      </c>
      <c r="HD38" s="207">
        <v>0.0</v>
      </c>
      <c r="HE38" s="207">
        <v>0.0</v>
      </c>
      <c r="HF38" s="207">
        <v>0.0</v>
      </c>
      <c r="HG38" s="207">
        <v>0.0</v>
      </c>
      <c r="HH38" s="207">
        <v>0.0</v>
      </c>
      <c r="HI38" s="207">
        <v>0.0</v>
      </c>
      <c r="HJ38" s="207">
        <v>0.0</v>
      </c>
      <c r="HK38" s="207">
        <v>0.0</v>
      </c>
      <c r="HL38" s="207">
        <v>1.0</v>
      </c>
      <c r="HM38" s="207">
        <v>0.0</v>
      </c>
      <c r="HN38" s="207">
        <v>0.0</v>
      </c>
      <c r="HO38" s="222">
        <v>1.0</v>
      </c>
      <c r="HP38" s="222">
        <v>0.0</v>
      </c>
      <c r="HQ38" s="214"/>
      <c r="HR38" s="197"/>
      <c r="HS38" s="197"/>
      <c r="HT38" s="198">
        <f t="shared" si="28"/>
        <v>1</v>
      </c>
      <c r="HU38" s="198">
        <f t="shared" si="29"/>
        <v>1</v>
      </c>
      <c r="HV38" s="198">
        <f t="shared" si="30"/>
        <v>1</v>
      </c>
      <c r="HW38" s="198">
        <f t="shared" si="99"/>
        <v>1</v>
      </c>
      <c r="HX38" s="198">
        <f t="shared" si="32"/>
        <v>16</v>
      </c>
      <c r="HY38" s="198">
        <f t="shared" si="33"/>
        <v>11</v>
      </c>
      <c r="HZ38" s="198">
        <f t="shared" si="34"/>
        <v>6</v>
      </c>
      <c r="IA38" s="198">
        <f t="shared" si="35"/>
        <v>12</v>
      </c>
      <c r="IB38" s="198">
        <f t="shared" si="36"/>
        <v>13</v>
      </c>
      <c r="IC38" s="198">
        <f t="shared" si="37"/>
        <v>12</v>
      </c>
      <c r="ID38" s="198">
        <f t="shared" si="38"/>
        <v>11</v>
      </c>
      <c r="IE38" s="198">
        <f t="shared" si="39"/>
        <v>10</v>
      </c>
      <c r="IF38" s="197"/>
      <c r="IG38" s="197"/>
      <c r="IH38" s="197"/>
      <c r="II38" s="197"/>
      <c r="IJ38" s="197"/>
      <c r="IK38" s="197"/>
      <c r="IL38" s="197"/>
      <c r="IM38" s="197"/>
      <c r="IN38" s="197"/>
      <c r="IO38" s="197"/>
      <c r="IP38" s="197"/>
      <c r="IQ38" s="197"/>
      <c r="IR38" s="197"/>
      <c r="IS38" s="197"/>
      <c r="IT38" s="197"/>
      <c r="IU38" s="197"/>
      <c r="IV38" s="197"/>
      <c r="IW38" s="197"/>
      <c r="IX38" s="197"/>
      <c r="IY38" s="197"/>
      <c r="IZ38" s="197"/>
      <c r="JA38" s="199"/>
      <c r="JB38" s="200">
        <f t="shared" si="40"/>
        <v>1</v>
      </c>
      <c r="JC38" s="200">
        <f t="shared" si="41"/>
        <v>1</v>
      </c>
      <c r="JD38" s="200">
        <f t="shared" si="42"/>
        <v>1</v>
      </c>
      <c r="JE38" s="200">
        <f t="shared" si="43"/>
        <v>1</v>
      </c>
      <c r="JF38" s="200">
        <f t="shared" si="44"/>
        <v>16</v>
      </c>
      <c r="JG38" s="200">
        <f t="shared" si="45"/>
        <v>11</v>
      </c>
      <c r="JH38" s="200">
        <f t="shared" si="46"/>
        <v>6</v>
      </c>
      <c r="JI38" s="200">
        <f t="shared" si="47"/>
        <v>12</v>
      </c>
      <c r="JJ38" s="200">
        <f t="shared" si="48"/>
        <v>13</v>
      </c>
      <c r="JK38" s="200">
        <f t="shared" si="49"/>
        <v>12</v>
      </c>
      <c r="JL38" s="200">
        <f t="shared" si="50"/>
        <v>11</v>
      </c>
      <c r="JM38" s="200">
        <f t="shared" si="51"/>
        <v>10</v>
      </c>
      <c r="JN38" s="199"/>
      <c r="JO38" s="200">
        <f t="shared" si="52"/>
        <v>1</v>
      </c>
      <c r="JP38" s="202">
        <v>1.0</v>
      </c>
      <c r="JQ38" s="202">
        <v>1.0</v>
      </c>
      <c r="JR38" s="202">
        <v>1.0</v>
      </c>
      <c r="JS38" s="202">
        <v>16.0</v>
      </c>
      <c r="JT38" s="199"/>
      <c r="JU38" s="199"/>
      <c r="JV38" s="200">
        <f t="shared" ref="JV38:JX38" si="120">IA38-JI38</f>
        <v>0</v>
      </c>
      <c r="JW38" s="200">
        <f t="shared" si="120"/>
        <v>0</v>
      </c>
      <c r="JX38" s="200">
        <f t="shared" si="120"/>
        <v>0</v>
      </c>
      <c r="JY38" s="199"/>
      <c r="JZ38" s="199"/>
      <c r="KA38" s="199"/>
      <c r="KB38" s="200">
        <f t="shared" ref="KB38:KM38" si="121">JB38-JO38</f>
        <v>0</v>
      </c>
      <c r="KC38" s="200">
        <f t="shared" si="121"/>
        <v>0</v>
      </c>
      <c r="KD38" s="200">
        <f t="shared" si="121"/>
        <v>0</v>
      </c>
      <c r="KE38" s="200">
        <f t="shared" si="121"/>
        <v>0</v>
      </c>
      <c r="KF38" s="200">
        <f t="shared" si="121"/>
        <v>0</v>
      </c>
      <c r="KG38" s="200">
        <f t="shared" si="121"/>
        <v>11</v>
      </c>
      <c r="KH38" s="200">
        <f t="shared" si="121"/>
        <v>6</v>
      </c>
      <c r="KI38" s="200">
        <f t="shared" si="121"/>
        <v>12</v>
      </c>
      <c r="KJ38" s="200">
        <f t="shared" si="121"/>
        <v>13</v>
      </c>
      <c r="KK38" s="200">
        <f t="shared" si="121"/>
        <v>12</v>
      </c>
      <c r="KL38" s="200">
        <f t="shared" si="121"/>
        <v>11</v>
      </c>
      <c r="KM38" s="200">
        <f t="shared" si="121"/>
        <v>10</v>
      </c>
      <c r="KN38" s="199"/>
      <c r="KO38" s="199"/>
      <c r="KP38" s="199"/>
      <c r="KQ38" s="199"/>
      <c r="KR38" s="199"/>
      <c r="KS38" s="199"/>
      <c r="KT38" s="199"/>
      <c r="KU38" s="199"/>
      <c r="KV38" s="199"/>
      <c r="KW38" s="199"/>
      <c r="KX38" s="199"/>
      <c r="KY38" s="199"/>
      <c r="KZ38" s="199"/>
      <c r="LA38" s="199"/>
      <c r="LB38" s="199"/>
      <c r="LC38" s="199"/>
      <c r="LD38" s="199"/>
      <c r="LE38" s="199"/>
      <c r="LF38" s="199"/>
      <c r="LG38" s="199"/>
    </row>
    <row r="39" ht="14.25" customHeight="1">
      <c r="A39" s="156">
        <v>32.0</v>
      </c>
      <c r="B39" s="157" t="s">
        <v>106</v>
      </c>
      <c r="C39" s="158">
        <v>3374110.0</v>
      </c>
      <c r="D39" s="158" t="s">
        <v>115</v>
      </c>
      <c r="E39" s="158" t="s">
        <v>117</v>
      </c>
      <c r="F39" s="159">
        <v>14.0</v>
      </c>
      <c r="G39" s="285">
        <v>548.0</v>
      </c>
      <c r="H39" s="160">
        <v>7.0</v>
      </c>
      <c r="I39" s="161">
        <v>0.0</v>
      </c>
      <c r="J39" s="161">
        <v>0.0</v>
      </c>
      <c r="K39" s="161">
        <v>1.0</v>
      </c>
      <c r="L39" s="161">
        <v>6.0</v>
      </c>
      <c r="M39" s="161">
        <v>6.0</v>
      </c>
      <c r="N39" s="161">
        <v>0.0</v>
      </c>
      <c r="O39" s="162">
        <f t="shared" si="3"/>
        <v>1</v>
      </c>
      <c r="P39" s="203">
        <v>11.0</v>
      </c>
      <c r="Q39" s="164">
        <v>0.0</v>
      </c>
      <c r="R39" s="164">
        <v>0.0</v>
      </c>
      <c r="S39" s="164">
        <v>2.0</v>
      </c>
      <c r="T39" s="165">
        <v>9.0</v>
      </c>
      <c r="U39" s="165">
        <v>4.0</v>
      </c>
      <c r="V39" s="165">
        <v>0.0</v>
      </c>
      <c r="W39" s="166">
        <f t="shared" si="4"/>
        <v>7</v>
      </c>
      <c r="X39" s="203">
        <v>11.0</v>
      </c>
      <c r="Y39" s="165">
        <v>0.0</v>
      </c>
      <c r="Z39" s="165">
        <v>0.0</v>
      </c>
      <c r="AA39" s="165">
        <v>2.0</v>
      </c>
      <c r="AB39" s="165">
        <v>9.0</v>
      </c>
      <c r="AC39" s="165">
        <v>0.0</v>
      </c>
      <c r="AD39" s="165">
        <v>0.0</v>
      </c>
      <c r="AE39" s="166">
        <f t="shared" si="5"/>
        <v>11</v>
      </c>
      <c r="AF39" s="167">
        <v>9.0</v>
      </c>
      <c r="AG39" s="165">
        <v>0.0</v>
      </c>
      <c r="AH39" s="165">
        <v>0.0</v>
      </c>
      <c r="AI39" s="165">
        <v>2.0</v>
      </c>
      <c r="AJ39" s="165">
        <v>7.0</v>
      </c>
      <c r="AK39" s="165">
        <v>0.0</v>
      </c>
      <c r="AL39" s="165">
        <v>2.0</v>
      </c>
      <c r="AM39" s="166">
        <f t="shared" si="98"/>
        <v>7</v>
      </c>
      <c r="AN39" s="167">
        <v>18.0</v>
      </c>
      <c r="AO39" s="165">
        <v>1.0</v>
      </c>
      <c r="AP39" s="165">
        <v>3.0</v>
      </c>
      <c r="AQ39" s="165">
        <v>3.0</v>
      </c>
      <c r="AR39" s="165">
        <v>11.0</v>
      </c>
      <c r="AS39" s="165">
        <v>11.0</v>
      </c>
      <c r="AT39" s="165">
        <v>0.0</v>
      </c>
      <c r="AU39" s="168">
        <f t="shared" si="7"/>
        <v>7</v>
      </c>
      <c r="AV39" s="169">
        <v>674.0</v>
      </c>
      <c r="AW39" s="204">
        <f t="shared" si="8"/>
        <v>13</v>
      </c>
      <c r="AX39" s="169">
        <v>0.0</v>
      </c>
      <c r="AY39" s="169">
        <v>0.0</v>
      </c>
      <c r="AZ39" s="169">
        <v>0.0</v>
      </c>
      <c r="BA39" s="169">
        <v>9.0</v>
      </c>
      <c r="BB39" s="169">
        <v>0.0</v>
      </c>
      <c r="BC39" s="169">
        <v>0.0</v>
      </c>
      <c r="BD39" s="169">
        <v>2.0</v>
      </c>
      <c r="BE39" s="169">
        <v>2.0</v>
      </c>
      <c r="BF39" s="169">
        <v>1.0</v>
      </c>
      <c r="BG39" s="169">
        <v>3.0</v>
      </c>
      <c r="BH39" s="169">
        <v>1.0</v>
      </c>
      <c r="BI39" s="169">
        <v>0.0</v>
      </c>
      <c r="BJ39" s="169">
        <v>0.0</v>
      </c>
      <c r="BK39" s="169">
        <v>0.0</v>
      </c>
      <c r="BL39" s="169">
        <v>0.0</v>
      </c>
      <c r="BM39" s="169">
        <v>0.0</v>
      </c>
      <c r="BN39" s="169">
        <v>0.0</v>
      </c>
      <c r="BO39" s="169">
        <v>0.0</v>
      </c>
      <c r="BP39" s="205">
        <f t="shared" si="102"/>
        <v>5</v>
      </c>
      <c r="BQ39" s="289">
        <v>713.0</v>
      </c>
      <c r="BR39" s="170">
        <f t="shared" si="10"/>
        <v>7</v>
      </c>
      <c r="BS39" s="289">
        <v>0.0</v>
      </c>
      <c r="BT39" s="290">
        <v>0.0</v>
      </c>
      <c r="BU39" s="290">
        <v>1.0</v>
      </c>
      <c r="BV39" s="290">
        <v>6.0</v>
      </c>
      <c r="BW39" s="290">
        <v>0.0</v>
      </c>
      <c r="BX39" s="290">
        <v>0.0</v>
      </c>
      <c r="BY39" s="290">
        <v>0.0</v>
      </c>
      <c r="BZ39" s="290">
        <v>0.0</v>
      </c>
      <c r="CA39" s="290">
        <v>0.0</v>
      </c>
      <c r="CB39" s="290">
        <v>0.0</v>
      </c>
      <c r="CC39" s="290">
        <v>1.0</v>
      </c>
      <c r="CD39" s="291">
        <v>5.0</v>
      </c>
      <c r="CE39" s="290">
        <v>0.0</v>
      </c>
      <c r="CF39" s="290">
        <v>0.0</v>
      </c>
      <c r="CG39" s="290">
        <v>0.0</v>
      </c>
      <c r="CH39" s="290">
        <v>0.0</v>
      </c>
      <c r="CI39" s="290">
        <v>0.0</v>
      </c>
      <c r="CJ39" s="290">
        <v>0.0</v>
      </c>
      <c r="CK39" s="172">
        <f t="shared" si="11"/>
        <v>6</v>
      </c>
      <c r="CL39" s="173">
        <v>688.0</v>
      </c>
      <c r="CM39" s="173">
        <v>208.0</v>
      </c>
      <c r="CN39" s="175">
        <f t="shared" si="12"/>
        <v>9</v>
      </c>
      <c r="CO39" s="173">
        <v>0.0</v>
      </c>
      <c r="CP39" s="173">
        <v>0.0</v>
      </c>
      <c r="CQ39" s="173">
        <v>1.0</v>
      </c>
      <c r="CR39" s="173">
        <v>6.0</v>
      </c>
      <c r="CS39" s="173">
        <v>1.0</v>
      </c>
      <c r="CT39" s="173">
        <v>0.0</v>
      </c>
      <c r="CU39" s="173">
        <v>1.0</v>
      </c>
      <c r="CV39" s="173">
        <v>0.0</v>
      </c>
      <c r="CW39" s="173">
        <v>0.0</v>
      </c>
      <c r="CX39" s="173">
        <v>0.0</v>
      </c>
      <c r="CY39" s="173">
        <v>0.0</v>
      </c>
      <c r="CZ39" s="173">
        <v>0.0</v>
      </c>
      <c r="DA39" s="173">
        <v>0.0</v>
      </c>
      <c r="DB39" s="173">
        <v>0.0</v>
      </c>
      <c r="DC39" s="173">
        <v>0.0</v>
      </c>
      <c r="DD39" s="173">
        <v>0.0</v>
      </c>
      <c r="DE39" s="173">
        <v>0.0</v>
      </c>
      <c r="DF39" s="173">
        <v>0.0</v>
      </c>
      <c r="DG39" s="176">
        <f t="shared" si="13"/>
        <v>0</v>
      </c>
      <c r="DH39" s="177">
        <v>606.0</v>
      </c>
      <c r="DI39" s="177">
        <v>201.0</v>
      </c>
      <c r="DJ39" s="178">
        <v>606.0</v>
      </c>
      <c r="DK39" s="178">
        <v>201.0</v>
      </c>
      <c r="DL39" s="179">
        <f t="shared" si="14"/>
        <v>7</v>
      </c>
      <c r="DM39" s="180">
        <f t="shared" si="15"/>
        <v>2</v>
      </c>
      <c r="DN39" s="180">
        <f t="shared" si="16"/>
        <v>5</v>
      </c>
      <c r="DO39" s="177">
        <v>0.0</v>
      </c>
      <c r="DP39" s="177">
        <v>0.0</v>
      </c>
      <c r="DQ39" s="177">
        <v>2.0</v>
      </c>
      <c r="DR39" s="177">
        <v>5.0</v>
      </c>
      <c r="DS39" s="177">
        <v>0.0</v>
      </c>
      <c r="DT39" s="177">
        <v>0.0</v>
      </c>
      <c r="DU39" s="177">
        <v>0.0</v>
      </c>
      <c r="DV39" s="177">
        <v>0.0</v>
      </c>
      <c r="DW39" s="177">
        <v>1.0</v>
      </c>
      <c r="DX39" s="177">
        <v>0.0</v>
      </c>
      <c r="DY39" s="177">
        <v>0.0</v>
      </c>
      <c r="DZ39" s="177">
        <v>1.0</v>
      </c>
      <c r="EA39" s="177">
        <v>0.0</v>
      </c>
      <c r="EB39" s="177">
        <v>0.0</v>
      </c>
      <c r="EC39" s="177">
        <v>0.0</v>
      </c>
      <c r="ED39" s="177">
        <v>0.0</v>
      </c>
      <c r="EE39" s="177">
        <v>0.0</v>
      </c>
      <c r="EF39" s="177">
        <v>0.0</v>
      </c>
      <c r="EG39" s="179">
        <f t="shared" si="17"/>
        <v>2</v>
      </c>
      <c r="EH39" s="179">
        <f t="shared" si="18"/>
        <v>1</v>
      </c>
      <c r="EI39" s="177">
        <v>585.0</v>
      </c>
      <c r="EJ39" s="177">
        <v>206.0</v>
      </c>
      <c r="EK39" s="178">
        <v>585.0</v>
      </c>
      <c r="EL39" s="178">
        <v>206.0</v>
      </c>
      <c r="EM39" s="185">
        <f t="shared" si="19"/>
        <v>8</v>
      </c>
      <c r="EN39" s="186">
        <f t="shared" si="89"/>
        <v>2</v>
      </c>
      <c r="EO39" s="186">
        <f t="shared" si="90"/>
        <v>6</v>
      </c>
      <c r="EP39" s="177">
        <v>0.0</v>
      </c>
      <c r="EQ39" s="177">
        <v>0.0</v>
      </c>
      <c r="ER39" s="177">
        <v>2.0</v>
      </c>
      <c r="ES39" s="177">
        <v>5.0</v>
      </c>
      <c r="ET39" s="177">
        <v>0.0</v>
      </c>
      <c r="EU39" s="177">
        <v>0.0</v>
      </c>
      <c r="EV39" s="177">
        <v>0.0</v>
      </c>
      <c r="EW39" s="177">
        <v>1.0</v>
      </c>
      <c r="EX39" s="177">
        <v>0.0</v>
      </c>
      <c r="EY39" s="177">
        <v>0.0</v>
      </c>
      <c r="EZ39" s="177">
        <v>0.0</v>
      </c>
      <c r="FA39" s="177">
        <v>0.0</v>
      </c>
      <c r="FB39" s="177">
        <v>0.0</v>
      </c>
      <c r="FC39" s="177">
        <v>0.0</v>
      </c>
      <c r="FD39" s="177">
        <v>0.0</v>
      </c>
      <c r="FE39" s="177">
        <v>0.0</v>
      </c>
      <c r="FF39" s="177">
        <v>0.0</v>
      </c>
      <c r="FG39" s="177">
        <v>0.0</v>
      </c>
      <c r="FH39" s="185">
        <f t="shared" si="22"/>
        <v>0</v>
      </c>
      <c r="FI39" s="185">
        <f t="shared" si="23"/>
        <v>0</v>
      </c>
      <c r="FJ39" s="177">
        <v>587.0</v>
      </c>
      <c r="FK39" s="177">
        <v>210.0</v>
      </c>
      <c r="FL39" s="177">
        <v>587.0</v>
      </c>
      <c r="FM39" s="177">
        <v>210.0</v>
      </c>
      <c r="FN39" s="180"/>
      <c r="FO39" s="180">
        <v>8.0</v>
      </c>
      <c r="FP39" s="243">
        <v>8.0</v>
      </c>
      <c r="FQ39" s="211">
        <v>1.0</v>
      </c>
      <c r="FR39" s="212">
        <v>7.0</v>
      </c>
      <c r="FS39" s="206">
        <v>0.0</v>
      </c>
      <c r="FT39" s="207">
        <v>0.0</v>
      </c>
      <c r="FU39" s="207">
        <v>1.0</v>
      </c>
      <c r="FV39" s="207">
        <v>6.0</v>
      </c>
      <c r="FW39" s="207">
        <v>0.0</v>
      </c>
      <c r="FX39" s="207">
        <v>0.0</v>
      </c>
      <c r="FY39" s="207">
        <v>0.0</v>
      </c>
      <c r="FZ39" s="207">
        <v>1.0</v>
      </c>
      <c r="GA39" s="207">
        <v>0.0</v>
      </c>
      <c r="GB39" s="207">
        <v>0.0</v>
      </c>
      <c r="GC39" s="207">
        <v>0.0</v>
      </c>
      <c r="GD39" s="207">
        <v>1.0</v>
      </c>
      <c r="GE39" s="207">
        <v>0.0</v>
      </c>
      <c r="GF39" s="207">
        <v>0.0</v>
      </c>
      <c r="GG39" s="207">
        <v>0.0</v>
      </c>
      <c r="GH39" s="207">
        <v>0.0</v>
      </c>
      <c r="GI39" s="207">
        <v>0.0</v>
      </c>
      <c r="GJ39" s="207">
        <v>0.0</v>
      </c>
      <c r="GK39" s="212">
        <v>1.0</v>
      </c>
      <c r="GL39" s="212">
        <v>0.0</v>
      </c>
      <c r="GM39" s="207">
        <v>575.0</v>
      </c>
      <c r="GN39" s="207">
        <v>204.0</v>
      </c>
      <c r="GO39" s="213">
        <v>565.0</v>
      </c>
      <c r="GP39" s="213">
        <v>196.0</v>
      </c>
      <c r="GQ39" s="207"/>
      <c r="GR39" s="213">
        <v>6.0</v>
      </c>
      <c r="GS39" s="193">
        <v>2.0</v>
      </c>
      <c r="GT39" s="194">
        <f t="shared" si="25"/>
        <v>6</v>
      </c>
      <c r="GU39" s="194">
        <f t="shared" si="26"/>
        <v>2</v>
      </c>
      <c r="GV39" s="194">
        <f t="shared" si="27"/>
        <v>4</v>
      </c>
      <c r="GW39" s="207">
        <v>0.0</v>
      </c>
      <c r="GX39" s="207">
        <v>0.0</v>
      </c>
      <c r="GY39" s="207">
        <v>1.0</v>
      </c>
      <c r="GZ39" s="207">
        <v>4.0</v>
      </c>
      <c r="HA39" s="207">
        <v>0.0</v>
      </c>
      <c r="HB39" s="207">
        <v>0.0</v>
      </c>
      <c r="HC39" s="207">
        <v>1.0</v>
      </c>
      <c r="HD39" s="207">
        <v>0.0</v>
      </c>
      <c r="HE39" s="207">
        <v>0.0</v>
      </c>
      <c r="HF39" s="207">
        <v>0.0</v>
      </c>
      <c r="HG39" s="207">
        <v>0.0</v>
      </c>
      <c r="HH39" s="207">
        <v>3.0</v>
      </c>
      <c r="HI39" s="207">
        <v>0.0</v>
      </c>
      <c r="HJ39" s="207">
        <v>0.0</v>
      </c>
      <c r="HK39" s="207">
        <v>0.0</v>
      </c>
      <c r="HL39" s="207">
        <v>0.0</v>
      </c>
      <c r="HM39" s="207">
        <v>0.0</v>
      </c>
      <c r="HN39" s="207">
        <v>0.0</v>
      </c>
      <c r="HO39" s="222">
        <v>3.0</v>
      </c>
      <c r="HP39" s="222">
        <v>0.0</v>
      </c>
      <c r="HQ39" s="214"/>
      <c r="HR39" s="197"/>
      <c r="HS39" s="197"/>
      <c r="HT39" s="198">
        <f t="shared" si="28"/>
        <v>7</v>
      </c>
      <c r="HU39" s="198">
        <f t="shared" si="29"/>
        <v>11</v>
      </c>
      <c r="HV39" s="198">
        <f t="shared" si="30"/>
        <v>11</v>
      </c>
      <c r="HW39" s="198">
        <f t="shared" si="99"/>
        <v>9</v>
      </c>
      <c r="HX39" s="198">
        <f t="shared" si="32"/>
        <v>18</v>
      </c>
      <c r="HY39" s="198">
        <f t="shared" si="33"/>
        <v>13</v>
      </c>
      <c r="HZ39" s="198">
        <f t="shared" si="34"/>
        <v>7</v>
      </c>
      <c r="IA39" s="198">
        <f t="shared" si="35"/>
        <v>9</v>
      </c>
      <c r="IB39" s="198">
        <f t="shared" si="36"/>
        <v>7</v>
      </c>
      <c r="IC39" s="198">
        <f t="shared" si="37"/>
        <v>8</v>
      </c>
      <c r="ID39" s="198">
        <f t="shared" si="38"/>
        <v>8</v>
      </c>
      <c r="IE39" s="198">
        <f t="shared" si="39"/>
        <v>6</v>
      </c>
      <c r="IF39" s="197"/>
      <c r="IG39" s="197"/>
      <c r="IH39" s="197"/>
      <c r="II39" s="197"/>
      <c r="IJ39" s="197"/>
      <c r="IK39" s="197"/>
      <c r="IL39" s="197"/>
      <c r="IM39" s="197"/>
      <c r="IN39" s="197"/>
      <c r="IO39" s="197"/>
      <c r="IP39" s="197"/>
      <c r="IQ39" s="197"/>
      <c r="IR39" s="197"/>
      <c r="IS39" s="197"/>
      <c r="IT39" s="197"/>
      <c r="IU39" s="197"/>
      <c r="IV39" s="197"/>
      <c r="IW39" s="197"/>
      <c r="IX39" s="197"/>
      <c r="IY39" s="197"/>
      <c r="IZ39" s="197"/>
      <c r="JA39" s="199"/>
      <c r="JB39" s="200">
        <f t="shared" si="40"/>
        <v>7</v>
      </c>
      <c r="JC39" s="200">
        <f t="shared" si="41"/>
        <v>11</v>
      </c>
      <c r="JD39" s="200">
        <f t="shared" si="42"/>
        <v>11</v>
      </c>
      <c r="JE39" s="200">
        <f t="shared" si="43"/>
        <v>9</v>
      </c>
      <c r="JF39" s="200">
        <f t="shared" si="44"/>
        <v>18</v>
      </c>
      <c r="JG39" s="200">
        <f t="shared" si="45"/>
        <v>13</v>
      </c>
      <c r="JH39" s="200">
        <f t="shared" si="46"/>
        <v>7</v>
      </c>
      <c r="JI39" s="200">
        <f t="shared" si="47"/>
        <v>9</v>
      </c>
      <c r="JJ39" s="200">
        <f t="shared" si="48"/>
        <v>7</v>
      </c>
      <c r="JK39" s="200">
        <f t="shared" si="49"/>
        <v>8</v>
      </c>
      <c r="JL39" s="200">
        <f t="shared" si="50"/>
        <v>8</v>
      </c>
      <c r="JM39" s="200">
        <f t="shared" si="51"/>
        <v>6</v>
      </c>
      <c r="JN39" s="199"/>
      <c r="JO39" s="200">
        <f t="shared" si="52"/>
        <v>7</v>
      </c>
      <c r="JP39" s="202">
        <v>11.0</v>
      </c>
      <c r="JQ39" s="202">
        <v>11.0</v>
      </c>
      <c r="JR39" s="202">
        <v>9.0</v>
      </c>
      <c r="JS39" s="202">
        <v>18.0</v>
      </c>
      <c r="JT39" s="199"/>
      <c r="JU39" s="199"/>
      <c r="JV39" s="200">
        <f t="shared" ref="JV39:JX39" si="122">IA39-JI39</f>
        <v>0</v>
      </c>
      <c r="JW39" s="200">
        <f t="shared" si="122"/>
        <v>0</v>
      </c>
      <c r="JX39" s="200">
        <f t="shared" si="122"/>
        <v>0</v>
      </c>
      <c r="JY39" s="199"/>
      <c r="JZ39" s="199"/>
      <c r="KA39" s="199"/>
      <c r="KB39" s="200">
        <f t="shared" ref="KB39:KM39" si="123">JB39-JO39</f>
        <v>0</v>
      </c>
      <c r="KC39" s="200">
        <f t="shared" si="123"/>
        <v>0</v>
      </c>
      <c r="KD39" s="200">
        <f t="shared" si="123"/>
        <v>0</v>
      </c>
      <c r="KE39" s="200">
        <f t="shared" si="123"/>
        <v>0</v>
      </c>
      <c r="KF39" s="200">
        <f t="shared" si="123"/>
        <v>0</v>
      </c>
      <c r="KG39" s="200">
        <f t="shared" si="123"/>
        <v>13</v>
      </c>
      <c r="KH39" s="200">
        <f t="shared" si="123"/>
        <v>7</v>
      </c>
      <c r="KI39" s="200">
        <f t="shared" si="123"/>
        <v>9</v>
      </c>
      <c r="KJ39" s="200">
        <f t="shared" si="123"/>
        <v>7</v>
      </c>
      <c r="KK39" s="200">
        <f t="shared" si="123"/>
        <v>8</v>
      </c>
      <c r="KL39" s="200">
        <f t="shared" si="123"/>
        <v>8</v>
      </c>
      <c r="KM39" s="200">
        <f t="shared" si="123"/>
        <v>6</v>
      </c>
      <c r="KN39" s="199"/>
      <c r="KO39" s="199"/>
      <c r="KP39" s="199"/>
      <c r="KQ39" s="199"/>
      <c r="KR39" s="199"/>
      <c r="KS39" s="199"/>
      <c r="KT39" s="199"/>
      <c r="KU39" s="199"/>
      <c r="KV39" s="199"/>
      <c r="KW39" s="199"/>
      <c r="KX39" s="199"/>
      <c r="KY39" s="199"/>
      <c r="KZ39" s="199"/>
      <c r="LA39" s="199"/>
      <c r="LB39" s="199"/>
      <c r="LC39" s="199"/>
      <c r="LD39" s="199"/>
      <c r="LE39" s="199"/>
      <c r="LF39" s="199"/>
      <c r="LG39" s="199"/>
    </row>
    <row r="40" ht="14.25" customHeight="1">
      <c r="A40" s="156">
        <v>33.0</v>
      </c>
      <c r="B40" s="157" t="s">
        <v>106</v>
      </c>
      <c r="C40" s="158">
        <v>3374110.0</v>
      </c>
      <c r="D40" s="158" t="s">
        <v>115</v>
      </c>
      <c r="E40" s="158" t="s">
        <v>118</v>
      </c>
      <c r="F40" s="159">
        <v>5.0</v>
      </c>
      <c r="G40" s="285">
        <v>104.0</v>
      </c>
      <c r="H40" s="160">
        <v>0.0</v>
      </c>
      <c r="I40" s="161">
        <v>0.0</v>
      </c>
      <c r="J40" s="161">
        <v>0.0</v>
      </c>
      <c r="K40" s="161">
        <v>0.0</v>
      </c>
      <c r="L40" s="161">
        <v>0.0</v>
      </c>
      <c r="M40" s="161">
        <v>0.0</v>
      </c>
      <c r="N40" s="161">
        <v>0.0</v>
      </c>
      <c r="O40" s="162">
        <f t="shared" si="3"/>
        <v>0</v>
      </c>
      <c r="P40" s="203">
        <v>0.0</v>
      </c>
      <c r="Q40" s="164">
        <v>0.0</v>
      </c>
      <c r="R40" s="164">
        <v>0.0</v>
      </c>
      <c r="S40" s="164">
        <v>0.0</v>
      </c>
      <c r="T40" s="165">
        <v>0.0</v>
      </c>
      <c r="U40" s="165">
        <v>0.0</v>
      </c>
      <c r="V40" s="165">
        <v>0.0</v>
      </c>
      <c r="W40" s="166">
        <f t="shared" si="4"/>
        <v>0</v>
      </c>
      <c r="X40" s="203">
        <v>0.0</v>
      </c>
      <c r="Y40" s="165">
        <v>0.0</v>
      </c>
      <c r="Z40" s="165">
        <v>0.0</v>
      </c>
      <c r="AA40" s="165">
        <v>0.0</v>
      </c>
      <c r="AB40" s="165">
        <v>0.0</v>
      </c>
      <c r="AC40" s="165">
        <v>0.0</v>
      </c>
      <c r="AD40" s="165">
        <v>0.0</v>
      </c>
      <c r="AE40" s="166">
        <f t="shared" si="5"/>
        <v>0</v>
      </c>
      <c r="AF40" s="167">
        <v>0.0</v>
      </c>
      <c r="AG40" s="165">
        <v>0.0</v>
      </c>
      <c r="AH40" s="165">
        <v>0.0</v>
      </c>
      <c r="AI40" s="165">
        <v>0.0</v>
      </c>
      <c r="AJ40" s="165">
        <v>0.0</v>
      </c>
      <c r="AK40" s="165">
        <v>0.0</v>
      </c>
      <c r="AL40" s="165">
        <v>0.0</v>
      </c>
      <c r="AM40" s="166">
        <f t="shared" si="98"/>
        <v>0</v>
      </c>
      <c r="AN40" s="167">
        <v>0.0</v>
      </c>
      <c r="AO40" s="165">
        <v>0.0</v>
      </c>
      <c r="AP40" s="165">
        <v>0.0</v>
      </c>
      <c r="AQ40" s="165">
        <v>0.0</v>
      </c>
      <c r="AR40" s="165">
        <v>0.0</v>
      </c>
      <c r="AS40" s="165">
        <v>0.0</v>
      </c>
      <c r="AT40" s="165">
        <v>0.0</v>
      </c>
      <c r="AU40" s="168">
        <f t="shared" si="7"/>
        <v>0</v>
      </c>
      <c r="AV40" s="169">
        <v>108.0</v>
      </c>
      <c r="AW40" s="204">
        <f t="shared" si="8"/>
        <v>4</v>
      </c>
      <c r="AX40" s="169">
        <v>0.0</v>
      </c>
      <c r="AY40" s="169">
        <v>0.0</v>
      </c>
      <c r="AZ40" s="169">
        <v>0.0</v>
      </c>
      <c r="BA40" s="169">
        <v>0.0</v>
      </c>
      <c r="BB40" s="169">
        <v>0.0</v>
      </c>
      <c r="BC40" s="169">
        <v>0.0</v>
      </c>
      <c r="BD40" s="169">
        <v>3.0</v>
      </c>
      <c r="BE40" s="169">
        <v>1.0</v>
      </c>
      <c r="BF40" s="169">
        <v>0.0</v>
      </c>
      <c r="BG40" s="169">
        <v>0.0</v>
      </c>
      <c r="BH40" s="169">
        <v>0.0</v>
      </c>
      <c r="BI40" s="169">
        <v>0.0</v>
      </c>
      <c r="BJ40" s="169">
        <v>0.0</v>
      </c>
      <c r="BK40" s="169">
        <v>0.0</v>
      </c>
      <c r="BL40" s="169">
        <v>0.0</v>
      </c>
      <c r="BM40" s="169">
        <v>0.0</v>
      </c>
      <c r="BN40" s="169">
        <v>0.0</v>
      </c>
      <c r="BO40" s="169">
        <v>0.0</v>
      </c>
      <c r="BP40" s="205">
        <f t="shared" si="102"/>
        <v>0</v>
      </c>
      <c r="BQ40" s="289">
        <v>120.0</v>
      </c>
      <c r="BR40" s="170">
        <f t="shared" si="10"/>
        <v>2</v>
      </c>
      <c r="BS40" s="289">
        <v>0.0</v>
      </c>
      <c r="BT40" s="290">
        <v>0.0</v>
      </c>
      <c r="BU40" s="290">
        <v>0.0</v>
      </c>
      <c r="BV40" s="290">
        <v>1.0</v>
      </c>
      <c r="BW40" s="290">
        <v>0.0</v>
      </c>
      <c r="BX40" s="290">
        <v>0.0</v>
      </c>
      <c r="BY40" s="290">
        <v>0.0</v>
      </c>
      <c r="BZ40" s="290">
        <v>1.0</v>
      </c>
      <c r="CA40" s="290">
        <v>0.0</v>
      </c>
      <c r="CB40" s="290">
        <v>0.0</v>
      </c>
      <c r="CC40" s="290">
        <v>3.0</v>
      </c>
      <c r="CD40" s="291">
        <v>0.0</v>
      </c>
      <c r="CE40" s="290">
        <v>0.0</v>
      </c>
      <c r="CF40" s="290">
        <v>0.0</v>
      </c>
      <c r="CG40" s="290">
        <v>0.0</v>
      </c>
      <c r="CH40" s="290">
        <v>0.0</v>
      </c>
      <c r="CI40" s="290">
        <v>0.0</v>
      </c>
      <c r="CJ40" s="290">
        <v>0.0</v>
      </c>
      <c r="CK40" s="172">
        <f t="shared" si="11"/>
        <v>3</v>
      </c>
      <c r="CL40" s="173">
        <v>109.0</v>
      </c>
      <c r="CM40" s="173">
        <v>44.0</v>
      </c>
      <c r="CN40" s="175">
        <f t="shared" si="12"/>
        <v>2</v>
      </c>
      <c r="CO40" s="173">
        <v>0.0</v>
      </c>
      <c r="CP40" s="173">
        <v>0.0</v>
      </c>
      <c r="CQ40" s="173">
        <v>0.0</v>
      </c>
      <c r="CR40" s="173">
        <v>1.0</v>
      </c>
      <c r="CS40" s="173">
        <v>0.0</v>
      </c>
      <c r="CT40" s="173">
        <v>0.0</v>
      </c>
      <c r="CU40" s="173">
        <v>0.0</v>
      </c>
      <c r="CV40" s="173">
        <v>1.0</v>
      </c>
      <c r="CW40" s="173">
        <v>0.0</v>
      </c>
      <c r="CX40" s="173">
        <v>0.0</v>
      </c>
      <c r="CY40" s="173">
        <v>0.0</v>
      </c>
      <c r="CZ40" s="173">
        <v>1.0</v>
      </c>
      <c r="DA40" s="173">
        <v>0.0</v>
      </c>
      <c r="DB40" s="173">
        <v>0.0</v>
      </c>
      <c r="DC40" s="173">
        <v>0.0</v>
      </c>
      <c r="DD40" s="173">
        <v>0.0</v>
      </c>
      <c r="DE40" s="173">
        <v>0.0</v>
      </c>
      <c r="DF40" s="173">
        <v>0.0</v>
      </c>
      <c r="DG40" s="176">
        <f t="shared" si="13"/>
        <v>1</v>
      </c>
      <c r="DH40" s="177">
        <v>98.0</v>
      </c>
      <c r="DI40" s="177">
        <v>41.0</v>
      </c>
      <c r="DJ40" s="178">
        <v>98.0</v>
      </c>
      <c r="DK40" s="178">
        <v>41.0</v>
      </c>
      <c r="DL40" s="179">
        <f t="shared" si="14"/>
        <v>2</v>
      </c>
      <c r="DM40" s="180">
        <f t="shared" si="15"/>
        <v>0</v>
      </c>
      <c r="DN40" s="180">
        <f t="shared" si="16"/>
        <v>2</v>
      </c>
      <c r="DO40" s="177">
        <v>0.0</v>
      </c>
      <c r="DP40" s="177">
        <v>0.0</v>
      </c>
      <c r="DQ40" s="177">
        <v>0.0</v>
      </c>
      <c r="DR40" s="177">
        <v>2.0</v>
      </c>
      <c r="DS40" s="177">
        <v>0.0</v>
      </c>
      <c r="DT40" s="177">
        <v>0.0</v>
      </c>
      <c r="DU40" s="177">
        <v>0.0</v>
      </c>
      <c r="DV40" s="177">
        <v>0.0</v>
      </c>
      <c r="DW40" s="177">
        <v>0.0</v>
      </c>
      <c r="DX40" s="177">
        <v>0.0</v>
      </c>
      <c r="DY40" s="177">
        <v>0.0</v>
      </c>
      <c r="DZ40" s="177">
        <v>0.0</v>
      </c>
      <c r="EA40" s="177">
        <v>0.0</v>
      </c>
      <c r="EB40" s="177">
        <v>0.0</v>
      </c>
      <c r="EC40" s="177">
        <v>0.0</v>
      </c>
      <c r="ED40" s="177">
        <v>0.0</v>
      </c>
      <c r="EE40" s="177">
        <v>0.0</v>
      </c>
      <c r="EF40" s="177">
        <v>0.0</v>
      </c>
      <c r="EG40" s="179">
        <f t="shared" si="17"/>
        <v>0</v>
      </c>
      <c r="EH40" s="179">
        <f t="shared" si="18"/>
        <v>0</v>
      </c>
      <c r="EI40" s="177">
        <v>101.0</v>
      </c>
      <c r="EJ40" s="177">
        <v>45.0</v>
      </c>
      <c r="EK40" s="178">
        <v>101.0</v>
      </c>
      <c r="EL40" s="178">
        <v>45.0</v>
      </c>
      <c r="EM40" s="185">
        <f t="shared" si="19"/>
        <v>3</v>
      </c>
      <c r="EN40" s="186">
        <f t="shared" si="89"/>
        <v>0</v>
      </c>
      <c r="EO40" s="186">
        <f t="shared" si="90"/>
        <v>3</v>
      </c>
      <c r="EP40" s="177">
        <v>0.0</v>
      </c>
      <c r="EQ40" s="177">
        <v>0.0</v>
      </c>
      <c r="ER40" s="177">
        <v>0.0</v>
      </c>
      <c r="ES40" s="177">
        <v>2.0</v>
      </c>
      <c r="ET40" s="177">
        <v>0.0</v>
      </c>
      <c r="EU40" s="177">
        <v>0.0</v>
      </c>
      <c r="EV40" s="177">
        <v>0.0</v>
      </c>
      <c r="EW40" s="177">
        <v>1.0</v>
      </c>
      <c r="EX40" s="177">
        <v>0.0</v>
      </c>
      <c r="EY40" s="177">
        <v>0.0</v>
      </c>
      <c r="EZ40" s="177">
        <v>0.0</v>
      </c>
      <c r="FA40" s="177">
        <v>0.0</v>
      </c>
      <c r="FB40" s="177">
        <v>0.0</v>
      </c>
      <c r="FC40" s="177">
        <v>0.0</v>
      </c>
      <c r="FD40" s="177">
        <v>0.0</v>
      </c>
      <c r="FE40" s="177">
        <v>0.0</v>
      </c>
      <c r="FF40" s="177">
        <v>0.0</v>
      </c>
      <c r="FG40" s="177">
        <v>0.0</v>
      </c>
      <c r="FH40" s="185">
        <f t="shared" si="22"/>
        <v>0</v>
      </c>
      <c r="FI40" s="185">
        <f t="shared" si="23"/>
        <v>0</v>
      </c>
      <c r="FJ40" s="177">
        <v>105.0</v>
      </c>
      <c r="FK40" s="177">
        <v>47.0</v>
      </c>
      <c r="FL40" s="177">
        <v>70.0</v>
      </c>
      <c r="FM40" s="177">
        <v>26.0</v>
      </c>
      <c r="FN40" s="180"/>
      <c r="FO40" s="180">
        <v>3.0</v>
      </c>
      <c r="FP40" s="243">
        <v>3.0</v>
      </c>
      <c r="FQ40" s="211">
        <v>0.0</v>
      </c>
      <c r="FR40" s="212">
        <v>3.0</v>
      </c>
      <c r="FS40" s="206">
        <v>0.0</v>
      </c>
      <c r="FT40" s="207">
        <v>0.0</v>
      </c>
      <c r="FU40" s="207">
        <v>0.0</v>
      </c>
      <c r="FV40" s="207">
        <v>3.0</v>
      </c>
      <c r="FW40" s="207">
        <v>0.0</v>
      </c>
      <c r="FX40" s="207">
        <v>0.0</v>
      </c>
      <c r="FY40" s="207">
        <v>0.0</v>
      </c>
      <c r="FZ40" s="207">
        <v>0.0</v>
      </c>
      <c r="GA40" s="207">
        <v>0.0</v>
      </c>
      <c r="GB40" s="207">
        <v>0.0</v>
      </c>
      <c r="GC40" s="207">
        <v>0.0</v>
      </c>
      <c r="GD40" s="207">
        <v>0.0</v>
      </c>
      <c r="GE40" s="207">
        <v>0.0</v>
      </c>
      <c r="GF40" s="207">
        <v>0.0</v>
      </c>
      <c r="GG40" s="207">
        <v>0.0</v>
      </c>
      <c r="GH40" s="207">
        <v>0.0</v>
      </c>
      <c r="GI40" s="207">
        <v>0.0</v>
      </c>
      <c r="GJ40" s="207">
        <v>0.0</v>
      </c>
      <c r="GK40" s="212">
        <v>0.0</v>
      </c>
      <c r="GL40" s="212">
        <v>0.0</v>
      </c>
      <c r="GM40" s="207">
        <v>103.0</v>
      </c>
      <c r="GN40" s="207">
        <v>41.0</v>
      </c>
      <c r="GO40" s="213">
        <v>79.0</v>
      </c>
      <c r="GP40" s="213">
        <v>31.0</v>
      </c>
      <c r="GQ40" s="207"/>
      <c r="GR40" s="213">
        <v>3.0</v>
      </c>
      <c r="GS40" s="193">
        <v>0.0</v>
      </c>
      <c r="GT40" s="194">
        <f t="shared" si="25"/>
        <v>3</v>
      </c>
      <c r="GU40" s="194">
        <f t="shared" si="26"/>
        <v>0</v>
      </c>
      <c r="GV40" s="194">
        <f t="shared" si="27"/>
        <v>3</v>
      </c>
      <c r="GW40" s="207">
        <v>0.0</v>
      </c>
      <c r="GX40" s="207">
        <v>0.0</v>
      </c>
      <c r="GY40" s="207">
        <v>0.0</v>
      </c>
      <c r="GZ40" s="207">
        <v>3.0</v>
      </c>
      <c r="HA40" s="207">
        <v>0.0</v>
      </c>
      <c r="HB40" s="207">
        <v>0.0</v>
      </c>
      <c r="HC40" s="207">
        <v>0.0</v>
      </c>
      <c r="HD40" s="207">
        <v>0.0</v>
      </c>
      <c r="HE40" s="207">
        <v>0.0</v>
      </c>
      <c r="HF40" s="207">
        <v>0.0</v>
      </c>
      <c r="HG40" s="207">
        <v>0.0</v>
      </c>
      <c r="HH40" s="207">
        <v>0.0</v>
      </c>
      <c r="HI40" s="207">
        <v>0.0</v>
      </c>
      <c r="HJ40" s="207">
        <v>0.0</v>
      </c>
      <c r="HK40" s="207">
        <v>0.0</v>
      </c>
      <c r="HL40" s="207">
        <v>0.0</v>
      </c>
      <c r="HM40" s="207">
        <v>0.0</v>
      </c>
      <c r="HN40" s="207">
        <v>0.0</v>
      </c>
      <c r="HO40" s="222">
        <v>0.0</v>
      </c>
      <c r="HP40" s="222">
        <v>0.0</v>
      </c>
      <c r="HQ40" s="214"/>
      <c r="HR40" s="197"/>
      <c r="HS40" s="197"/>
      <c r="HT40" s="198">
        <f t="shared" si="28"/>
        <v>0</v>
      </c>
      <c r="HU40" s="198">
        <f t="shared" si="29"/>
        <v>0</v>
      </c>
      <c r="HV40" s="198">
        <f t="shared" si="30"/>
        <v>0</v>
      </c>
      <c r="HW40" s="198">
        <f t="shared" si="99"/>
        <v>0</v>
      </c>
      <c r="HX40" s="198">
        <f t="shared" si="32"/>
        <v>0</v>
      </c>
      <c r="HY40" s="198">
        <f t="shared" si="33"/>
        <v>4</v>
      </c>
      <c r="HZ40" s="198">
        <f t="shared" si="34"/>
        <v>2</v>
      </c>
      <c r="IA40" s="198">
        <f t="shared" si="35"/>
        <v>2</v>
      </c>
      <c r="IB40" s="198">
        <f t="shared" si="36"/>
        <v>2</v>
      </c>
      <c r="IC40" s="198">
        <f t="shared" si="37"/>
        <v>3</v>
      </c>
      <c r="ID40" s="198">
        <f t="shared" si="38"/>
        <v>3</v>
      </c>
      <c r="IE40" s="198">
        <f t="shared" si="39"/>
        <v>3</v>
      </c>
      <c r="IF40" s="197"/>
      <c r="IG40" s="197"/>
      <c r="IH40" s="197"/>
      <c r="II40" s="197"/>
      <c r="IJ40" s="197"/>
      <c r="IK40" s="197"/>
      <c r="IL40" s="197"/>
      <c r="IM40" s="197"/>
      <c r="IN40" s="197"/>
      <c r="IO40" s="197"/>
      <c r="IP40" s="197"/>
      <c r="IQ40" s="197"/>
      <c r="IR40" s="197"/>
      <c r="IS40" s="197"/>
      <c r="IT40" s="197"/>
      <c r="IU40" s="197"/>
      <c r="IV40" s="197"/>
      <c r="IW40" s="197"/>
      <c r="IX40" s="197"/>
      <c r="IY40" s="197"/>
      <c r="IZ40" s="197"/>
      <c r="JA40" s="199"/>
      <c r="JB40" s="200">
        <f t="shared" si="40"/>
        <v>0</v>
      </c>
      <c r="JC40" s="200">
        <f t="shared" si="41"/>
        <v>0</v>
      </c>
      <c r="JD40" s="200">
        <f t="shared" si="42"/>
        <v>0</v>
      </c>
      <c r="JE40" s="200">
        <f t="shared" si="43"/>
        <v>0</v>
      </c>
      <c r="JF40" s="200">
        <f t="shared" si="44"/>
        <v>0</v>
      </c>
      <c r="JG40" s="200">
        <f t="shared" si="45"/>
        <v>4</v>
      </c>
      <c r="JH40" s="200">
        <f t="shared" si="46"/>
        <v>2</v>
      </c>
      <c r="JI40" s="200">
        <f t="shared" si="47"/>
        <v>2</v>
      </c>
      <c r="JJ40" s="200">
        <f t="shared" si="48"/>
        <v>2</v>
      </c>
      <c r="JK40" s="200">
        <f t="shared" si="49"/>
        <v>3</v>
      </c>
      <c r="JL40" s="200">
        <f t="shared" si="50"/>
        <v>3</v>
      </c>
      <c r="JM40" s="200">
        <f t="shared" si="51"/>
        <v>3</v>
      </c>
      <c r="JN40" s="199"/>
      <c r="JO40" s="200">
        <f t="shared" si="52"/>
        <v>0</v>
      </c>
      <c r="JP40" s="202">
        <v>0.0</v>
      </c>
      <c r="JQ40" s="202">
        <v>0.0</v>
      </c>
      <c r="JR40" s="202">
        <v>0.0</v>
      </c>
      <c r="JS40" s="202">
        <v>0.0</v>
      </c>
      <c r="JT40" s="199"/>
      <c r="JU40" s="199"/>
      <c r="JV40" s="200">
        <f t="shared" ref="JV40:JX40" si="124">IA40-JI40</f>
        <v>0</v>
      </c>
      <c r="JW40" s="200">
        <f t="shared" si="124"/>
        <v>0</v>
      </c>
      <c r="JX40" s="200">
        <f t="shared" si="124"/>
        <v>0</v>
      </c>
      <c r="JY40" s="199"/>
      <c r="JZ40" s="199"/>
      <c r="KA40" s="199"/>
      <c r="KB40" s="200">
        <f t="shared" ref="KB40:KM40" si="125">JB40-JO40</f>
        <v>0</v>
      </c>
      <c r="KC40" s="200">
        <f t="shared" si="125"/>
        <v>0</v>
      </c>
      <c r="KD40" s="200">
        <f t="shared" si="125"/>
        <v>0</v>
      </c>
      <c r="KE40" s="200">
        <f t="shared" si="125"/>
        <v>0</v>
      </c>
      <c r="KF40" s="200">
        <f t="shared" si="125"/>
        <v>0</v>
      </c>
      <c r="KG40" s="200">
        <f t="shared" si="125"/>
        <v>4</v>
      </c>
      <c r="KH40" s="200">
        <f t="shared" si="125"/>
        <v>2</v>
      </c>
      <c r="KI40" s="200">
        <f t="shared" si="125"/>
        <v>2</v>
      </c>
      <c r="KJ40" s="200">
        <f t="shared" si="125"/>
        <v>2</v>
      </c>
      <c r="KK40" s="200">
        <f t="shared" si="125"/>
        <v>3</v>
      </c>
      <c r="KL40" s="200">
        <f t="shared" si="125"/>
        <v>3</v>
      </c>
      <c r="KM40" s="200">
        <f t="shared" si="125"/>
        <v>3</v>
      </c>
      <c r="KN40" s="199"/>
      <c r="KO40" s="199"/>
      <c r="KP40" s="199"/>
      <c r="KQ40" s="199"/>
      <c r="KR40" s="199"/>
      <c r="KS40" s="199"/>
      <c r="KT40" s="199"/>
      <c r="KU40" s="199"/>
      <c r="KV40" s="199"/>
      <c r="KW40" s="199"/>
      <c r="KX40" s="199"/>
      <c r="KY40" s="199"/>
      <c r="KZ40" s="199"/>
      <c r="LA40" s="199"/>
      <c r="LB40" s="199"/>
      <c r="LC40" s="199"/>
      <c r="LD40" s="199"/>
      <c r="LE40" s="199"/>
      <c r="LF40" s="199"/>
      <c r="LG40" s="199"/>
    </row>
    <row r="41" ht="14.25" customHeight="1">
      <c r="A41" s="156">
        <v>34.0</v>
      </c>
      <c r="B41" s="157" t="s">
        <v>106</v>
      </c>
      <c r="C41" s="158">
        <v>3374110.0</v>
      </c>
      <c r="D41" s="158" t="s">
        <v>115</v>
      </c>
      <c r="E41" s="158" t="s">
        <v>119</v>
      </c>
      <c r="F41" s="159">
        <v>1.0</v>
      </c>
      <c r="G41" s="285">
        <v>50.0</v>
      </c>
      <c r="H41" s="160">
        <v>0.0</v>
      </c>
      <c r="I41" s="161">
        <v>0.0</v>
      </c>
      <c r="J41" s="161">
        <v>0.0</v>
      </c>
      <c r="K41" s="161">
        <v>0.0</v>
      </c>
      <c r="L41" s="161">
        <v>0.0</v>
      </c>
      <c r="M41" s="161">
        <v>0.0</v>
      </c>
      <c r="N41" s="161">
        <v>0.0</v>
      </c>
      <c r="O41" s="162">
        <f t="shared" si="3"/>
        <v>0</v>
      </c>
      <c r="P41" s="203">
        <v>0.0</v>
      </c>
      <c r="Q41" s="164">
        <v>0.0</v>
      </c>
      <c r="R41" s="164">
        <v>0.0</v>
      </c>
      <c r="S41" s="164">
        <v>0.0</v>
      </c>
      <c r="T41" s="165">
        <v>0.0</v>
      </c>
      <c r="U41" s="165">
        <v>0.0</v>
      </c>
      <c r="V41" s="165">
        <v>0.0</v>
      </c>
      <c r="W41" s="166">
        <f t="shared" si="4"/>
        <v>0</v>
      </c>
      <c r="X41" s="203">
        <v>0.0</v>
      </c>
      <c r="Y41" s="165">
        <v>0.0</v>
      </c>
      <c r="Z41" s="165">
        <v>0.0</v>
      </c>
      <c r="AA41" s="165">
        <v>0.0</v>
      </c>
      <c r="AB41" s="165">
        <v>0.0</v>
      </c>
      <c r="AC41" s="165">
        <v>0.0</v>
      </c>
      <c r="AD41" s="165">
        <v>0.0</v>
      </c>
      <c r="AE41" s="166">
        <f t="shared" si="5"/>
        <v>0</v>
      </c>
      <c r="AF41" s="167">
        <v>0.0</v>
      </c>
      <c r="AG41" s="165">
        <v>0.0</v>
      </c>
      <c r="AH41" s="165">
        <v>0.0</v>
      </c>
      <c r="AI41" s="165">
        <v>0.0</v>
      </c>
      <c r="AJ41" s="165">
        <v>0.0</v>
      </c>
      <c r="AK41" s="165">
        <v>0.0</v>
      </c>
      <c r="AL41" s="165">
        <v>0.0</v>
      </c>
      <c r="AM41" s="166">
        <f t="shared" si="98"/>
        <v>0</v>
      </c>
      <c r="AN41" s="167">
        <v>1.0</v>
      </c>
      <c r="AO41" s="165">
        <v>0.0</v>
      </c>
      <c r="AP41" s="165">
        <v>0.0</v>
      </c>
      <c r="AQ41" s="165">
        <v>1.0</v>
      </c>
      <c r="AR41" s="165">
        <v>0.0</v>
      </c>
      <c r="AS41" s="165">
        <v>1.0</v>
      </c>
      <c r="AT41" s="165">
        <v>0.0</v>
      </c>
      <c r="AU41" s="168">
        <f t="shared" si="7"/>
        <v>0</v>
      </c>
      <c r="AV41" s="169">
        <v>59.0</v>
      </c>
      <c r="AW41" s="204">
        <f t="shared" si="8"/>
        <v>0</v>
      </c>
      <c r="AX41" s="169">
        <v>0.0</v>
      </c>
      <c r="AY41" s="169">
        <v>0.0</v>
      </c>
      <c r="AZ41" s="169">
        <v>0.0</v>
      </c>
      <c r="BA41" s="169">
        <v>0.0</v>
      </c>
      <c r="BB41" s="169">
        <v>0.0</v>
      </c>
      <c r="BC41" s="169">
        <v>0.0</v>
      </c>
      <c r="BD41" s="169">
        <v>0.0</v>
      </c>
      <c r="BE41" s="169">
        <v>0.0</v>
      </c>
      <c r="BF41" s="169">
        <v>0.0</v>
      </c>
      <c r="BG41" s="169">
        <v>0.0</v>
      </c>
      <c r="BH41" s="169">
        <v>0.0</v>
      </c>
      <c r="BI41" s="169">
        <v>0.0</v>
      </c>
      <c r="BJ41" s="169">
        <v>0.0</v>
      </c>
      <c r="BK41" s="169">
        <v>0.0</v>
      </c>
      <c r="BL41" s="169">
        <v>0.0</v>
      </c>
      <c r="BM41" s="169">
        <v>0.0</v>
      </c>
      <c r="BN41" s="169">
        <v>0.0</v>
      </c>
      <c r="BO41" s="169">
        <v>0.0</v>
      </c>
      <c r="BP41" s="292">
        <v>0.0</v>
      </c>
      <c r="BQ41" s="289">
        <v>64.0</v>
      </c>
      <c r="BR41" s="170">
        <f t="shared" si="10"/>
        <v>1</v>
      </c>
      <c r="BS41" s="289">
        <v>0.0</v>
      </c>
      <c r="BT41" s="290">
        <v>0.0</v>
      </c>
      <c r="BU41" s="290">
        <v>0.0</v>
      </c>
      <c r="BV41" s="290">
        <v>0.0</v>
      </c>
      <c r="BW41" s="290">
        <v>0.0</v>
      </c>
      <c r="BX41" s="290">
        <v>0.0</v>
      </c>
      <c r="BY41" s="290">
        <v>0.0</v>
      </c>
      <c r="BZ41" s="290">
        <v>1.0</v>
      </c>
      <c r="CA41" s="290">
        <v>0.0</v>
      </c>
      <c r="CB41" s="290">
        <v>0.0</v>
      </c>
      <c r="CC41" s="290">
        <v>0.0</v>
      </c>
      <c r="CD41" s="291">
        <v>0.0</v>
      </c>
      <c r="CE41" s="290">
        <v>0.0</v>
      </c>
      <c r="CF41" s="290">
        <v>0.0</v>
      </c>
      <c r="CG41" s="290">
        <v>0.0</v>
      </c>
      <c r="CH41" s="290">
        <v>0.0</v>
      </c>
      <c r="CI41" s="290">
        <v>0.0</v>
      </c>
      <c r="CJ41" s="290">
        <v>0.0</v>
      </c>
      <c r="CK41" s="292">
        <v>0.0</v>
      </c>
      <c r="CL41" s="173">
        <v>43.0</v>
      </c>
      <c r="CM41" s="173">
        <v>15.0</v>
      </c>
      <c r="CN41" s="175">
        <f t="shared" si="12"/>
        <v>1</v>
      </c>
      <c r="CO41" s="173">
        <v>0.0</v>
      </c>
      <c r="CP41" s="173">
        <v>0.0</v>
      </c>
      <c r="CQ41" s="173">
        <v>0.0</v>
      </c>
      <c r="CR41" s="173">
        <v>1.0</v>
      </c>
      <c r="CS41" s="173">
        <v>0.0</v>
      </c>
      <c r="CT41" s="173">
        <v>0.0</v>
      </c>
      <c r="CU41" s="173">
        <v>0.0</v>
      </c>
      <c r="CV41" s="173">
        <v>0.0</v>
      </c>
      <c r="CW41" s="173">
        <v>0.0</v>
      </c>
      <c r="CX41" s="173">
        <v>0.0</v>
      </c>
      <c r="CY41" s="173">
        <v>0.0</v>
      </c>
      <c r="CZ41" s="173">
        <v>0.0</v>
      </c>
      <c r="DA41" s="173">
        <v>0.0</v>
      </c>
      <c r="DB41" s="173">
        <v>0.0</v>
      </c>
      <c r="DC41" s="173">
        <v>0.0</v>
      </c>
      <c r="DD41" s="173">
        <v>0.0</v>
      </c>
      <c r="DE41" s="173">
        <v>0.0</v>
      </c>
      <c r="DF41" s="173">
        <v>0.0</v>
      </c>
      <c r="DG41" s="176">
        <f t="shared" si="13"/>
        <v>0</v>
      </c>
      <c r="DH41" s="177">
        <v>38.0</v>
      </c>
      <c r="DI41" s="177">
        <v>14.0</v>
      </c>
      <c r="DJ41" s="178">
        <v>38.0</v>
      </c>
      <c r="DK41" s="178">
        <v>14.0</v>
      </c>
      <c r="DL41" s="179">
        <f t="shared" si="14"/>
        <v>1</v>
      </c>
      <c r="DM41" s="180">
        <f t="shared" si="15"/>
        <v>0</v>
      </c>
      <c r="DN41" s="180">
        <f t="shared" si="16"/>
        <v>1</v>
      </c>
      <c r="DO41" s="177">
        <v>0.0</v>
      </c>
      <c r="DP41" s="177">
        <v>0.0</v>
      </c>
      <c r="DQ41" s="177">
        <v>0.0</v>
      </c>
      <c r="DR41" s="177">
        <v>1.0</v>
      </c>
      <c r="DS41" s="177">
        <v>0.0</v>
      </c>
      <c r="DT41" s="177">
        <v>0.0</v>
      </c>
      <c r="DU41" s="177">
        <v>0.0</v>
      </c>
      <c r="DV41" s="177">
        <v>0.0</v>
      </c>
      <c r="DW41" s="177">
        <v>0.0</v>
      </c>
      <c r="DX41" s="177">
        <v>0.0</v>
      </c>
      <c r="DY41" s="177">
        <v>0.0</v>
      </c>
      <c r="DZ41" s="177">
        <v>0.0</v>
      </c>
      <c r="EA41" s="177">
        <v>0.0</v>
      </c>
      <c r="EB41" s="177">
        <v>0.0</v>
      </c>
      <c r="EC41" s="177">
        <v>0.0</v>
      </c>
      <c r="ED41" s="177">
        <v>0.0</v>
      </c>
      <c r="EE41" s="177">
        <v>0.0</v>
      </c>
      <c r="EF41" s="177">
        <v>0.0</v>
      </c>
      <c r="EG41" s="179">
        <f t="shared" si="17"/>
        <v>0</v>
      </c>
      <c r="EH41" s="179">
        <f t="shared" si="18"/>
        <v>0</v>
      </c>
      <c r="EI41" s="177">
        <v>37.0</v>
      </c>
      <c r="EJ41" s="177">
        <v>13.0</v>
      </c>
      <c r="EK41" s="178">
        <v>37.0</v>
      </c>
      <c r="EL41" s="178">
        <v>13.0</v>
      </c>
      <c r="EM41" s="185">
        <f t="shared" si="19"/>
        <v>1</v>
      </c>
      <c r="EN41" s="186">
        <f t="shared" si="89"/>
        <v>0</v>
      </c>
      <c r="EO41" s="186">
        <f t="shared" si="90"/>
        <v>1</v>
      </c>
      <c r="EP41" s="177">
        <v>0.0</v>
      </c>
      <c r="EQ41" s="177">
        <v>0.0</v>
      </c>
      <c r="ER41" s="177">
        <v>0.0</v>
      </c>
      <c r="ES41" s="177">
        <v>1.0</v>
      </c>
      <c r="ET41" s="177">
        <v>0.0</v>
      </c>
      <c r="EU41" s="177">
        <v>0.0</v>
      </c>
      <c r="EV41" s="177">
        <v>0.0</v>
      </c>
      <c r="EW41" s="177">
        <v>0.0</v>
      </c>
      <c r="EX41" s="177">
        <v>0.0</v>
      </c>
      <c r="EY41" s="177">
        <v>0.0</v>
      </c>
      <c r="EZ41" s="177">
        <v>0.0</v>
      </c>
      <c r="FA41" s="177">
        <v>0.0</v>
      </c>
      <c r="FB41" s="177">
        <v>0.0</v>
      </c>
      <c r="FC41" s="177">
        <v>0.0</v>
      </c>
      <c r="FD41" s="177">
        <v>0.0</v>
      </c>
      <c r="FE41" s="177">
        <v>0.0</v>
      </c>
      <c r="FF41" s="177">
        <v>0.0</v>
      </c>
      <c r="FG41" s="177">
        <v>0.0</v>
      </c>
      <c r="FH41" s="185">
        <f t="shared" si="22"/>
        <v>0</v>
      </c>
      <c r="FI41" s="185">
        <f t="shared" si="23"/>
        <v>0</v>
      </c>
      <c r="FJ41" s="177">
        <v>36.0</v>
      </c>
      <c r="FK41" s="177">
        <v>13.0</v>
      </c>
      <c r="FL41" s="177">
        <v>15.0</v>
      </c>
      <c r="FM41" s="177">
        <v>8.0</v>
      </c>
      <c r="FN41" s="180"/>
      <c r="FO41" s="180">
        <v>0.0</v>
      </c>
      <c r="FP41" s="188">
        <f t="shared" ref="FP41:FP61" si="128">SUM(FS41:FZ41)</f>
        <v>0</v>
      </c>
      <c r="FQ41" s="211">
        <v>0.0</v>
      </c>
      <c r="FR41" s="212">
        <v>0.0</v>
      </c>
      <c r="FS41" s="206">
        <v>0.0</v>
      </c>
      <c r="FT41" s="207">
        <v>0.0</v>
      </c>
      <c r="FU41" s="207">
        <v>0.0</v>
      </c>
      <c r="FV41" s="207">
        <v>0.0</v>
      </c>
      <c r="FW41" s="207">
        <v>0.0</v>
      </c>
      <c r="FX41" s="207">
        <v>0.0</v>
      </c>
      <c r="FY41" s="207">
        <v>0.0</v>
      </c>
      <c r="FZ41" s="207">
        <v>0.0</v>
      </c>
      <c r="GA41" s="207">
        <v>0.0</v>
      </c>
      <c r="GB41" s="207">
        <v>0.0</v>
      </c>
      <c r="GC41" s="207">
        <v>0.0</v>
      </c>
      <c r="GD41" s="207">
        <v>1.0</v>
      </c>
      <c r="GE41" s="207">
        <v>0.0</v>
      </c>
      <c r="GF41" s="207">
        <v>0.0</v>
      </c>
      <c r="GG41" s="207">
        <v>0.0</v>
      </c>
      <c r="GH41" s="207">
        <v>0.0</v>
      </c>
      <c r="GI41" s="207">
        <v>0.0</v>
      </c>
      <c r="GJ41" s="207">
        <v>0.0</v>
      </c>
      <c r="GK41" s="212">
        <v>1.0</v>
      </c>
      <c r="GL41" s="212">
        <v>0.0</v>
      </c>
      <c r="GM41" s="207">
        <v>44.0</v>
      </c>
      <c r="GN41" s="207">
        <v>17.0</v>
      </c>
      <c r="GO41" s="213">
        <v>29.0</v>
      </c>
      <c r="GP41" s="213">
        <v>12.0</v>
      </c>
      <c r="GQ41" s="207"/>
      <c r="GR41" s="213">
        <v>0.0</v>
      </c>
      <c r="GS41" s="193">
        <v>0.0</v>
      </c>
      <c r="GT41" s="194">
        <f t="shared" si="25"/>
        <v>0</v>
      </c>
      <c r="GU41" s="194">
        <f t="shared" si="26"/>
        <v>0</v>
      </c>
      <c r="GV41" s="194">
        <f t="shared" si="27"/>
        <v>0</v>
      </c>
      <c r="GW41" s="207">
        <v>0.0</v>
      </c>
      <c r="GX41" s="207">
        <v>0.0</v>
      </c>
      <c r="GY41" s="207">
        <v>0.0</v>
      </c>
      <c r="GZ41" s="207">
        <v>0.0</v>
      </c>
      <c r="HA41" s="207">
        <v>0.0</v>
      </c>
      <c r="HB41" s="207">
        <v>0.0</v>
      </c>
      <c r="HC41" s="207">
        <v>0.0</v>
      </c>
      <c r="HD41" s="207">
        <v>0.0</v>
      </c>
      <c r="HE41" s="207">
        <v>0.0</v>
      </c>
      <c r="HF41" s="207">
        <v>0.0</v>
      </c>
      <c r="HG41" s="207">
        <v>0.0</v>
      </c>
      <c r="HH41" s="207">
        <v>0.0</v>
      </c>
      <c r="HI41" s="207">
        <v>0.0</v>
      </c>
      <c r="HJ41" s="207">
        <v>0.0</v>
      </c>
      <c r="HK41" s="207">
        <v>0.0</v>
      </c>
      <c r="HL41" s="207">
        <v>0.0</v>
      </c>
      <c r="HM41" s="207">
        <v>0.0</v>
      </c>
      <c r="HN41" s="207">
        <v>0.0</v>
      </c>
      <c r="HO41" s="222">
        <v>0.0</v>
      </c>
      <c r="HP41" s="222">
        <v>0.0</v>
      </c>
      <c r="HQ41" s="214"/>
      <c r="HR41" s="197"/>
      <c r="HS41" s="197"/>
      <c r="HT41" s="198">
        <f t="shared" si="28"/>
        <v>0</v>
      </c>
      <c r="HU41" s="198">
        <f t="shared" si="29"/>
        <v>0</v>
      </c>
      <c r="HV41" s="198">
        <f t="shared" si="30"/>
        <v>0</v>
      </c>
      <c r="HW41" s="198">
        <f t="shared" si="99"/>
        <v>0</v>
      </c>
      <c r="HX41" s="198">
        <f t="shared" si="32"/>
        <v>1</v>
      </c>
      <c r="HY41" s="198">
        <f t="shared" si="33"/>
        <v>0</v>
      </c>
      <c r="HZ41" s="198">
        <f t="shared" si="34"/>
        <v>1</v>
      </c>
      <c r="IA41" s="198">
        <f t="shared" si="35"/>
        <v>1</v>
      </c>
      <c r="IB41" s="198">
        <f t="shared" si="36"/>
        <v>1</v>
      </c>
      <c r="IC41" s="198">
        <f t="shared" si="37"/>
        <v>1</v>
      </c>
      <c r="ID41" s="198">
        <f t="shared" si="38"/>
        <v>0</v>
      </c>
      <c r="IE41" s="198">
        <f t="shared" si="39"/>
        <v>0</v>
      </c>
      <c r="IF41" s="197"/>
      <c r="IG41" s="197"/>
      <c r="IH41" s="197"/>
      <c r="II41" s="197"/>
      <c r="IJ41" s="197"/>
      <c r="IK41" s="197"/>
      <c r="IL41" s="197"/>
      <c r="IM41" s="197"/>
      <c r="IN41" s="197"/>
      <c r="IO41" s="197"/>
      <c r="IP41" s="197"/>
      <c r="IQ41" s="197"/>
      <c r="IR41" s="197"/>
      <c r="IS41" s="197"/>
      <c r="IT41" s="197"/>
      <c r="IU41" s="197"/>
      <c r="IV41" s="197"/>
      <c r="IW41" s="197"/>
      <c r="IX41" s="197"/>
      <c r="IY41" s="197"/>
      <c r="IZ41" s="197"/>
      <c r="JA41" s="199"/>
      <c r="JB41" s="200">
        <f t="shared" si="40"/>
        <v>0</v>
      </c>
      <c r="JC41" s="200">
        <f t="shared" si="41"/>
        <v>0</v>
      </c>
      <c r="JD41" s="200">
        <f t="shared" si="42"/>
        <v>0</v>
      </c>
      <c r="JE41" s="200">
        <f t="shared" si="43"/>
        <v>0</v>
      </c>
      <c r="JF41" s="200">
        <f t="shared" si="44"/>
        <v>1</v>
      </c>
      <c r="JG41" s="200">
        <f t="shared" si="45"/>
        <v>0</v>
      </c>
      <c r="JH41" s="200">
        <f t="shared" si="46"/>
        <v>1</v>
      </c>
      <c r="JI41" s="200">
        <f t="shared" si="47"/>
        <v>1</v>
      </c>
      <c r="JJ41" s="200">
        <f t="shared" si="48"/>
        <v>1</v>
      </c>
      <c r="JK41" s="200">
        <f t="shared" si="49"/>
        <v>1</v>
      </c>
      <c r="JL41" s="200">
        <f t="shared" si="50"/>
        <v>0</v>
      </c>
      <c r="JM41" s="200">
        <f t="shared" si="51"/>
        <v>0</v>
      </c>
      <c r="JN41" s="199"/>
      <c r="JO41" s="200">
        <f t="shared" si="52"/>
        <v>0</v>
      </c>
      <c r="JP41" s="202">
        <v>0.0</v>
      </c>
      <c r="JQ41" s="202">
        <v>0.0</v>
      </c>
      <c r="JR41" s="202">
        <v>0.0</v>
      </c>
      <c r="JS41" s="202">
        <v>1.0</v>
      </c>
      <c r="JT41" s="199"/>
      <c r="JU41" s="199"/>
      <c r="JV41" s="200">
        <f t="shared" ref="JV41:JX41" si="126">IA41-JI41</f>
        <v>0</v>
      </c>
      <c r="JW41" s="200">
        <f t="shared" si="126"/>
        <v>0</v>
      </c>
      <c r="JX41" s="200">
        <f t="shared" si="126"/>
        <v>0</v>
      </c>
      <c r="JY41" s="199"/>
      <c r="JZ41" s="199"/>
      <c r="KA41" s="199"/>
      <c r="KB41" s="200">
        <f t="shared" ref="KB41:KM41" si="127">JB41-JO41</f>
        <v>0</v>
      </c>
      <c r="KC41" s="200">
        <f t="shared" si="127"/>
        <v>0</v>
      </c>
      <c r="KD41" s="200">
        <f t="shared" si="127"/>
        <v>0</v>
      </c>
      <c r="KE41" s="200">
        <f t="shared" si="127"/>
        <v>0</v>
      </c>
      <c r="KF41" s="200">
        <f t="shared" si="127"/>
        <v>0</v>
      </c>
      <c r="KG41" s="200">
        <f t="shared" si="127"/>
        <v>0</v>
      </c>
      <c r="KH41" s="200">
        <f t="shared" si="127"/>
        <v>1</v>
      </c>
      <c r="KI41" s="200">
        <f t="shared" si="127"/>
        <v>1</v>
      </c>
      <c r="KJ41" s="200">
        <f t="shared" si="127"/>
        <v>1</v>
      </c>
      <c r="KK41" s="200">
        <f t="shared" si="127"/>
        <v>1</v>
      </c>
      <c r="KL41" s="200">
        <f t="shared" si="127"/>
        <v>0</v>
      </c>
      <c r="KM41" s="200">
        <f t="shared" si="127"/>
        <v>0</v>
      </c>
      <c r="KN41" s="199"/>
      <c r="KO41" s="199"/>
      <c r="KP41" s="199"/>
      <c r="KQ41" s="199"/>
      <c r="KR41" s="199"/>
      <c r="KS41" s="199"/>
      <c r="KT41" s="199"/>
      <c r="KU41" s="199"/>
      <c r="KV41" s="199"/>
      <c r="KW41" s="199"/>
      <c r="KX41" s="199"/>
      <c r="KY41" s="199"/>
      <c r="KZ41" s="199"/>
      <c r="LA41" s="199"/>
      <c r="LB41" s="199"/>
      <c r="LC41" s="199"/>
      <c r="LD41" s="199"/>
      <c r="LE41" s="199"/>
      <c r="LF41" s="199"/>
      <c r="LG41" s="199"/>
    </row>
    <row r="42" ht="14.25" customHeight="1">
      <c r="A42" s="156">
        <v>35.0</v>
      </c>
      <c r="B42" s="157" t="s">
        <v>120</v>
      </c>
      <c r="C42" s="158">
        <v>3374100.0</v>
      </c>
      <c r="D42" s="158" t="s">
        <v>120</v>
      </c>
      <c r="E42" s="158" t="s">
        <v>121</v>
      </c>
      <c r="F42" s="159">
        <v>9.0</v>
      </c>
      <c r="G42" s="285">
        <v>586.0</v>
      </c>
      <c r="H42" s="160">
        <v>29.0</v>
      </c>
      <c r="I42" s="161">
        <v>3.0</v>
      </c>
      <c r="J42" s="161">
        <v>1.0</v>
      </c>
      <c r="K42" s="161">
        <v>10.0</v>
      </c>
      <c r="L42" s="161">
        <v>15.0</v>
      </c>
      <c r="M42" s="161">
        <v>2.0</v>
      </c>
      <c r="N42" s="161">
        <v>27.0</v>
      </c>
      <c r="O42" s="162">
        <f t="shared" si="3"/>
        <v>0</v>
      </c>
      <c r="P42" s="203">
        <v>7.0</v>
      </c>
      <c r="Q42" s="164">
        <v>1.0</v>
      </c>
      <c r="R42" s="164">
        <v>1.0</v>
      </c>
      <c r="S42" s="164">
        <v>2.0</v>
      </c>
      <c r="T42" s="165">
        <v>3.0</v>
      </c>
      <c r="U42" s="165">
        <v>4.0</v>
      </c>
      <c r="V42" s="165">
        <v>3.0</v>
      </c>
      <c r="W42" s="166">
        <f t="shared" si="4"/>
        <v>0</v>
      </c>
      <c r="X42" s="203">
        <v>4.0</v>
      </c>
      <c r="Y42" s="165">
        <v>1.0</v>
      </c>
      <c r="Z42" s="165">
        <v>2.0</v>
      </c>
      <c r="AA42" s="165">
        <v>0.0</v>
      </c>
      <c r="AB42" s="165">
        <v>1.0</v>
      </c>
      <c r="AC42" s="165">
        <v>2.0</v>
      </c>
      <c r="AD42" s="165">
        <v>2.0</v>
      </c>
      <c r="AE42" s="166">
        <f t="shared" si="5"/>
        <v>0</v>
      </c>
      <c r="AF42" s="167">
        <v>8.0</v>
      </c>
      <c r="AG42" s="165">
        <v>0.0</v>
      </c>
      <c r="AH42" s="165">
        <v>4.0</v>
      </c>
      <c r="AI42" s="165">
        <v>0.0</v>
      </c>
      <c r="AJ42" s="165">
        <v>4.0</v>
      </c>
      <c r="AK42" s="165">
        <v>3.0</v>
      </c>
      <c r="AL42" s="165">
        <v>5.0</v>
      </c>
      <c r="AM42" s="166">
        <f t="shared" si="98"/>
        <v>0</v>
      </c>
      <c r="AN42" s="167">
        <v>3.0</v>
      </c>
      <c r="AO42" s="165">
        <v>0.0</v>
      </c>
      <c r="AP42" s="165">
        <v>2.0</v>
      </c>
      <c r="AQ42" s="165">
        <v>0.0</v>
      </c>
      <c r="AR42" s="165">
        <v>1.0</v>
      </c>
      <c r="AS42" s="165">
        <v>0.0</v>
      </c>
      <c r="AT42" s="165"/>
      <c r="AU42" s="168">
        <f t="shared" si="7"/>
        <v>3</v>
      </c>
      <c r="AV42" s="169">
        <v>576.0</v>
      </c>
      <c r="AW42" s="204">
        <f t="shared" si="8"/>
        <v>3</v>
      </c>
      <c r="AX42" s="169">
        <v>0.0</v>
      </c>
      <c r="AY42" s="169">
        <v>2.0</v>
      </c>
      <c r="AZ42" s="169">
        <v>0.0</v>
      </c>
      <c r="BA42" s="169">
        <v>1.0</v>
      </c>
      <c r="BB42" s="169">
        <v>0.0</v>
      </c>
      <c r="BC42" s="169">
        <v>0.0</v>
      </c>
      <c r="BD42" s="169">
        <v>0.0</v>
      </c>
      <c r="BE42" s="169">
        <v>0.0</v>
      </c>
      <c r="BF42" s="169">
        <v>0.0</v>
      </c>
      <c r="BG42" s="169">
        <v>0.0</v>
      </c>
      <c r="BH42" s="169">
        <v>0.0</v>
      </c>
      <c r="BI42" s="169">
        <v>0.0</v>
      </c>
      <c r="BJ42" s="169">
        <v>0.0</v>
      </c>
      <c r="BK42" s="169">
        <v>0.0</v>
      </c>
      <c r="BL42" s="169">
        <v>0.0</v>
      </c>
      <c r="BM42" s="169">
        <v>0.0</v>
      </c>
      <c r="BN42" s="169">
        <v>0.0</v>
      </c>
      <c r="BO42" s="169">
        <v>0.0</v>
      </c>
      <c r="BP42" s="205">
        <f t="shared" ref="BP42:BP170" si="131">SUM(BF42:BO42)</f>
        <v>0</v>
      </c>
      <c r="BQ42" s="173">
        <v>557.0</v>
      </c>
      <c r="BR42" s="170">
        <f t="shared" si="10"/>
        <v>2</v>
      </c>
      <c r="BS42" s="173">
        <v>0.0</v>
      </c>
      <c r="BT42" s="173">
        <v>1.0</v>
      </c>
      <c r="BU42" s="173">
        <v>0.0</v>
      </c>
      <c r="BV42" s="173">
        <v>0.0</v>
      </c>
      <c r="BW42" s="173">
        <v>1.0</v>
      </c>
      <c r="BX42" s="173">
        <v>0.0</v>
      </c>
      <c r="BY42" s="173">
        <v>0.0</v>
      </c>
      <c r="BZ42" s="173">
        <v>0.0</v>
      </c>
      <c r="CA42" s="173">
        <v>0.0</v>
      </c>
      <c r="CB42" s="173">
        <v>1.0</v>
      </c>
      <c r="CC42" s="173">
        <v>0.0</v>
      </c>
      <c r="CD42" s="173">
        <v>1.0</v>
      </c>
      <c r="CE42" s="173">
        <v>0.0</v>
      </c>
      <c r="CF42" s="173">
        <v>0.0</v>
      </c>
      <c r="CG42" s="173">
        <v>0.0</v>
      </c>
      <c r="CH42" s="173">
        <v>0.0</v>
      </c>
      <c r="CI42" s="173">
        <v>0.0</v>
      </c>
      <c r="CJ42" s="173">
        <v>0.0</v>
      </c>
      <c r="CK42" s="172">
        <f t="shared" ref="CK42:CK184" si="132">SUM(CA42:CJ42)</f>
        <v>2</v>
      </c>
      <c r="CL42" s="173">
        <v>582.0</v>
      </c>
      <c r="CM42" s="173">
        <v>160.0</v>
      </c>
      <c r="CN42" s="175">
        <f t="shared" si="12"/>
        <v>8</v>
      </c>
      <c r="CO42" s="173">
        <v>0.0</v>
      </c>
      <c r="CP42" s="173">
        <v>0.0</v>
      </c>
      <c r="CQ42" s="173">
        <v>0.0</v>
      </c>
      <c r="CR42" s="173">
        <v>0.0</v>
      </c>
      <c r="CS42" s="173">
        <v>3.0</v>
      </c>
      <c r="CT42" s="173">
        <v>0.0</v>
      </c>
      <c r="CU42" s="173">
        <v>3.0</v>
      </c>
      <c r="CV42" s="173">
        <v>2.0</v>
      </c>
      <c r="CW42" s="173">
        <v>0.0</v>
      </c>
      <c r="CX42" s="173">
        <v>2.0</v>
      </c>
      <c r="CY42" s="173">
        <v>0.0</v>
      </c>
      <c r="CZ42" s="173">
        <v>1.0</v>
      </c>
      <c r="DA42" s="173">
        <v>0.0</v>
      </c>
      <c r="DB42" s="173">
        <v>0.0</v>
      </c>
      <c r="DC42" s="173">
        <v>0.0</v>
      </c>
      <c r="DD42" s="173">
        <v>0.0</v>
      </c>
      <c r="DE42" s="173">
        <v>0.0</v>
      </c>
      <c r="DF42" s="173">
        <v>0.0</v>
      </c>
      <c r="DG42" s="176">
        <f t="shared" si="13"/>
        <v>3</v>
      </c>
      <c r="DH42" s="177">
        <v>588.0</v>
      </c>
      <c r="DI42" s="177">
        <v>177.0</v>
      </c>
      <c r="DJ42" s="178">
        <v>588.0</v>
      </c>
      <c r="DK42" s="178">
        <v>177.0</v>
      </c>
      <c r="DL42" s="179">
        <f t="shared" si="14"/>
        <v>9</v>
      </c>
      <c r="DM42" s="180">
        <f t="shared" si="15"/>
        <v>4</v>
      </c>
      <c r="DN42" s="180">
        <f t="shared" si="16"/>
        <v>5</v>
      </c>
      <c r="DO42" s="177">
        <v>0.0</v>
      </c>
      <c r="DP42" s="177">
        <v>0.0</v>
      </c>
      <c r="DQ42" s="177">
        <v>1.0</v>
      </c>
      <c r="DR42" s="177">
        <v>1.0</v>
      </c>
      <c r="DS42" s="177">
        <v>1.0</v>
      </c>
      <c r="DT42" s="177">
        <v>2.0</v>
      </c>
      <c r="DU42" s="177">
        <v>0.0</v>
      </c>
      <c r="DV42" s="177">
        <v>4.0</v>
      </c>
      <c r="DW42" s="177">
        <v>2.0</v>
      </c>
      <c r="DX42" s="177">
        <v>1.0</v>
      </c>
      <c r="DY42" s="177">
        <v>2.0</v>
      </c>
      <c r="DZ42" s="177">
        <v>1.0</v>
      </c>
      <c r="EA42" s="177">
        <v>0.0</v>
      </c>
      <c r="EB42" s="177">
        <v>0.0</v>
      </c>
      <c r="EC42" s="177">
        <v>0.0</v>
      </c>
      <c r="ED42" s="177">
        <v>0.0</v>
      </c>
      <c r="EE42" s="177">
        <v>0.0</v>
      </c>
      <c r="EF42" s="177">
        <v>0.0</v>
      </c>
      <c r="EG42" s="179">
        <f t="shared" si="17"/>
        <v>6</v>
      </c>
      <c r="EH42" s="179">
        <f t="shared" si="18"/>
        <v>5</v>
      </c>
      <c r="EI42" s="177">
        <v>576.0</v>
      </c>
      <c r="EJ42" s="177">
        <v>177.0</v>
      </c>
      <c r="EK42" s="178">
        <v>574.0</v>
      </c>
      <c r="EL42" s="178">
        <v>176.0</v>
      </c>
      <c r="EM42" s="185">
        <f t="shared" si="19"/>
        <v>8</v>
      </c>
      <c r="EN42" s="186">
        <f t="shared" si="89"/>
        <v>3</v>
      </c>
      <c r="EO42" s="186">
        <f t="shared" si="90"/>
        <v>5</v>
      </c>
      <c r="EP42" s="177">
        <v>0.0</v>
      </c>
      <c r="EQ42" s="177">
        <v>1.0</v>
      </c>
      <c r="ER42" s="177">
        <v>2.0</v>
      </c>
      <c r="ES42" s="177">
        <v>5.0</v>
      </c>
      <c r="ET42" s="177">
        <v>0.0</v>
      </c>
      <c r="EU42" s="177">
        <v>0.0</v>
      </c>
      <c r="EV42" s="177">
        <v>0.0</v>
      </c>
      <c r="EW42" s="177">
        <v>0.0</v>
      </c>
      <c r="EX42" s="177">
        <v>0.0</v>
      </c>
      <c r="EY42" s="177">
        <v>0.0</v>
      </c>
      <c r="EZ42" s="177">
        <v>1.0</v>
      </c>
      <c r="FA42" s="177">
        <v>0.0</v>
      </c>
      <c r="FB42" s="177">
        <v>0.0</v>
      </c>
      <c r="FC42" s="177">
        <v>0.0</v>
      </c>
      <c r="FD42" s="177">
        <v>0.0</v>
      </c>
      <c r="FE42" s="177">
        <v>0.0</v>
      </c>
      <c r="FF42" s="177">
        <v>0.0</v>
      </c>
      <c r="FG42" s="177">
        <v>0.0</v>
      </c>
      <c r="FH42" s="185">
        <f t="shared" si="22"/>
        <v>1</v>
      </c>
      <c r="FI42" s="185">
        <f t="shared" si="23"/>
        <v>1</v>
      </c>
      <c r="FJ42" s="177">
        <v>578.0</v>
      </c>
      <c r="FK42" s="177">
        <v>178.0</v>
      </c>
      <c r="FL42" s="177">
        <v>560.0</v>
      </c>
      <c r="FM42" s="177">
        <v>164.0</v>
      </c>
      <c r="FN42" s="210"/>
      <c r="FO42" s="210">
        <v>8.0</v>
      </c>
      <c r="FP42" s="188">
        <f t="shared" si="128"/>
        <v>8</v>
      </c>
      <c r="FQ42" s="211">
        <v>2.0</v>
      </c>
      <c r="FR42" s="212">
        <v>6.0</v>
      </c>
      <c r="FS42" s="206">
        <v>0.0</v>
      </c>
      <c r="FT42" s="207">
        <v>1.0</v>
      </c>
      <c r="FU42" s="207">
        <v>1.0</v>
      </c>
      <c r="FV42" s="207">
        <v>6.0</v>
      </c>
      <c r="FW42" s="207">
        <v>0.0</v>
      </c>
      <c r="FX42" s="207">
        <v>0.0</v>
      </c>
      <c r="FY42" s="207">
        <v>0.0</v>
      </c>
      <c r="FZ42" s="207">
        <v>0.0</v>
      </c>
      <c r="GA42" s="207">
        <v>0.0</v>
      </c>
      <c r="GB42" s="207">
        <v>0.0</v>
      </c>
      <c r="GC42" s="207">
        <v>0.0</v>
      </c>
      <c r="GD42" s="207">
        <v>0.0</v>
      </c>
      <c r="GE42" s="207">
        <v>0.0</v>
      </c>
      <c r="GF42" s="207">
        <v>0.0</v>
      </c>
      <c r="GG42" s="207">
        <v>0.0</v>
      </c>
      <c r="GH42" s="207">
        <v>0.0</v>
      </c>
      <c r="GI42" s="207">
        <v>0.0</v>
      </c>
      <c r="GJ42" s="207">
        <v>0.0</v>
      </c>
      <c r="GK42" s="212">
        <v>0.0</v>
      </c>
      <c r="GL42" s="212">
        <v>0.0</v>
      </c>
      <c r="GM42" s="207">
        <v>585.0</v>
      </c>
      <c r="GN42" s="207">
        <v>186.0</v>
      </c>
      <c r="GO42" s="213">
        <v>574.0</v>
      </c>
      <c r="GP42" s="213">
        <v>176.0</v>
      </c>
      <c r="GQ42" s="207"/>
      <c r="GR42" s="213">
        <v>8.0</v>
      </c>
      <c r="GS42" s="193">
        <v>2.0</v>
      </c>
      <c r="GT42" s="194">
        <f t="shared" si="25"/>
        <v>8</v>
      </c>
      <c r="GU42" s="194">
        <f t="shared" si="26"/>
        <v>2</v>
      </c>
      <c r="GV42" s="194">
        <f t="shared" si="27"/>
        <v>6</v>
      </c>
      <c r="GW42" s="207">
        <v>0.0</v>
      </c>
      <c r="GX42" s="207">
        <v>1.0</v>
      </c>
      <c r="GY42" s="207">
        <v>1.0</v>
      </c>
      <c r="GZ42" s="207">
        <v>6.0</v>
      </c>
      <c r="HA42" s="207">
        <v>0.0</v>
      </c>
      <c r="HB42" s="207">
        <v>0.0</v>
      </c>
      <c r="HC42" s="207">
        <v>0.0</v>
      </c>
      <c r="HD42" s="207">
        <v>0.0</v>
      </c>
      <c r="HE42" s="207">
        <v>0.0</v>
      </c>
      <c r="HF42" s="207">
        <v>0.0</v>
      </c>
      <c r="HG42" s="207">
        <v>0.0</v>
      </c>
      <c r="HH42" s="207">
        <v>0.0</v>
      </c>
      <c r="HI42" s="207">
        <v>0.0</v>
      </c>
      <c r="HJ42" s="207">
        <v>0.0</v>
      </c>
      <c r="HK42" s="207">
        <v>0.0</v>
      </c>
      <c r="HL42" s="207">
        <v>0.0</v>
      </c>
      <c r="HM42" s="207">
        <v>0.0</v>
      </c>
      <c r="HN42" s="207">
        <v>0.0</v>
      </c>
      <c r="HO42" s="222">
        <v>0.0</v>
      </c>
      <c r="HP42" s="222">
        <v>0.0</v>
      </c>
      <c r="HQ42" s="214"/>
      <c r="HR42" s="197"/>
      <c r="HS42" s="197"/>
      <c r="HT42" s="198">
        <f t="shared" si="28"/>
        <v>29</v>
      </c>
      <c r="HU42" s="198">
        <f t="shared" si="29"/>
        <v>7</v>
      </c>
      <c r="HV42" s="198">
        <f t="shared" si="30"/>
        <v>4</v>
      </c>
      <c r="HW42" s="198">
        <f t="shared" si="99"/>
        <v>8</v>
      </c>
      <c r="HX42" s="198">
        <f t="shared" si="32"/>
        <v>3</v>
      </c>
      <c r="HY42" s="198">
        <f t="shared" si="33"/>
        <v>3</v>
      </c>
      <c r="HZ42" s="198">
        <f t="shared" si="34"/>
        <v>2</v>
      </c>
      <c r="IA42" s="198">
        <f t="shared" si="35"/>
        <v>8</v>
      </c>
      <c r="IB42" s="198">
        <f t="shared" si="36"/>
        <v>9</v>
      </c>
      <c r="IC42" s="198">
        <f t="shared" si="37"/>
        <v>8</v>
      </c>
      <c r="ID42" s="198">
        <f t="shared" si="38"/>
        <v>8</v>
      </c>
      <c r="IE42" s="198">
        <f t="shared" si="39"/>
        <v>8</v>
      </c>
      <c r="IF42" s="197"/>
      <c r="IG42" s="197"/>
      <c r="IH42" s="197"/>
      <c r="II42" s="197"/>
      <c r="IJ42" s="197"/>
      <c r="IK42" s="197"/>
      <c r="IL42" s="197"/>
      <c r="IM42" s="197"/>
      <c r="IN42" s="197"/>
      <c r="IO42" s="197"/>
      <c r="IP42" s="197"/>
      <c r="IQ42" s="197"/>
      <c r="IR42" s="197"/>
      <c r="IS42" s="197"/>
      <c r="IT42" s="197"/>
      <c r="IU42" s="197"/>
      <c r="IV42" s="197"/>
      <c r="IW42" s="197"/>
      <c r="IX42" s="197"/>
      <c r="IY42" s="197"/>
      <c r="IZ42" s="197"/>
      <c r="JA42" s="199"/>
      <c r="JB42" s="200">
        <f t="shared" si="40"/>
        <v>29</v>
      </c>
      <c r="JC42" s="200">
        <f t="shared" si="41"/>
        <v>7</v>
      </c>
      <c r="JD42" s="200">
        <f t="shared" si="42"/>
        <v>4</v>
      </c>
      <c r="JE42" s="200">
        <f t="shared" si="43"/>
        <v>8</v>
      </c>
      <c r="JF42" s="200">
        <f t="shared" si="44"/>
        <v>3</v>
      </c>
      <c r="JG42" s="200">
        <f t="shared" si="45"/>
        <v>3</v>
      </c>
      <c r="JH42" s="200">
        <f t="shared" si="46"/>
        <v>2</v>
      </c>
      <c r="JI42" s="200">
        <f t="shared" si="47"/>
        <v>8</v>
      </c>
      <c r="JJ42" s="200">
        <f t="shared" si="48"/>
        <v>9</v>
      </c>
      <c r="JK42" s="200">
        <f t="shared" si="49"/>
        <v>9</v>
      </c>
      <c r="JL42" s="200">
        <f t="shared" si="50"/>
        <v>8</v>
      </c>
      <c r="JM42" s="200">
        <f t="shared" si="51"/>
        <v>8</v>
      </c>
      <c r="JN42" s="199"/>
      <c r="JO42" s="200">
        <f t="shared" si="52"/>
        <v>29</v>
      </c>
      <c r="JP42" s="202">
        <v>7.0</v>
      </c>
      <c r="JQ42" s="202">
        <v>4.0</v>
      </c>
      <c r="JR42" s="202">
        <v>8.0</v>
      </c>
      <c r="JS42" s="202">
        <v>3.0</v>
      </c>
      <c r="JT42" s="199"/>
      <c r="JU42" s="199"/>
      <c r="JV42" s="200">
        <f t="shared" ref="JV42:JX42" si="129">IA42-JI42</f>
        <v>0</v>
      </c>
      <c r="JW42" s="200">
        <f t="shared" si="129"/>
        <v>0</v>
      </c>
      <c r="JX42" s="200">
        <f t="shared" si="129"/>
        <v>-1</v>
      </c>
      <c r="JY42" s="199"/>
      <c r="JZ42" s="199"/>
      <c r="KA42" s="199"/>
      <c r="KB42" s="200">
        <f t="shared" ref="KB42:KM42" si="130">JB42-JO42</f>
        <v>0</v>
      </c>
      <c r="KC42" s="200">
        <f t="shared" si="130"/>
        <v>0</v>
      </c>
      <c r="KD42" s="200">
        <f t="shared" si="130"/>
        <v>0</v>
      </c>
      <c r="KE42" s="200">
        <f t="shared" si="130"/>
        <v>0</v>
      </c>
      <c r="KF42" s="200">
        <f t="shared" si="130"/>
        <v>0</v>
      </c>
      <c r="KG42" s="200">
        <f t="shared" si="130"/>
        <v>3</v>
      </c>
      <c r="KH42" s="200">
        <f t="shared" si="130"/>
        <v>2</v>
      </c>
      <c r="KI42" s="200">
        <f t="shared" si="130"/>
        <v>8</v>
      </c>
      <c r="KJ42" s="200">
        <f t="shared" si="130"/>
        <v>9</v>
      </c>
      <c r="KK42" s="200">
        <f t="shared" si="130"/>
        <v>10</v>
      </c>
      <c r="KL42" s="200">
        <f t="shared" si="130"/>
        <v>8</v>
      </c>
      <c r="KM42" s="200">
        <f t="shared" si="130"/>
        <v>8</v>
      </c>
      <c r="KN42" s="199"/>
      <c r="KO42" s="199"/>
      <c r="KP42" s="199"/>
      <c r="KQ42" s="199"/>
      <c r="KR42" s="199"/>
      <c r="KS42" s="199"/>
      <c r="KT42" s="199"/>
      <c r="KU42" s="199"/>
      <c r="KV42" s="199"/>
      <c r="KW42" s="199"/>
      <c r="KX42" s="199"/>
      <c r="KY42" s="199"/>
      <c r="KZ42" s="199"/>
      <c r="LA42" s="199"/>
      <c r="LB42" s="199"/>
      <c r="LC42" s="199"/>
      <c r="LD42" s="199"/>
      <c r="LE42" s="199"/>
      <c r="LF42" s="199"/>
      <c r="LG42" s="199"/>
    </row>
    <row r="43" ht="14.25" customHeight="1">
      <c r="A43" s="156">
        <v>36.0</v>
      </c>
      <c r="B43" s="157" t="s">
        <v>120</v>
      </c>
      <c r="C43" s="158">
        <v>3374100.0</v>
      </c>
      <c r="D43" s="158" t="s">
        <v>120</v>
      </c>
      <c r="E43" s="158" t="s">
        <v>122</v>
      </c>
      <c r="F43" s="159">
        <v>10.0</v>
      </c>
      <c r="G43" s="285">
        <v>603.0</v>
      </c>
      <c r="H43" s="160">
        <v>24.0</v>
      </c>
      <c r="I43" s="161">
        <v>7.0</v>
      </c>
      <c r="J43" s="161">
        <v>0.0</v>
      </c>
      <c r="K43" s="161">
        <v>3.0</v>
      </c>
      <c r="L43" s="161">
        <v>14.0</v>
      </c>
      <c r="M43" s="161">
        <v>3.0</v>
      </c>
      <c r="N43" s="161">
        <v>21.0</v>
      </c>
      <c r="O43" s="162">
        <f t="shared" si="3"/>
        <v>0</v>
      </c>
      <c r="P43" s="203">
        <v>5.0</v>
      </c>
      <c r="Q43" s="164">
        <v>1.0</v>
      </c>
      <c r="R43" s="164">
        <v>0.0</v>
      </c>
      <c r="S43" s="164">
        <v>1.0</v>
      </c>
      <c r="T43" s="165">
        <v>3.0</v>
      </c>
      <c r="U43" s="165">
        <v>3.0</v>
      </c>
      <c r="V43" s="165">
        <v>1.0</v>
      </c>
      <c r="W43" s="166">
        <f t="shared" si="4"/>
        <v>1</v>
      </c>
      <c r="X43" s="203">
        <v>8.0</v>
      </c>
      <c r="Y43" s="165">
        <v>3.0</v>
      </c>
      <c r="Z43" s="165">
        <v>2.0</v>
      </c>
      <c r="AA43" s="165">
        <v>0.0</v>
      </c>
      <c r="AB43" s="165">
        <v>3.0</v>
      </c>
      <c r="AC43" s="165">
        <v>6.0</v>
      </c>
      <c r="AD43" s="165">
        <v>0.0</v>
      </c>
      <c r="AE43" s="166">
        <f t="shared" si="5"/>
        <v>2</v>
      </c>
      <c r="AF43" s="167">
        <v>11.0</v>
      </c>
      <c r="AG43" s="165">
        <v>3.0</v>
      </c>
      <c r="AH43" s="165">
        <v>1.0</v>
      </c>
      <c r="AI43" s="165">
        <v>1.0</v>
      </c>
      <c r="AJ43" s="165">
        <v>6.0</v>
      </c>
      <c r="AK43" s="165">
        <v>5.0</v>
      </c>
      <c r="AL43" s="165">
        <v>0.0</v>
      </c>
      <c r="AM43" s="166">
        <f t="shared" si="98"/>
        <v>6</v>
      </c>
      <c r="AN43" s="167">
        <v>7.0</v>
      </c>
      <c r="AO43" s="165">
        <v>0.0</v>
      </c>
      <c r="AP43" s="165">
        <v>2.0</v>
      </c>
      <c r="AQ43" s="165">
        <v>1.0</v>
      </c>
      <c r="AR43" s="165">
        <v>4.0</v>
      </c>
      <c r="AS43" s="165">
        <v>2.0</v>
      </c>
      <c r="AT43" s="165"/>
      <c r="AU43" s="168">
        <f t="shared" si="7"/>
        <v>5</v>
      </c>
      <c r="AV43" s="169">
        <v>584.0</v>
      </c>
      <c r="AW43" s="204">
        <f t="shared" si="8"/>
        <v>4</v>
      </c>
      <c r="AX43" s="169">
        <v>0.0</v>
      </c>
      <c r="AY43" s="169">
        <v>1.0</v>
      </c>
      <c r="AZ43" s="169">
        <v>2.0</v>
      </c>
      <c r="BA43" s="169">
        <v>1.0</v>
      </c>
      <c r="BB43" s="169">
        <v>0.0</v>
      </c>
      <c r="BC43" s="169">
        <v>0.0</v>
      </c>
      <c r="BD43" s="169">
        <v>0.0</v>
      </c>
      <c r="BE43" s="169">
        <v>0.0</v>
      </c>
      <c r="BF43" s="169">
        <v>0.0</v>
      </c>
      <c r="BG43" s="169">
        <v>0.0</v>
      </c>
      <c r="BH43" s="169">
        <v>0.0</v>
      </c>
      <c r="BI43" s="169">
        <v>3.0</v>
      </c>
      <c r="BJ43" s="169">
        <v>0.0</v>
      </c>
      <c r="BK43" s="169">
        <v>0.0</v>
      </c>
      <c r="BL43" s="169">
        <v>0.0</v>
      </c>
      <c r="BM43" s="169">
        <v>0.0</v>
      </c>
      <c r="BN43" s="169">
        <v>0.0</v>
      </c>
      <c r="BO43" s="169">
        <v>0.0</v>
      </c>
      <c r="BP43" s="205">
        <f t="shared" si="131"/>
        <v>3</v>
      </c>
      <c r="BQ43" s="173">
        <v>595.0</v>
      </c>
      <c r="BR43" s="170">
        <f t="shared" si="10"/>
        <v>8</v>
      </c>
      <c r="BS43" s="173">
        <v>0.0</v>
      </c>
      <c r="BT43" s="173">
        <v>1.0</v>
      </c>
      <c r="BU43" s="173">
        <v>1.0</v>
      </c>
      <c r="BV43" s="173">
        <v>0.0</v>
      </c>
      <c r="BW43" s="173">
        <v>2.0</v>
      </c>
      <c r="BX43" s="173">
        <v>0.0</v>
      </c>
      <c r="BY43" s="173">
        <v>0.0</v>
      </c>
      <c r="BZ43" s="173">
        <v>4.0</v>
      </c>
      <c r="CA43" s="173">
        <v>0.0</v>
      </c>
      <c r="CB43" s="173">
        <v>0.0</v>
      </c>
      <c r="CC43" s="173">
        <v>1.0</v>
      </c>
      <c r="CD43" s="173">
        <v>1.0</v>
      </c>
      <c r="CE43" s="173">
        <v>0.0</v>
      </c>
      <c r="CF43" s="173">
        <v>0.0</v>
      </c>
      <c r="CG43" s="173">
        <v>0.0</v>
      </c>
      <c r="CH43" s="173">
        <v>0.0</v>
      </c>
      <c r="CI43" s="173">
        <v>0.0</v>
      </c>
      <c r="CJ43" s="173">
        <v>0.0</v>
      </c>
      <c r="CK43" s="172">
        <f t="shared" si="132"/>
        <v>2</v>
      </c>
      <c r="CL43" s="173">
        <v>594.0</v>
      </c>
      <c r="CM43" s="173">
        <v>182.0</v>
      </c>
      <c r="CN43" s="175">
        <f t="shared" si="12"/>
        <v>8</v>
      </c>
      <c r="CO43" s="173">
        <v>0.0</v>
      </c>
      <c r="CP43" s="173">
        <v>0.0</v>
      </c>
      <c r="CQ43" s="173">
        <v>3.0</v>
      </c>
      <c r="CR43" s="173">
        <v>0.0</v>
      </c>
      <c r="CS43" s="173">
        <v>1.0</v>
      </c>
      <c r="CT43" s="173">
        <v>0.0</v>
      </c>
      <c r="CU43" s="173">
        <v>1.0</v>
      </c>
      <c r="CV43" s="173">
        <v>3.0</v>
      </c>
      <c r="CW43" s="173">
        <v>0.0</v>
      </c>
      <c r="CX43" s="173">
        <v>0.0</v>
      </c>
      <c r="CY43" s="173">
        <v>0.0</v>
      </c>
      <c r="CZ43" s="173">
        <v>1.0</v>
      </c>
      <c r="DA43" s="173">
        <v>0.0</v>
      </c>
      <c r="DB43" s="173">
        <v>0.0</v>
      </c>
      <c r="DC43" s="173">
        <v>0.0</v>
      </c>
      <c r="DD43" s="173">
        <v>0.0</v>
      </c>
      <c r="DE43" s="173">
        <v>0.0</v>
      </c>
      <c r="DF43" s="173">
        <v>0.0</v>
      </c>
      <c r="DG43" s="176">
        <f t="shared" si="13"/>
        <v>1</v>
      </c>
      <c r="DH43" s="177">
        <v>593.0</v>
      </c>
      <c r="DI43" s="177">
        <v>186.0</v>
      </c>
      <c r="DJ43" s="178">
        <v>592.0</v>
      </c>
      <c r="DK43" s="178">
        <v>186.0</v>
      </c>
      <c r="DL43" s="179">
        <f t="shared" si="14"/>
        <v>7</v>
      </c>
      <c r="DM43" s="180">
        <f t="shared" si="15"/>
        <v>4</v>
      </c>
      <c r="DN43" s="180">
        <f t="shared" si="16"/>
        <v>3</v>
      </c>
      <c r="DO43" s="177">
        <v>1.0</v>
      </c>
      <c r="DP43" s="177">
        <v>0.0</v>
      </c>
      <c r="DQ43" s="177">
        <v>3.0</v>
      </c>
      <c r="DR43" s="177">
        <v>3.0</v>
      </c>
      <c r="DS43" s="177">
        <v>0.0</v>
      </c>
      <c r="DT43" s="177">
        <v>0.0</v>
      </c>
      <c r="DU43" s="177">
        <v>0.0</v>
      </c>
      <c r="DV43" s="177">
        <v>0.0</v>
      </c>
      <c r="DW43" s="177">
        <v>0.0</v>
      </c>
      <c r="DX43" s="177">
        <v>0.0</v>
      </c>
      <c r="DY43" s="177">
        <v>1.0</v>
      </c>
      <c r="DZ43" s="177">
        <v>0.0</v>
      </c>
      <c r="EA43" s="177">
        <v>0.0</v>
      </c>
      <c r="EB43" s="177">
        <v>0.0</v>
      </c>
      <c r="EC43" s="177">
        <v>0.0</v>
      </c>
      <c r="ED43" s="177">
        <v>0.0</v>
      </c>
      <c r="EE43" s="177">
        <v>0.0</v>
      </c>
      <c r="EF43" s="177">
        <v>0.0</v>
      </c>
      <c r="EG43" s="179">
        <f t="shared" si="17"/>
        <v>1</v>
      </c>
      <c r="EH43" s="179">
        <f t="shared" si="18"/>
        <v>1</v>
      </c>
      <c r="EI43" s="177">
        <v>596.0</v>
      </c>
      <c r="EJ43" s="177">
        <v>182.0</v>
      </c>
      <c r="EK43" s="178">
        <v>588.0</v>
      </c>
      <c r="EL43" s="178">
        <v>180.0</v>
      </c>
      <c r="EM43" s="185">
        <f t="shared" si="19"/>
        <v>9</v>
      </c>
      <c r="EN43" s="186">
        <f t="shared" si="89"/>
        <v>4</v>
      </c>
      <c r="EO43" s="186">
        <f t="shared" si="90"/>
        <v>5</v>
      </c>
      <c r="EP43" s="227">
        <v>0.0</v>
      </c>
      <c r="EQ43" s="227">
        <v>1.0</v>
      </c>
      <c r="ER43" s="227">
        <v>3.0</v>
      </c>
      <c r="ES43" s="227">
        <v>3.0</v>
      </c>
      <c r="ET43" s="227">
        <v>0.0</v>
      </c>
      <c r="EU43" s="227">
        <v>0.0</v>
      </c>
      <c r="EV43" s="227">
        <v>0.0</v>
      </c>
      <c r="EW43" s="227">
        <v>2.0</v>
      </c>
      <c r="EX43" s="227">
        <v>0.0</v>
      </c>
      <c r="EY43" s="227">
        <v>0.0</v>
      </c>
      <c r="EZ43" s="227">
        <v>0.0</v>
      </c>
      <c r="FA43" s="227">
        <v>0.0</v>
      </c>
      <c r="FB43" s="227">
        <v>0.0</v>
      </c>
      <c r="FC43" s="227">
        <v>0.0</v>
      </c>
      <c r="FD43" s="227">
        <v>0.0</v>
      </c>
      <c r="FE43" s="227">
        <v>0.0</v>
      </c>
      <c r="FF43" s="227">
        <v>0.0</v>
      </c>
      <c r="FG43" s="227">
        <v>0.0</v>
      </c>
      <c r="FH43" s="185">
        <f t="shared" si="22"/>
        <v>0</v>
      </c>
      <c r="FI43" s="185">
        <f t="shared" si="23"/>
        <v>0</v>
      </c>
      <c r="FJ43" s="177">
        <v>589.0</v>
      </c>
      <c r="FK43" s="177">
        <v>179.0</v>
      </c>
      <c r="FL43" s="177">
        <v>586.0</v>
      </c>
      <c r="FM43" s="177">
        <v>178.0</v>
      </c>
      <c r="FN43" s="210"/>
      <c r="FO43" s="210">
        <v>9.0</v>
      </c>
      <c r="FP43" s="188">
        <f t="shared" si="128"/>
        <v>9</v>
      </c>
      <c r="FQ43" s="211">
        <v>3.0</v>
      </c>
      <c r="FR43" s="212">
        <v>6.0</v>
      </c>
      <c r="FS43" s="206">
        <v>0.0</v>
      </c>
      <c r="FT43" s="207">
        <v>1.0</v>
      </c>
      <c r="FU43" s="207">
        <v>2.0</v>
      </c>
      <c r="FV43" s="207">
        <v>6.0</v>
      </c>
      <c r="FW43" s="207">
        <v>0.0</v>
      </c>
      <c r="FX43" s="207">
        <v>0.0</v>
      </c>
      <c r="FY43" s="207">
        <v>0.0</v>
      </c>
      <c r="FZ43" s="207">
        <v>0.0</v>
      </c>
      <c r="GA43" s="207">
        <v>0.0</v>
      </c>
      <c r="GB43" s="207">
        <v>0.0</v>
      </c>
      <c r="GC43" s="207">
        <v>0.0</v>
      </c>
      <c r="GD43" s="207">
        <v>0.0</v>
      </c>
      <c r="GE43" s="207">
        <v>0.0</v>
      </c>
      <c r="GF43" s="207">
        <v>0.0</v>
      </c>
      <c r="GG43" s="207">
        <v>0.0</v>
      </c>
      <c r="GH43" s="207">
        <v>0.0</v>
      </c>
      <c r="GI43" s="207">
        <v>0.0</v>
      </c>
      <c r="GJ43" s="207">
        <v>0.0</v>
      </c>
      <c r="GK43" s="212">
        <v>0.0</v>
      </c>
      <c r="GL43" s="212">
        <v>0.0</v>
      </c>
      <c r="GM43" s="207">
        <v>602.0</v>
      </c>
      <c r="GN43" s="207">
        <v>180.0</v>
      </c>
      <c r="GO43" s="213">
        <v>580.0</v>
      </c>
      <c r="GP43" s="213">
        <v>163.0</v>
      </c>
      <c r="GQ43" s="207"/>
      <c r="GR43" s="213">
        <v>9.0</v>
      </c>
      <c r="GS43" s="193">
        <v>3.0</v>
      </c>
      <c r="GT43" s="194">
        <f t="shared" si="25"/>
        <v>9</v>
      </c>
      <c r="GU43" s="194">
        <f t="shared" si="26"/>
        <v>3</v>
      </c>
      <c r="GV43" s="194">
        <f t="shared" si="27"/>
        <v>6</v>
      </c>
      <c r="GW43" s="207">
        <v>0.0</v>
      </c>
      <c r="GX43" s="207">
        <v>1.0</v>
      </c>
      <c r="GY43" s="207">
        <v>2.0</v>
      </c>
      <c r="GZ43" s="207">
        <v>6.0</v>
      </c>
      <c r="HA43" s="207">
        <v>0.0</v>
      </c>
      <c r="HB43" s="207">
        <v>0.0</v>
      </c>
      <c r="HC43" s="207">
        <v>0.0</v>
      </c>
      <c r="HD43" s="207">
        <v>0.0</v>
      </c>
      <c r="HE43" s="207">
        <v>0.0</v>
      </c>
      <c r="HF43" s="207">
        <v>0.0</v>
      </c>
      <c r="HG43" s="207">
        <v>0.0</v>
      </c>
      <c r="HH43" s="207">
        <v>0.0</v>
      </c>
      <c r="HI43" s="207">
        <v>0.0</v>
      </c>
      <c r="HJ43" s="207">
        <v>0.0</v>
      </c>
      <c r="HK43" s="207">
        <v>0.0</v>
      </c>
      <c r="HL43" s="207">
        <v>0.0</v>
      </c>
      <c r="HM43" s="207">
        <v>0.0</v>
      </c>
      <c r="HN43" s="207">
        <v>0.0</v>
      </c>
      <c r="HO43" s="222">
        <v>0.0</v>
      </c>
      <c r="HP43" s="222">
        <v>0.0</v>
      </c>
      <c r="HQ43" s="214"/>
      <c r="HR43" s="197"/>
      <c r="HS43" s="197"/>
      <c r="HT43" s="198">
        <f t="shared" si="28"/>
        <v>24</v>
      </c>
      <c r="HU43" s="198">
        <f t="shared" si="29"/>
        <v>5</v>
      </c>
      <c r="HV43" s="198">
        <f t="shared" si="30"/>
        <v>8</v>
      </c>
      <c r="HW43" s="198">
        <f t="shared" si="99"/>
        <v>11</v>
      </c>
      <c r="HX43" s="198">
        <f t="shared" si="32"/>
        <v>7</v>
      </c>
      <c r="HY43" s="198">
        <f t="shared" si="33"/>
        <v>4</v>
      </c>
      <c r="HZ43" s="198">
        <f t="shared" si="34"/>
        <v>8</v>
      </c>
      <c r="IA43" s="198">
        <f t="shared" si="35"/>
        <v>8</v>
      </c>
      <c r="IB43" s="198">
        <f t="shared" si="36"/>
        <v>7</v>
      </c>
      <c r="IC43" s="198">
        <f t="shared" si="37"/>
        <v>9</v>
      </c>
      <c r="ID43" s="198">
        <f t="shared" si="38"/>
        <v>9</v>
      </c>
      <c r="IE43" s="198">
        <f t="shared" si="39"/>
        <v>9</v>
      </c>
      <c r="IF43" s="197"/>
      <c r="IG43" s="197"/>
      <c r="IH43" s="197"/>
      <c r="II43" s="197"/>
      <c r="IJ43" s="197"/>
      <c r="IK43" s="197"/>
      <c r="IL43" s="197"/>
      <c r="IM43" s="197"/>
      <c r="IN43" s="197"/>
      <c r="IO43" s="197"/>
      <c r="IP43" s="197"/>
      <c r="IQ43" s="197"/>
      <c r="IR43" s="197"/>
      <c r="IS43" s="197"/>
      <c r="IT43" s="197"/>
      <c r="IU43" s="197"/>
      <c r="IV43" s="197"/>
      <c r="IW43" s="197"/>
      <c r="IX43" s="197"/>
      <c r="IY43" s="197"/>
      <c r="IZ43" s="197"/>
      <c r="JA43" s="199"/>
      <c r="JB43" s="200">
        <f t="shared" si="40"/>
        <v>24</v>
      </c>
      <c r="JC43" s="200">
        <f t="shared" si="41"/>
        <v>5</v>
      </c>
      <c r="JD43" s="200">
        <f t="shared" si="42"/>
        <v>8</v>
      </c>
      <c r="JE43" s="200">
        <f t="shared" si="43"/>
        <v>11</v>
      </c>
      <c r="JF43" s="200">
        <f t="shared" si="44"/>
        <v>7</v>
      </c>
      <c r="JG43" s="200">
        <f t="shared" si="45"/>
        <v>4</v>
      </c>
      <c r="JH43" s="200">
        <f t="shared" si="46"/>
        <v>8</v>
      </c>
      <c r="JI43" s="200">
        <f t="shared" si="47"/>
        <v>8</v>
      </c>
      <c r="JJ43" s="200">
        <f t="shared" si="48"/>
        <v>7</v>
      </c>
      <c r="JK43" s="200">
        <f t="shared" si="49"/>
        <v>9</v>
      </c>
      <c r="JL43" s="200">
        <f t="shared" si="50"/>
        <v>9</v>
      </c>
      <c r="JM43" s="200">
        <f t="shared" si="51"/>
        <v>9</v>
      </c>
      <c r="JN43" s="199"/>
      <c r="JO43" s="200">
        <f t="shared" si="52"/>
        <v>24</v>
      </c>
      <c r="JP43" s="202">
        <v>5.0</v>
      </c>
      <c r="JQ43" s="202">
        <v>8.0</v>
      </c>
      <c r="JR43" s="202">
        <v>11.0</v>
      </c>
      <c r="JS43" s="202">
        <v>7.0</v>
      </c>
      <c r="JT43" s="199"/>
      <c r="JU43" s="199"/>
      <c r="JV43" s="200">
        <f t="shared" ref="JV43:JX43" si="133">IA43-JI43</f>
        <v>0</v>
      </c>
      <c r="JW43" s="200">
        <f t="shared" si="133"/>
        <v>0</v>
      </c>
      <c r="JX43" s="200">
        <f t="shared" si="133"/>
        <v>0</v>
      </c>
      <c r="JY43" s="199"/>
      <c r="JZ43" s="199"/>
      <c r="KA43" s="199"/>
      <c r="KB43" s="200">
        <f t="shared" ref="KB43:KM43" si="134">JB43-JO43</f>
        <v>0</v>
      </c>
      <c r="KC43" s="200">
        <f t="shared" si="134"/>
        <v>0</v>
      </c>
      <c r="KD43" s="200">
        <f t="shared" si="134"/>
        <v>0</v>
      </c>
      <c r="KE43" s="200">
        <f t="shared" si="134"/>
        <v>0</v>
      </c>
      <c r="KF43" s="200">
        <f t="shared" si="134"/>
        <v>0</v>
      </c>
      <c r="KG43" s="200">
        <f t="shared" si="134"/>
        <v>4</v>
      </c>
      <c r="KH43" s="200">
        <f t="shared" si="134"/>
        <v>8</v>
      </c>
      <c r="KI43" s="200">
        <f t="shared" si="134"/>
        <v>8</v>
      </c>
      <c r="KJ43" s="200">
        <f t="shared" si="134"/>
        <v>7</v>
      </c>
      <c r="KK43" s="200">
        <f t="shared" si="134"/>
        <v>9</v>
      </c>
      <c r="KL43" s="200">
        <f t="shared" si="134"/>
        <v>9</v>
      </c>
      <c r="KM43" s="200">
        <f t="shared" si="134"/>
        <v>9</v>
      </c>
      <c r="KN43" s="199"/>
      <c r="KO43" s="199"/>
      <c r="KP43" s="199"/>
      <c r="KQ43" s="199"/>
      <c r="KR43" s="199"/>
      <c r="KS43" s="199"/>
      <c r="KT43" s="199"/>
      <c r="KU43" s="199"/>
      <c r="KV43" s="199"/>
      <c r="KW43" s="199"/>
      <c r="KX43" s="199"/>
      <c r="KY43" s="199"/>
      <c r="KZ43" s="199"/>
      <c r="LA43" s="199"/>
      <c r="LB43" s="199"/>
      <c r="LC43" s="199"/>
      <c r="LD43" s="199"/>
      <c r="LE43" s="199"/>
      <c r="LF43" s="199"/>
      <c r="LG43" s="199"/>
    </row>
    <row r="44" ht="14.25" customHeight="1">
      <c r="A44" s="156">
        <v>37.0</v>
      </c>
      <c r="B44" s="157" t="s">
        <v>120</v>
      </c>
      <c r="C44" s="158">
        <v>3374100.0</v>
      </c>
      <c r="D44" s="158" t="s">
        <v>120</v>
      </c>
      <c r="E44" s="158" t="s">
        <v>123</v>
      </c>
      <c r="F44" s="159">
        <v>10.0</v>
      </c>
      <c r="G44" s="285">
        <v>515.0</v>
      </c>
      <c r="H44" s="160">
        <v>21.0</v>
      </c>
      <c r="I44" s="161">
        <v>3.0</v>
      </c>
      <c r="J44" s="161">
        <v>6.0</v>
      </c>
      <c r="K44" s="161">
        <v>4.0</v>
      </c>
      <c r="L44" s="161">
        <v>8.0</v>
      </c>
      <c r="M44" s="161">
        <v>1.0</v>
      </c>
      <c r="N44" s="161">
        <v>20.0</v>
      </c>
      <c r="O44" s="162">
        <f t="shared" si="3"/>
        <v>0</v>
      </c>
      <c r="P44" s="203">
        <v>1.0</v>
      </c>
      <c r="Q44" s="164">
        <v>1.0</v>
      </c>
      <c r="R44" s="164">
        <v>0.0</v>
      </c>
      <c r="S44" s="164">
        <v>0.0</v>
      </c>
      <c r="T44" s="165">
        <v>0.0</v>
      </c>
      <c r="U44" s="165">
        <v>1.0</v>
      </c>
      <c r="V44" s="165">
        <v>0.0</v>
      </c>
      <c r="W44" s="166">
        <f t="shared" si="4"/>
        <v>0</v>
      </c>
      <c r="X44" s="203">
        <v>11.0</v>
      </c>
      <c r="Y44" s="165">
        <v>0.0</v>
      </c>
      <c r="Z44" s="165">
        <v>3.0</v>
      </c>
      <c r="AA44" s="165">
        <v>2.0</v>
      </c>
      <c r="AB44" s="165">
        <v>6.0</v>
      </c>
      <c r="AC44" s="165">
        <v>7.0</v>
      </c>
      <c r="AD44" s="165">
        <v>4.0</v>
      </c>
      <c r="AE44" s="166">
        <f t="shared" si="5"/>
        <v>0</v>
      </c>
      <c r="AF44" s="167">
        <v>10.0</v>
      </c>
      <c r="AG44" s="165">
        <v>1.0</v>
      </c>
      <c r="AH44" s="165">
        <v>4.0</v>
      </c>
      <c r="AI44" s="165">
        <v>1.0</v>
      </c>
      <c r="AJ44" s="165">
        <v>4.0</v>
      </c>
      <c r="AK44" s="165">
        <v>8.0</v>
      </c>
      <c r="AL44" s="165">
        <v>2.0</v>
      </c>
      <c r="AM44" s="166">
        <f t="shared" si="98"/>
        <v>0</v>
      </c>
      <c r="AN44" s="167">
        <v>2.0</v>
      </c>
      <c r="AO44" s="165">
        <v>0.0</v>
      </c>
      <c r="AP44" s="165">
        <v>1.0</v>
      </c>
      <c r="AQ44" s="165">
        <v>1.0</v>
      </c>
      <c r="AR44" s="165">
        <v>0.0</v>
      </c>
      <c r="AS44" s="165">
        <v>1.0</v>
      </c>
      <c r="AT44" s="165"/>
      <c r="AU44" s="168">
        <f t="shared" si="7"/>
        <v>1</v>
      </c>
      <c r="AV44" s="169">
        <v>502.0</v>
      </c>
      <c r="AW44" s="204">
        <f t="shared" si="8"/>
        <v>1</v>
      </c>
      <c r="AX44" s="169">
        <v>0.0</v>
      </c>
      <c r="AY44" s="169">
        <v>1.0</v>
      </c>
      <c r="AZ44" s="169">
        <v>0.0</v>
      </c>
      <c r="BA44" s="169">
        <v>0.0</v>
      </c>
      <c r="BB44" s="169">
        <v>0.0</v>
      </c>
      <c r="BC44" s="169">
        <v>0.0</v>
      </c>
      <c r="BD44" s="169">
        <v>0.0</v>
      </c>
      <c r="BE44" s="169">
        <v>0.0</v>
      </c>
      <c r="BF44" s="169">
        <v>0.0</v>
      </c>
      <c r="BG44" s="169">
        <v>0.0</v>
      </c>
      <c r="BH44" s="169">
        <v>1.0</v>
      </c>
      <c r="BI44" s="169">
        <v>0.0</v>
      </c>
      <c r="BJ44" s="169">
        <v>0.0</v>
      </c>
      <c r="BK44" s="169">
        <v>0.0</v>
      </c>
      <c r="BL44" s="169">
        <v>0.0</v>
      </c>
      <c r="BM44" s="169">
        <v>0.0</v>
      </c>
      <c r="BN44" s="169">
        <v>0.0</v>
      </c>
      <c r="BO44" s="169">
        <v>0.0</v>
      </c>
      <c r="BP44" s="205">
        <f t="shared" si="131"/>
        <v>1</v>
      </c>
      <c r="BQ44" s="173">
        <v>498.0</v>
      </c>
      <c r="BR44" s="170">
        <f t="shared" si="10"/>
        <v>0</v>
      </c>
      <c r="BS44" s="173">
        <v>0.0</v>
      </c>
      <c r="BT44" s="173">
        <v>0.0</v>
      </c>
      <c r="BU44" s="173">
        <v>0.0</v>
      </c>
      <c r="BV44" s="173">
        <v>0.0</v>
      </c>
      <c r="BW44" s="173">
        <v>0.0</v>
      </c>
      <c r="BX44" s="173">
        <v>0.0</v>
      </c>
      <c r="BY44" s="173">
        <v>0.0</v>
      </c>
      <c r="BZ44" s="173">
        <v>0.0</v>
      </c>
      <c r="CA44" s="173">
        <v>0.0</v>
      </c>
      <c r="CB44" s="173">
        <v>1.0</v>
      </c>
      <c r="CC44" s="173">
        <v>0.0</v>
      </c>
      <c r="CD44" s="173">
        <v>0.0</v>
      </c>
      <c r="CE44" s="173">
        <v>0.0</v>
      </c>
      <c r="CF44" s="173">
        <v>0.0</v>
      </c>
      <c r="CG44" s="173">
        <v>0.0</v>
      </c>
      <c r="CH44" s="173">
        <v>0.0</v>
      </c>
      <c r="CI44" s="173">
        <v>0.0</v>
      </c>
      <c r="CJ44" s="173">
        <v>0.0</v>
      </c>
      <c r="CK44" s="172">
        <f t="shared" si="132"/>
        <v>1</v>
      </c>
      <c r="CL44" s="173">
        <v>511.0</v>
      </c>
      <c r="CM44" s="173">
        <v>157.0</v>
      </c>
      <c r="CN44" s="175">
        <f t="shared" si="12"/>
        <v>7</v>
      </c>
      <c r="CO44" s="173">
        <v>0.0</v>
      </c>
      <c r="CP44" s="173">
        <v>0.0</v>
      </c>
      <c r="CQ44" s="173">
        <v>0.0</v>
      </c>
      <c r="CR44" s="173">
        <v>0.0</v>
      </c>
      <c r="CS44" s="173">
        <v>2.0</v>
      </c>
      <c r="CT44" s="173">
        <v>0.0</v>
      </c>
      <c r="CU44" s="173">
        <v>4.0</v>
      </c>
      <c r="CV44" s="173">
        <v>1.0</v>
      </c>
      <c r="CW44" s="173">
        <v>0.0</v>
      </c>
      <c r="CX44" s="173">
        <v>1.0</v>
      </c>
      <c r="CY44" s="173">
        <v>0.0</v>
      </c>
      <c r="CZ44" s="173">
        <v>0.0</v>
      </c>
      <c r="DA44" s="173">
        <v>0.0</v>
      </c>
      <c r="DB44" s="173">
        <v>0.0</v>
      </c>
      <c r="DC44" s="173">
        <v>0.0</v>
      </c>
      <c r="DD44" s="173">
        <v>0.0</v>
      </c>
      <c r="DE44" s="173">
        <v>0.0</v>
      </c>
      <c r="DF44" s="173">
        <v>0.0</v>
      </c>
      <c r="DG44" s="176">
        <f t="shared" si="13"/>
        <v>1</v>
      </c>
      <c r="DH44" s="177">
        <v>512.0</v>
      </c>
      <c r="DI44" s="177">
        <v>153.0</v>
      </c>
      <c r="DJ44" s="178">
        <v>512.0</v>
      </c>
      <c r="DK44" s="178">
        <v>153.0</v>
      </c>
      <c r="DL44" s="179">
        <f t="shared" si="14"/>
        <v>2</v>
      </c>
      <c r="DM44" s="180">
        <f t="shared" si="15"/>
        <v>1</v>
      </c>
      <c r="DN44" s="180">
        <f t="shared" si="16"/>
        <v>1</v>
      </c>
      <c r="DO44" s="177">
        <v>0.0</v>
      </c>
      <c r="DP44" s="177">
        <v>0.0</v>
      </c>
      <c r="DQ44" s="177">
        <v>1.0</v>
      </c>
      <c r="DR44" s="177">
        <v>0.0</v>
      </c>
      <c r="DS44" s="177">
        <v>0.0</v>
      </c>
      <c r="DT44" s="177">
        <v>0.0</v>
      </c>
      <c r="DU44" s="177">
        <v>0.0</v>
      </c>
      <c r="DV44" s="177">
        <v>1.0</v>
      </c>
      <c r="DW44" s="177">
        <v>2.0</v>
      </c>
      <c r="DX44" s="177">
        <v>0.0</v>
      </c>
      <c r="DY44" s="177">
        <v>3.0</v>
      </c>
      <c r="DZ44" s="177">
        <v>1.0</v>
      </c>
      <c r="EA44" s="177">
        <v>0.0</v>
      </c>
      <c r="EB44" s="177">
        <v>0.0</v>
      </c>
      <c r="EC44" s="177">
        <v>0.0</v>
      </c>
      <c r="ED44" s="177">
        <v>0.0</v>
      </c>
      <c r="EE44" s="177">
        <v>0.0</v>
      </c>
      <c r="EF44" s="177">
        <v>0.0</v>
      </c>
      <c r="EG44" s="179">
        <f t="shared" si="17"/>
        <v>6</v>
      </c>
      <c r="EH44" s="179">
        <f t="shared" si="18"/>
        <v>5</v>
      </c>
      <c r="EI44" s="177">
        <v>533.0</v>
      </c>
      <c r="EJ44" s="177">
        <v>172.0</v>
      </c>
      <c r="EK44" s="178">
        <v>516.0</v>
      </c>
      <c r="EL44" s="178">
        <v>160.0</v>
      </c>
      <c r="EM44" s="185">
        <f t="shared" si="19"/>
        <v>4</v>
      </c>
      <c r="EN44" s="186">
        <f t="shared" si="89"/>
        <v>3</v>
      </c>
      <c r="EO44" s="186">
        <f t="shared" si="90"/>
        <v>1</v>
      </c>
      <c r="EP44" s="177">
        <v>0.0</v>
      </c>
      <c r="EQ44" s="177">
        <v>0.0</v>
      </c>
      <c r="ER44" s="177">
        <v>3.0</v>
      </c>
      <c r="ES44" s="177">
        <v>1.0</v>
      </c>
      <c r="ET44" s="177">
        <v>0.0</v>
      </c>
      <c r="EU44" s="177">
        <v>0.0</v>
      </c>
      <c r="EV44" s="177">
        <v>0.0</v>
      </c>
      <c r="EW44" s="177">
        <v>0.0</v>
      </c>
      <c r="EX44" s="177">
        <v>0.0</v>
      </c>
      <c r="EY44" s="177">
        <v>0.0</v>
      </c>
      <c r="EZ44" s="177">
        <v>0.0</v>
      </c>
      <c r="FA44" s="177">
        <v>0.0</v>
      </c>
      <c r="FB44" s="177">
        <v>0.0</v>
      </c>
      <c r="FC44" s="177">
        <v>0.0</v>
      </c>
      <c r="FD44" s="177">
        <v>0.0</v>
      </c>
      <c r="FE44" s="177">
        <v>0.0</v>
      </c>
      <c r="FF44" s="177">
        <v>0.0</v>
      </c>
      <c r="FG44" s="177">
        <v>0.0</v>
      </c>
      <c r="FH44" s="185">
        <f t="shared" si="22"/>
        <v>0</v>
      </c>
      <c r="FI44" s="185">
        <f t="shared" si="23"/>
        <v>0</v>
      </c>
      <c r="FJ44" s="177">
        <v>540.0</v>
      </c>
      <c r="FK44" s="177">
        <v>172.0</v>
      </c>
      <c r="FL44" s="177">
        <v>523.0</v>
      </c>
      <c r="FM44" s="177">
        <v>163.0</v>
      </c>
      <c r="FN44" s="210"/>
      <c r="FO44" s="210">
        <v>5.0</v>
      </c>
      <c r="FP44" s="188">
        <f t="shared" si="128"/>
        <v>5</v>
      </c>
      <c r="FQ44" s="211">
        <v>3.0</v>
      </c>
      <c r="FR44" s="212">
        <v>2.0</v>
      </c>
      <c r="FS44" s="206">
        <v>0.0</v>
      </c>
      <c r="FT44" s="207">
        <v>0.0</v>
      </c>
      <c r="FU44" s="207">
        <v>3.0</v>
      </c>
      <c r="FV44" s="207">
        <v>1.0</v>
      </c>
      <c r="FW44" s="207">
        <v>0.0</v>
      </c>
      <c r="FX44" s="207">
        <v>0.0</v>
      </c>
      <c r="FY44" s="207">
        <v>0.0</v>
      </c>
      <c r="FZ44" s="207">
        <v>1.0</v>
      </c>
      <c r="GA44" s="207">
        <v>0.0</v>
      </c>
      <c r="GB44" s="207">
        <v>0.0</v>
      </c>
      <c r="GC44" s="207">
        <v>0.0</v>
      </c>
      <c r="GD44" s="207">
        <v>0.0</v>
      </c>
      <c r="GE44" s="207">
        <v>0.0</v>
      </c>
      <c r="GF44" s="207">
        <v>0.0</v>
      </c>
      <c r="GG44" s="207">
        <v>0.0</v>
      </c>
      <c r="GH44" s="207">
        <v>0.0</v>
      </c>
      <c r="GI44" s="207">
        <v>0.0</v>
      </c>
      <c r="GJ44" s="207">
        <v>0.0</v>
      </c>
      <c r="GK44" s="212">
        <v>0.0</v>
      </c>
      <c r="GL44" s="212">
        <v>0.0</v>
      </c>
      <c r="GM44" s="207">
        <v>532.0</v>
      </c>
      <c r="GN44" s="207">
        <v>169.0</v>
      </c>
      <c r="GO44" s="213">
        <v>522.0</v>
      </c>
      <c r="GP44" s="213">
        <v>162.0</v>
      </c>
      <c r="GQ44" s="207"/>
      <c r="GR44" s="213">
        <v>4.0</v>
      </c>
      <c r="GS44" s="193">
        <v>2.0</v>
      </c>
      <c r="GT44" s="194">
        <f t="shared" si="25"/>
        <v>4</v>
      </c>
      <c r="GU44" s="194">
        <f t="shared" si="26"/>
        <v>2</v>
      </c>
      <c r="GV44" s="194">
        <f t="shared" si="27"/>
        <v>2</v>
      </c>
      <c r="GW44" s="207">
        <v>0.0</v>
      </c>
      <c r="GX44" s="207">
        <v>0.0</v>
      </c>
      <c r="GY44" s="207">
        <v>2.0</v>
      </c>
      <c r="GZ44" s="207">
        <v>2.0</v>
      </c>
      <c r="HA44" s="207">
        <v>0.0</v>
      </c>
      <c r="HB44" s="207">
        <v>0.0</v>
      </c>
      <c r="HC44" s="207">
        <v>0.0</v>
      </c>
      <c r="HD44" s="207">
        <v>0.0</v>
      </c>
      <c r="HE44" s="207">
        <v>0.0</v>
      </c>
      <c r="HF44" s="207">
        <v>0.0</v>
      </c>
      <c r="HG44" s="207">
        <v>1.0</v>
      </c>
      <c r="HH44" s="207">
        <v>0.0</v>
      </c>
      <c r="HI44" s="207">
        <v>0.0</v>
      </c>
      <c r="HJ44" s="207">
        <v>0.0</v>
      </c>
      <c r="HK44" s="207">
        <v>0.0</v>
      </c>
      <c r="HL44" s="207">
        <v>0.0</v>
      </c>
      <c r="HM44" s="207">
        <v>0.0</v>
      </c>
      <c r="HN44" s="207">
        <v>0.0</v>
      </c>
      <c r="HO44" s="222">
        <v>1.0</v>
      </c>
      <c r="HP44" s="222">
        <v>1.0</v>
      </c>
      <c r="HQ44" s="214"/>
      <c r="HR44" s="197"/>
      <c r="HS44" s="197"/>
      <c r="HT44" s="198">
        <f t="shared" si="28"/>
        <v>21</v>
      </c>
      <c r="HU44" s="198">
        <f t="shared" si="29"/>
        <v>1</v>
      </c>
      <c r="HV44" s="198">
        <f t="shared" si="30"/>
        <v>11</v>
      </c>
      <c r="HW44" s="198">
        <f t="shared" si="99"/>
        <v>10</v>
      </c>
      <c r="HX44" s="198">
        <f t="shared" si="32"/>
        <v>2</v>
      </c>
      <c r="HY44" s="198">
        <f t="shared" si="33"/>
        <v>1</v>
      </c>
      <c r="HZ44" s="198">
        <f t="shared" si="34"/>
        <v>0</v>
      </c>
      <c r="IA44" s="198">
        <f t="shared" si="35"/>
        <v>7</v>
      </c>
      <c r="IB44" s="198">
        <f t="shared" si="36"/>
        <v>2</v>
      </c>
      <c r="IC44" s="198">
        <f t="shared" si="37"/>
        <v>4</v>
      </c>
      <c r="ID44" s="198">
        <f t="shared" si="38"/>
        <v>5</v>
      </c>
      <c r="IE44" s="198">
        <f t="shared" si="39"/>
        <v>4</v>
      </c>
      <c r="IF44" s="197"/>
      <c r="IG44" s="197"/>
      <c r="IH44" s="197"/>
      <c r="II44" s="197"/>
      <c r="IJ44" s="197"/>
      <c r="IK44" s="197"/>
      <c r="IL44" s="197"/>
      <c r="IM44" s="197"/>
      <c r="IN44" s="197"/>
      <c r="IO44" s="197"/>
      <c r="IP44" s="197"/>
      <c r="IQ44" s="197"/>
      <c r="IR44" s="197"/>
      <c r="IS44" s="197"/>
      <c r="IT44" s="197"/>
      <c r="IU44" s="197"/>
      <c r="IV44" s="197"/>
      <c r="IW44" s="197"/>
      <c r="IX44" s="197"/>
      <c r="IY44" s="197"/>
      <c r="IZ44" s="197"/>
      <c r="JA44" s="199"/>
      <c r="JB44" s="200">
        <f t="shared" si="40"/>
        <v>21</v>
      </c>
      <c r="JC44" s="200">
        <f t="shared" si="41"/>
        <v>1</v>
      </c>
      <c r="JD44" s="200">
        <f t="shared" si="42"/>
        <v>11</v>
      </c>
      <c r="JE44" s="200">
        <f t="shared" si="43"/>
        <v>10</v>
      </c>
      <c r="JF44" s="200">
        <f t="shared" si="44"/>
        <v>2</v>
      </c>
      <c r="JG44" s="200">
        <f t="shared" si="45"/>
        <v>1</v>
      </c>
      <c r="JH44" s="200">
        <f t="shared" si="46"/>
        <v>0</v>
      </c>
      <c r="JI44" s="200">
        <f t="shared" si="47"/>
        <v>7</v>
      </c>
      <c r="JJ44" s="200">
        <f t="shared" si="48"/>
        <v>2</v>
      </c>
      <c r="JK44" s="200">
        <f t="shared" si="49"/>
        <v>4</v>
      </c>
      <c r="JL44" s="200">
        <f t="shared" si="50"/>
        <v>5</v>
      </c>
      <c r="JM44" s="200">
        <f t="shared" si="51"/>
        <v>4</v>
      </c>
      <c r="JN44" s="199"/>
      <c r="JO44" s="200">
        <f t="shared" si="52"/>
        <v>21</v>
      </c>
      <c r="JP44" s="202">
        <v>1.0</v>
      </c>
      <c r="JQ44" s="202">
        <v>11.0</v>
      </c>
      <c r="JR44" s="202">
        <v>10.0</v>
      </c>
      <c r="JS44" s="202">
        <v>2.0</v>
      </c>
      <c r="JT44" s="199"/>
      <c r="JU44" s="199"/>
      <c r="JV44" s="200">
        <f t="shared" ref="JV44:JX44" si="135">IA44-JI44</f>
        <v>0</v>
      </c>
      <c r="JW44" s="200">
        <f t="shared" si="135"/>
        <v>0</v>
      </c>
      <c r="JX44" s="200">
        <f t="shared" si="135"/>
        <v>0</v>
      </c>
      <c r="JY44" s="199"/>
      <c r="JZ44" s="199"/>
      <c r="KA44" s="199"/>
      <c r="KB44" s="200">
        <f t="shared" ref="KB44:KM44" si="136">JB44-JO44</f>
        <v>0</v>
      </c>
      <c r="KC44" s="200">
        <f t="shared" si="136"/>
        <v>0</v>
      </c>
      <c r="KD44" s="200">
        <f t="shared" si="136"/>
        <v>0</v>
      </c>
      <c r="KE44" s="200">
        <f t="shared" si="136"/>
        <v>0</v>
      </c>
      <c r="KF44" s="200">
        <f t="shared" si="136"/>
        <v>0</v>
      </c>
      <c r="KG44" s="200">
        <f t="shared" si="136"/>
        <v>1</v>
      </c>
      <c r="KH44" s="200">
        <f t="shared" si="136"/>
        <v>0</v>
      </c>
      <c r="KI44" s="200">
        <f t="shared" si="136"/>
        <v>7</v>
      </c>
      <c r="KJ44" s="200">
        <f t="shared" si="136"/>
        <v>2</v>
      </c>
      <c r="KK44" s="200">
        <f t="shared" si="136"/>
        <v>4</v>
      </c>
      <c r="KL44" s="200">
        <f t="shared" si="136"/>
        <v>5</v>
      </c>
      <c r="KM44" s="200">
        <f t="shared" si="136"/>
        <v>4</v>
      </c>
      <c r="KN44" s="199"/>
      <c r="KO44" s="199"/>
      <c r="KP44" s="199"/>
      <c r="KQ44" s="199"/>
      <c r="KR44" s="199"/>
      <c r="KS44" s="199"/>
      <c r="KT44" s="199"/>
      <c r="KU44" s="199"/>
      <c r="KV44" s="199"/>
      <c r="KW44" s="199"/>
      <c r="KX44" s="199"/>
      <c r="KY44" s="199"/>
      <c r="KZ44" s="199"/>
      <c r="LA44" s="199"/>
      <c r="LB44" s="199"/>
      <c r="LC44" s="199"/>
      <c r="LD44" s="199"/>
      <c r="LE44" s="199"/>
      <c r="LF44" s="199"/>
      <c r="LG44" s="199"/>
    </row>
    <row r="45" ht="14.25" customHeight="1">
      <c r="A45" s="156">
        <v>38.0</v>
      </c>
      <c r="B45" s="157" t="s">
        <v>120</v>
      </c>
      <c r="C45" s="158">
        <v>3374100.0</v>
      </c>
      <c r="D45" s="158" t="s">
        <v>120</v>
      </c>
      <c r="E45" s="158" t="s">
        <v>124</v>
      </c>
      <c r="F45" s="159">
        <v>9.0</v>
      </c>
      <c r="G45" s="285">
        <v>461.0</v>
      </c>
      <c r="H45" s="160">
        <v>20.0</v>
      </c>
      <c r="I45" s="161">
        <v>3.0</v>
      </c>
      <c r="J45" s="161">
        <v>1.0</v>
      </c>
      <c r="K45" s="161">
        <v>5.0</v>
      </c>
      <c r="L45" s="161">
        <v>11.0</v>
      </c>
      <c r="M45" s="161"/>
      <c r="N45" s="161"/>
      <c r="O45" s="162">
        <f t="shared" si="3"/>
        <v>20</v>
      </c>
      <c r="P45" s="203">
        <v>9.0</v>
      </c>
      <c r="Q45" s="164">
        <v>3.0</v>
      </c>
      <c r="R45" s="164">
        <v>0.0</v>
      </c>
      <c r="S45" s="164">
        <v>2.0</v>
      </c>
      <c r="T45" s="165">
        <v>4.0</v>
      </c>
      <c r="U45" s="165"/>
      <c r="V45" s="165"/>
      <c r="W45" s="166">
        <f t="shared" si="4"/>
        <v>9</v>
      </c>
      <c r="X45" s="203">
        <v>11.0</v>
      </c>
      <c r="Y45" s="165">
        <v>0.0</v>
      </c>
      <c r="Z45" s="165">
        <v>2.0</v>
      </c>
      <c r="AA45" s="165">
        <v>2.0</v>
      </c>
      <c r="AB45" s="165">
        <v>7.0</v>
      </c>
      <c r="AC45" s="165"/>
      <c r="AD45" s="165"/>
      <c r="AE45" s="166">
        <f t="shared" si="5"/>
        <v>11</v>
      </c>
      <c r="AF45" s="167">
        <v>15.0</v>
      </c>
      <c r="AG45" s="165">
        <v>0.0</v>
      </c>
      <c r="AH45" s="165">
        <v>2.0</v>
      </c>
      <c r="AI45" s="165">
        <v>3.0</v>
      </c>
      <c r="AJ45" s="165">
        <v>10.0</v>
      </c>
      <c r="AK45" s="165"/>
      <c r="AL45" s="165"/>
      <c r="AM45" s="166">
        <f t="shared" si="98"/>
        <v>15</v>
      </c>
      <c r="AN45" s="167">
        <v>2.0</v>
      </c>
      <c r="AO45" s="165">
        <v>1.0</v>
      </c>
      <c r="AP45" s="165">
        <v>0.0</v>
      </c>
      <c r="AQ45" s="165">
        <v>0.0</v>
      </c>
      <c r="AR45" s="165">
        <v>1.0</v>
      </c>
      <c r="AS45" s="165"/>
      <c r="AT45" s="165"/>
      <c r="AU45" s="168">
        <f t="shared" si="7"/>
        <v>2</v>
      </c>
      <c r="AV45" s="169">
        <v>465.0</v>
      </c>
      <c r="AW45" s="204">
        <f t="shared" si="8"/>
        <v>2</v>
      </c>
      <c r="AX45" s="169">
        <v>0.0</v>
      </c>
      <c r="AY45" s="169">
        <v>0.0</v>
      </c>
      <c r="AZ45" s="169">
        <v>1.0</v>
      </c>
      <c r="BA45" s="169">
        <v>1.0</v>
      </c>
      <c r="BB45" s="169">
        <v>0.0</v>
      </c>
      <c r="BC45" s="169">
        <v>0.0</v>
      </c>
      <c r="BD45" s="169">
        <v>0.0</v>
      </c>
      <c r="BE45" s="169">
        <v>0.0</v>
      </c>
      <c r="BF45" s="169">
        <v>0.0</v>
      </c>
      <c r="BG45" s="169">
        <v>0.0</v>
      </c>
      <c r="BH45" s="169">
        <v>0.0</v>
      </c>
      <c r="BI45" s="169">
        <v>0.0</v>
      </c>
      <c r="BJ45" s="169">
        <v>0.0</v>
      </c>
      <c r="BK45" s="169">
        <v>0.0</v>
      </c>
      <c r="BL45" s="169">
        <v>0.0</v>
      </c>
      <c r="BM45" s="169">
        <v>0.0</v>
      </c>
      <c r="BN45" s="169">
        <v>0.0</v>
      </c>
      <c r="BO45" s="169">
        <v>0.0</v>
      </c>
      <c r="BP45" s="205">
        <f t="shared" si="131"/>
        <v>0</v>
      </c>
      <c r="BQ45" s="173">
        <v>462.0</v>
      </c>
      <c r="BR45" s="170">
        <f t="shared" si="10"/>
        <v>1</v>
      </c>
      <c r="BS45" s="173">
        <v>0.0</v>
      </c>
      <c r="BT45" s="173">
        <v>0.0</v>
      </c>
      <c r="BU45" s="173">
        <v>1.0</v>
      </c>
      <c r="BV45" s="173">
        <v>0.0</v>
      </c>
      <c r="BW45" s="173">
        <v>0.0</v>
      </c>
      <c r="BX45" s="173">
        <v>0.0</v>
      </c>
      <c r="BY45" s="173">
        <v>0.0</v>
      </c>
      <c r="BZ45" s="173">
        <v>0.0</v>
      </c>
      <c r="CA45" s="173">
        <v>0.0</v>
      </c>
      <c r="CB45" s="173">
        <v>0.0</v>
      </c>
      <c r="CC45" s="173">
        <v>0.0</v>
      </c>
      <c r="CD45" s="173">
        <v>1.0</v>
      </c>
      <c r="CE45" s="173">
        <v>0.0</v>
      </c>
      <c r="CF45" s="173">
        <v>0.0</v>
      </c>
      <c r="CG45" s="173">
        <v>0.0</v>
      </c>
      <c r="CH45" s="173">
        <v>0.0</v>
      </c>
      <c r="CI45" s="173">
        <v>0.0</v>
      </c>
      <c r="CJ45" s="173">
        <v>0.0</v>
      </c>
      <c r="CK45" s="172">
        <f t="shared" si="132"/>
        <v>1</v>
      </c>
      <c r="CL45" s="173">
        <v>469.0</v>
      </c>
      <c r="CM45" s="173">
        <v>137.0</v>
      </c>
      <c r="CN45" s="175">
        <f t="shared" si="12"/>
        <v>1</v>
      </c>
      <c r="CO45" s="173">
        <v>0.0</v>
      </c>
      <c r="CP45" s="173">
        <v>0.0</v>
      </c>
      <c r="CQ45" s="173">
        <v>0.0</v>
      </c>
      <c r="CR45" s="173">
        <v>0.0</v>
      </c>
      <c r="CS45" s="173">
        <v>1.0</v>
      </c>
      <c r="CT45" s="173">
        <v>0.0</v>
      </c>
      <c r="CU45" s="173">
        <v>0.0</v>
      </c>
      <c r="CV45" s="173">
        <v>0.0</v>
      </c>
      <c r="CW45" s="173">
        <v>0.0</v>
      </c>
      <c r="CX45" s="173">
        <v>0.0</v>
      </c>
      <c r="CY45" s="173">
        <v>1.0</v>
      </c>
      <c r="CZ45" s="173">
        <v>1.0</v>
      </c>
      <c r="DA45" s="173">
        <v>0.0</v>
      </c>
      <c r="DB45" s="173">
        <v>0.0</v>
      </c>
      <c r="DC45" s="173">
        <v>0.0</v>
      </c>
      <c r="DD45" s="173">
        <v>0.0</v>
      </c>
      <c r="DE45" s="173">
        <v>0.0</v>
      </c>
      <c r="DF45" s="173">
        <v>0.0</v>
      </c>
      <c r="DG45" s="176">
        <f t="shared" si="13"/>
        <v>2</v>
      </c>
      <c r="DH45" s="177">
        <v>464.0</v>
      </c>
      <c r="DI45" s="177">
        <v>139.0</v>
      </c>
      <c r="DJ45" s="178">
        <v>461.0</v>
      </c>
      <c r="DK45" s="178">
        <v>137.0</v>
      </c>
      <c r="DL45" s="179">
        <f t="shared" si="14"/>
        <v>1</v>
      </c>
      <c r="DM45" s="180">
        <f t="shared" si="15"/>
        <v>0</v>
      </c>
      <c r="DN45" s="180">
        <f t="shared" si="16"/>
        <v>1</v>
      </c>
      <c r="DO45" s="177">
        <v>0.0</v>
      </c>
      <c r="DP45" s="177">
        <v>0.0</v>
      </c>
      <c r="DQ45" s="177">
        <v>0.0</v>
      </c>
      <c r="DR45" s="177">
        <v>0.0</v>
      </c>
      <c r="DS45" s="177">
        <v>0.0</v>
      </c>
      <c r="DT45" s="177">
        <v>0.0</v>
      </c>
      <c r="DU45" s="177">
        <v>0.0</v>
      </c>
      <c r="DV45" s="177">
        <v>1.0</v>
      </c>
      <c r="DW45" s="177">
        <v>1.0</v>
      </c>
      <c r="DX45" s="177">
        <v>0.0</v>
      </c>
      <c r="DY45" s="177">
        <v>0.0</v>
      </c>
      <c r="DZ45" s="177">
        <v>0.0</v>
      </c>
      <c r="EA45" s="177">
        <v>0.0</v>
      </c>
      <c r="EB45" s="177">
        <v>0.0</v>
      </c>
      <c r="EC45" s="177">
        <v>0.0</v>
      </c>
      <c r="ED45" s="177">
        <v>0.0</v>
      </c>
      <c r="EE45" s="177">
        <v>0.0</v>
      </c>
      <c r="EF45" s="177">
        <v>0.0</v>
      </c>
      <c r="EG45" s="179">
        <f t="shared" si="17"/>
        <v>1</v>
      </c>
      <c r="EH45" s="179">
        <f t="shared" si="18"/>
        <v>1</v>
      </c>
      <c r="EI45" s="177">
        <v>460.0</v>
      </c>
      <c r="EJ45" s="177">
        <v>136.0</v>
      </c>
      <c r="EK45" s="178">
        <v>452.0</v>
      </c>
      <c r="EL45" s="178">
        <v>131.0</v>
      </c>
      <c r="EM45" s="185">
        <f t="shared" si="19"/>
        <v>1</v>
      </c>
      <c r="EN45" s="186">
        <f t="shared" si="89"/>
        <v>0</v>
      </c>
      <c r="EO45" s="186">
        <f t="shared" si="90"/>
        <v>1</v>
      </c>
      <c r="EP45" s="177">
        <v>0.0</v>
      </c>
      <c r="EQ45" s="177">
        <v>0.0</v>
      </c>
      <c r="ER45" s="177">
        <v>0.0</v>
      </c>
      <c r="ES45" s="177">
        <v>1.0</v>
      </c>
      <c r="ET45" s="177">
        <v>0.0</v>
      </c>
      <c r="EU45" s="177">
        <v>0.0</v>
      </c>
      <c r="EV45" s="177">
        <v>0.0</v>
      </c>
      <c r="EW45" s="177">
        <v>0.0</v>
      </c>
      <c r="EX45" s="177">
        <v>0.0</v>
      </c>
      <c r="EY45" s="177">
        <v>0.0</v>
      </c>
      <c r="EZ45" s="177">
        <v>0.0</v>
      </c>
      <c r="FA45" s="177">
        <v>0.0</v>
      </c>
      <c r="FB45" s="177">
        <v>0.0</v>
      </c>
      <c r="FC45" s="177">
        <v>0.0</v>
      </c>
      <c r="FD45" s="177">
        <v>0.0</v>
      </c>
      <c r="FE45" s="177">
        <v>0.0</v>
      </c>
      <c r="FF45" s="177">
        <v>0.0</v>
      </c>
      <c r="FG45" s="177">
        <v>0.0</v>
      </c>
      <c r="FH45" s="185">
        <f t="shared" si="22"/>
        <v>0</v>
      </c>
      <c r="FI45" s="185">
        <f t="shared" si="23"/>
        <v>0</v>
      </c>
      <c r="FJ45" s="177">
        <v>473.0</v>
      </c>
      <c r="FK45" s="177">
        <v>138.0</v>
      </c>
      <c r="FL45" s="177">
        <v>456.0</v>
      </c>
      <c r="FM45" s="177">
        <v>134.0</v>
      </c>
      <c r="FN45" s="210"/>
      <c r="FO45" s="210">
        <v>2.0</v>
      </c>
      <c r="FP45" s="188">
        <f t="shared" si="128"/>
        <v>2</v>
      </c>
      <c r="FQ45" s="211">
        <v>0.0</v>
      </c>
      <c r="FR45" s="212">
        <v>2.0</v>
      </c>
      <c r="FS45" s="206">
        <v>0.0</v>
      </c>
      <c r="FT45" s="207">
        <v>0.0</v>
      </c>
      <c r="FU45" s="207">
        <v>0.0</v>
      </c>
      <c r="FV45" s="207">
        <v>1.0</v>
      </c>
      <c r="FW45" s="207">
        <v>0.0</v>
      </c>
      <c r="FX45" s="207">
        <v>0.0</v>
      </c>
      <c r="FY45" s="207">
        <v>0.0</v>
      </c>
      <c r="FZ45" s="207">
        <v>1.0</v>
      </c>
      <c r="GA45" s="207">
        <v>0.0</v>
      </c>
      <c r="GB45" s="207">
        <v>0.0</v>
      </c>
      <c r="GC45" s="207">
        <v>0.0</v>
      </c>
      <c r="GD45" s="207">
        <v>0.0</v>
      </c>
      <c r="GE45" s="207">
        <v>0.0</v>
      </c>
      <c r="GF45" s="207">
        <v>0.0</v>
      </c>
      <c r="GG45" s="207">
        <v>0.0</v>
      </c>
      <c r="GH45" s="207">
        <v>0.0</v>
      </c>
      <c r="GI45" s="207">
        <v>0.0</v>
      </c>
      <c r="GJ45" s="207">
        <v>0.0</v>
      </c>
      <c r="GK45" s="212">
        <v>0.0</v>
      </c>
      <c r="GL45" s="212">
        <v>0.0</v>
      </c>
      <c r="GM45" s="207">
        <v>467.0</v>
      </c>
      <c r="GN45" s="207">
        <v>133.0</v>
      </c>
      <c r="GO45" s="213">
        <v>463.0</v>
      </c>
      <c r="GP45" s="213">
        <v>132.0</v>
      </c>
      <c r="GQ45" s="207"/>
      <c r="GR45" s="213">
        <v>5.0</v>
      </c>
      <c r="GS45" s="193">
        <v>0.0</v>
      </c>
      <c r="GT45" s="194">
        <f t="shared" si="25"/>
        <v>5</v>
      </c>
      <c r="GU45" s="194">
        <f t="shared" si="26"/>
        <v>0</v>
      </c>
      <c r="GV45" s="194">
        <f t="shared" si="27"/>
        <v>5</v>
      </c>
      <c r="GW45" s="207">
        <v>0.0</v>
      </c>
      <c r="GX45" s="207">
        <v>0.0</v>
      </c>
      <c r="GY45" s="207">
        <v>0.0</v>
      </c>
      <c r="GZ45" s="207">
        <v>2.0</v>
      </c>
      <c r="HA45" s="207">
        <v>0.0</v>
      </c>
      <c r="HB45" s="207">
        <v>0.0</v>
      </c>
      <c r="HC45" s="207">
        <v>0.0</v>
      </c>
      <c r="HD45" s="207">
        <v>3.0</v>
      </c>
      <c r="HE45" s="207">
        <v>0.0</v>
      </c>
      <c r="HF45" s="207">
        <v>0.0</v>
      </c>
      <c r="HG45" s="207">
        <v>0.0</v>
      </c>
      <c r="HH45" s="207">
        <v>0.0</v>
      </c>
      <c r="HI45" s="207">
        <v>0.0</v>
      </c>
      <c r="HJ45" s="207">
        <v>0.0</v>
      </c>
      <c r="HK45" s="207">
        <v>0.0</v>
      </c>
      <c r="HL45" s="207">
        <v>0.0</v>
      </c>
      <c r="HM45" s="207">
        <v>0.0</v>
      </c>
      <c r="HN45" s="207">
        <v>0.0</v>
      </c>
      <c r="HO45" s="222">
        <v>0.0</v>
      </c>
      <c r="HP45" s="222">
        <v>0.0</v>
      </c>
      <c r="HQ45" s="214"/>
      <c r="HR45" s="197"/>
      <c r="HS45" s="197"/>
      <c r="HT45" s="198">
        <f t="shared" si="28"/>
        <v>20</v>
      </c>
      <c r="HU45" s="198">
        <f t="shared" si="29"/>
        <v>9</v>
      </c>
      <c r="HV45" s="198">
        <f t="shared" si="30"/>
        <v>11</v>
      </c>
      <c r="HW45" s="198">
        <f t="shared" si="99"/>
        <v>15</v>
      </c>
      <c r="HX45" s="198">
        <f t="shared" si="32"/>
        <v>2</v>
      </c>
      <c r="HY45" s="198">
        <f t="shared" si="33"/>
        <v>2</v>
      </c>
      <c r="HZ45" s="198">
        <f t="shared" si="34"/>
        <v>1</v>
      </c>
      <c r="IA45" s="198">
        <f t="shared" si="35"/>
        <v>1</v>
      </c>
      <c r="IB45" s="198">
        <f t="shared" si="36"/>
        <v>1</v>
      </c>
      <c r="IC45" s="198">
        <f t="shared" si="37"/>
        <v>1</v>
      </c>
      <c r="ID45" s="198">
        <f t="shared" si="38"/>
        <v>2</v>
      </c>
      <c r="IE45" s="198">
        <f t="shared" si="39"/>
        <v>5</v>
      </c>
      <c r="IF45" s="197"/>
      <c r="IG45" s="197"/>
      <c r="IH45" s="197"/>
      <c r="II45" s="197"/>
      <c r="IJ45" s="197"/>
      <c r="IK45" s="197"/>
      <c r="IL45" s="197"/>
      <c r="IM45" s="197"/>
      <c r="IN45" s="197"/>
      <c r="IO45" s="197"/>
      <c r="IP45" s="197"/>
      <c r="IQ45" s="197"/>
      <c r="IR45" s="197"/>
      <c r="IS45" s="197"/>
      <c r="IT45" s="197"/>
      <c r="IU45" s="197"/>
      <c r="IV45" s="197"/>
      <c r="IW45" s="197"/>
      <c r="IX45" s="197"/>
      <c r="IY45" s="197"/>
      <c r="IZ45" s="197"/>
      <c r="JA45" s="199"/>
      <c r="JB45" s="200">
        <f t="shared" si="40"/>
        <v>20</v>
      </c>
      <c r="JC45" s="200">
        <f t="shared" si="41"/>
        <v>9</v>
      </c>
      <c r="JD45" s="200">
        <f t="shared" si="42"/>
        <v>11</v>
      </c>
      <c r="JE45" s="200">
        <f t="shared" si="43"/>
        <v>15</v>
      </c>
      <c r="JF45" s="200">
        <f t="shared" si="44"/>
        <v>2</v>
      </c>
      <c r="JG45" s="200">
        <f t="shared" si="45"/>
        <v>2</v>
      </c>
      <c r="JH45" s="200">
        <f t="shared" si="46"/>
        <v>1</v>
      </c>
      <c r="JI45" s="200">
        <f t="shared" si="47"/>
        <v>1</v>
      </c>
      <c r="JJ45" s="200">
        <f t="shared" si="48"/>
        <v>1</v>
      </c>
      <c r="JK45" s="200">
        <f t="shared" si="49"/>
        <v>1</v>
      </c>
      <c r="JL45" s="200">
        <f t="shared" si="50"/>
        <v>2</v>
      </c>
      <c r="JM45" s="200">
        <f t="shared" si="51"/>
        <v>5</v>
      </c>
      <c r="JN45" s="199"/>
      <c r="JO45" s="200">
        <f t="shared" si="52"/>
        <v>20</v>
      </c>
      <c r="JP45" s="202">
        <v>9.0</v>
      </c>
      <c r="JQ45" s="202">
        <v>11.0</v>
      </c>
      <c r="JR45" s="202">
        <v>15.0</v>
      </c>
      <c r="JS45" s="202">
        <v>2.0</v>
      </c>
      <c r="JT45" s="199"/>
      <c r="JU45" s="199"/>
      <c r="JV45" s="200">
        <f t="shared" ref="JV45:JX45" si="137">IA45-JI45</f>
        <v>0</v>
      </c>
      <c r="JW45" s="200">
        <f t="shared" si="137"/>
        <v>0</v>
      </c>
      <c r="JX45" s="200">
        <f t="shared" si="137"/>
        <v>0</v>
      </c>
      <c r="JY45" s="199"/>
      <c r="JZ45" s="199"/>
      <c r="KA45" s="199"/>
      <c r="KB45" s="200">
        <f t="shared" ref="KB45:KM45" si="138">JB45-JO45</f>
        <v>0</v>
      </c>
      <c r="KC45" s="200">
        <f t="shared" si="138"/>
        <v>0</v>
      </c>
      <c r="KD45" s="200">
        <f t="shared" si="138"/>
        <v>0</v>
      </c>
      <c r="KE45" s="200">
        <f t="shared" si="138"/>
        <v>0</v>
      </c>
      <c r="KF45" s="200">
        <f t="shared" si="138"/>
        <v>0</v>
      </c>
      <c r="KG45" s="200">
        <f t="shared" si="138"/>
        <v>2</v>
      </c>
      <c r="KH45" s="200">
        <f t="shared" si="138"/>
        <v>1</v>
      </c>
      <c r="KI45" s="200">
        <f t="shared" si="138"/>
        <v>1</v>
      </c>
      <c r="KJ45" s="200">
        <f t="shared" si="138"/>
        <v>1</v>
      </c>
      <c r="KK45" s="200">
        <f t="shared" si="138"/>
        <v>1</v>
      </c>
      <c r="KL45" s="200">
        <f t="shared" si="138"/>
        <v>2</v>
      </c>
      <c r="KM45" s="200">
        <f t="shared" si="138"/>
        <v>5</v>
      </c>
      <c r="KN45" s="199"/>
      <c r="KO45" s="199"/>
      <c r="KP45" s="199"/>
      <c r="KQ45" s="199"/>
      <c r="KR45" s="199"/>
      <c r="KS45" s="199"/>
      <c r="KT45" s="199"/>
      <c r="KU45" s="199"/>
      <c r="KV45" s="199"/>
      <c r="KW45" s="199"/>
      <c r="KX45" s="199"/>
      <c r="KY45" s="199"/>
      <c r="KZ45" s="199"/>
      <c r="LA45" s="199"/>
      <c r="LB45" s="199"/>
      <c r="LC45" s="199"/>
      <c r="LD45" s="199"/>
      <c r="LE45" s="199"/>
      <c r="LF45" s="199"/>
      <c r="LG45" s="199"/>
    </row>
    <row r="46" ht="14.25" customHeight="1">
      <c r="A46" s="156">
        <v>39.0</v>
      </c>
      <c r="B46" s="157" t="s">
        <v>120</v>
      </c>
      <c r="C46" s="158">
        <v>3374100.0</v>
      </c>
      <c r="D46" s="158" t="s">
        <v>120</v>
      </c>
      <c r="E46" s="158" t="s">
        <v>125</v>
      </c>
      <c r="F46" s="159">
        <v>4.0</v>
      </c>
      <c r="G46" s="285">
        <v>402.0</v>
      </c>
      <c r="H46" s="160">
        <v>7.0</v>
      </c>
      <c r="I46" s="161">
        <v>0.0</v>
      </c>
      <c r="J46" s="161">
        <v>0.0</v>
      </c>
      <c r="K46" s="161">
        <v>2.0</v>
      </c>
      <c r="L46" s="161">
        <v>5.0</v>
      </c>
      <c r="M46" s="161"/>
      <c r="N46" s="161"/>
      <c r="O46" s="162">
        <f t="shared" si="3"/>
        <v>7</v>
      </c>
      <c r="P46" s="203">
        <v>4.0</v>
      </c>
      <c r="Q46" s="164">
        <v>0.0</v>
      </c>
      <c r="R46" s="164">
        <v>0.0</v>
      </c>
      <c r="S46" s="164">
        <v>1.0</v>
      </c>
      <c r="T46" s="165">
        <v>3.0</v>
      </c>
      <c r="U46" s="165"/>
      <c r="V46" s="165"/>
      <c r="W46" s="166">
        <f t="shared" si="4"/>
        <v>4</v>
      </c>
      <c r="X46" s="203">
        <v>1.0</v>
      </c>
      <c r="Y46" s="165">
        <v>0.0</v>
      </c>
      <c r="Z46" s="165">
        <v>0.0</v>
      </c>
      <c r="AA46" s="165">
        <v>0.0</v>
      </c>
      <c r="AB46" s="165">
        <v>1.0</v>
      </c>
      <c r="AC46" s="165"/>
      <c r="AD46" s="165"/>
      <c r="AE46" s="166">
        <f t="shared" si="5"/>
        <v>1</v>
      </c>
      <c r="AF46" s="167">
        <v>1.0</v>
      </c>
      <c r="AG46" s="165">
        <v>0.0</v>
      </c>
      <c r="AH46" s="165">
        <v>0.0</v>
      </c>
      <c r="AI46" s="165">
        <v>1.0</v>
      </c>
      <c r="AJ46" s="165">
        <v>0.0</v>
      </c>
      <c r="AK46" s="165"/>
      <c r="AL46" s="165"/>
      <c r="AM46" s="166">
        <f t="shared" si="98"/>
        <v>1</v>
      </c>
      <c r="AN46" s="167">
        <v>2.0</v>
      </c>
      <c r="AO46" s="165">
        <v>0.0</v>
      </c>
      <c r="AP46" s="165">
        <v>0.0</v>
      </c>
      <c r="AQ46" s="165">
        <v>0.0</v>
      </c>
      <c r="AR46" s="165">
        <v>2.0</v>
      </c>
      <c r="AS46" s="165"/>
      <c r="AT46" s="165"/>
      <c r="AU46" s="168">
        <f t="shared" si="7"/>
        <v>2</v>
      </c>
      <c r="AV46" s="169">
        <v>396.0</v>
      </c>
      <c r="AW46" s="204">
        <f t="shared" si="8"/>
        <v>1</v>
      </c>
      <c r="AX46" s="169">
        <v>0.0</v>
      </c>
      <c r="AY46" s="169">
        <v>0.0</v>
      </c>
      <c r="AZ46" s="169">
        <v>0.0</v>
      </c>
      <c r="BA46" s="169">
        <v>1.0</v>
      </c>
      <c r="BB46" s="169">
        <v>0.0</v>
      </c>
      <c r="BC46" s="169">
        <v>0.0</v>
      </c>
      <c r="BD46" s="169">
        <v>0.0</v>
      </c>
      <c r="BE46" s="169">
        <v>0.0</v>
      </c>
      <c r="BF46" s="169">
        <v>0.0</v>
      </c>
      <c r="BG46" s="169">
        <v>0.0</v>
      </c>
      <c r="BH46" s="169">
        <v>0.0</v>
      </c>
      <c r="BI46" s="169">
        <v>1.0</v>
      </c>
      <c r="BJ46" s="169">
        <v>0.0</v>
      </c>
      <c r="BK46" s="169">
        <v>0.0</v>
      </c>
      <c r="BL46" s="169">
        <v>0.0</v>
      </c>
      <c r="BM46" s="169">
        <v>0.0</v>
      </c>
      <c r="BN46" s="169">
        <v>0.0</v>
      </c>
      <c r="BO46" s="169">
        <v>0.0</v>
      </c>
      <c r="BP46" s="205">
        <f t="shared" si="131"/>
        <v>1</v>
      </c>
      <c r="BQ46" s="173">
        <v>412.0</v>
      </c>
      <c r="BR46" s="170">
        <f t="shared" si="10"/>
        <v>1</v>
      </c>
      <c r="BS46" s="173">
        <v>0.0</v>
      </c>
      <c r="BT46" s="173">
        <v>0.0</v>
      </c>
      <c r="BU46" s="173">
        <v>0.0</v>
      </c>
      <c r="BV46" s="173">
        <v>1.0</v>
      </c>
      <c r="BW46" s="173">
        <v>0.0</v>
      </c>
      <c r="BX46" s="173">
        <v>0.0</v>
      </c>
      <c r="BY46" s="173">
        <v>0.0</v>
      </c>
      <c r="BZ46" s="173">
        <v>0.0</v>
      </c>
      <c r="CA46" s="173">
        <v>0.0</v>
      </c>
      <c r="CB46" s="173">
        <v>0.0</v>
      </c>
      <c r="CC46" s="173">
        <v>0.0</v>
      </c>
      <c r="CD46" s="173">
        <v>0.0</v>
      </c>
      <c r="CE46" s="173">
        <v>0.0</v>
      </c>
      <c r="CF46" s="173">
        <v>0.0</v>
      </c>
      <c r="CG46" s="173">
        <v>0.0</v>
      </c>
      <c r="CH46" s="173">
        <v>0.0</v>
      </c>
      <c r="CI46" s="173">
        <v>0.0</v>
      </c>
      <c r="CJ46" s="173">
        <v>0.0</v>
      </c>
      <c r="CK46" s="172">
        <f t="shared" si="132"/>
        <v>0</v>
      </c>
      <c r="CL46" s="173">
        <v>407.0</v>
      </c>
      <c r="CM46" s="173">
        <v>96.0</v>
      </c>
      <c r="CN46" s="175">
        <f t="shared" si="12"/>
        <v>0</v>
      </c>
      <c r="CO46" s="173">
        <v>0.0</v>
      </c>
      <c r="CP46" s="173">
        <v>0.0</v>
      </c>
      <c r="CQ46" s="173">
        <v>0.0</v>
      </c>
      <c r="CR46" s="173">
        <v>0.0</v>
      </c>
      <c r="CS46" s="173">
        <v>0.0</v>
      </c>
      <c r="CT46" s="173">
        <v>0.0</v>
      </c>
      <c r="CU46" s="173">
        <v>0.0</v>
      </c>
      <c r="CV46" s="173">
        <v>0.0</v>
      </c>
      <c r="CW46" s="173">
        <v>0.0</v>
      </c>
      <c r="CX46" s="173">
        <v>0.0</v>
      </c>
      <c r="CY46" s="173">
        <v>0.0</v>
      </c>
      <c r="CZ46" s="173">
        <v>1.0</v>
      </c>
      <c r="DA46" s="173">
        <v>0.0</v>
      </c>
      <c r="DB46" s="173">
        <v>0.0</v>
      </c>
      <c r="DC46" s="173">
        <v>0.0</v>
      </c>
      <c r="DD46" s="173">
        <v>0.0</v>
      </c>
      <c r="DE46" s="173">
        <v>0.0</v>
      </c>
      <c r="DF46" s="173">
        <v>0.0</v>
      </c>
      <c r="DG46" s="176">
        <f t="shared" si="13"/>
        <v>1</v>
      </c>
      <c r="DH46" s="177">
        <v>386.0</v>
      </c>
      <c r="DI46" s="177">
        <v>91.0</v>
      </c>
      <c r="DJ46" s="178">
        <v>386.0</v>
      </c>
      <c r="DK46" s="178">
        <v>91.0</v>
      </c>
      <c r="DL46" s="179">
        <f t="shared" si="14"/>
        <v>3</v>
      </c>
      <c r="DM46" s="180">
        <f t="shared" si="15"/>
        <v>1</v>
      </c>
      <c r="DN46" s="180">
        <f t="shared" si="16"/>
        <v>2</v>
      </c>
      <c r="DO46" s="177">
        <v>0.0</v>
      </c>
      <c r="DP46" s="177">
        <v>0.0</v>
      </c>
      <c r="DQ46" s="177">
        <v>0.0</v>
      </c>
      <c r="DR46" s="177">
        <v>0.0</v>
      </c>
      <c r="DS46" s="177">
        <v>0.0</v>
      </c>
      <c r="DT46" s="177">
        <v>0.0</v>
      </c>
      <c r="DU46" s="177">
        <v>1.0</v>
      </c>
      <c r="DV46" s="177">
        <v>2.0</v>
      </c>
      <c r="DW46" s="177">
        <v>0.0</v>
      </c>
      <c r="DX46" s="177">
        <v>0.0</v>
      </c>
      <c r="DY46" s="177">
        <v>0.0</v>
      </c>
      <c r="DZ46" s="177">
        <v>0.0</v>
      </c>
      <c r="EA46" s="177">
        <v>0.0</v>
      </c>
      <c r="EB46" s="177">
        <v>0.0</v>
      </c>
      <c r="EC46" s="177">
        <v>0.0</v>
      </c>
      <c r="ED46" s="177">
        <v>0.0</v>
      </c>
      <c r="EE46" s="177">
        <v>0.0</v>
      </c>
      <c r="EF46" s="177">
        <v>0.0</v>
      </c>
      <c r="EG46" s="179">
        <f t="shared" si="17"/>
        <v>0</v>
      </c>
      <c r="EH46" s="179">
        <f t="shared" si="18"/>
        <v>0</v>
      </c>
      <c r="EI46" s="177">
        <v>372.0</v>
      </c>
      <c r="EJ46" s="177">
        <v>80.0</v>
      </c>
      <c r="EK46" s="178">
        <v>368.0</v>
      </c>
      <c r="EL46" s="178">
        <v>78.0</v>
      </c>
      <c r="EM46" s="185">
        <f t="shared" si="19"/>
        <v>3</v>
      </c>
      <c r="EN46" s="186">
        <f t="shared" si="89"/>
        <v>1</v>
      </c>
      <c r="EO46" s="186">
        <f t="shared" si="90"/>
        <v>2</v>
      </c>
      <c r="EP46" s="177">
        <v>0.0</v>
      </c>
      <c r="EQ46" s="177">
        <v>0.0</v>
      </c>
      <c r="ER46" s="177">
        <v>1.0</v>
      </c>
      <c r="ES46" s="177">
        <v>2.0</v>
      </c>
      <c r="ET46" s="177">
        <v>0.0</v>
      </c>
      <c r="EU46" s="177">
        <v>0.0</v>
      </c>
      <c r="EV46" s="177">
        <v>0.0</v>
      </c>
      <c r="EW46" s="177">
        <v>0.0</v>
      </c>
      <c r="EX46" s="177">
        <v>0.0</v>
      </c>
      <c r="EY46" s="177">
        <v>0.0</v>
      </c>
      <c r="EZ46" s="177">
        <v>0.0</v>
      </c>
      <c r="FA46" s="177">
        <v>0.0</v>
      </c>
      <c r="FB46" s="177">
        <v>0.0</v>
      </c>
      <c r="FC46" s="177">
        <v>0.0</v>
      </c>
      <c r="FD46" s="177">
        <v>0.0</v>
      </c>
      <c r="FE46" s="177">
        <v>0.0</v>
      </c>
      <c r="FF46" s="177">
        <v>0.0</v>
      </c>
      <c r="FG46" s="177">
        <v>0.0</v>
      </c>
      <c r="FH46" s="185">
        <f t="shared" si="22"/>
        <v>0</v>
      </c>
      <c r="FI46" s="185">
        <f t="shared" si="23"/>
        <v>0</v>
      </c>
      <c r="FJ46" s="177">
        <v>362.0</v>
      </c>
      <c r="FK46" s="177">
        <v>74.0</v>
      </c>
      <c r="FL46" s="177">
        <v>360.0</v>
      </c>
      <c r="FM46" s="177">
        <v>74.0</v>
      </c>
      <c r="FN46" s="210"/>
      <c r="FO46" s="210">
        <v>4.0</v>
      </c>
      <c r="FP46" s="188">
        <f t="shared" si="128"/>
        <v>4</v>
      </c>
      <c r="FQ46" s="211">
        <v>0.0</v>
      </c>
      <c r="FR46" s="212">
        <v>4.0</v>
      </c>
      <c r="FS46" s="206">
        <v>0.0</v>
      </c>
      <c r="FT46" s="207">
        <v>0.0</v>
      </c>
      <c r="FU46" s="207">
        <v>0.0</v>
      </c>
      <c r="FV46" s="207">
        <v>3.0</v>
      </c>
      <c r="FW46" s="207">
        <v>0.0</v>
      </c>
      <c r="FX46" s="207">
        <v>0.0</v>
      </c>
      <c r="FY46" s="207">
        <v>0.0</v>
      </c>
      <c r="FZ46" s="207">
        <v>1.0</v>
      </c>
      <c r="GA46" s="207">
        <v>0.0</v>
      </c>
      <c r="GB46" s="207">
        <v>0.0</v>
      </c>
      <c r="GC46" s="207">
        <v>0.0</v>
      </c>
      <c r="GD46" s="207">
        <v>0.0</v>
      </c>
      <c r="GE46" s="207">
        <v>0.0</v>
      </c>
      <c r="GF46" s="207">
        <v>0.0</v>
      </c>
      <c r="GG46" s="207">
        <v>0.0</v>
      </c>
      <c r="GH46" s="207">
        <v>0.0</v>
      </c>
      <c r="GI46" s="207">
        <v>0.0</v>
      </c>
      <c r="GJ46" s="207">
        <v>0.0</v>
      </c>
      <c r="GK46" s="212">
        <v>0.0</v>
      </c>
      <c r="GL46" s="212">
        <v>0.0</v>
      </c>
      <c r="GM46" s="207">
        <v>357.0</v>
      </c>
      <c r="GN46" s="207">
        <v>75.0</v>
      </c>
      <c r="GO46" s="213">
        <v>353.0</v>
      </c>
      <c r="GP46" s="213">
        <v>72.0</v>
      </c>
      <c r="GQ46" s="207"/>
      <c r="GR46" s="213">
        <v>4.0</v>
      </c>
      <c r="GS46" s="193">
        <v>0.0</v>
      </c>
      <c r="GT46" s="194">
        <f t="shared" si="25"/>
        <v>4</v>
      </c>
      <c r="GU46" s="194">
        <f t="shared" si="26"/>
        <v>0</v>
      </c>
      <c r="GV46" s="194">
        <f t="shared" si="27"/>
        <v>4</v>
      </c>
      <c r="GW46" s="207">
        <v>0.0</v>
      </c>
      <c r="GX46" s="207">
        <v>0.0</v>
      </c>
      <c r="GY46" s="207">
        <v>0.0</v>
      </c>
      <c r="GZ46" s="207">
        <v>4.0</v>
      </c>
      <c r="HA46" s="207">
        <v>0.0</v>
      </c>
      <c r="HB46" s="207">
        <v>0.0</v>
      </c>
      <c r="HC46" s="207">
        <v>0.0</v>
      </c>
      <c r="HD46" s="207">
        <v>0.0</v>
      </c>
      <c r="HE46" s="207">
        <v>0.0</v>
      </c>
      <c r="HF46" s="207">
        <v>0.0</v>
      </c>
      <c r="HG46" s="207">
        <v>0.0</v>
      </c>
      <c r="HH46" s="207">
        <v>0.0</v>
      </c>
      <c r="HI46" s="207">
        <v>0.0</v>
      </c>
      <c r="HJ46" s="207">
        <v>0.0</v>
      </c>
      <c r="HK46" s="207">
        <v>0.0</v>
      </c>
      <c r="HL46" s="207">
        <v>0.0</v>
      </c>
      <c r="HM46" s="207">
        <v>0.0</v>
      </c>
      <c r="HN46" s="207">
        <v>0.0</v>
      </c>
      <c r="HO46" s="222">
        <v>0.0</v>
      </c>
      <c r="HP46" s="222">
        <v>0.0</v>
      </c>
      <c r="HQ46" s="214"/>
      <c r="HR46" s="197"/>
      <c r="HS46" s="197"/>
      <c r="HT46" s="198">
        <f t="shared" si="28"/>
        <v>7</v>
      </c>
      <c r="HU46" s="198">
        <f t="shared" si="29"/>
        <v>4</v>
      </c>
      <c r="HV46" s="198">
        <f t="shared" si="30"/>
        <v>1</v>
      </c>
      <c r="HW46" s="198">
        <f t="shared" si="99"/>
        <v>1</v>
      </c>
      <c r="HX46" s="198">
        <f t="shared" si="32"/>
        <v>2</v>
      </c>
      <c r="HY46" s="198">
        <f t="shared" si="33"/>
        <v>1</v>
      </c>
      <c r="HZ46" s="198">
        <f t="shared" si="34"/>
        <v>1</v>
      </c>
      <c r="IA46" s="198">
        <f t="shared" si="35"/>
        <v>0</v>
      </c>
      <c r="IB46" s="198">
        <f t="shared" si="36"/>
        <v>3</v>
      </c>
      <c r="IC46" s="198">
        <f t="shared" si="37"/>
        <v>3</v>
      </c>
      <c r="ID46" s="198">
        <f t="shared" si="38"/>
        <v>4</v>
      </c>
      <c r="IE46" s="198">
        <f t="shared" si="39"/>
        <v>4</v>
      </c>
      <c r="IF46" s="197"/>
      <c r="IG46" s="197"/>
      <c r="IH46" s="197"/>
      <c r="II46" s="197"/>
      <c r="IJ46" s="197"/>
      <c r="IK46" s="197"/>
      <c r="IL46" s="197"/>
      <c r="IM46" s="197"/>
      <c r="IN46" s="197"/>
      <c r="IO46" s="197"/>
      <c r="IP46" s="197"/>
      <c r="IQ46" s="197"/>
      <c r="IR46" s="197"/>
      <c r="IS46" s="197"/>
      <c r="IT46" s="197"/>
      <c r="IU46" s="197"/>
      <c r="IV46" s="197"/>
      <c r="IW46" s="197"/>
      <c r="IX46" s="197"/>
      <c r="IY46" s="197"/>
      <c r="IZ46" s="197"/>
      <c r="JA46" s="199"/>
      <c r="JB46" s="200">
        <f t="shared" si="40"/>
        <v>7</v>
      </c>
      <c r="JC46" s="200">
        <f t="shared" si="41"/>
        <v>4</v>
      </c>
      <c r="JD46" s="200">
        <f t="shared" si="42"/>
        <v>1</v>
      </c>
      <c r="JE46" s="200">
        <f t="shared" si="43"/>
        <v>1</v>
      </c>
      <c r="JF46" s="200">
        <f t="shared" si="44"/>
        <v>2</v>
      </c>
      <c r="JG46" s="200">
        <f t="shared" si="45"/>
        <v>1</v>
      </c>
      <c r="JH46" s="200">
        <f t="shared" si="46"/>
        <v>1</v>
      </c>
      <c r="JI46" s="200">
        <f t="shared" si="47"/>
        <v>0</v>
      </c>
      <c r="JJ46" s="200">
        <f t="shared" si="48"/>
        <v>3</v>
      </c>
      <c r="JK46" s="200">
        <f t="shared" si="49"/>
        <v>3</v>
      </c>
      <c r="JL46" s="200">
        <f t="shared" si="50"/>
        <v>4</v>
      </c>
      <c r="JM46" s="200">
        <f t="shared" si="51"/>
        <v>4</v>
      </c>
      <c r="JN46" s="199"/>
      <c r="JO46" s="200">
        <f t="shared" si="52"/>
        <v>7</v>
      </c>
      <c r="JP46" s="202">
        <v>4.0</v>
      </c>
      <c r="JQ46" s="202">
        <v>1.0</v>
      </c>
      <c r="JR46" s="202">
        <v>1.0</v>
      </c>
      <c r="JS46" s="202">
        <v>2.0</v>
      </c>
      <c r="JT46" s="199"/>
      <c r="JU46" s="199"/>
      <c r="JV46" s="200">
        <f t="shared" ref="JV46:JX46" si="139">IA46-JI46</f>
        <v>0</v>
      </c>
      <c r="JW46" s="200">
        <f t="shared" si="139"/>
        <v>0</v>
      </c>
      <c r="JX46" s="200">
        <f t="shared" si="139"/>
        <v>0</v>
      </c>
      <c r="JY46" s="199"/>
      <c r="JZ46" s="199"/>
      <c r="KA46" s="199"/>
      <c r="KB46" s="200">
        <f t="shared" ref="KB46:KM46" si="140">JB46-JO46</f>
        <v>0</v>
      </c>
      <c r="KC46" s="200">
        <f t="shared" si="140"/>
        <v>0</v>
      </c>
      <c r="KD46" s="200">
        <f t="shared" si="140"/>
        <v>0</v>
      </c>
      <c r="KE46" s="200">
        <f t="shared" si="140"/>
        <v>0</v>
      </c>
      <c r="KF46" s="200">
        <f t="shared" si="140"/>
        <v>0</v>
      </c>
      <c r="KG46" s="200">
        <f t="shared" si="140"/>
        <v>1</v>
      </c>
      <c r="KH46" s="200">
        <f t="shared" si="140"/>
        <v>1</v>
      </c>
      <c r="KI46" s="200">
        <f t="shared" si="140"/>
        <v>0</v>
      </c>
      <c r="KJ46" s="200">
        <f t="shared" si="140"/>
        <v>3</v>
      </c>
      <c r="KK46" s="200">
        <f t="shared" si="140"/>
        <v>3</v>
      </c>
      <c r="KL46" s="200">
        <f t="shared" si="140"/>
        <v>4</v>
      </c>
      <c r="KM46" s="200">
        <f t="shared" si="140"/>
        <v>4</v>
      </c>
      <c r="KN46" s="199"/>
      <c r="KO46" s="199"/>
      <c r="KP46" s="199"/>
      <c r="KQ46" s="199"/>
      <c r="KR46" s="199"/>
      <c r="KS46" s="199"/>
      <c r="KT46" s="199"/>
      <c r="KU46" s="199"/>
      <c r="KV46" s="199"/>
      <c r="KW46" s="199"/>
      <c r="KX46" s="199"/>
      <c r="KY46" s="199"/>
      <c r="KZ46" s="199"/>
      <c r="LA46" s="199"/>
      <c r="LB46" s="199"/>
      <c r="LC46" s="199"/>
      <c r="LD46" s="199"/>
      <c r="LE46" s="199"/>
      <c r="LF46" s="199"/>
      <c r="LG46" s="199"/>
    </row>
    <row r="47" ht="14.25" customHeight="1">
      <c r="A47" s="156">
        <v>40.0</v>
      </c>
      <c r="B47" s="157" t="s">
        <v>120</v>
      </c>
      <c r="C47" s="158">
        <v>3374100.0</v>
      </c>
      <c r="D47" s="158" t="s">
        <v>120</v>
      </c>
      <c r="E47" s="158" t="s">
        <v>126</v>
      </c>
      <c r="F47" s="159">
        <v>12.0</v>
      </c>
      <c r="G47" s="285">
        <v>556.0</v>
      </c>
      <c r="H47" s="160">
        <v>15.0</v>
      </c>
      <c r="I47" s="161">
        <v>2.0</v>
      </c>
      <c r="J47" s="161">
        <v>3.0</v>
      </c>
      <c r="K47" s="161">
        <v>5.0</v>
      </c>
      <c r="L47" s="161">
        <v>5.0</v>
      </c>
      <c r="M47" s="161"/>
      <c r="N47" s="161"/>
      <c r="O47" s="162">
        <f t="shared" si="3"/>
        <v>15</v>
      </c>
      <c r="P47" s="203">
        <v>7.0</v>
      </c>
      <c r="Q47" s="164">
        <v>2.0</v>
      </c>
      <c r="R47" s="164">
        <v>1.0</v>
      </c>
      <c r="S47" s="164">
        <v>2.0</v>
      </c>
      <c r="T47" s="165">
        <v>2.0</v>
      </c>
      <c r="U47" s="165"/>
      <c r="V47" s="165"/>
      <c r="W47" s="166">
        <f t="shared" si="4"/>
        <v>7</v>
      </c>
      <c r="X47" s="203">
        <v>10.0</v>
      </c>
      <c r="Y47" s="165">
        <v>1.0</v>
      </c>
      <c r="Z47" s="165">
        <v>0.0</v>
      </c>
      <c r="AA47" s="165">
        <v>1.0</v>
      </c>
      <c r="AB47" s="165">
        <v>8.0</v>
      </c>
      <c r="AC47" s="165"/>
      <c r="AD47" s="165"/>
      <c r="AE47" s="166">
        <f t="shared" si="5"/>
        <v>10</v>
      </c>
      <c r="AF47" s="167">
        <v>14.0</v>
      </c>
      <c r="AG47" s="165">
        <v>0.0</v>
      </c>
      <c r="AH47" s="165">
        <v>2.0</v>
      </c>
      <c r="AI47" s="165">
        <v>5.0</v>
      </c>
      <c r="AJ47" s="165">
        <v>7.0</v>
      </c>
      <c r="AK47" s="165"/>
      <c r="AL47" s="165"/>
      <c r="AM47" s="166">
        <f t="shared" si="98"/>
        <v>14</v>
      </c>
      <c r="AN47" s="167">
        <v>4.0</v>
      </c>
      <c r="AO47" s="165">
        <v>0.0</v>
      </c>
      <c r="AP47" s="165">
        <v>0.0</v>
      </c>
      <c r="AQ47" s="165">
        <v>2.0</v>
      </c>
      <c r="AR47" s="165">
        <v>2.0</v>
      </c>
      <c r="AS47" s="165"/>
      <c r="AT47" s="165"/>
      <c r="AU47" s="168">
        <f t="shared" si="7"/>
        <v>4</v>
      </c>
      <c r="AV47" s="169">
        <v>548.0</v>
      </c>
      <c r="AW47" s="204">
        <f t="shared" si="8"/>
        <v>5</v>
      </c>
      <c r="AX47" s="169">
        <v>0.0</v>
      </c>
      <c r="AY47" s="169">
        <v>0.0</v>
      </c>
      <c r="AZ47" s="169">
        <v>2.0</v>
      </c>
      <c r="BA47" s="169">
        <v>2.0</v>
      </c>
      <c r="BB47" s="169">
        <v>1.0</v>
      </c>
      <c r="BC47" s="169">
        <v>0.0</v>
      </c>
      <c r="BD47" s="169">
        <v>0.0</v>
      </c>
      <c r="BE47" s="169">
        <v>0.0</v>
      </c>
      <c r="BF47" s="169">
        <v>0.0</v>
      </c>
      <c r="BG47" s="169">
        <v>0.0</v>
      </c>
      <c r="BH47" s="169">
        <v>0.0</v>
      </c>
      <c r="BI47" s="169">
        <v>0.0</v>
      </c>
      <c r="BJ47" s="169">
        <v>0.0</v>
      </c>
      <c r="BK47" s="169">
        <v>0.0</v>
      </c>
      <c r="BL47" s="169">
        <v>0.0</v>
      </c>
      <c r="BM47" s="169">
        <v>0.0</v>
      </c>
      <c r="BN47" s="169">
        <v>0.0</v>
      </c>
      <c r="BO47" s="169">
        <v>0.0</v>
      </c>
      <c r="BP47" s="205">
        <f t="shared" si="131"/>
        <v>0</v>
      </c>
      <c r="BQ47" s="173">
        <v>539.0</v>
      </c>
      <c r="BR47" s="170">
        <f t="shared" si="10"/>
        <v>3</v>
      </c>
      <c r="BS47" s="173">
        <v>0.0</v>
      </c>
      <c r="BT47" s="173">
        <v>0.0</v>
      </c>
      <c r="BU47" s="173">
        <v>1.0</v>
      </c>
      <c r="BV47" s="173">
        <v>0.0</v>
      </c>
      <c r="BW47" s="173">
        <v>0.0</v>
      </c>
      <c r="BX47" s="173">
        <v>0.0</v>
      </c>
      <c r="BY47" s="173">
        <v>0.0</v>
      </c>
      <c r="BZ47" s="173">
        <v>2.0</v>
      </c>
      <c r="CA47" s="173">
        <v>1.0</v>
      </c>
      <c r="CB47" s="173">
        <v>0.0</v>
      </c>
      <c r="CC47" s="173">
        <v>1.0</v>
      </c>
      <c r="CD47" s="173">
        <v>2.0</v>
      </c>
      <c r="CE47" s="173">
        <v>0.0</v>
      </c>
      <c r="CF47" s="173">
        <v>0.0</v>
      </c>
      <c r="CG47" s="173">
        <v>0.0</v>
      </c>
      <c r="CH47" s="173">
        <v>0.0</v>
      </c>
      <c r="CI47" s="173">
        <v>0.0</v>
      </c>
      <c r="CJ47" s="173">
        <v>0.0</v>
      </c>
      <c r="CK47" s="172">
        <f t="shared" si="132"/>
        <v>4</v>
      </c>
      <c r="CL47" s="173">
        <v>546.0</v>
      </c>
      <c r="CM47" s="173">
        <v>149.0</v>
      </c>
      <c r="CN47" s="175">
        <f t="shared" si="12"/>
        <v>1</v>
      </c>
      <c r="CO47" s="173">
        <v>0.0</v>
      </c>
      <c r="CP47" s="173">
        <v>0.0</v>
      </c>
      <c r="CQ47" s="173">
        <v>0.0</v>
      </c>
      <c r="CR47" s="173">
        <v>0.0</v>
      </c>
      <c r="CS47" s="173">
        <v>0.0</v>
      </c>
      <c r="CT47" s="173">
        <v>0.0</v>
      </c>
      <c r="CU47" s="173">
        <v>1.0</v>
      </c>
      <c r="CV47" s="173">
        <v>0.0</v>
      </c>
      <c r="CW47" s="173">
        <v>1.0</v>
      </c>
      <c r="CX47" s="173">
        <v>0.0</v>
      </c>
      <c r="CY47" s="173">
        <v>2.0</v>
      </c>
      <c r="CZ47" s="173">
        <v>2.0</v>
      </c>
      <c r="DA47" s="173">
        <v>0.0</v>
      </c>
      <c r="DB47" s="173">
        <v>0.0</v>
      </c>
      <c r="DC47" s="173">
        <v>0.0</v>
      </c>
      <c r="DD47" s="173">
        <v>0.0</v>
      </c>
      <c r="DE47" s="173">
        <v>0.0</v>
      </c>
      <c r="DF47" s="173">
        <v>0.0</v>
      </c>
      <c r="DG47" s="176">
        <f t="shared" si="13"/>
        <v>5</v>
      </c>
      <c r="DH47" s="177">
        <v>557.0</v>
      </c>
      <c r="DI47" s="177">
        <v>153.0</v>
      </c>
      <c r="DJ47" s="178">
        <v>551.0</v>
      </c>
      <c r="DK47" s="178">
        <v>149.0</v>
      </c>
      <c r="DL47" s="179">
        <f t="shared" si="14"/>
        <v>2</v>
      </c>
      <c r="DM47" s="180">
        <f t="shared" si="15"/>
        <v>1</v>
      </c>
      <c r="DN47" s="180">
        <f t="shared" si="16"/>
        <v>1</v>
      </c>
      <c r="DO47" s="177">
        <v>0.0</v>
      </c>
      <c r="DP47" s="177">
        <v>0.0</v>
      </c>
      <c r="DQ47" s="177">
        <v>0.0</v>
      </c>
      <c r="DR47" s="177">
        <v>0.0</v>
      </c>
      <c r="DS47" s="177">
        <v>0.0</v>
      </c>
      <c r="DT47" s="177">
        <v>0.0</v>
      </c>
      <c r="DU47" s="177">
        <v>1.0</v>
      </c>
      <c r="DV47" s="177">
        <v>1.0</v>
      </c>
      <c r="DW47" s="177">
        <v>0.0</v>
      </c>
      <c r="DX47" s="177">
        <v>0.0</v>
      </c>
      <c r="DY47" s="177">
        <v>1.0</v>
      </c>
      <c r="DZ47" s="177">
        <v>0.0</v>
      </c>
      <c r="EA47" s="177">
        <v>0.0</v>
      </c>
      <c r="EB47" s="177">
        <v>0.0</v>
      </c>
      <c r="EC47" s="177">
        <v>0.0</v>
      </c>
      <c r="ED47" s="177">
        <v>0.0</v>
      </c>
      <c r="EE47" s="177">
        <v>0.0</v>
      </c>
      <c r="EF47" s="177">
        <v>0.0</v>
      </c>
      <c r="EG47" s="179">
        <f t="shared" si="17"/>
        <v>1</v>
      </c>
      <c r="EH47" s="179">
        <f t="shared" si="18"/>
        <v>1</v>
      </c>
      <c r="EI47" s="177">
        <v>572.0</v>
      </c>
      <c r="EJ47" s="177">
        <v>163.0</v>
      </c>
      <c r="EK47" s="178">
        <v>544.0</v>
      </c>
      <c r="EL47" s="178">
        <v>142.0</v>
      </c>
      <c r="EM47" s="185">
        <f t="shared" si="19"/>
        <v>7</v>
      </c>
      <c r="EN47" s="186">
        <f t="shared" si="89"/>
        <v>3</v>
      </c>
      <c r="EO47" s="186">
        <f t="shared" si="90"/>
        <v>4</v>
      </c>
      <c r="EP47" s="227">
        <v>0.0</v>
      </c>
      <c r="EQ47" s="227">
        <v>0.0</v>
      </c>
      <c r="ER47" s="227">
        <v>1.0</v>
      </c>
      <c r="ES47" s="227">
        <v>1.0</v>
      </c>
      <c r="ET47" s="227">
        <v>2.0</v>
      </c>
      <c r="EU47" s="227">
        <v>0.0</v>
      </c>
      <c r="EV47" s="227">
        <v>0.0</v>
      </c>
      <c r="EW47" s="227">
        <v>3.0</v>
      </c>
      <c r="EX47" s="227">
        <v>0.0</v>
      </c>
      <c r="EY47" s="227">
        <v>0.0</v>
      </c>
      <c r="EZ47" s="227">
        <v>0.0</v>
      </c>
      <c r="FA47" s="227">
        <v>0.0</v>
      </c>
      <c r="FB47" s="227">
        <v>0.0</v>
      </c>
      <c r="FC47" s="227">
        <v>0.0</v>
      </c>
      <c r="FD47" s="227">
        <v>0.0</v>
      </c>
      <c r="FE47" s="227">
        <v>0.0</v>
      </c>
      <c r="FF47" s="227">
        <v>0.0</v>
      </c>
      <c r="FG47" s="227">
        <v>0.0</v>
      </c>
      <c r="FH47" s="185">
        <f t="shared" si="22"/>
        <v>0</v>
      </c>
      <c r="FI47" s="185">
        <f t="shared" si="23"/>
        <v>0</v>
      </c>
      <c r="FJ47" s="177">
        <v>576.0</v>
      </c>
      <c r="FK47" s="177">
        <v>162.0</v>
      </c>
      <c r="FL47" s="177">
        <v>561.0</v>
      </c>
      <c r="FM47" s="177">
        <v>155.0</v>
      </c>
      <c r="FN47" s="210"/>
      <c r="FO47" s="210">
        <v>7.0</v>
      </c>
      <c r="FP47" s="188">
        <f t="shared" si="128"/>
        <v>7</v>
      </c>
      <c r="FQ47" s="211">
        <v>3.0</v>
      </c>
      <c r="FR47" s="212">
        <v>4.0</v>
      </c>
      <c r="FS47" s="206">
        <v>2.0</v>
      </c>
      <c r="FT47" s="207">
        <v>1.0</v>
      </c>
      <c r="FU47" s="207">
        <v>0.0</v>
      </c>
      <c r="FV47" s="207">
        <v>4.0</v>
      </c>
      <c r="FW47" s="207">
        <v>0.0</v>
      </c>
      <c r="FX47" s="207">
        <v>0.0</v>
      </c>
      <c r="FY47" s="207">
        <v>0.0</v>
      </c>
      <c r="FZ47" s="207">
        <v>0.0</v>
      </c>
      <c r="GA47" s="207">
        <v>0.0</v>
      </c>
      <c r="GB47" s="207">
        <v>0.0</v>
      </c>
      <c r="GC47" s="207">
        <v>0.0</v>
      </c>
      <c r="GD47" s="207">
        <v>0.0</v>
      </c>
      <c r="GE47" s="207">
        <v>0.0</v>
      </c>
      <c r="GF47" s="207">
        <v>0.0</v>
      </c>
      <c r="GG47" s="207">
        <v>0.0</v>
      </c>
      <c r="GH47" s="207">
        <v>0.0</v>
      </c>
      <c r="GI47" s="207">
        <v>0.0</v>
      </c>
      <c r="GJ47" s="207">
        <v>0.0</v>
      </c>
      <c r="GK47" s="212">
        <v>0.0</v>
      </c>
      <c r="GL47" s="212">
        <v>0.0</v>
      </c>
      <c r="GM47" s="207">
        <v>570.0</v>
      </c>
      <c r="GN47" s="207">
        <v>157.0</v>
      </c>
      <c r="GO47" s="213">
        <v>560.0</v>
      </c>
      <c r="GP47" s="213">
        <v>152.0</v>
      </c>
      <c r="GQ47" s="207"/>
      <c r="GR47" s="213">
        <v>6.0</v>
      </c>
      <c r="GS47" s="193">
        <v>1.0</v>
      </c>
      <c r="GT47" s="194">
        <f t="shared" si="25"/>
        <v>6</v>
      </c>
      <c r="GU47" s="194">
        <f t="shared" si="26"/>
        <v>1</v>
      </c>
      <c r="GV47" s="194">
        <f t="shared" si="27"/>
        <v>5</v>
      </c>
      <c r="GW47" s="207">
        <v>0.0</v>
      </c>
      <c r="GX47" s="207">
        <v>0.0</v>
      </c>
      <c r="GY47" s="207">
        <v>1.0</v>
      </c>
      <c r="GZ47" s="207">
        <v>4.0</v>
      </c>
      <c r="HA47" s="207">
        <v>0.0</v>
      </c>
      <c r="HB47" s="207">
        <v>0.0</v>
      </c>
      <c r="HC47" s="207">
        <v>0.0</v>
      </c>
      <c r="HD47" s="207">
        <v>1.0</v>
      </c>
      <c r="HE47" s="207">
        <v>2.0</v>
      </c>
      <c r="HF47" s="207">
        <v>0.0</v>
      </c>
      <c r="HG47" s="207">
        <v>0.0</v>
      </c>
      <c r="HH47" s="207">
        <v>0.0</v>
      </c>
      <c r="HI47" s="207">
        <v>0.0</v>
      </c>
      <c r="HJ47" s="207">
        <v>0.0</v>
      </c>
      <c r="HK47" s="207">
        <v>0.0</v>
      </c>
      <c r="HL47" s="207">
        <v>0.0</v>
      </c>
      <c r="HM47" s="207">
        <v>0.0</v>
      </c>
      <c r="HN47" s="207">
        <v>0.0</v>
      </c>
      <c r="HO47" s="222">
        <v>2.0</v>
      </c>
      <c r="HP47" s="222">
        <v>2.0</v>
      </c>
      <c r="HQ47" s="214"/>
      <c r="HR47" s="197"/>
      <c r="HS47" s="197"/>
      <c r="HT47" s="198">
        <f t="shared" si="28"/>
        <v>15</v>
      </c>
      <c r="HU47" s="198">
        <f t="shared" si="29"/>
        <v>7</v>
      </c>
      <c r="HV47" s="198">
        <f t="shared" si="30"/>
        <v>10</v>
      </c>
      <c r="HW47" s="198">
        <f t="shared" si="99"/>
        <v>14</v>
      </c>
      <c r="HX47" s="198">
        <f t="shared" si="32"/>
        <v>4</v>
      </c>
      <c r="HY47" s="198">
        <f t="shared" si="33"/>
        <v>5</v>
      </c>
      <c r="HZ47" s="198">
        <f t="shared" si="34"/>
        <v>3</v>
      </c>
      <c r="IA47" s="198">
        <f t="shared" si="35"/>
        <v>1</v>
      </c>
      <c r="IB47" s="198">
        <f t="shared" si="36"/>
        <v>2</v>
      </c>
      <c r="IC47" s="198">
        <f t="shared" si="37"/>
        <v>7</v>
      </c>
      <c r="ID47" s="198">
        <f t="shared" si="38"/>
        <v>7</v>
      </c>
      <c r="IE47" s="198">
        <f t="shared" si="39"/>
        <v>6</v>
      </c>
      <c r="IF47" s="197"/>
      <c r="IG47" s="197"/>
      <c r="IH47" s="197"/>
      <c r="II47" s="197"/>
      <c r="IJ47" s="197"/>
      <c r="IK47" s="197"/>
      <c r="IL47" s="197"/>
      <c r="IM47" s="197"/>
      <c r="IN47" s="197"/>
      <c r="IO47" s="197"/>
      <c r="IP47" s="197"/>
      <c r="IQ47" s="197"/>
      <c r="IR47" s="197"/>
      <c r="IS47" s="197"/>
      <c r="IT47" s="197"/>
      <c r="IU47" s="197"/>
      <c r="IV47" s="197"/>
      <c r="IW47" s="197"/>
      <c r="IX47" s="197"/>
      <c r="IY47" s="197"/>
      <c r="IZ47" s="197"/>
      <c r="JA47" s="199"/>
      <c r="JB47" s="200">
        <f t="shared" si="40"/>
        <v>15</v>
      </c>
      <c r="JC47" s="200">
        <f t="shared" si="41"/>
        <v>7</v>
      </c>
      <c r="JD47" s="200">
        <f t="shared" si="42"/>
        <v>10</v>
      </c>
      <c r="JE47" s="200">
        <f t="shared" si="43"/>
        <v>14</v>
      </c>
      <c r="JF47" s="200">
        <f t="shared" si="44"/>
        <v>4</v>
      </c>
      <c r="JG47" s="200">
        <f t="shared" si="45"/>
        <v>5</v>
      </c>
      <c r="JH47" s="200">
        <f t="shared" si="46"/>
        <v>3</v>
      </c>
      <c r="JI47" s="200">
        <f t="shared" si="47"/>
        <v>1</v>
      </c>
      <c r="JJ47" s="200">
        <f t="shared" si="48"/>
        <v>2</v>
      </c>
      <c r="JK47" s="200">
        <f t="shared" si="49"/>
        <v>7</v>
      </c>
      <c r="JL47" s="200">
        <f t="shared" si="50"/>
        <v>7</v>
      </c>
      <c r="JM47" s="200">
        <f t="shared" si="51"/>
        <v>6</v>
      </c>
      <c r="JN47" s="199"/>
      <c r="JO47" s="200">
        <f t="shared" si="52"/>
        <v>15</v>
      </c>
      <c r="JP47" s="202">
        <v>7.0</v>
      </c>
      <c r="JQ47" s="202">
        <v>10.0</v>
      </c>
      <c r="JR47" s="202">
        <v>14.0</v>
      </c>
      <c r="JS47" s="202">
        <v>4.0</v>
      </c>
      <c r="JT47" s="199"/>
      <c r="JU47" s="199"/>
      <c r="JV47" s="200">
        <f t="shared" ref="JV47:JX47" si="141">IA47-JI47</f>
        <v>0</v>
      </c>
      <c r="JW47" s="200">
        <f t="shared" si="141"/>
        <v>0</v>
      </c>
      <c r="JX47" s="200">
        <f t="shared" si="141"/>
        <v>0</v>
      </c>
      <c r="JY47" s="199"/>
      <c r="JZ47" s="199"/>
      <c r="KA47" s="199"/>
      <c r="KB47" s="200">
        <f t="shared" ref="KB47:KM47" si="142">JB47-JO47</f>
        <v>0</v>
      </c>
      <c r="KC47" s="200">
        <f t="shared" si="142"/>
        <v>0</v>
      </c>
      <c r="KD47" s="200">
        <f t="shared" si="142"/>
        <v>0</v>
      </c>
      <c r="KE47" s="200">
        <f t="shared" si="142"/>
        <v>0</v>
      </c>
      <c r="KF47" s="200">
        <f t="shared" si="142"/>
        <v>0</v>
      </c>
      <c r="KG47" s="200">
        <f t="shared" si="142"/>
        <v>5</v>
      </c>
      <c r="KH47" s="200">
        <f t="shared" si="142"/>
        <v>3</v>
      </c>
      <c r="KI47" s="200">
        <f t="shared" si="142"/>
        <v>1</v>
      </c>
      <c r="KJ47" s="200">
        <f t="shared" si="142"/>
        <v>2</v>
      </c>
      <c r="KK47" s="200">
        <f t="shared" si="142"/>
        <v>7</v>
      </c>
      <c r="KL47" s="200">
        <f t="shared" si="142"/>
        <v>7</v>
      </c>
      <c r="KM47" s="200">
        <f t="shared" si="142"/>
        <v>6</v>
      </c>
      <c r="KN47" s="199"/>
      <c r="KO47" s="199"/>
      <c r="KP47" s="199"/>
      <c r="KQ47" s="199"/>
      <c r="KR47" s="199"/>
      <c r="KS47" s="199"/>
      <c r="KT47" s="199"/>
      <c r="KU47" s="199"/>
      <c r="KV47" s="199"/>
      <c r="KW47" s="199"/>
      <c r="KX47" s="199"/>
      <c r="KY47" s="199"/>
      <c r="KZ47" s="199"/>
      <c r="LA47" s="199"/>
      <c r="LB47" s="199"/>
      <c r="LC47" s="199"/>
      <c r="LD47" s="199"/>
      <c r="LE47" s="199"/>
      <c r="LF47" s="199"/>
      <c r="LG47" s="199"/>
    </row>
    <row r="48" ht="14.25" customHeight="1">
      <c r="A48" s="156">
        <v>41.0</v>
      </c>
      <c r="B48" s="157" t="s">
        <v>120</v>
      </c>
      <c r="C48" s="158">
        <v>3374100.0</v>
      </c>
      <c r="D48" s="158" t="s">
        <v>120</v>
      </c>
      <c r="E48" s="158" t="s">
        <v>127</v>
      </c>
      <c r="F48" s="159">
        <v>11.0</v>
      </c>
      <c r="G48" s="285">
        <v>550.0</v>
      </c>
      <c r="H48" s="160">
        <v>18.0</v>
      </c>
      <c r="I48" s="161">
        <v>4.0</v>
      </c>
      <c r="J48" s="161">
        <v>0.0</v>
      </c>
      <c r="K48" s="161">
        <v>6.0</v>
      </c>
      <c r="L48" s="161">
        <v>8.0</v>
      </c>
      <c r="M48" s="161"/>
      <c r="N48" s="161"/>
      <c r="O48" s="162">
        <f t="shared" si="3"/>
        <v>18</v>
      </c>
      <c r="P48" s="203">
        <v>3.0</v>
      </c>
      <c r="Q48" s="164">
        <v>0.0</v>
      </c>
      <c r="R48" s="164">
        <v>1.0</v>
      </c>
      <c r="S48" s="164">
        <v>1.0</v>
      </c>
      <c r="T48" s="165">
        <v>1.0</v>
      </c>
      <c r="U48" s="165"/>
      <c r="V48" s="165"/>
      <c r="W48" s="166">
        <f t="shared" si="4"/>
        <v>3</v>
      </c>
      <c r="X48" s="203">
        <v>7.0</v>
      </c>
      <c r="Y48" s="165">
        <v>1.0</v>
      </c>
      <c r="Z48" s="165">
        <v>0.0</v>
      </c>
      <c r="AA48" s="165">
        <v>4.0</v>
      </c>
      <c r="AB48" s="165">
        <v>2.0</v>
      </c>
      <c r="AC48" s="165"/>
      <c r="AD48" s="165"/>
      <c r="AE48" s="166">
        <f t="shared" si="5"/>
        <v>7</v>
      </c>
      <c r="AF48" s="167">
        <v>7.0</v>
      </c>
      <c r="AG48" s="165">
        <v>1.0</v>
      </c>
      <c r="AH48" s="165">
        <v>0.0</v>
      </c>
      <c r="AI48" s="165">
        <v>4.0</v>
      </c>
      <c r="AJ48" s="165">
        <v>2.0</v>
      </c>
      <c r="AK48" s="165"/>
      <c r="AL48" s="165"/>
      <c r="AM48" s="166">
        <f t="shared" si="98"/>
        <v>7</v>
      </c>
      <c r="AN48" s="167">
        <v>2.0</v>
      </c>
      <c r="AO48" s="165">
        <v>0.0</v>
      </c>
      <c r="AP48" s="165">
        <v>0.0</v>
      </c>
      <c r="AQ48" s="165">
        <v>2.0</v>
      </c>
      <c r="AR48" s="165">
        <v>0.0</v>
      </c>
      <c r="AS48" s="165"/>
      <c r="AT48" s="165"/>
      <c r="AU48" s="168">
        <f t="shared" si="7"/>
        <v>2</v>
      </c>
      <c r="AV48" s="169">
        <v>546.0</v>
      </c>
      <c r="AW48" s="204">
        <f t="shared" si="8"/>
        <v>3</v>
      </c>
      <c r="AX48" s="169">
        <v>0.0</v>
      </c>
      <c r="AY48" s="169">
        <v>0.0</v>
      </c>
      <c r="AZ48" s="169">
        <v>2.0</v>
      </c>
      <c r="BA48" s="169">
        <v>0.0</v>
      </c>
      <c r="BB48" s="169">
        <v>1.0</v>
      </c>
      <c r="BC48" s="169">
        <v>0.0</v>
      </c>
      <c r="BD48" s="169">
        <v>0.0</v>
      </c>
      <c r="BE48" s="169">
        <v>0.0</v>
      </c>
      <c r="BF48" s="169">
        <v>0.0</v>
      </c>
      <c r="BG48" s="169">
        <v>0.0</v>
      </c>
      <c r="BH48" s="169">
        <v>0.0</v>
      </c>
      <c r="BI48" s="169">
        <v>0.0</v>
      </c>
      <c r="BJ48" s="169">
        <v>0.0</v>
      </c>
      <c r="BK48" s="169">
        <v>0.0</v>
      </c>
      <c r="BL48" s="169">
        <v>0.0</v>
      </c>
      <c r="BM48" s="169">
        <v>0.0</v>
      </c>
      <c r="BN48" s="169">
        <v>0.0</v>
      </c>
      <c r="BO48" s="169">
        <v>0.0</v>
      </c>
      <c r="BP48" s="205">
        <f t="shared" si="131"/>
        <v>0</v>
      </c>
      <c r="BQ48" s="173">
        <v>529.0</v>
      </c>
      <c r="BR48" s="170">
        <f t="shared" si="10"/>
        <v>1</v>
      </c>
      <c r="BS48" s="173">
        <v>0.0</v>
      </c>
      <c r="BT48" s="173">
        <v>0.0</v>
      </c>
      <c r="BU48" s="173">
        <v>1.0</v>
      </c>
      <c r="BV48" s="173">
        <v>0.0</v>
      </c>
      <c r="BW48" s="173">
        <v>0.0</v>
      </c>
      <c r="BX48" s="173">
        <v>0.0</v>
      </c>
      <c r="BY48" s="173">
        <v>0.0</v>
      </c>
      <c r="BZ48" s="173">
        <v>0.0</v>
      </c>
      <c r="CA48" s="173">
        <v>1.0</v>
      </c>
      <c r="CB48" s="173">
        <v>0.0</v>
      </c>
      <c r="CC48" s="173">
        <v>1.0</v>
      </c>
      <c r="CD48" s="173">
        <v>0.0</v>
      </c>
      <c r="CE48" s="173">
        <v>0.0</v>
      </c>
      <c r="CF48" s="173">
        <v>0.0</v>
      </c>
      <c r="CG48" s="173">
        <v>0.0</v>
      </c>
      <c r="CH48" s="173">
        <v>0.0</v>
      </c>
      <c r="CI48" s="173">
        <v>0.0</v>
      </c>
      <c r="CJ48" s="173">
        <v>0.0</v>
      </c>
      <c r="CK48" s="172">
        <f t="shared" si="132"/>
        <v>2</v>
      </c>
      <c r="CL48" s="173">
        <v>537.0</v>
      </c>
      <c r="CM48" s="173">
        <v>172.0</v>
      </c>
      <c r="CN48" s="175">
        <f t="shared" si="12"/>
        <v>1</v>
      </c>
      <c r="CO48" s="173">
        <v>0.0</v>
      </c>
      <c r="CP48" s="173">
        <v>0.0</v>
      </c>
      <c r="CQ48" s="173">
        <v>1.0</v>
      </c>
      <c r="CR48" s="173">
        <v>0.0</v>
      </c>
      <c r="CS48" s="173">
        <v>0.0</v>
      </c>
      <c r="CT48" s="173">
        <v>0.0</v>
      </c>
      <c r="CU48" s="173">
        <v>0.0</v>
      </c>
      <c r="CV48" s="173">
        <v>0.0</v>
      </c>
      <c r="CW48" s="173">
        <v>0.0</v>
      </c>
      <c r="CX48" s="173">
        <v>0.0</v>
      </c>
      <c r="CY48" s="173">
        <v>0.0</v>
      </c>
      <c r="CZ48" s="173">
        <v>0.0</v>
      </c>
      <c r="DA48" s="173">
        <v>0.0</v>
      </c>
      <c r="DB48" s="173">
        <v>0.0</v>
      </c>
      <c r="DC48" s="173">
        <v>0.0</v>
      </c>
      <c r="DD48" s="173">
        <v>0.0</v>
      </c>
      <c r="DE48" s="173">
        <v>0.0</v>
      </c>
      <c r="DF48" s="173">
        <v>0.0</v>
      </c>
      <c r="DG48" s="176">
        <f t="shared" si="13"/>
        <v>0</v>
      </c>
      <c r="DH48" s="177">
        <v>531.0</v>
      </c>
      <c r="DI48" s="177">
        <v>166.0</v>
      </c>
      <c r="DJ48" s="178">
        <v>528.0</v>
      </c>
      <c r="DK48" s="178">
        <v>164.0</v>
      </c>
      <c r="DL48" s="179">
        <f t="shared" si="14"/>
        <v>2</v>
      </c>
      <c r="DM48" s="180">
        <f t="shared" si="15"/>
        <v>2</v>
      </c>
      <c r="DN48" s="180">
        <f t="shared" si="16"/>
        <v>0</v>
      </c>
      <c r="DO48" s="177">
        <v>0.0</v>
      </c>
      <c r="DP48" s="177">
        <v>0.0</v>
      </c>
      <c r="DQ48" s="177">
        <v>1.0</v>
      </c>
      <c r="DR48" s="177">
        <v>0.0</v>
      </c>
      <c r="DS48" s="177">
        <v>1.0</v>
      </c>
      <c r="DT48" s="177">
        <v>0.0</v>
      </c>
      <c r="DU48" s="177">
        <v>0.0</v>
      </c>
      <c r="DV48" s="177">
        <v>0.0</v>
      </c>
      <c r="DW48" s="177">
        <v>0.0</v>
      </c>
      <c r="DX48" s="177">
        <v>0.0</v>
      </c>
      <c r="DY48" s="177">
        <v>0.0</v>
      </c>
      <c r="DZ48" s="177">
        <v>0.0</v>
      </c>
      <c r="EA48" s="177">
        <v>0.0</v>
      </c>
      <c r="EB48" s="177">
        <v>0.0</v>
      </c>
      <c r="EC48" s="177">
        <v>0.0</v>
      </c>
      <c r="ED48" s="177">
        <v>0.0</v>
      </c>
      <c r="EE48" s="177">
        <v>0.0</v>
      </c>
      <c r="EF48" s="177">
        <v>0.0</v>
      </c>
      <c r="EG48" s="179">
        <f t="shared" si="17"/>
        <v>0</v>
      </c>
      <c r="EH48" s="179">
        <f t="shared" si="18"/>
        <v>0</v>
      </c>
      <c r="EI48" s="177">
        <v>523.0</v>
      </c>
      <c r="EJ48" s="177">
        <v>150.0</v>
      </c>
      <c r="EK48" s="178">
        <v>516.0</v>
      </c>
      <c r="EL48" s="178">
        <v>145.0</v>
      </c>
      <c r="EM48" s="185">
        <f t="shared" si="19"/>
        <v>1</v>
      </c>
      <c r="EN48" s="186">
        <f t="shared" si="89"/>
        <v>0</v>
      </c>
      <c r="EO48" s="186">
        <f t="shared" si="90"/>
        <v>1</v>
      </c>
      <c r="EP48" s="177">
        <v>0.0</v>
      </c>
      <c r="EQ48" s="177">
        <v>0.0</v>
      </c>
      <c r="ER48" s="177">
        <v>0.0</v>
      </c>
      <c r="ES48" s="177">
        <v>1.0</v>
      </c>
      <c r="ET48" s="177">
        <v>0.0</v>
      </c>
      <c r="EU48" s="177">
        <v>0.0</v>
      </c>
      <c r="EV48" s="177">
        <v>0.0</v>
      </c>
      <c r="EW48" s="177">
        <v>0.0</v>
      </c>
      <c r="EX48" s="177">
        <v>0.0</v>
      </c>
      <c r="EY48" s="177">
        <v>1.0</v>
      </c>
      <c r="EZ48" s="177">
        <v>0.0</v>
      </c>
      <c r="FA48" s="177">
        <v>0.0</v>
      </c>
      <c r="FB48" s="177">
        <v>0.0</v>
      </c>
      <c r="FC48" s="177">
        <v>0.0</v>
      </c>
      <c r="FD48" s="177">
        <v>0.0</v>
      </c>
      <c r="FE48" s="177">
        <v>0.0</v>
      </c>
      <c r="FF48" s="177">
        <v>0.0</v>
      </c>
      <c r="FG48" s="177">
        <v>0.0</v>
      </c>
      <c r="FH48" s="185">
        <f t="shared" si="22"/>
        <v>1</v>
      </c>
      <c r="FI48" s="185">
        <f t="shared" si="23"/>
        <v>1</v>
      </c>
      <c r="FJ48" s="177">
        <v>536.0</v>
      </c>
      <c r="FK48" s="177">
        <v>146.0</v>
      </c>
      <c r="FL48" s="177">
        <v>513.0</v>
      </c>
      <c r="FM48" s="177">
        <v>135.0</v>
      </c>
      <c r="FN48" s="210"/>
      <c r="FO48" s="210">
        <v>3.0</v>
      </c>
      <c r="FP48" s="188">
        <f t="shared" si="128"/>
        <v>3</v>
      </c>
      <c r="FQ48" s="211">
        <v>0.0</v>
      </c>
      <c r="FR48" s="212">
        <v>3.0</v>
      </c>
      <c r="FS48" s="206">
        <v>0.0</v>
      </c>
      <c r="FT48" s="207">
        <v>0.0</v>
      </c>
      <c r="FU48" s="207">
        <v>0.0</v>
      </c>
      <c r="FV48" s="207">
        <v>1.0</v>
      </c>
      <c r="FW48" s="207">
        <v>0.0</v>
      </c>
      <c r="FX48" s="207">
        <v>0.0</v>
      </c>
      <c r="FY48" s="207">
        <v>0.0</v>
      </c>
      <c r="FZ48" s="207">
        <v>2.0</v>
      </c>
      <c r="GA48" s="207">
        <v>0.0</v>
      </c>
      <c r="GB48" s="207">
        <v>0.0</v>
      </c>
      <c r="GC48" s="207">
        <v>0.0</v>
      </c>
      <c r="GD48" s="207">
        <v>0.0</v>
      </c>
      <c r="GE48" s="207">
        <v>0.0</v>
      </c>
      <c r="GF48" s="207">
        <v>0.0</v>
      </c>
      <c r="GG48" s="207">
        <v>0.0</v>
      </c>
      <c r="GH48" s="207">
        <v>0.0</v>
      </c>
      <c r="GI48" s="207">
        <v>0.0</v>
      </c>
      <c r="GJ48" s="207">
        <v>0.0</v>
      </c>
      <c r="GK48" s="212">
        <v>0.0</v>
      </c>
      <c r="GL48" s="212">
        <v>0.0</v>
      </c>
      <c r="GM48" s="207">
        <v>531.0</v>
      </c>
      <c r="GN48" s="207">
        <v>150.0</v>
      </c>
      <c r="GO48" s="213">
        <v>517.0</v>
      </c>
      <c r="GP48" s="213">
        <v>140.0</v>
      </c>
      <c r="GQ48" s="207"/>
      <c r="GR48" s="213">
        <v>3.0</v>
      </c>
      <c r="GS48" s="193">
        <v>0.0</v>
      </c>
      <c r="GT48" s="194">
        <f t="shared" si="25"/>
        <v>3</v>
      </c>
      <c r="GU48" s="194">
        <f t="shared" si="26"/>
        <v>0</v>
      </c>
      <c r="GV48" s="194">
        <f t="shared" si="27"/>
        <v>3</v>
      </c>
      <c r="GW48" s="207">
        <v>0.0</v>
      </c>
      <c r="GX48" s="207">
        <v>0.0</v>
      </c>
      <c r="GY48" s="207">
        <v>0.0</v>
      </c>
      <c r="GZ48" s="207">
        <v>3.0</v>
      </c>
      <c r="HA48" s="207">
        <v>0.0</v>
      </c>
      <c r="HB48" s="207">
        <v>0.0</v>
      </c>
      <c r="HC48" s="207">
        <v>0.0</v>
      </c>
      <c r="HD48" s="207">
        <v>0.0</v>
      </c>
      <c r="HE48" s="207">
        <v>0.0</v>
      </c>
      <c r="HF48" s="207">
        <v>0.0</v>
      </c>
      <c r="HG48" s="207">
        <v>0.0</v>
      </c>
      <c r="HH48" s="207">
        <v>0.0</v>
      </c>
      <c r="HI48" s="207">
        <v>0.0</v>
      </c>
      <c r="HJ48" s="207">
        <v>0.0</v>
      </c>
      <c r="HK48" s="207">
        <v>0.0</v>
      </c>
      <c r="HL48" s="207">
        <v>0.0</v>
      </c>
      <c r="HM48" s="207">
        <v>0.0</v>
      </c>
      <c r="HN48" s="207">
        <v>0.0</v>
      </c>
      <c r="HO48" s="222">
        <v>0.0</v>
      </c>
      <c r="HP48" s="222">
        <v>0.0</v>
      </c>
      <c r="HQ48" s="214"/>
      <c r="HR48" s="197"/>
      <c r="HS48" s="197"/>
      <c r="HT48" s="198">
        <f t="shared" si="28"/>
        <v>18</v>
      </c>
      <c r="HU48" s="198">
        <f t="shared" si="29"/>
        <v>3</v>
      </c>
      <c r="HV48" s="198">
        <f t="shared" si="30"/>
        <v>7</v>
      </c>
      <c r="HW48" s="198">
        <f t="shared" si="99"/>
        <v>7</v>
      </c>
      <c r="HX48" s="198">
        <f t="shared" si="32"/>
        <v>2</v>
      </c>
      <c r="HY48" s="198">
        <f t="shared" si="33"/>
        <v>3</v>
      </c>
      <c r="HZ48" s="198">
        <f t="shared" si="34"/>
        <v>1</v>
      </c>
      <c r="IA48" s="198">
        <f t="shared" si="35"/>
        <v>1</v>
      </c>
      <c r="IB48" s="198">
        <f t="shared" si="36"/>
        <v>2</v>
      </c>
      <c r="IC48" s="198">
        <f t="shared" si="37"/>
        <v>1</v>
      </c>
      <c r="ID48" s="198">
        <f t="shared" si="38"/>
        <v>3</v>
      </c>
      <c r="IE48" s="198">
        <f t="shared" si="39"/>
        <v>3</v>
      </c>
      <c r="IF48" s="197"/>
      <c r="IG48" s="197"/>
      <c r="IH48" s="197"/>
      <c r="II48" s="197"/>
      <c r="IJ48" s="197"/>
      <c r="IK48" s="197"/>
      <c r="IL48" s="197"/>
      <c r="IM48" s="197"/>
      <c r="IN48" s="197"/>
      <c r="IO48" s="197"/>
      <c r="IP48" s="197"/>
      <c r="IQ48" s="197"/>
      <c r="IR48" s="197"/>
      <c r="IS48" s="197"/>
      <c r="IT48" s="197"/>
      <c r="IU48" s="197"/>
      <c r="IV48" s="197"/>
      <c r="IW48" s="197"/>
      <c r="IX48" s="197"/>
      <c r="IY48" s="197"/>
      <c r="IZ48" s="197"/>
      <c r="JA48" s="199"/>
      <c r="JB48" s="200">
        <f t="shared" si="40"/>
        <v>18</v>
      </c>
      <c r="JC48" s="200">
        <f t="shared" si="41"/>
        <v>3</v>
      </c>
      <c r="JD48" s="200">
        <f t="shared" si="42"/>
        <v>7</v>
      </c>
      <c r="JE48" s="200">
        <f t="shared" si="43"/>
        <v>7</v>
      </c>
      <c r="JF48" s="200">
        <f t="shared" si="44"/>
        <v>2</v>
      </c>
      <c r="JG48" s="200">
        <f t="shared" si="45"/>
        <v>3</v>
      </c>
      <c r="JH48" s="200">
        <f t="shared" si="46"/>
        <v>1</v>
      </c>
      <c r="JI48" s="200">
        <f t="shared" si="47"/>
        <v>1</v>
      </c>
      <c r="JJ48" s="200">
        <f t="shared" si="48"/>
        <v>2</v>
      </c>
      <c r="JK48" s="200">
        <f t="shared" si="49"/>
        <v>2</v>
      </c>
      <c r="JL48" s="200">
        <f t="shared" si="50"/>
        <v>3</v>
      </c>
      <c r="JM48" s="200">
        <f t="shared" si="51"/>
        <v>3</v>
      </c>
      <c r="JN48" s="199"/>
      <c r="JO48" s="200">
        <f t="shared" si="52"/>
        <v>18</v>
      </c>
      <c r="JP48" s="202">
        <v>3.0</v>
      </c>
      <c r="JQ48" s="202">
        <v>7.0</v>
      </c>
      <c r="JR48" s="202">
        <v>7.0</v>
      </c>
      <c r="JS48" s="202">
        <v>2.0</v>
      </c>
      <c r="JT48" s="199"/>
      <c r="JU48" s="199"/>
      <c r="JV48" s="200">
        <f t="shared" ref="JV48:JX48" si="143">IA48-JI48</f>
        <v>0</v>
      </c>
      <c r="JW48" s="200">
        <f t="shared" si="143"/>
        <v>0</v>
      </c>
      <c r="JX48" s="200">
        <f t="shared" si="143"/>
        <v>-1</v>
      </c>
      <c r="JY48" s="199"/>
      <c r="JZ48" s="199"/>
      <c r="KA48" s="199"/>
      <c r="KB48" s="200">
        <f t="shared" ref="KB48:KM48" si="144">JB48-JO48</f>
        <v>0</v>
      </c>
      <c r="KC48" s="200">
        <f t="shared" si="144"/>
        <v>0</v>
      </c>
      <c r="KD48" s="200">
        <f t="shared" si="144"/>
        <v>0</v>
      </c>
      <c r="KE48" s="200">
        <f t="shared" si="144"/>
        <v>0</v>
      </c>
      <c r="KF48" s="200">
        <f t="shared" si="144"/>
        <v>0</v>
      </c>
      <c r="KG48" s="200">
        <f t="shared" si="144"/>
        <v>3</v>
      </c>
      <c r="KH48" s="200">
        <f t="shared" si="144"/>
        <v>1</v>
      </c>
      <c r="KI48" s="200">
        <f t="shared" si="144"/>
        <v>1</v>
      </c>
      <c r="KJ48" s="200">
        <f t="shared" si="144"/>
        <v>2</v>
      </c>
      <c r="KK48" s="200">
        <f t="shared" si="144"/>
        <v>3</v>
      </c>
      <c r="KL48" s="200">
        <f t="shared" si="144"/>
        <v>3</v>
      </c>
      <c r="KM48" s="200">
        <f t="shared" si="144"/>
        <v>3</v>
      </c>
      <c r="KN48" s="199"/>
      <c r="KO48" s="199"/>
      <c r="KP48" s="199"/>
      <c r="KQ48" s="199"/>
      <c r="KR48" s="199"/>
      <c r="KS48" s="199"/>
      <c r="KT48" s="199"/>
      <c r="KU48" s="199"/>
      <c r="KV48" s="199"/>
      <c r="KW48" s="199"/>
      <c r="KX48" s="199"/>
      <c r="KY48" s="199"/>
      <c r="KZ48" s="199"/>
      <c r="LA48" s="199"/>
      <c r="LB48" s="199"/>
      <c r="LC48" s="199"/>
      <c r="LD48" s="199"/>
      <c r="LE48" s="199"/>
      <c r="LF48" s="199"/>
      <c r="LG48" s="199"/>
    </row>
    <row r="49" ht="14.25" customHeight="1">
      <c r="A49" s="156">
        <v>42.0</v>
      </c>
      <c r="B49" s="157" t="s">
        <v>128</v>
      </c>
      <c r="C49" s="158">
        <v>3374090.0</v>
      </c>
      <c r="D49" s="158" t="s">
        <v>129</v>
      </c>
      <c r="E49" s="158" t="s">
        <v>130</v>
      </c>
      <c r="F49" s="159">
        <v>11.0</v>
      </c>
      <c r="G49" s="285">
        <v>1086.0</v>
      </c>
      <c r="H49" s="160">
        <v>1.0</v>
      </c>
      <c r="I49" s="161">
        <v>0.0</v>
      </c>
      <c r="J49" s="161">
        <v>0.0</v>
      </c>
      <c r="K49" s="161">
        <v>0.0</v>
      </c>
      <c r="L49" s="161">
        <v>1.0</v>
      </c>
      <c r="M49" s="161">
        <v>0.0</v>
      </c>
      <c r="N49" s="161">
        <v>0.0</v>
      </c>
      <c r="O49" s="162">
        <f t="shared" si="3"/>
        <v>1</v>
      </c>
      <c r="P49" s="203">
        <v>1.0</v>
      </c>
      <c r="Q49" s="164">
        <v>0.0</v>
      </c>
      <c r="R49" s="164">
        <v>0.0</v>
      </c>
      <c r="S49" s="164">
        <v>0.0</v>
      </c>
      <c r="T49" s="165">
        <v>1.0</v>
      </c>
      <c r="U49" s="165">
        <v>0.0</v>
      </c>
      <c r="V49" s="165">
        <v>0.0</v>
      </c>
      <c r="W49" s="166">
        <f t="shared" si="4"/>
        <v>1</v>
      </c>
      <c r="X49" s="203">
        <v>2.0</v>
      </c>
      <c r="Y49" s="165">
        <v>0.0</v>
      </c>
      <c r="Z49" s="165">
        <v>0.0</v>
      </c>
      <c r="AA49" s="165">
        <v>1.0</v>
      </c>
      <c r="AB49" s="165">
        <v>1.0</v>
      </c>
      <c r="AC49" s="165">
        <v>1.0</v>
      </c>
      <c r="AD49" s="165">
        <v>0.0</v>
      </c>
      <c r="AE49" s="166">
        <f t="shared" si="5"/>
        <v>1</v>
      </c>
      <c r="AF49" s="167">
        <v>1.0</v>
      </c>
      <c r="AG49" s="165">
        <v>0.0</v>
      </c>
      <c r="AH49" s="165">
        <v>0.0</v>
      </c>
      <c r="AI49" s="165">
        <v>1.0</v>
      </c>
      <c r="AJ49" s="165">
        <v>0.0</v>
      </c>
      <c r="AK49" s="165">
        <v>0.0</v>
      </c>
      <c r="AL49" s="165">
        <v>1.0</v>
      </c>
      <c r="AM49" s="166">
        <f t="shared" si="98"/>
        <v>0</v>
      </c>
      <c r="AN49" s="167">
        <v>0.0</v>
      </c>
      <c r="AO49" s="165">
        <v>0.0</v>
      </c>
      <c r="AP49" s="165">
        <v>0.0</v>
      </c>
      <c r="AQ49" s="165">
        <v>0.0</v>
      </c>
      <c r="AR49" s="165">
        <v>0.0</v>
      </c>
      <c r="AS49" s="165">
        <v>0.0</v>
      </c>
      <c r="AT49" s="165">
        <v>0.0</v>
      </c>
      <c r="AU49" s="168">
        <f t="shared" si="7"/>
        <v>0</v>
      </c>
      <c r="AV49" s="169">
        <v>1002.0</v>
      </c>
      <c r="AW49" s="204">
        <f t="shared" si="8"/>
        <v>1</v>
      </c>
      <c r="AX49" s="169">
        <v>0.0</v>
      </c>
      <c r="AY49" s="169">
        <v>0.0</v>
      </c>
      <c r="AZ49" s="169">
        <v>0.0</v>
      </c>
      <c r="BA49" s="169">
        <v>0.0</v>
      </c>
      <c r="BB49" s="169">
        <v>0.0</v>
      </c>
      <c r="BC49" s="169">
        <v>0.0</v>
      </c>
      <c r="BD49" s="169">
        <v>0.0</v>
      </c>
      <c r="BE49" s="169">
        <v>1.0</v>
      </c>
      <c r="BF49" s="169">
        <v>0.0</v>
      </c>
      <c r="BG49" s="169">
        <v>0.0</v>
      </c>
      <c r="BH49" s="169">
        <v>0.0</v>
      </c>
      <c r="BI49" s="169">
        <v>0.0</v>
      </c>
      <c r="BJ49" s="169">
        <v>0.0</v>
      </c>
      <c r="BK49" s="169">
        <v>0.0</v>
      </c>
      <c r="BL49" s="169">
        <v>0.0</v>
      </c>
      <c r="BM49" s="169">
        <v>0.0</v>
      </c>
      <c r="BN49" s="169">
        <v>0.0</v>
      </c>
      <c r="BO49" s="169">
        <v>0.0</v>
      </c>
      <c r="BP49" s="205">
        <f t="shared" si="131"/>
        <v>0</v>
      </c>
      <c r="BQ49" s="169">
        <v>1025.0</v>
      </c>
      <c r="BR49" s="170">
        <f t="shared" si="10"/>
        <v>0</v>
      </c>
      <c r="BS49" s="173">
        <v>0.0</v>
      </c>
      <c r="BT49" s="173">
        <v>0.0</v>
      </c>
      <c r="BU49" s="173">
        <v>0.0</v>
      </c>
      <c r="BV49" s="173">
        <v>0.0</v>
      </c>
      <c r="BW49" s="173">
        <v>0.0</v>
      </c>
      <c r="BX49" s="173">
        <v>0.0</v>
      </c>
      <c r="BY49" s="173">
        <v>0.0</v>
      </c>
      <c r="BZ49" s="173">
        <v>0.0</v>
      </c>
      <c r="CA49" s="173">
        <v>0.0</v>
      </c>
      <c r="CB49" s="173">
        <v>0.0</v>
      </c>
      <c r="CC49" s="173">
        <v>0.0</v>
      </c>
      <c r="CD49" s="173">
        <v>0.0</v>
      </c>
      <c r="CE49" s="173">
        <v>0.0</v>
      </c>
      <c r="CF49" s="173">
        <v>0.0</v>
      </c>
      <c r="CG49" s="173">
        <v>0.0</v>
      </c>
      <c r="CH49" s="173">
        <v>1.0</v>
      </c>
      <c r="CI49" s="173">
        <v>0.0</v>
      </c>
      <c r="CJ49" s="173">
        <v>0.0</v>
      </c>
      <c r="CK49" s="172">
        <f t="shared" si="132"/>
        <v>1</v>
      </c>
      <c r="CL49" s="173">
        <v>1015.0</v>
      </c>
      <c r="CM49" s="173">
        <v>448.0</v>
      </c>
      <c r="CN49" s="175">
        <f t="shared" si="12"/>
        <v>1</v>
      </c>
      <c r="CO49" s="173">
        <v>0.0</v>
      </c>
      <c r="CP49" s="173">
        <v>0.0</v>
      </c>
      <c r="CQ49" s="173">
        <v>0.0</v>
      </c>
      <c r="CR49" s="173">
        <v>0.0</v>
      </c>
      <c r="CS49" s="173">
        <v>0.0</v>
      </c>
      <c r="CT49" s="173">
        <v>0.0</v>
      </c>
      <c r="CU49" s="173">
        <v>0.0</v>
      </c>
      <c r="CV49" s="173">
        <v>1.0</v>
      </c>
      <c r="CW49" s="173">
        <v>0.0</v>
      </c>
      <c r="CX49" s="173">
        <v>0.0</v>
      </c>
      <c r="CY49" s="173">
        <v>0.0</v>
      </c>
      <c r="CZ49" s="173">
        <v>0.0</v>
      </c>
      <c r="DA49" s="173">
        <v>0.0</v>
      </c>
      <c r="DB49" s="173">
        <v>0.0</v>
      </c>
      <c r="DC49" s="173">
        <v>0.0</v>
      </c>
      <c r="DD49" s="173">
        <v>0.0</v>
      </c>
      <c r="DE49" s="173">
        <v>0.0</v>
      </c>
      <c r="DF49" s="173">
        <v>0.0</v>
      </c>
      <c r="DG49" s="176">
        <f t="shared" si="13"/>
        <v>0</v>
      </c>
      <c r="DH49" s="177">
        <v>974.0</v>
      </c>
      <c r="DI49" s="177">
        <v>392.0</v>
      </c>
      <c r="DJ49" s="178">
        <v>883.0</v>
      </c>
      <c r="DK49" s="178">
        <v>360.0</v>
      </c>
      <c r="DL49" s="179">
        <f t="shared" si="14"/>
        <v>1</v>
      </c>
      <c r="DM49" s="180">
        <f t="shared" si="15"/>
        <v>0</v>
      </c>
      <c r="DN49" s="180">
        <f t="shared" si="16"/>
        <v>1</v>
      </c>
      <c r="DO49" s="177">
        <v>0.0</v>
      </c>
      <c r="DP49" s="177">
        <v>0.0</v>
      </c>
      <c r="DQ49" s="177">
        <v>0.0</v>
      </c>
      <c r="DR49" s="177">
        <v>1.0</v>
      </c>
      <c r="DS49" s="177">
        <v>0.0</v>
      </c>
      <c r="DT49" s="177">
        <v>0.0</v>
      </c>
      <c r="DU49" s="177">
        <v>0.0</v>
      </c>
      <c r="DV49" s="177">
        <v>0.0</v>
      </c>
      <c r="DW49" s="177">
        <v>0.0</v>
      </c>
      <c r="DX49" s="177">
        <v>0.0</v>
      </c>
      <c r="DY49" s="177">
        <v>0.0</v>
      </c>
      <c r="DZ49" s="177">
        <v>0.0</v>
      </c>
      <c r="EA49" s="177">
        <v>0.0</v>
      </c>
      <c r="EB49" s="177">
        <v>0.0</v>
      </c>
      <c r="EC49" s="177">
        <v>0.0</v>
      </c>
      <c r="ED49" s="177">
        <v>0.0</v>
      </c>
      <c r="EE49" s="177">
        <v>0.0</v>
      </c>
      <c r="EF49" s="177">
        <v>0.0</v>
      </c>
      <c r="EG49" s="179">
        <f t="shared" si="17"/>
        <v>0</v>
      </c>
      <c r="EH49" s="179">
        <f t="shared" si="18"/>
        <v>0</v>
      </c>
      <c r="EI49" s="177">
        <v>968.0</v>
      </c>
      <c r="EJ49" s="177">
        <v>348.0</v>
      </c>
      <c r="EK49" s="178">
        <v>866.0</v>
      </c>
      <c r="EL49" s="178">
        <v>361.0</v>
      </c>
      <c r="EM49" s="185">
        <f t="shared" si="19"/>
        <v>2</v>
      </c>
      <c r="EN49" s="186">
        <f t="shared" si="89"/>
        <v>1</v>
      </c>
      <c r="EO49" s="186">
        <f t="shared" si="90"/>
        <v>1</v>
      </c>
      <c r="EP49" s="177">
        <v>0.0</v>
      </c>
      <c r="EQ49" s="177">
        <v>0.0</v>
      </c>
      <c r="ER49" s="177">
        <v>0.0</v>
      </c>
      <c r="ES49" s="177">
        <v>1.0</v>
      </c>
      <c r="ET49" s="177">
        <v>0.0</v>
      </c>
      <c r="EU49" s="177">
        <v>0.0</v>
      </c>
      <c r="EV49" s="177">
        <v>1.0</v>
      </c>
      <c r="EW49" s="177">
        <v>0.0</v>
      </c>
      <c r="EX49" s="177">
        <v>0.0</v>
      </c>
      <c r="EY49" s="177">
        <v>0.0</v>
      </c>
      <c r="EZ49" s="177">
        <v>0.0</v>
      </c>
      <c r="FA49" s="177">
        <v>0.0</v>
      </c>
      <c r="FB49" s="177">
        <v>0.0</v>
      </c>
      <c r="FC49" s="177">
        <v>0.0</v>
      </c>
      <c r="FD49" s="177">
        <v>0.0</v>
      </c>
      <c r="FE49" s="177">
        <v>0.0</v>
      </c>
      <c r="FF49" s="177">
        <v>0.0</v>
      </c>
      <c r="FG49" s="177">
        <v>0.0</v>
      </c>
      <c r="FH49" s="185">
        <f t="shared" si="22"/>
        <v>0</v>
      </c>
      <c r="FI49" s="185">
        <f t="shared" si="23"/>
        <v>0</v>
      </c>
      <c r="FJ49" s="177">
        <v>974.0</v>
      </c>
      <c r="FK49" s="177">
        <v>312.0</v>
      </c>
      <c r="FL49" s="177">
        <v>844.0</v>
      </c>
      <c r="FM49" s="177">
        <v>266.0</v>
      </c>
      <c r="FN49" s="210"/>
      <c r="FO49" s="210">
        <v>5.0</v>
      </c>
      <c r="FP49" s="188">
        <f t="shared" si="128"/>
        <v>5</v>
      </c>
      <c r="FQ49" s="211">
        <v>3.0</v>
      </c>
      <c r="FR49" s="212">
        <v>2.0</v>
      </c>
      <c r="FS49" s="206">
        <v>0.0</v>
      </c>
      <c r="FT49" s="207">
        <v>0.0</v>
      </c>
      <c r="FU49" s="207">
        <v>1.0</v>
      </c>
      <c r="FV49" s="207">
        <v>1.0</v>
      </c>
      <c r="FW49" s="207">
        <v>0.0</v>
      </c>
      <c r="FX49" s="207">
        <v>0.0</v>
      </c>
      <c r="FY49" s="207">
        <v>2.0</v>
      </c>
      <c r="FZ49" s="207">
        <v>1.0</v>
      </c>
      <c r="GA49" s="207">
        <v>0.0</v>
      </c>
      <c r="GB49" s="207">
        <v>0.0</v>
      </c>
      <c r="GC49" s="207">
        <v>0.0</v>
      </c>
      <c r="GD49" s="207">
        <v>0.0</v>
      </c>
      <c r="GE49" s="207">
        <v>0.0</v>
      </c>
      <c r="GF49" s="207">
        <v>0.0</v>
      </c>
      <c r="GG49" s="207">
        <v>0.0</v>
      </c>
      <c r="GH49" s="207">
        <v>0.0</v>
      </c>
      <c r="GI49" s="207">
        <v>0.0</v>
      </c>
      <c r="GJ49" s="207">
        <v>0.0</v>
      </c>
      <c r="GK49" s="212">
        <v>0.0</v>
      </c>
      <c r="GL49" s="212">
        <v>0.0</v>
      </c>
      <c r="GM49" s="207">
        <v>821.0</v>
      </c>
      <c r="GN49" s="207">
        <v>327.0</v>
      </c>
      <c r="GO49" s="213">
        <v>813.0</v>
      </c>
      <c r="GP49" s="213">
        <v>262.0</v>
      </c>
      <c r="GQ49" s="207"/>
      <c r="GR49" s="213">
        <v>6.0</v>
      </c>
      <c r="GS49" s="193">
        <v>3.0</v>
      </c>
      <c r="GT49" s="194">
        <f t="shared" si="25"/>
        <v>6</v>
      </c>
      <c r="GU49" s="194">
        <f t="shared" si="26"/>
        <v>3</v>
      </c>
      <c r="GV49" s="194">
        <f t="shared" si="27"/>
        <v>3</v>
      </c>
      <c r="GW49" s="207">
        <v>0.0</v>
      </c>
      <c r="GX49" s="207">
        <v>0.0</v>
      </c>
      <c r="GY49" s="207">
        <v>1.0</v>
      </c>
      <c r="GZ49" s="207">
        <v>3.0</v>
      </c>
      <c r="HA49" s="207">
        <v>0.0</v>
      </c>
      <c r="HB49" s="207">
        <v>0.0</v>
      </c>
      <c r="HC49" s="207">
        <v>2.0</v>
      </c>
      <c r="HD49" s="207">
        <v>0.0</v>
      </c>
      <c r="HE49" s="207">
        <v>0.0</v>
      </c>
      <c r="HF49" s="207">
        <v>0.0</v>
      </c>
      <c r="HG49" s="207">
        <v>1.0</v>
      </c>
      <c r="HH49" s="207">
        <v>0.0</v>
      </c>
      <c r="HI49" s="207">
        <v>0.0</v>
      </c>
      <c r="HJ49" s="207">
        <v>0.0</v>
      </c>
      <c r="HK49" s="207">
        <v>0.0</v>
      </c>
      <c r="HL49" s="207">
        <v>0.0</v>
      </c>
      <c r="HM49" s="207">
        <v>0.0</v>
      </c>
      <c r="HN49" s="207">
        <v>0.0</v>
      </c>
      <c r="HO49" s="222">
        <v>0.0</v>
      </c>
      <c r="HP49" s="222">
        <v>1.0</v>
      </c>
      <c r="HQ49" s="214"/>
      <c r="HR49" s="197"/>
      <c r="HS49" s="197"/>
      <c r="HT49" s="198">
        <f t="shared" si="28"/>
        <v>1</v>
      </c>
      <c r="HU49" s="198">
        <f t="shared" si="29"/>
        <v>1</v>
      </c>
      <c r="HV49" s="198">
        <f t="shared" si="30"/>
        <v>2</v>
      </c>
      <c r="HW49" s="198">
        <f t="shared" si="99"/>
        <v>1</v>
      </c>
      <c r="HX49" s="198">
        <f t="shared" si="32"/>
        <v>0</v>
      </c>
      <c r="HY49" s="198">
        <f t="shared" si="33"/>
        <v>1</v>
      </c>
      <c r="HZ49" s="198">
        <f t="shared" si="34"/>
        <v>0</v>
      </c>
      <c r="IA49" s="198">
        <f t="shared" si="35"/>
        <v>1</v>
      </c>
      <c r="IB49" s="198">
        <f t="shared" si="36"/>
        <v>1</v>
      </c>
      <c r="IC49" s="198">
        <f t="shared" si="37"/>
        <v>2</v>
      </c>
      <c r="ID49" s="198">
        <f t="shared" si="38"/>
        <v>5</v>
      </c>
      <c r="IE49" s="198">
        <f t="shared" si="39"/>
        <v>6</v>
      </c>
      <c r="IF49" s="197"/>
      <c r="IG49" s="197"/>
      <c r="IH49" s="197"/>
      <c r="II49" s="197"/>
      <c r="IJ49" s="197"/>
      <c r="IK49" s="197"/>
      <c r="IL49" s="197"/>
      <c r="IM49" s="197"/>
      <c r="IN49" s="197"/>
      <c r="IO49" s="197"/>
      <c r="IP49" s="197"/>
      <c r="IQ49" s="197"/>
      <c r="IR49" s="197"/>
      <c r="IS49" s="197"/>
      <c r="IT49" s="197"/>
      <c r="IU49" s="197"/>
      <c r="IV49" s="197"/>
      <c r="IW49" s="197"/>
      <c r="IX49" s="197"/>
      <c r="IY49" s="197"/>
      <c r="IZ49" s="197"/>
      <c r="JA49" s="199"/>
      <c r="JB49" s="200">
        <f t="shared" si="40"/>
        <v>1</v>
      </c>
      <c r="JC49" s="200">
        <f t="shared" si="41"/>
        <v>1</v>
      </c>
      <c r="JD49" s="200">
        <f t="shared" si="42"/>
        <v>2</v>
      </c>
      <c r="JE49" s="200">
        <f t="shared" si="43"/>
        <v>1</v>
      </c>
      <c r="JF49" s="200">
        <f t="shared" si="44"/>
        <v>0</v>
      </c>
      <c r="JG49" s="200">
        <f t="shared" si="45"/>
        <v>1</v>
      </c>
      <c r="JH49" s="200">
        <f t="shared" si="46"/>
        <v>0</v>
      </c>
      <c r="JI49" s="200">
        <f t="shared" si="47"/>
        <v>1</v>
      </c>
      <c r="JJ49" s="200">
        <f t="shared" si="48"/>
        <v>1</v>
      </c>
      <c r="JK49" s="200">
        <f t="shared" si="49"/>
        <v>2</v>
      </c>
      <c r="JL49" s="200">
        <f t="shared" si="50"/>
        <v>5</v>
      </c>
      <c r="JM49" s="200">
        <f t="shared" si="51"/>
        <v>6</v>
      </c>
      <c r="JN49" s="199"/>
      <c r="JO49" s="200">
        <f t="shared" si="52"/>
        <v>1</v>
      </c>
      <c r="JP49" s="202">
        <v>1.0</v>
      </c>
      <c r="JQ49" s="202">
        <v>2.0</v>
      </c>
      <c r="JR49" s="202">
        <v>1.0</v>
      </c>
      <c r="JS49" s="202">
        <v>0.0</v>
      </c>
      <c r="JT49" s="199"/>
      <c r="JU49" s="199"/>
      <c r="JV49" s="200">
        <f t="shared" ref="JV49:JX49" si="145">IA49-JI49</f>
        <v>0</v>
      </c>
      <c r="JW49" s="200">
        <f t="shared" si="145"/>
        <v>0</v>
      </c>
      <c r="JX49" s="200">
        <f t="shared" si="145"/>
        <v>0</v>
      </c>
      <c r="JY49" s="199"/>
      <c r="JZ49" s="199"/>
      <c r="KA49" s="199"/>
      <c r="KB49" s="200">
        <f t="shared" ref="KB49:KM49" si="146">JB49-JO49</f>
        <v>0</v>
      </c>
      <c r="KC49" s="200">
        <f t="shared" si="146"/>
        <v>0</v>
      </c>
      <c r="KD49" s="200">
        <f t="shared" si="146"/>
        <v>0</v>
      </c>
      <c r="KE49" s="200">
        <f t="shared" si="146"/>
        <v>0</v>
      </c>
      <c r="KF49" s="200">
        <f t="shared" si="146"/>
        <v>0</v>
      </c>
      <c r="KG49" s="200">
        <f t="shared" si="146"/>
        <v>1</v>
      </c>
      <c r="KH49" s="200">
        <f t="shared" si="146"/>
        <v>0</v>
      </c>
      <c r="KI49" s="200">
        <f t="shared" si="146"/>
        <v>1</v>
      </c>
      <c r="KJ49" s="200">
        <f t="shared" si="146"/>
        <v>1</v>
      </c>
      <c r="KK49" s="200">
        <f t="shared" si="146"/>
        <v>2</v>
      </c>
      <c r="KL49" s="200">
        <f t="shared" si="146"/>
        <v>5</v>
      </c>
      <c r="KM49" s="200">
        <f t="shared" si="146"/>
        <v>6</v>
      </c>
      <c r="KN49" s="199"/>
      <c r="KO49" s="199"/>
      <c r="KP49" s="199"/>
      <c r="KQ49" s="199"/>
      <c r="KR49" s="199"/>
      <c r="KS49" s="199"/>
      <c r="KT49" s="199"/>
      <c r="KU49" s="199"/>
      <c r="KV49" s="199"/>
      <c r="KW49" s="199"/>
      <c r="KX49" s="199"/>
      <c r="KY49" s="199"/>
      <c r="KZ49" s="199"/>
      <c r="LA49" s="199"/>
      <c r="LB49" s="199"/>
      <c r="LC49" s="199"/>
      <c r="LD49" s="199"/>
      <c r="LE49" s="199"/>
      <c r="LF49" s="199"/>
      <c r="LG49" s="199"/>
    </row>
    <row r="50" ht="14.25" customHeight="1">
      <c r="A50" s="156">
        <v>43.0</v>
      </c>
      <c r="B50" s="157" t="s">
        <v>128</v>
      </c>
      <c r="C50" s="158">
        <v>3374090.0</v>
      </c>
      <c r="D50" s="158" t="s">
        <v>129</v>
      </c>
      <c r="E50" s="158" t="s">
        <v>131</v>
      </c>
      <c r="F50" s="159">
        <v>8.0</v>
      </c>
      <c r="G50" s="285">
        <v>744.0</v>
      </c>
      <c r="H50" s="160">
        <v>1.0</v>
      </c>
      <c r="I50" s="161">
        <v>0.0</v>
      </c>
      <c r="J50" s="161">
        <v>0.0</v>
      </c>
      <c r="K50" s="161">
        <v>0.0</v>
      </c>
      <c r="L50" s="161">
        <v>1.0</v>
      </c>
      <c r="M50" s="161">
        <v>0.0</v>
      </c>
      <c r="N50" s="161">
        <v>0.0</v>
      </c>
      <c r="O50" s="162">
        <f t="shared" si="3"/>
        <v>1</v>
      </c>
      <c r="P50" s="203">
        <v>1.0</v>
      </c>
      <c r="Q50" s="164">
        <v>0.0</v>
      </c>
      <c r="R50" s="164">
        <v>0.0</v>
      </c>
      <c r="S50" s="164">
        <v>0.0</v>
      </c>
      <c r="T50" s="165">
        <v>1.0</v>
      </c>
      <c r="U50" s="165">
        <v>0.0</v>
      </c>
      <c r="V50" s="165">
        <v>0.0</v>
      </c>
      <c r="W50" s="166">
        <f t="shared" si="4"/>
        <v>1</v>
      </c>
      <c r="X50" s="203">
        <v>2.0</v>
      </c>
      <c r="Y50" s="165">
        <v>0.0</v>
      </c>
      <c r="Z50" s="165">
        <v>0.0</v>
      </c>
      <c r="AA50" s="165">
        <v>0.0</v>
      </c>
      <c r="AB50" s="165">
        <v>2.0</v>
      </c>
      <c r="AC50" s="165">
        <v>1.0</v>
      </c>
      <c r="AD50" s="165">
        <v>0.0</v>
      </c>
      <c r="AE50" s="166">
        <f t="shared" si="5"/>
        <v>1</v>
      </c>
      <c r="AF50" s="167">
        <v>4.0</v>
      </c>
      <c r="AG50" s="165">
        <v>0.0</v>
      </c>
      <c r="AH50" s="165">
        <v>0.0</v>
      </c>
      <c r="AI50" s="165">
        <v>1.0</v>
      </c>
      <c r="AJ50" s="165">
        <v>3.0</v>
      </c>
      <c r="AK50" s="165">
        <v>2.0</v>
      </c>
      <c r="AL50" s="165">
        <v>0.0</v>
      </c>
      <c r="AM50" s="166">
        <f t="shared" si="98"/>
        <v>2</v>
      </c>
      <c r="AN50" s="167">
        <v>3.0</v>
      </c>
      <c r="AO50" s="165">
        <v>0.0</v>
      </c>
      <c r="AP50" s="165">
        <v>0.0</v>
      </c>
      <c r="AQ50" s="165">
        <v>1.0</v>
      </c>
      <c r="AR50" s="165">
        <v>2.0</v>
      </c>
      <c r="AS50" s="165">
        <v>0.0</v>
      </c>
      <c r="AT50" s="165">
        <v>1.0</v>
      </c>
      <c r="AU50" s="168">
        <f t="shared" si="7"/>
        <v>2</v>
      </c>
      <c r="AV50" s="169">
        <v>785.0</v>
      </c>
      <c r="AW50" s="204">
        <f t="shared" si="8"/>
        <v>3</v>
      </c>
      <c r="AX50" s="169">
        <v>0.0</v>
      </c>
      <c r="AY50" s="169">
        <v>0.0</v>
      </c>
      <c r="AZ50" s="169">
        <v>1.0</v>
      </c>
      <c r="BA50" s="169">
        <v>2.0</v>
      </c>
      <c r="BB50" s="169">
        <v>0.0</v>
      </c>
      <c r="BC50" s="169">
        <v>0.0</v>
      </c>
      <c r="BD50" s="169">
        <v>0.0</v>
      </c>
      <c r="BE50" s="169">
        <v>0.0</v>
      </c>
      <c r="BF50" s="169">
        <v>0.0</v>
      </c>
      <c r="BG50" s="169">
        <v>0.0</v>
      </c>
      <c r="BH50" s="169">
        <v>0.0</v>
      </c>
      <c r="BI50" s="169">
        <v>0.0</v>
      </c>
      <c r="BJ50" s="169">
        <v>0.0</v>
      </c>
      <c r="BK50" s="169">
        <v>0.0</v>
      </c>
      <c r="BL50" s="169">
        <v>0.0</v>
      </c>
      <c r="BM50" s="169">
        <v>0.0</v>
      </c>
      <c r="BN50" s="169">
        <v>0.0</v>
      </c>
      <c r="BO50" s="169">
        <v>0.0</v>
      </c>
      <c r="BP50" s="205">
        <f t="shared" si="131"/>
        <v>0</v>
      </c>
      <c r="BQ50" s="169">
        <v>812.0</v>
      </c>
      <c r="BR50" s="170">
        <f t="shared" si="10"/>
        <v>3</v>
      </c>
      <c r="BS50" s="173">
        <v>0.0</v>
      </c>
      <c r="BT50" s="173">
        <v>0.0</v>
      </c>
      <c r="BU50" s="173">
        <v>1.0</v>
      </c>
      <c r="BV50" s="173">
        <v>2.0</v>
      </c>
      <c r="BW50" s="173">
        <v>0.0</v>
      </c>
      <c r="BX50" s="173">
        <v>0.0</v>
      </c>
      <c r="BY50" s="173">
        <v>0.0</v>
      </c>
      <c r="BZ50" s="173">
        <v>0.0</v>
      </c>
      <c r="CA50" s="173">
        <v>0.0</v>
      </c>
      <c r="CB50" s="173">
        <v>0.0</v>
      </c>
      <c r="CC50" s="173">
        <v>0.0</v>
      </c>
      <c r="CD50" s="173">
        <v>0.0</v>
      </c>
      <c r="CE50" s="173">
        <v>0.0</v>
      </c>
      <c r="CF50" s="173">
        <v>0.0</v>
      </c>
      <c r="CG50" s="173">
        <v>0.0</v>
      </c>
      <c r="CH50" s="173">
        <v>0.0</v>
      </c>
      <c r="CI50" s="173">
        <v>0.0</v>
      </c>
      <c r="CJ50" s="173">
        <v>0.0</v>
      </c>
      <c r="CK50" s="172">
        <f t="shared" si="132"/>
        <v>0</v>
      </c>
      <c r="CL50" s="173">
        <v>783.0</v>
      </c>
      <c r="CM50" s="173">
        <v>224.0</v>
      </c>
      <c r="CN50" s="175">
        <f t="shared" si="12"/>
        <v>3</v>
      </c>
      <c r="CO50" s="173">
        <v>0.0</v>
      </c>
      <c r="CP50" s="173">
        <v>0.0</v>
      </c>
      <c r="CQ50" s="173">
        <v>1.0</v>
      </c>
      <c r="CR50" s="173">
        <v>1.0</v>
      </c>
      <c r="CS50" s="173">
        <v>0.0</v>
      </c>
      <c r="CT50" s="173">
        <v>0.0</v>
      </c>
      <c r="CU50" s="173">
        <v>0.0</v>
      </c>
      <c r="CV50" s="173">
        <v>1.0</v>
      </c>
      <c r="CW50" s="173">
        <v>0.0</v>
      </c>
      <c r="CX50" s="173">
        <v>0.0</v>
      </c>
      <c r="CY50" s="173">
        <v>0.0</v>
      </c>
      <c r="CZ50" s="173">
        <v>1.0</v>
      </c>
      <c r="DA50" s="173">
        <v>0.0</v>
      </c>
      <c r="DB50" s="173">
        <v>0.0</v>
      </c>
      <c r="DC50" s="173">
        <v>0.0</v>
      </c>
      <c r="DD50" s="173">
        <v>0.0</v>
      </c>
      <c r="DE50" s="173">
        <v>0.0</v>
      </c>
      <c r="DF50" s="173">
        <v>0.0</v>
      </c>
      <c r="DG50" s="176">
        <f t="shared" si="13"/>
        <v>1</v>
      </c>
      <c r="DH50" s="177">
        <v>802.0</v>
      </c>
      <c r="DI50" s="177">
        <v>283.0</v>
      </c>
      <c r="DJ50" s="178">
        <v>744.0</v>
      </c>
      <c r="DK50" s="178">
        <v>270.0</v>
      </c>
      <c r="DL50" s="179">
        <f t="shared" si="14"/>
        <v>3</v>
      </c>
      <c r="DM50" s="180">
        <f t="shared" si="15"/>
        <v>1</v>
      </c>
      <c r="DN50" s="180">
        <f t="shared" si="16"/>
        <v>2</v>
      </c>
      <c r="DO50" s="177">
        <v>0.0</v>
      </c>
      <c r="DP50" s="177">
        <v>0.0</v>
      </c>
      <c r="DQ50" s="177">
        <v>1.0</v>
      </c>
      <c r="DR50" s="177">
        <v>2.0</v>
      </c>
      <c r="DS50" s="177">
        <v>0.0</v>
      </c>
      <c r="DT50" s="177">
        <v>0.0</v>
      </c>
      <c r="DU50" s="177">
        <v>0.0</v>
      </c>
      <c r="DV50" s="177">
        <v>0.0</v>
      </c>
      <c r="DW50" s="177">
        <v>0.0</v>
      </c>
      <c r="DX50" s="177">
        <v>0.0</v>
      </c>
      <c r="DY50" s="177">
        <v>0.0</v>
      </c>
      <c r="DZ50" s="177">
        <v>0.0</v>
      </c>
      <c r="EA50" s="177">
        <v>0.0</v>
      </c>
      <c r="EB50" s="177">
        <v>0.0</v>
      </c>
      <c r="EC50" s="177">
        <v>0.0</v>
      </c>
      <c r="ED50" s="177">
        <v>0.0</v>
      </c>
      <c r="EE50" s="177">
        <v>0.0</v>
      </c>
      <c r="EF50" s="177">
        <v>0.0</v>
      </c>
      <c r="EG50" s="179">
        <f t="shared" si="17"/>
        <v>0</v>
      </c>
      <c r="EH50" s="179">
        <f t="shared" si="18"/>
        <v>0</v>
      </c>
      <c r="EI50" s="177">
        <v>794.0</v>
      </c>
      <c r="EJ50" s="177">
        <v>262.0</v>
      </c>
      <c r="EK50" s="178">
        <v>752.0</v>
      </c>
      <c r="EL50" s="178">
        <v>268.0</v>
      </c>
      <c r="EM50" s="185">
        <f t="shared" si="19"/>
        <v>2</v>
      </c>
      <c r="EN50" s="186">
        <f t="shared" si="89"/>
        <v>0</v>
      </c>
      <c r="EO50" s="186">
        <f t="shared" si="90"/>
        <v>2</v>
      </c>
      <c r="EP50" s="177">
        <v>0.0</v>
      </c>
      <c r="EQ50" s="177">
        <v>0.0</v>
      </c>
      <c r="ER50" s="177">
        <v>0.0</v>
      </c>
      <c r="ES50" s="177">
        <v>2.0</v>
      </c>
      <c r="ET50" s="177">
        <v>0.0</v>
      </c>
      <c r="EU50" s="177">
        <v>0.0</v>
      </c>
      <c r="EV50" s="177">
        <v>0.0</v>
      </c>
      <c r="EW50" s="177">
        <v>0.0</v>
      </c>
      <c r="EX50" s="177">
        <v>0.0</v>
      </c>
      <c r="EY50" s="177">
        <v>0.0</v>
      </c>
      <c r="EZ50" s="177">
        <v>1.0</v>
      </c>
      <c r="FA50" s="177">
        <v>0.0</v>
      </c>
      <c r="FB50" s="177">
        <v>0.0</v>
      </c>
      <c r="FC50" s="177">
        <v>0.0</v>
      </c>
      <c r="FD50" s="177">
        <v>0.0</v>
      </c>
      <c r="FE50" s="177">
        <v>0.0</v>
      </c>
      <c r="FF50" s="177">
        <v>0.0</v>
      </c>
      <c r="FG50" s="177">
        <v>0.0</v>
      </c>
      <c r="FH50" s="185">
        <f t="shared" si="22"/>
        <v>1</v>
      </c>
      <c r="FI50" s="185">
        <f t="shared" si="23"/>
        <v>1</v>
      </c>
      <c r="FJ50" s="177">
        <v>691.0</v>
      </c>
      <c r="FK50" s="177">
        <v>227.0</v>
      </c>
      <c r="FL50" s="177">
        <v>675.0</v>
      </c>
      <c r="FM50" s="177">
        <v>204.0</v>
      </c>
      <c r="FN50" s="210"/>
      <c r="FO50" s="210">
        <v>3.0</v>
      </c>
      <c r="FP50" s="188">
        <f t="shared" si="128"/>
        <v>3</v>
      </c>
      <c r="FQ50" s="211">
        <v>1.0</v>
      </c>
      <c r="FR50" s="212">
        <v>2.0</v>
      </c>
      <c r="FS50" s="206">
        <v>0.0</v>
      </c>
      <c r="FT50" s="207">
        <v>0.0</v>
      </c>
      <c r="FU50" s="207">
        <v>0.0</v>
      </c>
      <c r="FV50" s="207">
        <v>2.0</v>
      </c>
      <c r="FW50" s="207">
        <v>0.0</v>
      </c>
      <c r="FX50" s="207">
        <v>1.0</v>
      </c>
      <c r="FY50" s="207">
        <v>0.0</v>
      </c>
      <c r="FZ50" s="207">
        <v>0.0</v>
      </c>
      <c r="GA50" s="207">
        <v>0.0</v>
      </c>
      <c r="GB50" s="207">
        <v>0.0</v>
      </c>
      <c r="GC50" s="207">
        <v>0.0</v>
      </c>
      <c r="GD50" s="207">
        <v>0.0</v>
      </c>
      <c r="GE50" s="207">
        <v>0.0</v>
      </c>
      <c r="GF50" s="207">
        <v>0.0</v>
      </c>
      <c r="GG50" s="207">
        <v>0.0</v>
      </c>
      <c r="GH50" s="207">
        <v>0.0</v>
      </c>
      <c r="GI50" s="207">
        <v>0.0</v>
      </c>
      <c r="GJ50" s="207">
        <v>0.0</v>
      </c>
      <c r="GK50" s="212">
        <v>0.0</v>
      </c>
      <c r="GL50" s="212">
        <v>0.0</v>
      </c>
      <c r="GM50" s="207">
        <v>754.0</v>
      </c>
      <c r="GN50" s="207">
        <v>324.0</v>
      </c>
      <c r="GO50" s="213">
        <v>733.0</v>
      </c>
      <c r="GP50" s="213">
        <v>253.0</v>
      </c>
      <c r="GQ50" s="207"/>
      <c r="GR50" s="213">
        <v>2.0</v>
      </c>
      <c r="GS50" s="193">
        <v>0.0</v>
      </c>
      <c r="GT50" s="194">
        <f t="shared" si="25"/>
        <v>2</v>
      </c>
      <c r="GU50" s="194">
        <f t="shared" si="26"/>
        <v>0</v>
      </c>
      <c r="GV50" s="194">
        <f t="shared" si="27"/>
        <v>2</v>
      </c>
      <c r="GW50" s="207">
        <v>0.0</v>
      </c>
      <c r="GX50" s="207">
        <v>0.0</v>
      </c>
      <c r="GY50" s="207">
        <v>0.0</v>
      </c>
      <c r="GZ50" s="207">
        <v>2.0</v>
      </c>
      <c r="HA50" s="207">
        <v>0.0</v>
      </c>
      <c r="HB50" s="207">
        <v>0.0</v>
      </c>
      <c r="HC50" s="207">
        <v>0.0</v>
      </c>
      <c r="HD50" s="207">
        <v>0.0</v>
      </c>
      <c r="HE50" s="207">
        <v>0.0</v>
      </c>
      <c r="HF50" s="207">
        <v>0.0</v>
      </c>
      <c r="HG50" s="207">
        <v>1.0</v>
      </c>
      <c r="HH50" s="207">
        <v>0.0</v>
      </c>
      <c r="HI50" s="207">
        <v>0.0</v>
      </c>
      <c r="HJ50" s="207">
        <v>0.0</v>
      </c>
      <c r="HK50" s="207">
        <v>0.0</v>
      </c>
      <c r="HL50" s="207">
        <v>0.0</v>
      </c>
      <c r="HM50" s="207">
        <v>0.0</v>
      </c>
      <c r="HN50" s="207">
        <v>0.0</v>
      </c>
      <c r="HO50" s="222">
        <v>0.0</v>
      </c>
      <c r="HP50" s="222">
        <v>1.0</v>
      </c>
      <c r="HQ50" s="214"/>
      <c r="HR50" s="197"/>
      <c r="HS50" s="197"/>
      <c r="HT50" s="198">
        <f t="shared" si="28"/>
        <v>1</v>
      </c>
      <c r="HU50" s="198">
        <f t="shared" si="29"/>
        <v>1</v>
      </c>
      <c r="HV50" s="198">
        <f t="shared" si="30"/>
        <v>2</v>
      </c>
      <c r="HW50" s="198">
        <f t="shared" si="99"/>
        <v>4</v>
      </c>
      <c r="HX50" s="198">
        <f t="shared" si="32"/>
        <v>3</v>
      </c>
      <c r="HY50" s="198">
        <f t="shared" si="33"/>
        <v>3</v>
      </c>
      <c r="HZ50" s="198">
        <f t="shared" si="34"/>
        <v>3</v>
      </c>
      <c r="IA50" s="198">
        <f t="shared" si="35"/>
        <v>3</v>
      </c>
      <c r="IB50" s="198">
        <f t="shared" si="36"/>
        <v>3</v>
      </c>
      <c r="IC50" s="198">
        <f t="shared" si="37"/>
        <v>2</v>
      </c>
      <c r="ID50" s="198">
        <f t="shared" si="38"/>
        <v>3</v>
      </c>
      <c r="IE50" s="198">
        <f t="shared" si="39"/>
        <v>2</v>
      </c>
      <c r="IF50" s="197"/>
      <c r="IG50" s="197"/>
      <c r="IH50" s="197"/>
      <c r="II50" s="197"/>
      <c r="IJ50" s="197"/>
      <c r="IK50" s="197"/>
      <c r="IL50" s="197"/>
      <c r="IM50" s="197"/>
      <c r="IN50" s="197"/>
      <c r="IO50" s="197"/>
      <c r="IP50" s="197"/>
      <c r="IQ50" s="197"/>
      <c r="IR50" s="197"/>
      <c r="IS50" s="197"/>
      <c r="IT50" s="197"/>
      <c r="IU50" s="197"/>
      <c r="IV50" s="197"/>
      <c r="IW50" s="197"/>
      <c r="IX50" s="197"/>
      <c r="IY50" s="197"/>
      <c r="IZ50" s="197"/>
      <c r="JA50" s="199"/>
      <c r="JB50" s="200">
        <f t="shared" si="40"/>
        <v>1</v>
      </c>
      <c r="JC50" s="200">
        <f t="shared" si="41"/>
        <v>1</v>
      </c>
      <c r="JD50" s="200">
        <f t="shared" si="42"/>
        <v>2</v>
      </c>
      <c r="JE50" s="200">
        <f t="shared" si="43"/>
        <v>4</v>
      </c>
      <c r="JF50" s="200">
        <f t="shared" si="44"/>
        <v>3</v>
      </c>
      <c r="JG50" s="200">
        <f t="shared" si="45"/>
        <v>3</v>
      </c>
      <c r="JH50" s="200">
        <f t="shared" si="46"/>
        <v>3</v>
      </c>
      <c r="JI50" s="200">
        <f t="shared" si="47"/>
        <v>3</v>
      </c>
      <c r="JJ50" s="200">
        <f t="shared" si="48"/>
        <v>3</v>
      </c>
      <c r="JK50" s="200">
        <f t="shared" si="49"/>
        <v>3</v>
      </c>
      <c r="JL50" s="200">
        <f t="shared" si="50"/>
        <v>3</v>
      </c>
      <c r="JM50" s="200">
        <f t="shared" si="51"/>
        <v>2</v>
      </c>
      <c r="JN50" s="199"/>
      <c r="JO50" s="200">
        <f t="shared" si="52"/>
        <v>1</v>
      </c>
      <c r="JP50" s="202">
        <v>1.0</v>
      </c>
      <c r="JQ50" s="202">
        <v>2.0</v>
      </c>
      <c r="JR50" s="202">
        <v>4.0</v>
      </c>
      <c r="JS50" s="202">
        <v>3.0</v>
      </c>
      <c r="JT50" s="199"/>
      <c r="JU50" s="199"/>
      <c r="JV50" s="200">
        <f t="shared" ref="JV50:JX50" si="147">IA50-JI50</f>
        <v>0</v>
      </c>
      <c r="JW50" s="200">
        <f t="shared" si="147"/>
        <v>0</v>
      </c>
      <c r="JX50" s="200">
        <f t="shared" si="147"/>
        <v>-1</v>
      </c>
      <c r="JY50" s="199"/>
      <c r="JZ50" s="199"/>
      <c r="KA50" s="199"/>
      <c r="KB50" s="200">
        <f t="shared" ref="KB50:KM50" si="148">JB50-JO50</f>
        <v>0</v>
      </c>
      <c r="KC50" s="200">
        <f t="shared" si="148"/>
        <v>0</v>
      </c>
      <c r="KD50" s="200">
        <f t="shared" si="148"/>
        <v>0</v>
      </c>
      <c r="KE50" s="200">
        <f t="shared" si="148"/>
        <v>0</v>
      </c>
      <c r="KF50" s="200">
        <f t="shared" si="148"/>
        <v>0</v>
      </c>
      <c r="KG50" s="200">
        <f t="shared" si="148"/>
        <v>3</v>
      </c>
      <c r="KH50" s="200">
        <f t="shared" si="148"/>
        <v>3</v>
      </c>
      <c r="KI50" s="200">
        <f t="shared" si="148"/>
        <v>3</v>
      </c>
      <c r="KJ50" s="200">
        <f t="shared" si="148"/>
        <v>3</v>
      </c>
      <c r="KK50" s="200">
        <f t="shared" si="148"/>
        <v>4</v>
      </c>
      <c r="KL50" s="200">
        <f t="shared" si="148"/>
        <v>3</v>
      </c>
      <c r="KM50" s="200">
        <f t="shared" si="148"/>
        <v>2</v>
      </c>
      <c r="KN50" s="199"/>
      <c r="KO50" s="199"/>
      <c r="KP50" s="199"/>
      <c r="KQ50" s="199"/>
      <c r="KR50" s="199"/>
      <c r="KS50" s="199"/>
      <c r="KT50" s="199"/>
      <c r="KU50" s="199"/>
      <c r="KV50" s="199"/>
      <c r="KW50" s="199"/>
      <c r="KX50" s="199"/>
      <c r="KY50" s="199"/>
      <c r="KZ50" s="199"/>
      <c r="LA50" s="199"/>
      <c r="LB50" s="199"/>
      <c r="LC50" s="199"/>
      <c r="LD50" s="199"/>
      <c r="LE50" s="199"/>
      <c r="LF50" s="199"/>
      <c r="LG50" s="199"/>
    </row>
    <row r="51" ht="14.25" customHeight="1">
      <c r="A51" s="156">
        <v>44.0</v>
      </c>
      <c r="B51" s="157" t="s">
        <v>128</v>
      </c>
      <c r="C51" s="158">
        <v>3374090.0</v>
      </c>
      <c r="D51" s="158" t="s">
        <v>129</v>
      </c>
      <c r="E51" s="158" t="s">
        <v>132</v>
      </c>
      <c r="F51" s="159">
        <v>13.0</v>
      </c>
      <c r="G51" s="285">
        <v>1298.0</v>
      </c>
      <c r="H51" s="160">
        <v>1.0</v>
      </c>
      <c r="I51" s="161">
        <v>0.0</v>
      </c>
      <c r="J51" s="161">
        <v>0.0</v>
      </c>
      <c r="K51" s="161">
        <v>0.0</v>
      </c>
      <c r="L51" s="161">
        <v>1.0</v>
      </c>
      <c r="M51" s="161">
        <v>0.0</v>
      </c>
      <c r="N51" s="161">
        <v>0.0</v>
      </c>
      <c r="O51" s="162">
        <f t="shared" si="3"/>
        <v>1</v>
      </c>
      <c r="P51" s="203">
        <v>0.0</v>
      </c>
      <c r="Q51" s="164">
        <v>0.0</v>
      </c>
      <c r="R51" s="164">
        <v>0.0</v>
      </c>
      <c r="S51" s="164">
        <v>0.0</v>
      </c>
      <c r="T51" s="165">
        <v>0.0</v>
      </c>
      <c r="U51" s="165">
        <v>0.0</v>
      </c>
      <c r="V51" s="165">
        <v>0.0</v>
      </c>
      <c r="W51" s="166">
        <f t="shared" si="4"/>
        <v>0</v>
      </c>
      <c r="X51" s="203">
        <v>2.0</v>
      </c>
      <c r="Y51" s="165">
        <v>0.0</v>
      </c>
      <c r="Z51" s="165">
        <v>0.0</v>
      </c>
      <c r="AA51" s="165">
        <v>1.0</v>
      </c>
      <c r="AB51" s="165">
        <v>1.0</v>
      </c>
      <c r="AC51" s="165">
        <v>2.0</v>
      </c>
      <c r="AD51" s="165">
        <v>0.0</v>
      </c>
      <c r="AE51" s="166">
        <f t="shared" si="5"/>
        <v>0</v>
      </c>
      <c r="AF51" s="167">
        <v>3.0</v>
      </c>
      <c r="AG51" s="165">
        <v>0.0</v>
      </c>
      <c r="AH51" s="165">
        <v>0.0</v>
      </c>
      <c r="AI51" s="165">
        <v>2.0</v>
      </c>
      <c r="AJ51" s="165">
        <v>1.0</v>
      </c>
      <c r="AK51" s="165">
        <v>1.0</v>
      </c>
      <c r="AL51" s="165">
        <v>0.0</v>
      </c>
      <c r="AM51" s="166">
        <f t="shared" si="98"/>
        <v>2</v>
      </c>
      <c r="AN51" s="167">
        <v>4.0</v>
      </c>
      <c r="AO51" s="165">
        <v>0.0</v>
      </c>
      <c r="AP51" s="165">
        <v>0.0</v>
      </c>
      <c r="AQ51" s="165">
        <v>2.0</v>
      </c>
      <c r="AR51" s="165">
        <v>2.0</v>
      </c>
      <c r="AS51" s="165">
        <v>1.0</v>
      </c>
      <c r="AT51" s="165">
        <v>0.0</v>
      </c>
      <c r="AU51" s="168">
        <f t="shared" si="7"/>
        <v>3</v>
      </c>
      <c r="AV51" s="169">
        <v>1286.0</v>
      </c>
      <c r="AW51" s="204">
        <f t="shared" si="8"/>
        <v>4</v>
      </c>
      <c r="AX51" s="169">
        <v>0.0</v>
      </c>
      <c r="AY51" s="169">
        <v>0.0</v>
      </c>
      <c r="AZ51" s="169">
        <v>2.0</v>
      </c>
      <c r="BA51" s="169">
        <v>2.0</v>
      </c>
      <c r="BB51" s="169">
        <v>0.0</v>
      </c>
      <c r="BC51" s="169">
        <v>0.0</v>
      </c>
      <c r="BD51" s="169">
        <v>0.0</v>
      </c>
      <c r="BE51" s="169">
        <v>0.0</v>
      </c>
      <c r="BF51" s="169">
        <v>0.0</v>
      </c>
      <c r="BG51" s="169">
        <v>0.0</v>
      </c>
      <c r="BH51" s="169">
        <v>0.0</v>
      </c>
      <c r="BI51" s="169">
        <v>0.0</v>
      </c>
      <c r="BJ51" s="169">
        <v>0.0</v>
      </c>
      <c r="BK51" s="169">
        <v>0.0</v>
      </c>
      <c r="BL51" s="169">
        <v>0.0</v>
      </c>
      <c r="BM51" s="169">
        <v>0.0</v>
      </c>
      <c r="BN51" s="169">
        <v>0.0</v>
      </c>
      <c r="BO51" s="169">
        <v>0.0</v>
      </c>
      <c r="BP51" s="205">
        <f t="shared" si="131"/>
        <v>0</v>
      </c>
      <c r="BQ51" s="169">
        <v>1308.0</v>
      </c>
      <c r="BR51" s="170">
        <f t="shared" si="10"/>
        <v>5</v>
      </c>
      <c r="BS51" s="173">
        <v>0.0</v>
      </c>
      <c r="BT51" s="173">
        <v>0.0</v>
      </c>
      <c r="BU51" s="173">
        <v>2.0</v>
      </c>
      <c r="BV51" s="173">
        <v>2.0</v>
      </c>
      <c r="BW51" s="173">
        <v>0.0</v>
      </c>
      <c r="BX51" s="173">
        <v>0.0</v>
      </c>
      <c r="BY51" s="173">
        <v>0.0</v>
      </c>
      <c r="BZ51" s="173">
        <v>1.0</v>
      </c>
      <c r="CA51" s="173">
        <v>0.0</v>
      </c>
      <c r="CB51" s="173">
        <v>0.0</v>
      </c>
      <c r="CC51" s="173">
        <v>0.0</v>
      </c>
      <c r="CD51" s="173">
        <v>0.0</v>
      </c>
      <c r="CE51" s="173">
        <v>0.0</v>
      </c>
      <c r="CF51" s="173">
        <v>0.0</v>
      </c>
      <c r="CG51" s="173">
        <v>0.0</v>
      </c>
      <c r="CH51" s="173">
        <v>0.0</v>
      </c>
      <c r="CI51" s="173">
        <v>0.0</v>
      </c>
      <c r="CJ51" s="173">
        <v>0.0</v>
      </c>
      <c r="CK51" s="172">
        <f t="shared" si="132"/>
        <v>0</v>
      </c>
      <c r="CL51" s="173">
        <v>1198.0</v>
      </c>
      <c r="CM51" s="173">
        <v>539.0</v>
      </c>
      <c r="CN51" s="175">
        <f t="shared" si="12"/>
        <v>5</v>
      </c>
      <c r="CO51" s="173">
        <v>0.0</v>
      </c>
      <c r="CP51" s="173">
        <v>0.0</v>
      </c>
      <c r="CQ51" s="173">
        <v>2.0</v>
      </c>
      <c r="CR51" s="173">
        <v>2.0</v>
      </c>
      <c r="CS51" s="173">
        <v>0.0</v>
      </c>
      <c r="CT51" s="173">
        <v>0.0</v>
      </c>
      <c r="CU51" s="173">
        <v>0.0</v>
      </c>
      <c r="CV51" s="173">
        <v>1.0</v>
      </c>
      <c r="CW51" s="173">
        <v>0.0</v>
      </c>
      <c r="CX51" s="173">
        <v>0.0</v>
      </c>
      <c r="CY51" s="173">
        <v>0.0</v>
      </c>
      <c r="CZ51" s="173">
        <v>1.0</v>
      </c>
      <c r="DA51" s="173">
        <v>0.0</v>
      </c>
      <c r="DB51" s="173">
        <v>0.0</v>
      </c>
      <c r="DC51" s="173">
        <v>0.0</v>
      </c>
      <c r="DD51" s="173">
        <v>0.0</v>
      </c>
      <c r="DE51" s="173">
        <v>0.0</v>
      </c>
      <c r="DF51" s="173">
        <v>0.0</v>
      </c>
      <c r="DG51" s="176">
        <f t="shared" si="13"/>
        <v>1</v>
      </c>
      <c r="DH51" s="177">
        <v>1144.0</v>
      </c>
      <c r="DI51" s="177">
        <v>488.0</v>
      </c>
      <c r="DJ51" s="178">
        <v>1069.0</v>
      </c>
      <c r="DK51" s="178">
        <v>470.0</v>
      </c>
      <c r="DL51" s="179">
        <f t="shared" si="14"/>
        <v>6</v>
      </c>
      <c r="DM51" s="180">
        <f t="shared" si="15"/>
        <v>2</v>
      </c>
      <c r="DN51" s="180">
        <f t="shared" si="16"/>
        <v>4</v>
      </c>
      <c r="DO51" s="177">
        <v>0.0</v>
      </c>
      <c r="DP51" s="177">
        <v>0.0</v>
      </c>
      <c r="DQ51" s="177">
        <v>2.0</v>
      </c>
      <c r="DR51" s="177">
        <v>3.0</v>
      </c>
      <c r="DS51" s="177">
        <v>0.0</v>
      </c>
      <c r="DT51" s="177">
        <v>0.0</v>
      </c>
      <c r="DU51" s="177">
        <v>0.0</v>
      </c>
      <c r="DV51" s="177">
        <v>1.0</v>
      </c>
      <c r="DW51" s="177">
        <v>0.0</v>
      </c>
      <c r="DX51" s="177">
        <v>0.0</v>
      </c>
      <c r="DY51" s="177">
        <v>0.0</v>
      </c>
      <c r="DZ51" s="177">
        <v>0.0</v>
      </c>
      <c r="EA51" s="177">
        <v>0.0</v>
      </c>
      <c r="EB51" s="177">
        <v>0.0</v>
      </c>
      <c r="EC51" s="177">
        <v>0.0</v>
      </c>
      <c r="ED51" s="177">
        <v>0.0</v>
      </c>
      <c r="EE51" s="177">
        <v>0.0</v>
      </c>
      <c r="EF51" s="177">
        <v>0.0</v>
      </c>
      <c r="EG51" s="179">
        <f t="shared" si="17"/>
        <v>0</v>
      </c>
      <c r="EH51" s="179">
        <f t="shared" si="18"/>
        <v>0</v>
      </c>
      <c r="EI51" s="177">
        <v>1135.0</v>
      </c>
      <c r="EJ51" s="177">
        <v>469.0</v>
      </c>
      <c r="EK51" s="178">
        <v>1095.0</v>
      </c>
      <c r="EL51" s="178">
        <v>424.0</v>
      </c>
      <c r="EM51" s="185">
        <f t="shared" si="19"/>
        <v>6</v>
      </c>
      <c r="EN51" s="186">
        <f t="shared" si="89"/>
        <v>2</v>
      </c>
      <c r="EO51" s="186">
        <f t="shared" si="90"/>
        <v>4</v>
      </c>
      <c r="EP51" s="177">
        <v>0.0</v>
      </c>
      <c r="EQ51" s="177">
        <v>0.0</v>
      </c>
      <c r="ER51" s="177">
        <v>2.0</v>
      </c>
      <c r="ES51" s="177">
        <v>4.0</v>
      </c>
      <c r="ET51" s="177">
        <v>0.0</v>
      </c>
      <c r="EU51" s="177">
        <v>0.0</v>
      </c>
      <c r="EV51" s="177">
        <v>0.0</v>
      </c>
      <c r="EW51" s="177">
        <v>0.0</v>
      </c>
      <c r="EX51" s="177">
        <v>0.0</v>
      </c>
      <c r="EY51" s="177">
        <v>0.0</v>
      </c>
      <c r="EZ51" s="177">
        <v>0.0</v>
      </c>
      <c r="FA51" s="177">
        <v>0.0</v>
      </c>
      <c r="FB51" s="177">
        <v>0.0</v>
      </c>
      <c r="FC51" s="177">
        <v>0.0</v>
      </c>
      <c r="FD51" s="177">
        <v>0.0</v>
      </c>
      <c r="FE51" s="177">
        <v>0.0</v>
      </c>
      <c r="FF51" s="177">
        <v>0.0</v>
      </c>
      <c r="FG51" s="177">
        <v>0.0</v>
      </c>
      <c r="FH51" s="185">
        <f t="shared" si="22"/>
        <v>0</v>
      </c>
      <c r="FI51" s="185">
        <f t="shared" si="23"/>
        <v>0</v>
      </c>
      <c r="FJ51" s="177">
        <v>923.0</v>
      </c>
      <c r="FK51" s="177">
        <v>192.0</v>
      </c>
      <c r="FL51" s="177">
        <v>811.0</v>
      </c>
      <c r="FM51" s="177">
        <v>186.0</v>
      </c>
      <c r="FN51" s="180"/>
      <c r="FO51" s="180">
        <v>6.0</v>
      </c>
      <c r="FP51" s="188">
        <f t="shared" si="128"/>
        <v>6</v>
      </c>
      <c r="FQ51" s="211">
        <v>2.0</v>
      </c>
      <c r="FR51" s="212">
        <v>4.0</v>
      </c>
      <c r="FS51" s="206">
        <v>0.0</v>
      </c>
      <c r="FT51" s="207">
        <v>0.0</v>
      </c>
      <c r="FU51" s="207">
        <v>2.0</v>
      </c>
      <c r="FV51" s="207">
        <v>4.0</v>
      </c>
      <c r="FW51" s="207">
        <v>0.0</v>
      </c>
      <c r="FX51" s="207">
        <v>0.0</v>
      </c>
      <c r="FY51" s="207">
        <v>0.0</v>
      </c>
      <c r="FZ51" s="207">
        <v>0.0</v>
      </c>
      <c r="GA51" s="207">
        <v>0.0</v>
      </c>
      <c r="GB51" s="207">
        <v>0.0</v>
      </c>
      <c r="GC51" s="207">
        <v>0.0</v>
      </c>
      <c r="GD51" s="207">
        <v>0.0</v>
      </c>
      <c r="GE51" s="207">
        <v>0.0</v>
      </c>
      <c r="GF51" s="207">
        <v>0.0</v>
      </c>
      <c r="GG51" s="207">
        <v>0.0</v>
      </c>
      <c r="GH51" s="207">
        <v>0.0</v>
      </c>
      <c r="GI51" s="207">
        <v>0.0</v>
      </c>
      <c r="GJ51" s="293"/>
      <c r="GK51" s="212">
        <v>0.0</v>
      </c>
      <c r="GL51" s="212">
        <v>0.0</v>
      </c>
      <c r="GM51" s="207">
        <v>1095.0</v>
      </c>
      <c r="GN51" s="207">
        <v>227.0</v>
      </c>
      <c r="GO51" s="213">
        <v>1034.0</v>
      </c>
      <c r="GP51" s="213">
        <v>188.0</v>
      </c>
      <c r="GQ51" s="207"/>
      <c r="GR51" s="213">
        <v>6.0</v>
      </c>
      <c r="GS51" s="193">
        <v>2.0</v>
      </c>
      <c r="GT51" s="194">
        <f t="shared" si="25"/>
        <v>6</v>
      </c>
      <c r="GU51" s="194">
        <f t="shared" si="26"/>
        <v>2</v>
      </c>
      <c r="GV51" s="194">
        <f t="shared" si="27"/>
        <v>4</v>
      </c>
      <c r="GW51" s="207">
        <v>0.0</v>
      </c>
      <c r="GX51" s="207">
        <v>0.0</v>
      </c>
      <c r="GY51" s="207">
        <v>2.0</v>
      </c>
      <c r="GZ51" s="207">
        <v>4.0</v>
      </c>
      <c r="HA51" s="207">
        <v>0.0</v>
      </c>
      <c r="HB51" s="207">
        <v>0.0</v>
      </c>
      <c r="HC51" s="207">
        <v>0.0</v>
      </c>
      <c r="HD51" s="207">
        <v>0.0</v>
      </c>
      <c r="HE51" s="207">
        <v>0.0</v>
      </c>
      <c r="HF51" s="207">
        <v>0.0</v>
      </c>
      <c r="HG51" s="207">
        <v>0.0</v>
      </c>
      <c r="HH51" s="207">
        <v>0.0</v>
      </c>
      <c r="HI51" s="207">
        <v>0.0</v>
      </c>
      <c r="HJ51" s="207">
        <v>0.0</v>
      </c>
      <c r="HK51" s="207">
        <v>0.0</v>
      </c>
      <c r="HL51" s="207">
        <v>0.0</v>
      </c>
      <c r="HM51" s="207">
        <v>0.0</v>
      </c>
      <c r="HN51" s="207">
        <v>0.0</v>
      </c>
      <c r="HO51" s="222">
        <v>0.0</v>
      </c>
      <c r="HP51" s="222">
        <v>0.0</v>
      </c>
      <c r="HQ51" s="214"/>
      <c r="HR51" s="197"/>
      <c r="HS51" s="197"/>
      <c r="HT51" s="198">
        <f t="shared" si="28"/>
        <v>1</v>
      </c>
      <c r="HU51" s="198">
        <f t="shared" si="29"/>
        <v>0</v>
      </c>
      <c r="HV51" s="198">
        <f t="shared" si="30"/>
        <v>2</v>
      </c>
      <c r="HW51" s="198">
        <f t="shared" si="99"/>
        <v>3</v>
      </c>
      <c r="HX51" s="198">
        <f t="shared" si="32"/>
        <v>4</v>
      </c>
      <c r="HY51" s="198">
        <f t="shared" si="33"/>
        <v>4</v>
      </c>
      <c r="HZ51" s="198">
        <f t="shared" si="34"/>
        <v>5</v>
      </c>
      <c r="IA51" s="198">
        <f t="shared" si="35"/>
        <v>5</v>
      </c>
      <c r="IB51" s="198">
        <f t="shared" si="36"/>
        <v>6</v>
      </c>
      <c r="IC51" s="198">
        <f t="shared" si="37"/>
        <v>6</v>
      </c>
      <c r="ID51" s="198">
        <f t="shared" si="38"/>
        <v>6</v>
      </c>
      <c r="IE51" s="198">
        <f t="shared" si="39"/>
        <v>6</v>
      </c>
      <c r="IF51" s="197"/>
      <c r="IG51" s="197"/>
      <c r="IH51" s="197"/>
      <c r="II51" s="197"/>
      <c r="IJ51" s="197"/>
      <c r="IK51" s="197"/>
      <c r="IL51" s="197"/>
      <c r="IM51" s="197"/>
      <c r="IN51" s="197"/>
      <c r="IO51" s="197"/>
      <c r="IP51" s="197"/>
      <c r="IQ51" s="197"/>
      <c r="IR51" s="197"/>
      <c r="IS51" s="197"/>
      <c r="IT51" s="197"/>
      <c r="IU51" s="197"/>
      <c r="IV51" s="197"/>
      <c r="IW51" s="197"/>
      <c r="IX51" s="197"/>
      <c r="IY51" s="197"/>
      <c r="IZ51" s="197"/>
      <c r="JA51" s="199"/>
      <c r="JB51" s="200">
        <f t="shared" si="40"/>
        <v>1</v>
      </c>
      <c r="JC51" s="200">
        <f t="shared" si="41"/>
        <v>0</v>
      </c>
      <c r="JD51" s="200">
        <f t="shared" si="42"/>
        <v>2</v>
      </c>
      <c r="JE51" s="200">
        <f t="shared" si="43"/>
        <v>3</v>
      </c>
      <c r="JF51" s="200">
        <f t="shared" si="44"/>
        <v>4</v>
      </c>
      <c r="JG51" s="200">
        <f t="shared" si="45"/>
        <v>4</v>
      </c>
      <c r="JH51" s="200">
        <f t="shared" si="46"/>
        <v>5</v>
      </c>
      <c r="JI51" s="200">
        <f t="shared" si="47"/>
        <v>5</v>
      </c>
      <c r="JJ51" s="200">
        <f t="shared" si="48"/>
        <v>6</v>
      </c>
      <c r="JK51" s="200">
        <f t="shared" si="49"/>
        <v>6</v>
      </c>
      <c r="JL51" s="200">
        <f t="shared" si="50"/>
        <v>6</v>
      </c>
      <c r="JM51" s="200">
        <f t="shared" si="51"/>
        <v>6</v>
      </c>
      <c r="JN51" s="199"/>
      <c r="JO51" s="200">
        <f t="shared" si="52"/>
        <v>1</v>
      </c>
      <c r="JP51" s="202">
        <v>0.0</v>
      </c>
      <c r="JQ51" s="202">
        <v>2.0</v>
      </c>
      <c r="JR51" s="202">
        <v>3.0</v>
      </c>
      <c r="JS51" s="202">
        <v>4.0</v>
      </c>
      <c r="JT51" s="199"/>
      <c r="JU51" s="199"/>
      <c r="JV51" s="200">
        <f t="shared" ref="JV51:JX51" si="149">IA51-JI51</f>
        <v>0</v>
      </c>
      <c r="JW51" s="200">
        <f t="shared" si="149"/>
        <v>0</v>
      </c>
      <c r="JX51" s="200">
        <f t="shared" si="149"/>
        <v>0</v>
      </c>
      <c r="JY51" s="199"/>
      <c r="JZ51" s="199"/>
      <c r="KA51" s="199"/>
      <c r="KB51" s="200">
        <f t="shared" ref="KB51:KM51" si="150">JB51-JO51</f>
        <v>0</v>
      </c>
      <c r="KC51" s="200">
        <f t="shared" si="150"/>
        <v>0</v>
      </c>
      <c r="KD51" s="200">
        <f t="shared" si="150"/>
        <v>0</v>
      </c>
      <c r="KE51" s="200">
        <f t="shared" si="150"/>
        <v>0</v>
      </c>
      <c r="KF51" s="200">
        <f t="shared" si="150"/>
        <v>0</v>
      </c>
      <c r="KG51" s="200">
        <f t="shared" si="150"/>
        <v>4</v>
      </c>
      <c r="KH51" s="200">
        <f t="shared" si="150"/>
        <v>5</v>
      </c>
      <c r="KI51" s="200">
        <f t="shared" si="150"/>
        <v>5</v>
      </c>
      <c r="KJ51" s="200">
        <f t="shared" si="150"/>
        <v>6</v>
      </c>
      <c r="KK51" s="200">
        <f t="shared" si="150"/>
        <v>6</v>
      </c>
      <c r="KL51" s="200">
        <f t="shared" si="150"/>
        <v>6</v>
      </c>
      <c r="KM51" s="200">
        <f t="shared" si="150"/>
        <v>6</v>
      </c>
      <c r="KN51" s="199"/>
      <c r="KO51" s="199"/>
      <c r="KP51" s="199"/>
      <c r="KQ51" s="199"/>
      <c r="KR51" s="199"/>
      <c r="KS51" s="199"/>
      <c r="KT51" s="199"/>
      <c r="KU51" s="199"/>
      <c r="KV51" s="199"/>
      <c r="KW51" s="199"/>
      <c r="KX51" s="199"/>
      <c r="KY51" s="199"/>
      <c r="KZ51" s="199"/>
      <c r="LA51" s="199"/>
      <c r="LB51" s="199"/>
      <c r="LC51" s="199"/>
      <c r="LD51" s="199"/>
      <c r="LE51" s="199"/>
      <c r="LF51" s="199"/>
      <c r="LG51" s="199"/>
    </row>
    <row r="52" ht="14.25" customHeight="1">
      <c r="A52" s="156">
        <v>45.0</v>
      </c>
      <c r="B52" s="157" t="s">
        <v>128</v>
      </c>
      <c r="C52" s="158">
        <v>3374070.0</v>
      </c>
      <c r="D52" s="158" t="s">
        <v>128</v>
      </c>
      <c r="E52" s="158" t="s">
        <v>133</v>
      </c>
      <c r="F52" s="159">
        <v>13.0</v>
      </c>
      <c r="G52" s="285">
        <v>1112.0</v>
      </c>
      <c r="H52" s="160">
        <v>3.0</v>
      </c>
      <c r="I52" s="161">
        <v>0.0</v>
      </c>
      <c r="J52" s="161">
        <v>0.0</v>
      </c>
      <c r="K52" s="161">
        <v>0.0</v>
      </c>
      <c r="L52" s="161">
        <v>3.0</v>
      </c>
      <c r="M52" s="161">
        <v>0.0</v>
      </c>
      <c r="N52" s="161">
        <v>3.0</v>
      </c>
      <c r="O52" s="162">
        <f t="shared" si="3"/>
        <v>0</v>
      </c>
      <c r="P52" s="203">
        <v>28.0</v>
      </c>
      <c r="Q52" s="164">
        <v>1.0</v>
      </c>
      <c r="R52" s="164">
        <v>1.0</v>
      </c>
      <c r="S52" s="164">
        <v>15.0</v>
      </c>
      <c r="T52" s="165">
        <v>11.0</v>
      </c>
      <c r="U52" s="165">
        <v>5.0</v>
      </c>
      <c r="V52" s="165">
        <v>3.0</v>
      </c>
      <c r="W52" s="166">
        <f t="shared" si="4"/>
        <v>20</v>
      </c>
      <c r="X52" s="203">
        <v>9.0</v>
      </c>
      <c r="Y52" s="165">
        <v>0.0</v>
      </c>
      <c r="Z52" s="165">
        <v>0.0</v>
      </c>
      <c r="AA52" s="165">
        <v>0.0</v>
      </c>
      <c r="AB52" s="165">
        <v>9.0</v>
      </c>
      <c r="AC52" s="165">
        <v>0.0</v>
      </c>
      <c r="AD52" s="165">
        <v>0.0</v>
      </c>
      <c r="AE52" s="166">
        <f t="shared" si="5"/>
        <v>9</v>
      </c>
      <c r="AF52" s="167">
        <v>9.0</v>
      </c>
      <c r="AG52" s="165">
        <v>0.0</v>
      </c>
      <c r="AH52" s="165">
        <v>0.0</v>
      </c>
      <c r="AI52" s="165">
        <v>0.0</v>
      </c>
      <c r="AJ52" s="165">
        <v>9.0</v>
      </c>
      <c r="AK52" s="165">
        <v>0.0</v>
      </c>
      <c r="AL52" s="165">
        <v>0.0</v>
      </c>
      <c r="AM52" s="166">
        <f t="shared" si="98"/>
        <v>9</v>
      </c>
      <c r="AN52" s="167">
        <v>8.0</v>
      </c>
      <c r="AO52" s="165">
        <v>0.0</v>
      </c>
      <c r="AP52" s="165">
        <v>0.0</v>
      </c>
      <c r="AQ52" s="165">
        <v>0.0</v>
      </c>
      <c r="AR52" s="165">
        <v>8.0</v>
      </c>
      <c r="AS52" s="165">
        <v>0.0</v>
      </c>
      <c r="AT52" s="165">
        <v>0.0</v>
      </c>
      <c r="AU52" s="168">
        <f t="shared" si="7"/>
        <v>8</v>
      </c>
      <c r="AV52" s="169">
        <v>1061.0</v>
      </c>
      <c r="AW52" s="204">
        <f t="shared" si="8"/>
        <v>10</v>
      </c>
      <c r="AX52" s="169">
        <v>0.0</v>
      </c>
      <c r="AY52" s="169">
        <v>1.0</v>
      </c>
      <c r="AZ52" s="169">
        <v>4.0</v>
      </c>
      <c r="BA52" s="169">
        <v>5.0</v>
      </c>
      <c r="BB52" s="169">
        <v>0.0</v>
      </c>
      <c r="BC52" s="169">
        <v>0.0</v>
      </c>
      <c r="BD52" s="169">
        <v>0.0</v>
      </c>
      <c r="BE52" s="169">
        <v>0.0</v>
      </c>
      <c r="BF52" s="169">
        <v>0.0</v>
      </c>
      <c r="BG52" s="169">
        <v>0.0</v>
      </c>
      <c r="BH52" s="169">
        <v>0.0</v>
      </c>
      <c r="BI52" s="169">
        <v>0.0</v>
      </c>
      <c r="BJ52" s="169">
        <v>0.0</v>
      </c>
      <c r="BK52" s="169">
        <v>0.0</v>
      </c>
      <c r="BL52" s="169">
        <v>0.0</v>
      </c>
      <c r="BM52" s="169">
        <v>0.0</v>
      </c>
      <c r="BN52" s="169">
        <v>0.0</v>
      </c>
      <c r="BO52" s="169">
        <v>0.0</v>
      </c>
      <c r="BP52" s="205">
        <f t="shared" si="131"/>
        <v>0</v>
      </c>
      <c r="BQ52" s="169">
        <v>1091.0</v>
      </c>
      <c r="BR52" s="170">
        <f t="shared" si="10"/>
        <v>10</v>
      </c>
      <c r="BS52" s="173">
        <v>0.0</v>
      </c>
      <c r="BT52" s="173">
        <v>1.0</v>
      </c>
      <c r="BU52" s="173">
        <v>4.0</v>
      </c>
      <c r="BV52" s="173">
        <v>5.0</v>
      </c>
      <c r="BW52" s="6"/>
      <c r="BX52" s="6"/>
      <c r="BY52" s="6"/>
      <c r="BZ52" s="6"/>
      <c r="CA52" s="173">
        <v>0.0</v>
      </c>
      <c r="CB52" s="173">
        <v>0.0</v>
      </c>
      <c r="CC52" s="6"/>
      <c r="CD52" s="6"/>
      <c r="CE52" s="6"/>
      <c r="CF52" s="6"/>
      <c r="CG52" s="6"/>
      <c r="CH52" s="6"/>
      <c r="CI52" s="6"/>
      <c r="CJ52" s="6"/>
      <c r="CK52" s="172">
        <f t="shared" si="132"/>
        <v>0</v>
      </c>
      <c r="CL52" s="173">
        <v>1018.0</v>
      </c>
      <c r="CM52" s="173">
        <v>426.0</v>
      </c>
      <c r="CN52" s="175">
        <f t="shared" si="12"/>
        <v>9</v>
      </c>
      <c r="CO52" s="173">
        <v>0.0</v>
      </c>
      <c r="CP52" s="173">
        <v>0.0</v>
      </c>
      <c r="CQ52" s="173">
        <v>4.0</v>
      </c>
      <c r="CR52" s="173">
        <v>5.0</v>
      </c>
      <c r="CS52" s="173">
        <v>0.0</v>
      </c>
      <c r="CT52" s="173">
        <v>0.0</v>
      </c>
      <c r="CU52" s="173">
        <v>0.0</v>
      </c>
      <c r="CV52" s="173">
        <v>0.0</v>
      </c>
      <c r="CW52" s="173">
        <v>0.0</v>
      </c>
      <c r="CX52" s="173">
        <v>0.0</v>
      </c>
      <c r="CY52" s="173">
        <v>0.0</v>
      </c>
      <c r="CZ52" s="173">
        <v>0.0</v>
      </c>
      <c r="DA52" s="173">
        <v>0.0</v>
      </c>
      <c r="DB52" s="173">
        <v>0.0</v>
      </c>
      <c r="DC52" s="173">
        <v>0.0</v>
      </c>
      <c r="DD52" s="173">
        <v>0.0</v>
      </c>
      <c r="DE52" s="173">
        <v>0.0</v>
      </c>
      <c r="DF52" s="173">
        <v>0.0</v>
      </c>
      <c r="DG52" s="176">
        <f t="shared" si="13"/>
        <v>0</v>
      </c>
      <c r="DH52" s="177">
        <v>987.0</v>
      </c>
      <c r="DI52" s="177">
        <v>494.0</v>
      </c>
      <c r="DJ52" s="178">
        <v>967.0</v>
      </c>
      <c r="DK52" s="178">
        <v>474.0</v>
      </c>
      <c r="DL52" s="179">
        <f t="shared" si="14"/>
        <v>8</v>
      </c>
      <c r="DM52" s="180">
        <f t="shared" si="15"/>
        <v>4</v>
      </c>
      <c r="DN52" s="180">
        <f t="shared" si="16"/>
        <v>4</v>
      </c>
      <c r="DO52" s="177">
        <v>0.0</v>
      </c>
      <c r="DP52" s="177">
        <v>0.0</v>
      </c>
      <c r="DQ52" s="177">
        <v>4.0</v>
      </c>
      <c r="DR52" s="177">
        <v>4.0</v>
      </c>
      <c r="DS52" s="177">
        <v>0.0</v>
      </c>
      <c r="DT52" s="177">
        <v>0.0</v>
      </c>
      <c r="DU52" s="177">
        <v>0.0</v>
      </c>
      <c r="DV52" s="177">
        <v>0.0</v>
      </c>
      <c r="DW52" s="177">
        <v>0.0</v>
      </c>
      <c r="DX52" s="177">
        <v>0.0</v>
      </c>
      <c r="DY52" s="177">
        <v>0.0</v>
      </c>
      <c r="DZ52" s="177">
        <v>0.0</v>
      </c>
      <c r="EA52" s="177">
        <v>0.0</v>
      </c>
      <c r="EB52" s="177">
        <v>0.0</v>
      </c>
      <c r="EC52" s="177">
        <v>0.0</v>
      </c>
      <c r="ED52" s="177">
        <v>0.0</v>
      </c>
      <c r="EE52" s="177">
        <v>0.0</v>
      </c>
      <c r="EF52" s="177">
        <v>0.0</v>
      </c>
      <c r="EG52" s="179">
        <f t="shared" si="17"/>
        <v>0</v>
      </c>
      <c r="EH52" s="179">
        <f t="shared" si="18"/>
        <v>0</v>
      </c>
      <c r="EI52" s="177">
        <v>991.0</v>
      </c>
      <c r="EJ52" s="177">
        <v>349.0</v>
      </c>
      <c r="EK52" s="178">
        <v>969.0</v>
      </c>
      <c r="EL52" s="178">
        <v>331.0</v>
      </c>
      <c r="EM52" s="185">
        <f t="shared" si="19"/>
        <v>9</v>
      </c>
      <c r="EN52" s="186">
        <f t="shared" si="89"/>
        <v>4</v>
      </c>
      <c r="EO52" s="186">
        <f t="shared" si="90"/>
        <v>5</v>
      </c>
      <c r="EP52" s="177">
        <v>0.0</v>
      </c>
      <c r="EQ52" s="177">
        <v>0.0</v>
      </c>
      <c r="ER52" s="177">
        <v>4.0</v>
      </c>
      <c r="ES52" s="177">
        <v>5.0</v>
      </c>
      <c r="ET52" s="177">
        <v>0.0</v>
      </c>
      <c r="EU52" s="177">
        <v>0.0</v>
      </c>
      <c r="EV52" s="177">
        <v>0.0</v>
      </c>
      <c r="EW52" s="177">
        <v>0.0</v>
      </c>
      <c r="EX52" s="177">
        <v>0.0</v>
      </c>
      <c r="EY52" s="177">
        <v>0.0</v>
      </c>
      <c r="EZ52" s="177">
        <v>0.0</v>
      </c>
      <c r="FA52" s="177">
        <v>0.0</v>
      </c>
      <c r="FB52" s="294">
        <v>0.0</v>
      </c>
      <c r="FC52" s="295">
        <v>0.0</v>
      </c>
      <c r="FD52" s="295">
        <v>0.0</v>
      </c>
      <c r="FE52" s="295">
        <v>0.0</v>
      </c>
      <c r="FF52" s="296">
        <v>0.0</v>
      </c>
      <c r="FG52" s="227"/>
      <c r="FH52" s="185">
        <f t="shared" si="22"/>
        <v>0</v>
      </c>
      <c r="FI52" s="185">
        <f t="shared" si="23"/>
        <v>0</v>
      </c>
      <c r="FJ52" s="177">
        <v>895.0</v>
      </c>
      <c r="FK52" s="177">
        <v>396.0</v>
      </c>
      <c r="FL52" s="177">
        <v>860.0</v>
      </c>
      <c r="FM52" s="177">
        <v>391.0</v>
      </c>
      <c r="FN52" s="297"/>
      <c r="FO52" s="297">
        <v>9.0</v>
      </c>
      <c r="FP52" s="188">
        <f t="shared" si="128"/>
        <v>9</v>
      </c>
      <c r="FQ52" s="211">
        <v>2.0</v>
      </c>
      <c r="FR52" s="212">
        <v>7.0</v>
      </c>
      <c r="FS52" s="206">
        <v>0.0</v>
      </c>
      <c r="FT52" s="207">
        <v>0.0</v>
      </c>
      <c r="FU52" s="207">
        <v>2.0</v>
      </c>
      <c r="FV52" s="207">
        <v>7.0</v>
      </c>
      <c r="FW52" s="207">
        <v>0.0</v>
      </c>
      <c r="FX52" s="207">
        <v>0.0</v>
      </c>
      <c r="FY52" s="207">
        <v>0.0</v>
      </c>
      <c r="FZ52" s="207">
        <v>0.0</v>
      </c>
      <c r="GA52" s="207">
        <v>0.0</v>
      </c>
      <c r="GB52" s="207">
        <v>0.0</v>
      </c>
      <c r="GC52" s="207">
        <v>0.0</v>
      </c>
      <c r="GD52" s="207">
        <v>0.0</v>
      </c>
      <c r="GE52" s="207">
        <v>0.0</v>
      </c>
      <c r="GF52" s="207">
        <v>0.0</v>
      </c>
      <c r="GG52" s="207">
        <v>0.0</v>
      </c>
      <c r="GH52" s="207">
        <v>0.0</v>
      </c>
      <c r="GI52" s="207">
        <v>0.0</v>
      </c>
      <c r="GJ52" s="207">
        <v>0.0</v>
      </c>
      <c r="GK52" s="212">
        <v>0.0</v>
      </c>
      <c r="GL52" s="212">
        <v>0.0</v>
      </c>
      <c r="GM52" s="177">
        <v>1006.0</v>
      </c>
      <c r="GN52" s="177">
        <v>197.0</v>
      </c>
      <c r="GO52" s="298">
        <v>929.0</v>
      </c>
      <c r="GP52" s="298">
        <v>176.0</v>
      </c>
      <c r="GQ52" s="207"/>
      <c r="GR52" s="213">
        <v>9.0</v>
      </c>
      <c r="GS52" s="193">
        <v>2.0</v>
      </c>
      <c r="GT52" s="194">
        <f t="shared" si="25"/>
        <v>9</v>
      </c>
      <c r="GU52" s="194">
        <f t="shared" si="26"/>
        <v>2</v>
      </c>
      <c r="GV52" s="194">
        <f t="shared" si="27"/>
        <v>7</v>
      </c>
      <c r="GW52" s="207">
        <v>0.0</v>
      </c>
      <c r="GX52" s="207">
        <v>0.0</v>
      </c>
      <c r="GY52" s="207">
        <v>2.0</v>
      </c>
      <c r="GZ52" s="207">
        <v>7.0</v>
      </c>
      <c r="HA52" s="207">
        <v>0.0</v>
      </c>
      <c r="HB52" s="207">
        <v>0.0</v>
      </c>
      <c r="HC52" s="207">
        <v>0.0</v>
      </c>
      <c r="HD52" s="207">
        <v>0.0</v>
      </c>
      <c r="HE52" s="207">
        <v>0.0</v>
      </c>
      <c r="HF52" s="207">
        <v>0.0</v>
      </c>
      <c r="HG52" s="207">
        <v>0.0</v>
      </c>
      <c r="HH52" s="207">
        <v>0.0</v>
      </c>
      <c r="HI52" s="207">
        <v>0.0</v>
      </c>
      <c r="HJ52" s="207">
        <v>0.0</v>
      </c>
      <c r="HK52" s="207">
        <v>0.0</v>
      </c>
      <c r="HL52" s="207">
        <v>0.0</v>
      </c>
      <c r="HM52" s="207">
        <v>0.0</v>
      </c>
      <c r="HN52" s="207">
        <v>0.0</v>
      </c>
      <c r="HO52" s="299">
        <v>0.0</v>
      </c>
      <c r="HP52" s="299">
        <v>0.0</v>
      </c>
      <c r="HQ52" s="214"/>
      <c r="HR52" s="197"/>
      <c r="HS52" s="197"/>
      <c r="HT52" s="198">
        <f t="shared" si="28"/>
        <v>3</v>
      </c>
      <c r="HU52" s="198">
        <f t="shared" si="29"/>
        <v>28</v>
      </c>
      <c r="HV52" s="198">
        <f t="shared" si="30"/>
        <v>9</v>
      </c>
      <c r="HW52" s="198">
        <f t="shared" si="99"/>
        <v>9</v>
      </c>
      <c r="HX52" s="198">
        <f t="shared" si="32"/>
        <v>8</v>
      </c>
      <c r="HY52" s="198">
        <f t="shared" si="33"/>
        <v>10</v>
      </c>
      <c r="HZ52" s="198">
        <f t="shared" si="34"/>
        <v>10</v>
      </c>
      <c r="IA52" s="198">
        <f t="shared" si="35"/>
        <v>9</v>
      </c>
      <c r="IB52" s="198">
        <f t="shared" si="36"/>
        <v>8</v>
      </c>
      <c r="IC52" s="198">
        <f t="shared" si="37"/>
        <v>9</v>
      </c>
      <c r="ID52" s="198">
        <f t="shared" si="38"/>
        <v>9</v>
      </c>
      <c r="IE52" s="198">
        <f t="shared" si="39"/>
        <v>9</v>
      </c>
      <c r="IF52" s="197"/>
      <c r="IG52" s="197"/>
      <c r="IH52" s="197"/>
      <c r="II52" s="197"/>
      <c r="IJ52" s="197"/>
      <c r="IK52" s="197"/>
      <c r="IL52" s="197"/>
      <c r="IM52" s="197"/>
      <c r="IN52" s="197"/>
      <c r="IO52" s="197"/>
      <c r="IP52" s="197"/>
      <c r="IQ52" s="197"/>
      <c r="IR52" s="197"/>
      <c r="IS52" s="197"/>
      <c r="IT52" s="197"/>
      <c r="IU52" s="197"/>
      <c r="IV52" s="197"/>
      <c r="IW52" s="197"/>
      <c r="IX52" s="197"/>
      <c r="IY52" s="197"/>
      <c r="IZ52" s="197"/>
      <c r="JA52" s="199"/>
      <c r="JB52" s="200">
        <f t="shared" si="40"/>
        <v>3</v>
      </c>
      <c r="JC52" s="200">
        <f t="shared" si="41"/>
        <v>28</v>
      </c>
      <c r="JD52" s="200">
        <f t="shared" si="42"/>
        <v>9</v>
      </c>
      <c r="JE52" s="200">
        <f t="shared" si="43"/>
        <v>9</v>
      </c>
      <c r="JF52" s="200">
        <f t="shared" si="44"/>
        <v>8</v>
      </c>
      <c r="JG52" s="200">
        <f t="shared" si="45"/>
        <v>10</v>
      </c>
      <c r="JH52" s="200">
        <f t="shared" si="46"/>
        <v>10</v>
      </c>
      <c r="JI52" s="200">
        <f t="shared" si="47"/>
        <v>9</v>
      </c>
      <c r="JJ52" s="200">
        <f t="shared" si="48"/>
        <v>8</v>
      </c>
      <c r="JK52" s="200">
        <f t="shared" si="49"/>
        <v>9</v>
      </c>
      <c r="JL52" s="200">
        <f t="shared" si="50"/>
        <v>9</v>
      </c>
      <c r="JM52" s="200">
        <f t="shared" si="51"/>
        <v>9</v>
      </c>
      <c r="JN52" s="199"/>
      <c r="JO52" s="200">
        <f t="shared" si="52"/>
        <v>3</v>
      </c>
      <c r="JP52" s="202">
        <v>28.0</v>
      </c>
      <c r="JQ52" s="202">
        <v>9.0</v>
      </c>
      <c r="JR52" s="202">
        <v>9.0</v>
      </c>
      <c r="JS52" s="202">
        <v>8.0</v>
      </c>
      <c r="JT52" s="199"/>
      <c r="JU52" s="199"/>
      <c r="JV52" s="200">
        <f t="shared" ref="JV52:JX52" si="151">IA52-JI52</f>
        <v>0</v>
      </c>
      <c r="JW52" s="200">
        <f t="shared" si="151"/>
        <v>0</v>
      </c>
      <c r="JX52" s="200">
        <f t="shared" si="151"/>
        <v>0</v>
      </c>
      <c r="JY52" s="199"/>
      <c r="JZ52" s="199"/>
      <c r="KA52" s="199"/>
      <c r="KB52" s="200">
        <f t="shared" ref="KB52:KM52" si="152">JB52-JO52</f>
        <v>0</v>
      </c>
      <c r="KC52" s="200">
        <f t="shared" si="152"/>
        <v>0</v>
      </c>
      <c r="KD52" s="200">
        <f t="shared" si="152"/>
        <v>0</v>
      </c>
      <c r="KE52" s="200">
        <f t="shared" si="152"/>
        <v>0</v>
      </c>
      <c r="KF52" s="200">
        <f t="shared" si="152"/>
        <v>0</v>
      </c>
      <c r="KG52" s="200">
        <f t="shared" si="152"/>
        <v>10</v>
      </c>
      <c r="KH52" s="200">
        <f t="shared" si="152"/>
        <v>10</v>
      </c>
      <c r="KI52" s="200">
        <f t="shared" si="152"/>
        <v>9</v>
      </c>
      <c r="KJ52" s="200">
        <f t="shared" si="152"/>
        <v>8</v>
      </c>
      <c r="KK52" s="200">
        <f t="shared" si="152"/>
        <v>9</v>
      </c>
      <c r="KL52" s="200">
        <f t="shared" si="152"/>
        <v>9</v>
      </c>
      <c r="KM52" s="200">
        <f t="shared" si="152"/>
        <v>9</v>
      </c>
      <c r="KN52" s="199"/>
      <c r="KO52" s="199"/>
      <c r="KP52" s="199"/>
      <c r="KQ52" s="199"/>
      <c r="KR52" s="199"/>
      <c r="KS52" s="199"/>
      <c r="KT52" s="199"/>
      <c r="KU52" s="199"/>
      <c r="KV52" s="199"/>
      <c r="KW52" s="199"/>
      <c r="KX52" s="199"/>
      <c r="KY52" s="199"/>
      <c r="KZ52" s="199"/>
      <c r="LA52" s="199"/>
      <c r="LB52" s="199"/>
      <c r="LC52" s="199"/>
      <c r="LD52" s="199"/>
      <c r="LE52" s="199"/>
      <c r="LF52" s="199"/>
      <c r="LG52" s="199"/>
    </row>
    <row r="53" ht="14.25" customHeight="1">
      <c r="A53" s="156">
        <v>46.0</v>
      </c>
      <c r="B53" s="157" t="s">
        <v>128</v>
      </c>
      <c r="C53" s="158">
        <v>3374070.0</v>
      </c>
      <c r="D53" s="158" t="s">
        <v>128</v>
      </c>
      <c r="E53" s="158" t="s">
        <v>134</v>
      </c>
      <c r="F53" s="159">
        <v>11.0</v>
      </c>
      <c r="G53" s="285">
        <v>767.0</v>
      </c>
      <c r="H53" s="160">
        <v>5.0</v>
      </c>
      <c r="I53" s="161">
        <v>0.0</v>
      </c>
      <c r="J53" s="161">
        <v>2.0</v>
      </c>
      <c r="K53" s="161">
        <v>0.0</v>
      </c>
      <c r="L53" s="161">
        <v>3.0</v>
      </c>
      <c r="M53" s="161">
        <v>0.0</v>
      </c>
      <c r="N53" s="161">
        <v>5.0</v>
      </c>
      <c r="O53" s="162">
        <f t="shared" si="3"/>
        <v>0</v>
      </c>
      <c r="P53" s="203">
        <v>12.0</v>
      </c>
      <c r="Q53" s="164">
        <v>0.0</v>
      </c>
      <c r="R53" s="164">
        <v>0.0</v>
      </c>
      <c r="S53" s="164">
        <v>3.0</v>
      </c>
      <c r="T53" s="165">
        <v>9.0</v>
      </c>
      <c r="U53" s="165">
        <v>4.0</v>
      </c>
      <c r="V53" s="165">
        <v>2.0</v>
      </c>
      <c r="W53" s="166">
        <f t="shared" si="4"/>
        <v>6</v>
      </c>
      <c r="X53" s="203">
        <v>2.0</v>
      </c>
      <c r="Y53" s="165">
        <v>0.0</v>
      </c>
      <c r="Z53" s="165">
        <v>0.0</v>
      </c>
      <c r="AA53" s="165">
        <v>0.0</v>
      </c>
      <c r="AB53" s="165">
        <v>2.0</v>
      </c>
      <c r="AC53" s="165">
        <v>0.0</v>
      </c>
      <c r="AD53" s="165">
        <v>0.0</v>
      </c>
      <c r="AE53" s="166">
        <f t="shared" si="5"/>
        <v>2</v>
      </c>
      <c r="AF53" s="167">
        <v>3.0</v>
      </c>
      <c r="AG53" s="165">
        <v>0.0</v>
      </c>
      <c r="AH53" s="165">
        <v>0.0</v>
      </c>
      <c r="AI53" s="165">
        <v>0.0</v>
      </c>
      <c r="AJ53" s="165">
        <v>3.0</v>
      </c>
      <c r="AK53" s="165">
        <v>2.0</v>
      </c>
      <c r="AL53" s="165">
        <v>1.0</v>
      </c>
      <c r="AM53" s="166">
        <f t="shared" si="98"/>
        <v>0</v>
      </c>
      <c r="AN53" s="167">
        <v>4.0</v>
      </c>
      <c r="AO53" s="165">
        <v>0.0</v>
      </c>
      <c r="AP53" s="165">
        <v>0.0</v>
      </c>
      <c r="AQ53" s="165">
        <v>0.0</v>
      </c>
      <c r="AR53" s="165">
        <v>4.0</v>
      </c>
      <c r="AS53" s="165">
        <v>0.0</v>
      </c>
      <c r="AT53" s="165">
        <v>0.0</v>
      </c>
      <c r="AU53" s="168">
        <f t="shared" si="7"/>
        <v>4</v>
      </c>
      <c r="AV53" s="169">
        <v>936.0</v>
      </c>
      <c r="AW53" s="204">
        <f t="shared" si="8"/>
        <v>1</v>
      </c>
      <c r="AX53" s="169">
        <v>0.0</v>
      </c>
      <c r="AY53" s="169">
        <v>0.0</v>
      </c>
      <c r="AZ53" s="169">
        <v>0.0</v>
      </c>
      <c r="BA53" s="169">
        <v>1.0</v>
      </c>
      <c r="BB53" s="169">
        <v>0.0</v>
      </c>
      <c r="BC53" s="169">
        <v>0.0</v>
      </c>
      <c r="BD53" s="169">
        <v>0.0</v>
      </c>
      <c r="BE53" s="169">
        <v>0.0</v>
      </c>
      <c r="BF53" s="169">
        <v>0.0</v>
      </c>
      <c r="BG53" s="169">
        <v>0.0</v>
      </c>
      <c r="BH53" s="169">
        <v>0.0</v>
      </c>
      <c r="BI53" s="169">
        <v>0.0</v>
      </c>
      <c r="BJ53" s="169">
        <v>0.0</v>
      </c>
      <c r="BK53" s="169">
        <v>0.0</v>
      </c>
      <c r="BL53" s="169">
        <v>0.0</v>
      </c>
      <c r="BM53" s="169">
        <v>0.0</v>
      </c>
      <c r="BN53" s="169">
        <v>0.0</v>
      </c>
      <c r="BO53" s="169">
        <v>0.0</v>
      </c>
      <c r="BP53" s="205">
        <f t="shared" si="131"/>
        <v>0</v>
      </c>
      <c r="BQ53" s="173">
        <v>994.0</v>
      </c>
      <c r="BR53" s="170">
        <f t="shared" si="10"/>
        <v>1</v>
      </c>
      <c r="BS53" s="6"/>
      <c r="BT53" s="173">
        <v>0.0</v>
      </c>
      <c r="BU53" s="173">
        <v>0.0</v>
      </c>
      <c r="BV53" s="173">
        <v>1.0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172">
        <f t="shared" si="132"/>
        <v>0</v>
      </c>
      <c r="CL53" s="173">
        <v>984.0</v>
      </c>
      <c r="CM53" s="173">
        <v>387.0</v>
      </c>
      <c r="CN53" s="175">
        <f t="shared" si="12"/>
        <v>4</v>
      </c>
      <c r="CO53" s="173">
        <v>0.0</v>
      </c>
      <c r="CP53" s="173">
        <v>0.0</v>
      </c>
      <c r="CQ53" s="173">
        <v>0.0</v>
      </c>
      <c r="CR53" s="173">
        <v>4.0</v>
      </c>
      <c r="CS53" s="173">
        <v>0.0</v>
      </c>
      <c r="CT53" s="173">
        <v>0.0</v>
      </c>
      <c r="CU53" s="173">
        <v>0.0</v>
      </c>
      <c r="CV53" s="173">
        <v>0.0</v>
      </c>
      <c r="CW53" s="173">
        <v>0.0</v>
      </c>
      <c r="CX53" s="173">
        <v>0.0</v>
      </c>
      <c r="CY53" s="173">
        <v>0.0</v>
      </c>
      <c r="CZ53" s="173">
        <v>0.0</v>
      </c>
      <c r="DA53" s="173">
        <v>0.0</v>
      </c>
      <c r="DB53" s="173">
        <v>0.0</v>
      </c>
      <c r="DC53" s="173">
        <v>0.0</v>
      </c>
      <c r="DD53" s="173">
        <v>0.0</v>
      </c>
      <c r="DE53" s="173">
        <v>0.0</v>
      </c>
      <c r="DF53" s="173">
        <v>0.0</v>
      </c>
      <c r="DG53" s="176">
        <f t="shared" si="13"/>
        <v>0</v>
      </c>
      <c r="DH53" s="177">
        <v>887.0</v>
      </c>
      <c r="DI53" s="177">
        <v>312.0</v>
      </c>
      <c r="DJ53" s="178">
        <v>883.0</v>
      </c>
      <c r="DK53" s="178">
        <v>295.0</v>
      </c>
      <c r="DL53" s="179">
        <f t="shared" si="14"/>
        <v>6</v>
      </c>
      <c r="DM53" s="180">
        <f t="shared" si="15"/>
        <v>1</v>
      </c>
      <c r="DN53" s="180">
        <f t="shared" si="16"/>
        <v>5</v>
      </c>
      <c r="DO53" s="177">
        <v>0.0</v>
      </c>
      <c r="DP53" s="177">
        <v>0.0</v>
      </c>
      <c r="DQ53" s="177">
        <v>1.0</v>
      </c>
      <c r="DR53" s="177">
        <v>5.0</v>
      </c>
      <c r="DS53" s="177">
        <v>0.0</v>
      </c>
      <c r="DT53" s="177">
        <v>0.0</v>
      </c>
      <c r="DU53" s="177">
        <v>0.0</v>
      </c>
      <c r="DV53" s="177">
        <v>0.0</v>
      </c>
      <c r="DW53" s="177">
        <v>0.0</v>
      </c>
      <c r="DX53" s="177">
        <v>0.0</v>
      </c>
      <c r="DY53" s="177">
        <v>0.0</v>
      </c>
      <c r="DZ53" s="177">
        <v>0.0</v>
      </c>
      <c r="EA53" s="177">
        <v>0.0</v>
      </c>
      <c r="EB53" s="177">
        <v>0.0</v>
      </c>
      <c r="EC53" s="177">
        <v>0.0</v>
      </c>
      <c r="ED53" s="177">
        <v>0.0</v>
      </c>
      <c r="EE53" s="177">
        <v>0.0</v>
      </c>
      <c r="EF53" s="177">
        <v>0.0</v>
      </c>
      <c r="EG53" s="179">
        <f t="shared" si="17"/>
        <v>0</v>
      </c>
      <c r="EH53" s="179">
        <f t="shared" si="18"/>
        <v>0</v>
      </c>
      <c r="EI53" s="177">
        <v>864.0</v>
      </c>
      <c r="EJ53" s="177">
        <v>263.0</v>
      </c>
      <c r="EK53" s="178">
        <v>845.0</v>
      </c>
      <c r="EL53" s="178">
        <v>234.0</v>
      </c>
      <c r="EM53" s="185">
        <f t="shared" si="19"/>
        <v>6</v>
      </c>
      <c r="EN53" s="186">
        <f t="shared" si="89"/>
        <v>1</v>
      </c>
      <c r="EO53" s="186">
        <f t="shared" si="90"/>
        <v>5</v>
      </c>
      <c r="EP53" s="177">
        <v>0.0</v>
      </c>
      <c r="EQ53" s="177">
        <v>0.0</v>
      </c>
      <c r="ER53" s="177">
        <v>1.0</v>
      </c>
      <c r="ES53" s="177">
        <v>5.0</v>
      </c>
      <c r="ET53" s="177">
        <v>0.0</v>
      </c>
      <c r="EU53" s="177">
        <v>0.0</v>
      </c>
      <c r="EV53" s="177">
        <v>0.0</v>
      </c>
      <c r="EW53" s="177">
        <v>0.0</v>
      </c>
      <c r="EX53" s="177">
        <v>0.0</v>
      </c>
      <c r="EY53" s="177">
        <v>0.0</v>
      </c>
      <c r="EZ53" s="177">
        <v>0.0</v>
      </c>
      <c r="FA53" s="177">
        <v>0.0</v>
      </c>
      <c r="FB53" s="300">
        <v>0.0</v>
      </c>
      <c r="FC53" s="301">
        <v>0.0</v>
      </c>
      <c r="FD53" s="301">
        <v>0.0</v>
      </c>
      <c r="FE53" s="301">
        <v>0.0</v>
      </c>
      <c r="FF53" s="296">
        <v>0.0</v>
      </c>
      <c r="FG53" s="227"/>
      <c r="FH53" s="185">
        <f t="shared" si="22"/>
        <v>0</v>
      </c>
      <c r="FI53" s="185">
        <f t="shared" si="23"/>
        <v>0</v>
      </c>
      <c r="FJ53" s="177">
        <v>764.0</v>
      </c>
      <c r="FK53" s="177">
        <v>337.0</v>
      </c>
      <c r="FL53" s="177">
        <v>741.0</v>
      </c>
      <c r="FM53" s="177">
        <v>337.0</v>
      </c>
      <c r="FN53" s="297"/>
      <c r="FO53" s="297">
        <v>5.0</v>
      </c>
      <c r="FP53" s="188">
        <f t="shared" si="128"/>
        <v>5</v>
      </c>
      <c r="FQ53" s="211">
        <v>1.0</v>
      </c>
      <c r="FR53" s="212">
        <v>4.0</v>
      </c>
      <c r="FS53" s="206">
        <v>0.0</v>
      </c>
      <c r="FT53" s="207">
        <v>0.0</v>
      </c>
      <c r="FU53" s="207">
        <v>1.0</v>
      </c>
      <c r="FV53" s="207">
        <v>4.0</v>
      </c>
      <c r="FW53" s="207">
        <v>0.0</v>
      </c>
      <c r="FX53" s="207">
        <v>0.0</v>
      </c>
      <c r="FY53" s="207">
        <v>0.0</v>
      </c>
      <c r="FZ53" s="207">
        <v>0.0</v>
      </c>
      <c r="GA53" s="207">
        <v>0.0</v>
      </c>
      <c r="GB53" s="207">
        <v>0.0</v>
      </c>
      <c r="GC53" s="207">
        <v>0.0</v>
      </c>
      <c r="GD53" s="207">
        <v>0.0</v>
      </c>
      <c r="GE53" s="207">
        <v>0.0</v>
      </c>
      <c r="GF53" s="207">
        <v>0.0</v>
      </c>
      <c r="GG53" s="207">
        <v>0.0</v>
      </c>
      <c r="GH53" s="207">
        <v>0.0</v>
      </c>
      <c r="GI53" s="207">
        <v>0.0</v>
      </c>
      <c r="GJ53" s="207">
        <v>0.0</v>
      </c>
      <c r="GK53" s="212">
        <v>0.0</v>
      </c>
      <c r="GL53" s="212">
        <v>0.0</v>
      </c>
      <c r="GM53" s="177">
        <v>612.0</v>
      </c>
      <c r="GN53" s="177">
        <v>151.0</v>
      </c>
      <c r="GO53" s="298">
        <v>598.0</v>
      </c>
      <c r="GP53" s="298">
        <v>136.0</v>
      </c>
      <c r="GQ53" s="207"/>
      <c r="GR53" s="213">
        <v>5.0</v>
      </c>
      <c r="GS53" s="193">
        <v>1.0</v>
      </c>
      <c r="GT53" s="194">
        <f t="shared" si="25"/>
        <v>5</v>
      </c>
      <c r="GU53" s="194">
        <f t="shared" si="26"/>
        <v>1</v>
      </c>
      <c r="GV53" s="194">
        <f t="shared" si="27"/>
        <v>4</v>
      </c>
      <c r="GW53" s="207">
        <v>0.0</v>
      </c>
      <c r="GX53" s="207">
        <v>0.0</v>
      </c>
      <c r="GY53" s="207">
        <v>1.0</v>
      </c>
      <c r="GZ53" s="207">
        <v>4.0</v>
      </c>
      <c r="HA53" s="207">
        <v>0.0</v>
      </c>
      <c r="HB53" s="207">
        <v>0.0</v>
      </c>
      <c r="HC53" s="207">
        <v>0.0</v>
      </c>
      <c r="HD53" s="207">
        <v>0.0</v>
      </c>
      <c r="HE53" s="207">
        <v>0.0</v>
      </c>
      <c r="HF53" s="207">
        <v>0.0</v>
      </c>
      <c r="HG53" s="207">
        <v>0.0</v>
      </c>
      <c r="HH53" s="207">
        <v>0.0</v>
      </c>
      <c r="HI53" s="207">
        <v>0.0</v>
      </c>
      <c r="HJ53" s="207">
        <v>0.0</v>
      </c>
      <c r="HK53" s="207">
        <v>0.0</v>
      </c>
      <c r="HL53" s="207">
        <v>0.0</v>
      </c>
      <c r="HM53" s="207">
        <v>0.0</v>
      </c>
      <c r="HN53" s="207">
        <v>0.0</v>
      </c>
      <c r="HO53" s="299">
        <v>0.0</v>
      </c>
      <c r="HP53" s="299">
        <v>0.0</v>
      </c>
      <c r="HQ53" s="214"/>
      <c r="HR53" s="197"/>
      <c r="HS53" s="197"/>
      <c r="HT53" s="198">
        <f t="shared" si="28"/>
        <v>5</v>
      </c>
      <c r="HU53" s="198">
        <f t="shared" si="29"/>
        <v>12</v>
      </c>
      <c r="HV53" s="198">
        <f t="shared" si="30"/>
        <v>2</v>
      </c>
      <c r="HW53" s="198">
        <f t="shared" si="99"/>
        <v>3</v>
      </c>
      <c r="HX53" s="198">
        <f t="shared" si="32"/>
        <v>4</v>
      </c>
      <c r="HY53" s="198">
        <f t="shared" si="33"/>
        <v>1</v>
      </c>
      <c r="HZ53" s="198">
        <f t="shared" si="34"/>
        <v>1</v>
      </c>
      <c r="IA53" s="198">
        <f t="shared" si="35"/>
        <v>4</v>
      </c>
      <c r="IB53" s="198">
        <f t="shared" si="36"/>
        <v>6</v>
      </c>
      <c r="IC53" s="198">
        <f t="shared" si="37"/>
        <v>6</v>
      </c>
      <c r="ID53" s="198">
        <f t="shared" si="38"/>
        <v>5</v>
      </c>
      <c r="IE53" s="198">
        <f t="shared" si="39"/>
        <v>5</v>
      </c>
      <c r="IF53" s="197"/>
      <c r="IG53" s="197"/>
      <c r="IH53" s="197"/>
      <c r="II53" s="197"/>
      <c r="IJ53" s="197"/>
      <c r="IK53" s="197"/>
      <c r="IL53" s="197"/>
      <c r="IM53" s="197"/>
      <c r="IN53" s="197"/>
      <c r="IO53" s="197"/>
      <c r="IP53" s="197"/>
      <c r="IQ53" s="197"/>
      <c r="IR53" s="197"/>
      <c r="IS53" s="197"/>
      <c r="IT53" s="197"/>
      <c r="IU53" s="197"/>
      <c r="IV53" s="197"/>
      <c r="IW53" s="197"/>
      <c r="IX53" s="197"/>
      <c r="IY53" s="197"/>
      <c r="IZ53" s="197"/>
      <c r="JA53" s="199"/>
      <c r="JB53" s="200">
        <f t="shared" si="40"/>
        <v>5</v>
      </c>
      <c r="JC53" s="200">
        <f t="shared" si="41"/>
        <v>12</v>
      </c>
      <c r="JD53" s="200">
        <f t="shared" si="42"/>
        <v>2</v>
      </c>
      <c r="JE53" s="200">
        <f t="shared" si="43"/>
        <v>3</v>
      </c>
      <c r="JF53" s="200">
        <f t="shared" si="44"/>
        <v>4</v>
      </c>
      <c r="JG53" s="200">
        <f t="shared" si="45"/>
        <v>1</v>
      </c>
      <c r="JH53" s="200">
        <f t="shared" si="46"/>
        <v>1</v>
      </c>
      <c r="JI53" s="200">
        <f t="shared" si="47"/>
        <v>4</v>
      </c>
      <c r="JJ53" s="200">
        <f t="shared" si="48"/>
        <v>6</v>
      </c>
      <c r="JK53" s="200">
        <f t="shared" si="49"/>
        <v>6</v>
      </c>
      <c r="JL53" s="200">
        <f t="shared" si="50"/>
        <v>5</v>
      </c>
      <c r="JM53" s="200">
        <f t="shared" si="51"/>
        <v>5</v>
      </c>
      <c r="JN53" s="199"/>
      <c r="JO53" s="200">
        <f t="shared" si="52"/>
        <v>5</v>
      </c>
      <c r="JP53" s="202">
        <v>12.0</v>
      </c>
      <c r="JQ53" s="202">
        <v>2.0</v>
      </c>
      <c r="JR53" s="202">
        <v>3.0</v>
      </c>
      <c r="JS53" s="202">
        <v>4.0</v>
      </c>
      <c r="JT53" s="199"/>
      <c r="JU53" s="199"/>
      <c r="JV53" s="200">
        <f t="shared" ref="JV53:JX53" si="153">IA53-JI53</f>
        <v>0</v>
      </c>
      <c r="JW53" s="200">
        <f t="shared" si="153"/>
        <v>0</v>
      </c>
      <c r="JX53" s="200">
        <f t="shared" si="153"/>
        <v>0</v>
      </c>
      <c r="JY53" s="199"/>
      <c r="JZ53" s="199"/>
      <c r="KA53" s="199"/>
      <c r="KB53" s="200">
        <f t="shared" ref="KB53:KM53" si="154">JB53-JO53</f>
        <v>0</v>
      </c>
      <c r="KC53" s="200">
        <f t="shared" si="154"/>
        <v>0</v>
      </c>
      <c r="KD53" s="200">
        <f t="shared" si="154"/>
        <v>0</v>
      </c>
      <c r="KE53" s="200">
        <f t="shared" si="154"/>
        <v>0</v>
      </c>
      <c r="KF53" s="200">
        <f t="shared" si="154"/>
        <v>0</v>
      </c>
      <c r="KG53" s="200">
        <f t="shared" si="154"/>
        <v>1</v>
      </c>
      <c r="KH53" s="200">
        <f t="shared" si="154"/>
        <v>1</v>
      </c>
      <c r="KI53" s="200">
        <f t="shared" si="154"/>
        <v>4</v>
      </c>
      <c r="KJ53" s="200">
        <f t="shared" si="154"/>
        <v>6</v>
      </c>
      <c r="KK53" s="200">
        <f t="shared" si="154"/>
        <v>6</v>
      </c>
      <c r="KL53" s="200">
        <f t="shared" si="154"/>
        <v>5</v>
      </c>
      <c r="KM53" s="200">
        <f t="shared" si="154"/>
        <v>5</v>
      </c>
      <c r="KN53" s="199"/>
      <c r="KO53" s="199"/>
      <c r="KP53" s="199"/>
      <c r="KQ53" s="199"/>
      <c r="KR53" s="199"/>
      <c r="KS53" s="199"/>
      <c r="KT53" s="199"/>
      <c r="KU53" s="199"/>
      <c r="KV53" s="199"/>
      <c r="KW53" s="199"/>
      <c r="KX53" s="199"/>
      <c r="KY53" s="199"/>
      <c r="KZ53" s="199"/>
      <c r="LA53" s="199"/>
      <c r="LB53" s="199"/>
      <c r="LC53" s="199"/>
      <c r="LD53" s="199"/>
      <c r="LE53" s="199"/>
      <c r="LF53" s="199"/>
      <c r="LG53" s="199"/>
    </row>
    <row r="54" ht="14.25" customHeight="1">
      <c r="A54" s="156">
        <v>47.0</v>
      </c>
      <c r="B54" s="157" t="s">
        <v>128</v>
      </c>
      <c r="C54" s="158">
        <v>3374070.0</v>
      </c>
      <c r="D54" s="158" t="s">
        <v>128</v>
      </c>
      <c r="E54" s="158" t="s">
        <v>135</v>
      </c>
      <c r="F54" s="159">
        <v>11.0</v>
      </c>
      <c r="G54" s="285">
        <v>292.0</v>
      </c>
      <c r="H54" s="160">
        <v>0.0</v>
      </c>
      <c r="I54" s="161">
        <v>0.0</v>
      </c>
      <c r="J54" s="161">
        <v>0.0</v>
      </c>
      <c r="K54" s="161">
        <v>0.0</v>
      </c>
      <c r="L54" s="161">
        <v>0.0</v>
      </c>
      <c r="M54" s="161">
        <v>0.0</v>
      </c>
      <c r="N54" s="161">
        <v>0.0</v>
      </c>
      <c r="O54" s="162">
        <f t="shared" si="3"/>
        <v>0</v>
      </c>
      <c r="P54" s="203">
        <v>4.0</v>
      </c>
      <c r="Q54" s="164">
        <v>0.0</v>
      </c>
      <c r="R54" s="164">
        <v>0.0</v>
      </c>
      <c r="S54" s="164">
        <v>4.0</v>
      </c>
      <c r="T54" s="165">
        <v>0.0</v>
      </c>
      <c r="U54" s="165">
        <v>2.0</v>
      </c>
      <c r="V54" s="165">
        <v>2.0</v>
      </c>
      <c r="W54" s="166">
        <f t="shared" si="4"/>
        <v>0</v>
      </c>
      <c r="X54" s="203">
        <v>0.0</v>
      </c>
      <c r="Y54" s="165">
        <v>0.0</v>
      </c>
      <c r="Z54" s="165">
        <v>0.0</v>
      </c>
      <c r="AA54" s="165">
        <v>0.0</v>
      </c>
      <c r="AB54" s="165">
        <v>0.0</v>
      </c>
      <c r="AC54" s="165">
        <v>0.0</v>
      </c>
      <c r="AD54" s="165">
        <v>0.0</v>
      </c>
      <c r="AE54" s="166">
        <f t="shared" si="5"/>
        <v>0</v>
      </c>
      <c r="AF54" s="167">
        <v>2.0</v>
      </c>
      <c r="AG54" s="165">
        <v>0.0</v>
      </c>
      <c r="AH54" s="165">
        <v>0.0</v>
      </c>
      <c r="AI54" s="165">
        <v>0.0</v>
      </c>
      <c r="AJ54" s="165">
        <v>2.0</v>
      </c>
      <c r="AK54" s="165">
        <v>0.0</v>
      </c>
      <c r="AL54" s="165">
        <v>1.0</v>
      </c>
      <c r="AM54" s="166">
        <f t="shared" si="98"/>
        <v>1</v>
      </c>
      <c r="AN54" s="167">
        <v>2.0</v>
      </c>
      <c r="AO54" s="165">
        <v>0.0</v>
      </c>
      <c r="AP54" s="165">
        <v>0.0</v>
      </c>
      <c r="AQ54" s="165">
        <v>0.0</v>
      </c>
      <c r="AR54" s="165">
        <v>2.0</v>
      </c>
      <c r="AS54" s="165">
        <v>0.0</v>
      </c>
      <c r="AT54" s="165">
        <v>0.0</v>
      </c>
      <c r="AU54" s="168">
        <f t="shared" si="7"/>
        <v>2</v>
      </c>
      <c r="AV54" s="169">
        <v>299.0</v>
      </c>
      <c r="AW54" s="204">
        <f t="shared" si="8"/>
        <v>1</v>
      </c>
      <c r="AX54" s="169">
        <v>0.0</v>
      </c>
      <c r="AY54" s="169">
        <v>0.0</v>
      </c>
      <c r="AZ54" s="169">
        <v>0.0</v>
      </c>
      <c r="BA54" s="169">
        <v>1.0</v>
      </c>
      <c r="BB54" s="169">
        <v>0.0</v>
      </c>
      <c r="BC54" s="169">
        <v>0.0</v>
      </c>
      <c r="BD54" s="169">
        <v>0.0</v>
      </c>
      <c r="BE54" s="169">
        <v>0.0</v>
      </c>
      <c r="BF54" s="169">
        <v>0.0</v>
      </c>
      <c r="BG54" s="169">
        <v>0.0</v>
      </c>
      <c r="BH54" s="169">
        <v>0.0</v>
      </c>
      <c r="BI54" s="169">
        <v>0.0</v>
      </c>
      <c r="BJ54" s="169">
        <v>0.0</v>
      </c>
      <c r="BK54" s="169">
        <v>0.0</v>
      </c>
      <c r="BL54" s="169">
        <v>0.0</v>
      </c>
      <c r="BM54" s="169">
        <v>0.0</v>
      </c>
      <c r="BN54" s="169">
        <v>0.0</v>
      </c>
      <c r="BO54" s="169">
        <v>0.0</v>
      </c>
      <c r="BP54" s="205">
        <f t="shared" si="131"/>
        <v>0</v>
      </c>
      <c r="BQ54" s="173">
        <v>278.0</v>
      </c>
      <c r="BR54" s="170">
        <f t="shared" si="10"/>
        <v>1</v>
      </c>
      <c r="BS54" s="6"/>
      <c r="BT54" s="173">
        <v>0.0</v>
      </c>
      <c r="BU54" s="173">
        <v>0.0</v>
      </c>
      <c r="BV54" s="173">
        <v>1.0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172">
        <f t="shared" si="132"/>
        <v>0</v>
      </c>
      <c r="CL54" s="173">
        <v>278.0</v>
      </c>
      <c r="CM54" s="173">
        <v>98.0</v>
      </c>
      <c r="CN54" s="175">
        <f t="shared" si="12"/>
        <v>1</v>
      </c>
      <c r="CO54" s="173">
        <v>0.0</v>
      </c>
      <c r="CP54" s="173">
        <v>0.0</v>
      </c>
      <c r="CQ54" s="173">
        <v>1.0</v>
      </c>
      <c r="CR54" s="173">
        <v>0.0</v>
      </c>
      <c r="CS54" s="173">
        <v>0.0</v>
      </c>
      <c r="CT54" s="173">
        <v>0.0</v>
      </c>
      <c r="CU54" s="173">
        <v>0.0</v>
      </c>
      <c r="CV54" s="173">
        <v>0.0</v>
      </c>
      <c r="CW54" s="173">
        <v>0.0</v>
      </c>
      <c r="CX54" s="173">
        <v>0.0</v>
      </c>
      <c r="CY54" s="173">
        <v>0.0</v>
      </c>
      <c r="CZ54" s="173">
        <v>0.0</v>
      </c>
      <c r="DA54" s="173">
        <v>0.0</v>
      </c>
      <c r="DB54" s="173">
        <v>0.0</v>
      </c>
      <c r="DC54" s="173">
        <v>0.0</v>
      </c>
      <c r="DD54" s="173">
        <v>0.0</v>
      </c>
      <c r="DE54" s="173">
        <v>0.0</v>
      </c>
      <c r="DF54" s="173">
        <v>0.0</v>
      </c>
      <c r="DG54" s="176">
        <f t="shared" si="13"/>
        <v>0</v>
      </c>
      <c r="DH54" s="177">
        <v>163.0</v>
      </c>
      <c r="DI54" s="177">
        <v>62.0</v>
      </c>
      <c r="DJ54" s="178">
        <v>146.0</v>
      </c>
      <c r="DK54" s="178">
        <v>55.0</v>
      </c>
      <c r="DL54" s="179">
        <f t="shared" si="14"/>
        <v>1</v>
      </c>
      <c r="DM54" s="180">
        <f t="shared" si="15"/>
        <v>1</v>
      </c>
      <c r="DN54" s="180">
        <f t="shared" si="16"/>
        <v>0</v>
      </c>
      <c r="DO54" s="177">
        <v>0.0</v>
      </c>
      <c r="DP54" s="177">
        <v>0.0</v>
      </c>
      <c r="DQ54" s="177">
        <v>1.0</v>
      </c>
      <c r="DR54" s="177">
        <v>0.0</v>
      </c>
      <c r="DS54" s="177">
        <v>0.0</v>
      </c>
      <c r="DT54" s="177">
        <v>0.0</v>
      </c>
      <c r="DU54" s="177">
        <v>0.0</v>
      </c>
      <c r="DV54" s="177">
        <v>0.0</v>
      </c>
      <c r="DW54" s="177">
        <v>0.0</v>
      </c>
      <c r="DX54" s="177">
        <v>0.0</v>
      </c>
      <c r="DY54" s="177">
        <v>0.0</v>
      </c>
      <c r="DZ54" s="177">
        <v>0.0</v>
      </c>
      <c r="EA54" s="177">
        <v>0.0</v>
      </c>
      <c r="EB54" s="177">
        <v>0.0</v>
      </c>
      <c r="EC54" s="177">
        <v>0.0</v>
      </c>
      <c r="ED54" s="177">
        <v>0.0</v>
      </c>
      <c r="EE54" s="177">
        <v>0.0</v>
      </c>
      <c r="EF54" s="177">
        <v>0.0</v>
      </c>
      <c r="EG54" s="179">
        <f t="shared" si="17"/>
        <v>0</v>
      </c>
      <c r="EH54" s="179">
        <f t="shared" si="18"/>
        <v>0</v>
      </c>
      <c r="EI54" s="177">
        <v>261.0</v>
      </c>
      <c r="EJ54" s="177">
        <v>93.0</v>
      </c>
      <c r="EK54" s="178">
        <v>245.0</v>
      </c>
      <c r="EL54" s="178">
        <v>82.0</v>
      </c>
      <c r="EM54" s="185">
        <f t="shared" si="19"/>
        <v>1</v>
      </c>
      <c r="EN54" s="186">
        <f t="shared" si="89"/>
        <v>1</v>
      </c>
      <c r="EO54" s="186">
        <f t="shared" si="90"/>
        <v>0</v>
      </c>
      <c r="EP54" s="177">
        <v>0.0</v>
      </c>
      <c r="EQ54" s="177">
        <v>0.0</v>
      </c>
      <c r="ER54" s="177">
        <v>1.0</v>
      </c>
      <c r="ES54" s="177">
        <v>0.0</v>
      </c>
      <c r="ET54" s="177">
        <v>0.0</v>
      </c>
      <c r="EU54" s="177">
        <v>0.0</v>
      </c>
      <c r="EV54" s="177">
        <v>0.0</v>
      </c>
      <c r="EW54" s="177">
        <v>0.0</v>
      </c>
      <c r="EX54" s="177">
        <v>0.0</v>
      </c>
      <c r="EY54" s="177">
        <v>0.0</v>
      </c>
      <c r="EZ54" s="177">
        <v>0.0</v>
      </c>
      <c r="FA54" s="177">
        <v>0.0</v>
      </c>
      <c r="FB54" s="300">
        <v>0.0</v>
      </c>
      <c r="FC54" s="301">
        <v>0.0</v>
      </c>
      <c r="FD54" s="301">
        <v>0.0</v>
      </c>
      <c r="FE54" s="301">
        <v>0.0</v>
      </c>
      <c r="FF54" s="296">
        <v>0.0</v>
      </c>
      <c r="FG54" s="227"/>
      <c r="FH54" s="185">
        <f t="shared" si="22"/>
        <v>0</v>
      </c>
      <c r="FI54" s="185">
        <f t="shared" si="23"/>
        <v>0</v>
      </c>
      <c r="FJ54" s="177">
        <v>264.0</v>
      </c>
      <c r="FK54" s="177">
        <v>98.0</v>
      </c>
      <c r="FL54" s="177">
        <v>260.0</v>
      </c>
      <c r="FM54" s="177">
        <v>98.0</v>
      </c>
      <c r="FN54" s="297"/>
      <c r="FO54" s="297">
        <v>1.0</v>
      </c>
      <c r="FP54" s="188">
        <f t="shared" si="128"/>
        <v>1</v>
      </c>
      <c r="FQ54" s="211">
        <v>0.0</v>
      </c>
      <c r="FR54" s="212">
        <v>1.0</v>
      </c>
      <c r="FS54" s="206">
        <v>0.0</v>
      </c>
      <c r="FT54" s="207">
        <v>0.0</v>
      </c>
      <c r="FU54" s="207">
        <v>0.0</v>
      </c>
      <c r="FV54" s="207">
        <v>1.0</v>
      </c>
      <c r="FW54" s="207">
        <v>0.0</v>
      </c>
      <c r="FX54" s="207">
        <v>0.0</v>
      </c>
      <c r="FY54" s="207">
        <v>0.0</v>
      </c>
      <c r="FZ54" s="207">
        <v>0.0</v>
      </c>
      <c r="GA54" s="207">
        <v>0.0</v>
      </c>
      <c r="GB54" s="207">
        <v>0.0</v>
      </c>
      <c r="GC54" s="207">
        <v>0.0</v>
      </c>
      <c r="GD54" s="207">
        <v>0.0</v>
      </c>
      <c r="GE54" s="207">
        <v>0.0</v>
      </c>
      <c r="GF54" s="207">
        <v>0.0</v>
      </c>
      <c r="GG54" s="207">
        <v>0.0</v>
      </c>
      <c r="GH54" s="207">
        <v>0.0</v>
      </c>
      <c r="GI54" s="207">
        <v>0.0</v>
      </c>
      <c r="GJ54" s="207">
        <v>0.0</v>
      </c>
      <c r="GK54" s="212">
        <v>0.0</v>
      </c>
      <c r="GL54" s="212">
        <v>0.0</v>
      </c>
      <c r="GM54" s="177">
        <v>231.0</v>
      </c>
      <c r="GN54" s="177">
        <v>42.0</v>
      </c>
      <c r="GO54" s="298">
        <v>220.0</v>
      </c>
      <c r="GP54" s="298">
        <v>36.0</v>
      </c>
      <c r="GQ54" s="207"/>
      <c r="GR54" s="213">
        <v>1.0</v>
      </c>
      <c r="GS54" s="193">
        <v>0.0</v>
      </c>
      <c r="GT54" s="194">
        <f t="shared" si="25"/>
        <v>1</v>
      </c>
      <c r="GU54" s="194">
        <f t="shared" si="26"/>
        <v>0</v>
      </c>
      <c r="GV54" s="194">
        <f t="shared" si="27"/>
        <v>1</v>
      </c>
      <c r="GW54" s="207">
        <v>0.0</v>
      </c>
      <c r="GX54" s="207">
        <v>0.0</v>
      </c>
      <c r="GY54" s="207">
        <v>0.0</v>
      </c>
      <c r="GZ54" s="207">
        <v>1.0</v>
      </c>
      <c r="HA54" s="207">
        <v>0.0</v>
      </c>
      <c r="HB54" s="207">
        <v>0.0</v>
      </c>
      <c r="HC54" s="207">
        <v>0.0</v>
      </c>
      <c r="HD54" s="207">
        <v>0.0</v>
      </c>
      <c r="HE54" s="207">
        <v>0.0</v>
      </c>
      <c r="HF54" s="207">
        <v>0.0</v>
      </c>
      <c r="HG54" s="207">
        <v>0.0</v>
      </c>
      <c r="HH54" s="207">
        <v>0.0</v>
      </c>
      <c r="HI54" s="207">
        <v>0.0</v>
      </c>
      <c r="HJ54" s="207">
        <v>0.0</v>
      </c>
      <c r="HK54" s="207">
        <v>0.0</v>
      </c>
      <c r="HL54" s="207">
        <v>0.0</v>
      </c>
      <c r="HM54" s="207">
        <v>0.0</v>
      </c>
      <c r="HN54" s="207">
        <v>0.0</v>
      </c>
      <c r="HO54" s="299">
        <v>0.0</v>
      </c>
      <c r="HP54" s="299">
        <v>0.0</v>
      </c>
      <c r="HQ54" s="214"/>
      <c r="HR54" s="197"/>
      <c r="HS54" s="197"/>
      <c r="HT54" s="198">
        <f t="shared" si="28"/>
        <v>0</v>
      </c>
      <c r="HU54" s="198">
        <f t="shared" si="29"/>
        <v>4</v>
      </c>
      <c r="HV54" s="198">
        <f t="shared" si="30"/>
        <v>0</v>
      </c>
      <c r="HW54" s="198">
        <f t="shared" si="99"/>
        <v>2</v>
      </c>
      <c r="HX54" s="198">
        <f t="shared" si="32"/>
        <v>2</v>
      </c>
      <c r="HY54" s="198">
        <f t="shared" si="33"/>
        <v>1</v>
      </c>
      <c r="HZ54" s="198">
        <f t="shared" si="34"/>
        <v>1</v>
      </c>
      <c r="IA54" s="198">
        <f t="shared" si="35"/>
        <v>1</v>
      </c>
      <c r="IB54" s="198">
        <f t="shared" si="36"/>
        <v>1</v>
      </c>
      <c r="IC54" s="198">
        <f t="shared" si="37"/>
        <v>1</v>
      </c>
      <c r="ID54" s="198">
        <f t="shared" si="38"/>
        <v>1</v>
      </c>
      <c r="IE54" s="198">
        <f t="shared" si="39"/>
        <v>1</v>
      </c>
      <c r="IF54" s="197"/>
      <c r="IG54" s="197"/>
      <c r="IH54" s="197"/>
      <c r="II54" s="197"/>
      <c r="IJ54" s="197"/>
      <c r="IK54" s="197"/>
      <c r="IL54" s="197"/>
      <c r="IM54" s="197"/>
      <c r="IN54" s="197"/>
      <c r="IO54" s="197"/>
      <c r="IP54" s="197"/>
      <c r="IQ54" s="197"/>
      <c r="IR54" s="197"/>
      <c r="IS54" s="197"/>
      <c r="IT54" s="197"/>
      <c r="IU54" s="197"/>
      <c r="IV54" s="197"/>
      <c r="IW54" s="197"/>
      <c r="IX54" s="197"/>
      <c r="IY54" s="197"/>
      <c r="IZ54" s="197"/>
      <c r="JA54" s="199"/>
      <c r="JB54" s="200">
        <f t="shared" si="40"/>
        <v>0</v>
      </c>
      <c r="JC54" s="200">
        <f t="shared" si="41"/>
        <v>4</v>
      </c>
      <c r="JD54" s="200">
        <f t="shared" si="42"/>
        <v>0</v>
      </c>
      <c r="JE54" s="200">
        <f t="shared" si="43"/>
        <v>2</v>
      </c>
      <c r="JF54" s="200">
        <f t="shared" si="44"/>
        <v>2</v>
      </c>
      <c r="JG54" s="200">
        <f t="shared" si="45"/>
        <v>1</v>
      </c>
      <c r="JH54" s="200">
        <f t="shared" si="46"/>
        <v>1</v>
      </c>
      <c r="JI54" s="200">
        <f t="shared" si="47"/>
        <v>1</v>
      </c>
      <c r="JJ54" s="200">
        <f t="shared" si="48"/>
        <v>1</v>
      </c>
      <c r="JK54" s="200">
        <f t="shared" si="49"/>
        <v>1</v>
      </c>
      <c r="JL54" s="200">
        <f t="shared" si="50"/>
        <v>1</v>
      </c>
      <c r="JM54" s="200">
        <f t="shared" si="51"/>
        <v>1</v>
      </c>
      <c r="JN54" s="199"/>
      <c r="JO54" s="200">
        <f t="shared" si="52"/>
        <v>0</v>
      </c>
      <c r="JP54" s="202">
        <v>4.0</v>
      </c>
      <c r="JQ54" s="202">
        <v>0.0</v>
      </c>
      <c r="JR54" s="202">
        <v>2.0</v>
      </c>
      <c r="JS54" s="202">
        <v>2.0</v>
      </c>
      <c r="JT54" s="199"/>
      <c r="JU54" s="199"/>
      <c r="JV54" s="200">
        <f t="shared" ref="JV54:JX54" si="155">IA54-JI54</f>
        <v>0</v>
      </c>
      <c r="JW54" s="200">
        <f t="shared" si="155"/>
        <v>0</v>
      </c>
      <c r="JX54" s="200">
        <f t="shared" si="155"/>
        <v>0</v>
      </c>
      <c r="JY54" s="199"/>
      <c r="JZ54" s="199"/>
      <c r="KA54" s="199"/>
      <c r="KB54" s="200">
        <f t="shared" ref="KB54:KM54" si="156">JB54-JO54</f>
        <v>0</v>
      </c>
      <c r="KC54" s="200">
        <f t="shared" si="156"/>
        <v>0</v>
      </c>
      <c r="KD54" s="200">
        <f t="shared" si="156"/>
        <v>0</v>
      </c>
      <c r="KE54" s="200">
        <f t="shared" si="156"/>
        <v>0</v>
      </c>
      <c r="KF54" s="200">
        <f t="shared" si="156"/>
        <v>0</v>
      </c>
      <c r="KG54" s="200">
        <f t="shared" si="156"/>
        <v>1</v>
      </c>
      <c r="KH54" s="200">
        <f t="shared" si="156"/>
        <v>1</v>
      </c>
      <c r="KI54" s="200">
        <f t="shared" si="156"/>
        <v>1</v>
      </c>
      <c r="KJ54" s="200">
        <f t="shared" si="156"/>
        <v>1</v>
      </c>
      <c r="KK54" s="200">
        <f t="shared" si="156"/>
        <v>1</v>
      </c>
      <c r="KL54" s="200">
        <f t="shared" si="156"/>
        <v>1</v>
      </c>
      <c r="KM54" s="200">
        <f t="shared" si="156"/>
        <v>1</v>
      </c>
      <c r="KN54" s="199"/>
      <c r="KO54" s="199"/>
      <c r="KP54" s="199"/>
      <c r="KQ54" s="199"/>
      <c r="KR54" s="199"/>
      <c r="KS54" s="199"/>
      <c r="KT54" s="199"/>
      <c r="KU54" s="199"/>
      <c r="KV54" s="199"/>
      <c r="KW54" s="199"/>
      <c r="KX54" s="199"/>
      <c r="KY54" s="199"/>
      <c r="KZ54" s="199"/>
      <c r="LA54" s="199"/>
      <c r="LB54" s="199"/>
      <c r="LC54" s="199"/>
      <c r="LD54" s="199"/>
      <c r="LE54" s="199"/>
      <c r="LF54" s="199"/>
      <c r="LG54" s="199"/>
    </row>
    <row r="55" ht="14.25" customHeight="1">
      <c r="A55" s="156">
        <v>48.0</v>
      </c>
      <c r="B55" s="157" t="s">
        <v>128</v>
      </c>
      <c r="C55" s="158">
        <v>3374070.0</v>
      </c>
      <c r="D55" s="158" t="s">
        <v>128</v>
      </c>
      <c r="E55" s="158" t="s">
        <v>136</v>
      </c>
      <c r="F55" s="159">
        <v>4.0</v>
      </c>
      <c r="G55" s="285">
        <v>211.0</v>
      </c>
      <c r="H55" s="160">
        <v>9.0</v>
      </c>
      <c r="I55" s="161">
        <v>0.0</v>
      </c>
      <c r="J55" s="161">
        <v>0.0</v>
      </c>
      <c r="K55" s="161">
        <v>0.0</v>
      </c>
      <c r="L55" s="161">
        <v>9.0</v>
      </c>
      <c r="M55" s="161">
        <v>0.0</v>
      </c>
      <c r="N55" s="161">
        <v>9.0</v>
      </c>
      <c r="O55" s="162">
        <f t="shared" si="3"/>
        <v>0</v>
      </c>
      <c r="P55" s="203">
        <v>7.0</v>
      </c>
      <c r="Q55" s="164">
        <v>0.0</v>
      </c>
      <c r="R55" s="164">
        <v>0.0</v>
      </c>
      <c r="S55" s="164">
        <v>0.0</v>
      </c>
      <c r="T55" s="165">
        <v>7.0</v>
      </c>
      <c r="U55" s="165">
        <v>0.0</v>
      </c>
      <c r="V55" s="165">
        <v>0.0</v>
      </c>
      <c r="W55" s="166">
        <f t="shared" si="4"/>
        <v>7</v>
      </c>
      <c r="X55" s="203">
        <v>7.0</v>
      </c>
      <c r="Y55" s="165">
        <v>0.0</v>
      </c>
      <c r="Z55" s="165">
        <v>0.0</v>
      </c>
      <c r="AA55" s="165">
        <v>0.0</v>
      </c>
      <c r="AB55" s="165">
        <v>7.0</v>
      </c>
      <c r="AC55" s="165">
        <v>0.0</v>
      </c>
      <c r="AD55" s="165">
        <v>0.0</v>
      </c>
      <c r="AE55" s="166">
        <f t="shared" si="5"/>
        <v>7</v>
      </c>
      <c r="AF55" s="167">
        <v>3.0</v>
      </c>
      <c r="AG55" s="165">
        <v>0.0</v>
      </c>
      <c r="AH55" s="165">
        <v>0.0</v>
      </c>
      <c r="AI55" s="165">
        <v>0.0</v>
      </c>
      <c r="AJ55" s="165">
        <v>3.0</v>
      </c>
      <c r="AK55" s="165">
        <v>0.0</v>
      </c>
      <c r="AL55" s="165">
        <v>0.0</v>
      </c>
      <c r="AM55" s="166">
        <f t="shared" si="98"/>
        <v>3</v>
      </c>
      <c r="AN55" s="167">
        <v>3.0</v>
      </c>
      <c r="AO55" s="165">
        <v>0.0</v>
      </c>
      <c r="AP55" s="165">
        <v>0.0</v>
      </c>
      <c r="AQ55" s="165">
        <v>0.0</v>
      </c>
      <c r="AR55" s="165">
        <v>3.0</v>
      </c>
      <c r="AS55" s="165">
        <v>0.0</v>
      </c>
      <c r="AT55" s="165">
        <v>0.0</v>
      </c>
      <c r="AU55" s="168">
        <f t="shared" si="7"/>
        <v>3</v>
      </c>
      <c r="AV55" s="169">
        <v>238.0</v>
      </c>
      <c r="AW55" s="204">
        <f t="shared" si="8"/>
        <v>1</v>
      </c>
      <c r="AX55" s="169">
        <v>0.0</v>
      </c>
      <c r="AY55" s="169">
        <v>0.0</v>
      </c>
      <c r="AZ55" s="169">
        <v>0.0</v>
      </c>
      <c r="BA55" s="169">
        <v>1.0</v>
      </c>
      <c r="BB55" s="169">
        <v>0.0</v>
      </c>
      <c r="BC55" s="169">
        <v>0.0</v>
      </c>
      <c r="BD55" s="169">
        <v>0.0</v>
      </c>
      <c r="BE55" s="169">
        <v>0.0</v>
      </c>
      <c r="BF55" s="169">
        <v>0.0</v>
      </c>
      <c r="BG55" s="169">
        <v>0.0</v>
      </c>
      <c r="BH55" s="169">
        <v>0.0</v>
      </c>
      <c r="BI55" s="169">
        <v>0.0</v>
      </c>
      <c r="BJ55" s="169">
        <v>0.0</v>
      </c>
      <c r="BK55" s="169">
        <v>0.0</v>
      </c>
      <c r="BL55" s="169">
        <v>0.0</v>
      </c>
      <c r="BM55" s="169">
        <v>0.0</v>
      </c>
      <c r="BN55" s="169">
        <v>0.0</v>
      </c>
      <c r="BO55" s="169">
        <v>0.0</v>
      </c>
      <c r="BP55" s="205">
        <f t="shared" si="131"/>
        <v>0</v>
      </c>
      <c r="BQ55" s="173">
        <v>253.0</v>
      </c>
      <c r="BR55" s="170">
        <f t="shared" si="10"/>
        <v>1</v>
      </c>
      <c r="BS55" s="6"/>
      <c r="BT55" s="173">
        <v>0.0</v>
      </c>
      <c r="BU55" s="173">
        <v>0.0</v>
      </c>
      <c r="BV55" s="173">
        <v>1.0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172">
        <f t="shared" si="132"/>
        <v>0</v>
      </c>
      <c r="CL55" s="173">
        <v>263.0</v>
      </c>
      <c r="CM55" s="173">
        <v>93.0</v>
      </c>
      <c r="CN55" s="175">
        <f t="shared" si="12"/>
        <v>0</v>
      </c>
      <c r="CO55" s="173">
        <v>0.0</v>
      </c>
      <c r="CP55" s="173">
        <v>0.0</v>
      </c>
      <c r="CQ55" s="173">
        <v>0.0</v>
      </c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176">
        <f t="shared" si="13"/>
        <v>0</v>
      </c>
      <c r="DH55" s="177">
        <v>243.0</v>
      </c>
      <c r="DI55" s="177">
        <v>93.0</v>
      </c>
      <c r="DJ55" s="178">
        <v>233.0</v>
      </c>
      <c r="DK55" s="178">
        <v>91.0</v>
      </c>
      <c r="DL55" s="179">
        <f t="shared" si="14"/>
        <v>0</v>
      </c>
      <c r="DM55" s="180">
        <f t="shared" si="15"/>
        <v>0</v>
      </c>
      <c r="DN55" s="180">
        <f t="shared" si="16"/>
        <v>0</v>
      </c>
      <c r="DO55" s="177">
        <v>0.0</v>
      </c>
      <c r="DP55" s="177">
        <v>0.0</v>
      </c>
      <c r="DQ55" s="177">
        <v>0.0</v>
      </c>
      <c r="DR55" s="177">
        <v>0.0</v>
      </c>
      <c r="DS55" s="177">
        <v>0.0</v>
      </c>
      <c r="DT55" s="177">
        <v>0.0</v>
      </c>
      <c r="DU55" s="177">
        <v>0.0</v>
      </c>
      <c r="DV55" s="177">
        <v>0.0</v>
      </c>
      <c r="DW55" s="177">
        <v>0.0</v>
      </c>
      <c r="DX55" s="177">
        <v>0.0</v>
      </c>
      <c r="DY55" s="177">
        <v>0.0</v>
      </c>
      <c r="DZ55" s="177">
        <v>0.0</v>
      </c>
      <c r="EA55" s="177">
        <v>0.0</v>
      </c>
      <c r="EB55" s="177">
        <v>0.0</v>
      </c>
      <c r="EC55" s="177">
        <v>0.0</v>
      </c>
      <c r="ED55" s="177">
        <v>0.0</v>
      </c>
      <c r="EE55" s="177">
        <v>0.0</v>
      </c>
      <c r="EF55" s="177">
        <v>0.0</v>
      </c>
      <c r="EG55" s="179">
        <f t="shared" si="17"/>
        <v>0</v>
      </c>
      <c r="EH55" s="179">
        <f t="shared" si="18"/>
        <v>0</v>
      </c>
      <c r="EI55" s="177">
        <v>272.0</v>
      </c>
      <c r="EJ55" s="177">
        <v>76.0</v>
      </c>
      <c r="EK55" s="178">
        <v>255.0</v>
      </c>
      <c r="EL55" s="178">
        <v>75.0</v>
      </c>
      <c r="EM55" s="185">
        <f t="shared" si="19"/>
        <v>0</v>
      </c>
      <c r="EN55" s="186">
        <f t="shared" si="89"/>
        <v>0</v>
      </c>
      <c r="EO55" s="186">
        <f t="shared" si="90"/>
        <v>0</v>
      </c>
      <c r="EP55" s="177">
        <v>0.0</v>
      </c>
      <c r="EQ55" s="177">
        <v>0.0</v>
      </c>
      <c r="ER55" s="177">
        <v>0.0</v>
      </c>
      <c r="ES55" s="177">
        <v>0.0</v>
      </c>
      <c r="ET55" s="177">
        <v>0.0</v>
      </c>
      <c r="EU55" s="177">
        <v>0.0</v>
      </c>
      <c r="EV55" s="177">
        <v>0.0</v>
      </c>
      <c r="EW55" s="177">
        <v>0.0</v>
      </c>
      <c r="EX55" s="177">
        <v>0.0</v>
      </c>
      <c r="EY55" s="177">
        <v>0.0</v>
      </c>
      <c r="EZ55" s="177">
        <v>0.0</v>
      </c>
      <c r="FA55" s="177">
        <v>0.0</v>
      </c>
      <c r="FB55" s="300">
        <v>0.0</v>
      </c>
      <c r="FC55" s="301">
        <v>0.0</v>
      </c>
      <c r="FD55" s="301">
        <v>0.0</v>
      </c>
      <c r="FE55" s="301">
        <v>0.0</v>
      </c>
      <c r="FF55" s="296">
        <v>0.0</v>
      </c>
      <c r="FG55" s="227"/>
      <c r="FH55" s="185">
        <f t="shared" si="22"/>
        <v>0</v>
      </c>
      <c r="FI55" s="185">
        <f t="shared" si="23"/>
        <v>0</v>
      </c>
      <c r="FJ55" s="177">
        <v>267.0</v>
      </c>
      <c r="FK55" s="177">
        <v>94.0</v>
      </c>
      <c r="FL55" s="177">
        <v>265.0</v>
      </c>
      <c r="FM55" s="177">
        <v>94.0</v>
      </c>
      <c r="FN55" s="297"/>
      <c r="FO55" s="297">
        <v>0.0</v>
      </c>
      <c r="FP55" s="188">
        <f t="shared" si="128"/>
        <v>0</v>
      </c>
      <c r="FQ55" s="211">
        <v>0.0</v>
      </c>
      <c r="FR55" s="212">
        <v>0.0</v>
      </c>
      <c r="FS55" s="206">
        <v>0.0</v>
      </c>
      <c r="FT55" s="207">
        <v>0.0</v>
      </c>
      <c r="FU55" s="207">
        <v>0.0</v>
      </c>
      <c r="FV55" s="207">
        <v>0.0</v>
      </c>
      <c r="FW55" s="207">
        <v>0.0</v>
      </c>
      <c r="FX55" s="207">
        <v>0.0</v>
      </c>
      <c r="FY55" s="207">
        <v>0.0</v>
      </c>
      <c r="FZ55" s="207">
        <v>0.0</v>
      </c>
      <c r="GA55" s="207">
        <v>0.0</v>
      </c>
      <c r="GB55" s="207">
        <v>0.0</v>
      </c>
      <c r="GC55" s="207">
        <v>0.0</v>
      </c>
      <c r="GD55" s="207">
        <v>0.0</v>
      </c>
      <c r="GE55" s="207">
        <v>0.0</v>
      </c>
      <c r="GF55" s="207">
        <v>0.0</v>
      </c>
      <c r="GG55" s="207">
        <v>0.0</v>
      </c>
      <c r="GH55" s="207">
        <v>0.0</v>
      </c>
      <c r="GI55" s="207">
        <v>0.0</v>
      </c>
      <c r="GJ55" s="207">
        <v>0.0</v>
      </c>
      <c r="GK55" s="212">
        <v>0.0</v>
      </c>
      <c r="GL55" s="212">
        <v>0.0</v>
      </c>
      <c r="GM55" s="177">
        <v>280.0</v>
      </c>
      <c r="GN55" s="177">
        <v>53.0</v>
      </c>
      <c r="GO55" s="298">
        <v>271.0</v>
      </c>
      <c r="GP55" s="298">
        <v>47.0</v>
      </c>
      <c r="GQ55" s="207"/>
      <c r="GR55" s="213">
        <v>0.0</v>
      </c>
      <c r="GS55" s="193">
        <v>0.0</v>
      </c>
      <c r="GT55" s="194">
        <f t="shared" si="25"/>
        <v>0</v>
      </c>
      <c r="GU55" s="194">
        <f t="shared" si="26"/>
        <v>0</v>
      </c>
      <c r="GV55" s="194">
        <f t="shared" si="27"/>
        <v>0</v>
      </c>
      <c r="GW55" s="207">
        <v>0.0</v>
      </c>
      <c r="GX55" s="207">
        <v>0.0</v>
      </c>
      <c r="GY55" s="207">
        <v>0.0</v>
      </c>
      <c r="GZ55" s="207">
        <v>0.0</v>
      </c>
      <c r="HA55" s="207">
        <v>0.0</v>
      </c>
      <c r="HB55" s="207">
        <v>0.0</v>
      </c>
      <c r="HC55" s="207">
        <v>0.0</v>
      </c>
      <c r="HD55" s="207">
        <v>0.0</v>
      </c>
      <c r="HE55" s="207">
        <v>0.0</v>
      </c>
      <c r="HF55" s="207">
        <v>0.0</v>
      </c>
      <c r="HG55" s="207">
        <v>0.0</v>
      </c>
      <c r="HH55" s="207">
        <v>0.0</v>
      </c>
      <c r="HI55" s="207">
        <v>0.0</v>
      </c>
      <c r="HJ55" s="207">
        <v>0.0</v>
      </c>
      <c r="HK55" s="207">
        <v>0.0</v>
      </c>
      <c r="HL55" s="207">
        <v>0.0</v>
      </c>
      <c r="HM55" s="207">
        <v>0.0</v>
      </c>
      <c r="HN55" s="207">
        <v>0.0</v>
      </c>
      <c r="HO55" s="299">
        <v>0.0</v>
      </c>
      <c r="HP55" s="299">
        <v>0.0</v>
      </c>
      <c r="HQ55" s="214"/>
      <c r="HR55" s="197"/>
      <c r="HS55" s="197"/>
      <c r="HT55" s="198">
        <f t="shared" si="28"/>
        <v>9</v>
      </c>
      <c r="HU55" s="198">
        <f t="shared" si="29"/>
        <v>7</v>
      </c>
      <c r="HV55" s="198">
        <f t="shared" si="30"/>
        <v>7</v>
      </c>
      <c r="HW55" s="198">
        <f t="shared" si="99"/>
        <v>3</v>
      </c>
      <c r="HX55" s="198">
        <f t="shared" si="32"/>
        <v>3</v>
      </c>
      <c r="HY55" s="198">
        <f t="shared" si="33"/>
        <v>1</v>
      </c>
      <c r="HZ55" s="198">
        <f t="shared" si="34"/>
        <v>1</v>
      </c>
      <c r="IA55" s="198">
        <f t="shared" si="35"/>
        <v>0</v>
      </c>
      <c r="IB55" s="198">
        <f t="shared" si="36"/>
        <v>0</v>
      </c>
      <c r="IC55" s="198">
        <f t="shared" si="37"/>
        <v>0</v>
      </c>
      <c r="ID55" s="198">
        <f t="shared" si="38"/>
        <v>0</v>
      </c>
      <c r="IE55" s="198">
        <f t="shared" si="39"/>
        <v>0</v>
      </c>
      <c r="IF55" s="197"/>
      <c r="IG55" s="197"/>
      <c r="IH55" s="197"/>
      <c r="II55" s="197"/>
      <c r="IJ55" s="197"/>
      <c r="IK55" s="197"/>
      <c r="IL55" s="197"/>
      <c r="IM55" s="197"/>
      <c r="IN55" s="197"/>
      <c r="IO55" s="197"/>
      <c r="IP55" s="197"/>
      <c r="IQ55" s="197"/>
      <c r="IR55" s="197"/>
      <c r="IS55" s="197"/>
      <c r="IT55" s="197"/>
      <c r="IU55" s="197"/>
      <c r="IV55" s="197"/>
      <c r="IW55" s="197"/>
      <c r="IX55" s="197"/>
      <c r="IY55" s="197"/>
      <c r="IZ55" s="197"/>
      <c r="JA55" s="199"/>
      <c r="JB55" s="200">
        <f t="shared" si="40"/>
        <v>9</v>
      </c>
      <c r="JC55" s="200">
        <f t="shared" si="41"/>
        <v>7</v>
      </c>
      <c r="JD55" s="200">
        <f t="shared" si="42"/>
        <v>7</v>
      </c>
      <c r="JE55" s="200">
        <f t="shared" si="43"/>
        <v>3</v>
      </c>
      <c r="JF55" s="200">
        <f t="shared" si="44"/>
        <v>3</v>
      </c>
      <c r="JG55" s="200">
        <f t="shared" si="45"/>
        <v>1</v>
      </c>
      <c r="JH55" s="200">
        <f t="shared" si="46"/>
        <v>1</v>
      </c>
      <c r="JI55" s="200">
        <f t="shared" si="47"/>
        <v>0</v>
      </c>
      <c r="JJ55" s="200">
        <f t="shared" si="48"/>
        <v>0</v>
      </c>
      <c r="JK55" s="200">
        <f t="shared" si="49"/>
        <v>0</v>
      </c>
      <c r="JL55" s="200">
        <f t="shared" si="50"/>
        <v>0</v>
      </c>
      <c r="JM55" s="200">
        <f t="shared" si="51"/>
        <v>0</v>
      </c>
      <c r="JN55" s="199"/>
      <c r="JO55" s="200">
        <f t="shared" si="52"/>
        <v>9</v>
      </c>
      <c r="JP55" s="202">
        <v>7.0</v>
      </c>
      <c r="JQ55" s="202">
        <v>7.0</v>
      </c>
      <c r="JR55" s="202">
        <v>3.0</v>
      </c>
      <c r="JS55" s="202">
        <v>3.0</v>
      </c>
      <c r="JT55" s="199"/>
      <c r="JU55" s="199"/>
      <c r="JV55" s="200">
        <f t="shared" ref="JV55:JX55" si="157">IA55-JI55</f>
        <v>0</v>
      </c>
      <c r="JW55" s="200">
        <f t="shared" si="157"/>
        <v>0</v>
      </c>
      <c r="JX55" s="200">
        <f t="shared" si="157"/>
        <v>0</v>
      </c>
      <c r="JY55" s="199"/>
      <c r="JZ55" s="199"/>
      <c r="KA55" s="199"/>
      <c r="KB55" s="200">
        <f t="shared" ref="KB55:KM55" si="158">JB55-JO55</f>
        <v>0</v>
      </c>
      <c r="KC55" s="200">
        <f t="shared" si="158"/>
        <v>0</v>
      </c>
      <c r="KD55" s="200">
        <f t="shared" si="158"/>
        <v>0</v>
      </c>
      <c r="KE55" s="200">
        <f t="shared" si="158"/>
        <v>0</v>
      </c>
      <c r="KF55" s="200">
        <f t="shared" si="158"/>
        <v>0</v>
      </c>
      <c r="KG55" s="200">
        <f t="shared" si="158"/>
        <v>1</v>
      </c>
      <c r="KH55" s="200">
        <f t="shared" si="158"/>
        <v>1</v>
      </c>
      <c r="KI55" s="200">
        <f t="shared" si="158"/>
        <v>0</v>
      </c>
      <c r="KJ55" s="200">
        <f t="shared" si="158"/>
        <v>0</v>
      </c>
      <c r="KK55" s="200">
        <f t="shared" si="158"/>
        <v>0</v>
      </c>
      <c r="KL55" s="200">
        <f t="shared" si="158"/>
        <v>0</v>
      </c>
      <c r="KM55" s="200">
        <f t="shared" si="158"/>
        <v>0</v>
      </c>
      <c r="KN55" s="199"/>
      <c r="KO55" s="199"/>
      <c r="KP55" s="199"/>
      <c r="KQ55" s="199"/>
      <c r="KR55" s="199"/>
      <c r="KS55" s="199"/>
      <c r="KT55" s="199"/>
      <c r="KU55" s="199"/>
      <c r="KV55" s="199"/>
      <c r="KW55" s="199"/>
      <c r="KX55" s="199"/>
      <c r="KY55" s="199"/>
      <c r="KZ55" s="199"/>
      <c r="LA55" s="199"/>
      <c r="LB55" s="199"/>
      <c r="LC55" s="199"/>
      <c r="LD55" s="199"/>
      <c r="LE55" s="199"/>
      <c r="LF55" s="199"/>
      <c r="LG55" s="199"/>
    </row>
    <row r="56" ht="14.25" customHeight="1">
      <c r="A56" s="156">
        <v>49.0</v>
      </c>
      <c r="B56" s="157" t="s">
        <v>128</v>
      </c>
      <c r="C56" s="158">
        <v>3374090.0</v>
      </c>
      <c r="D56" s="158" t="s">
        <v>129</v>
      </c>
      <c r="E56" s="158" t="s">
        <v>137</v>
      </c>
      <c r="F56" s="159">
        <v>7.0</v>
      </c>
      <c r="G56" s="285">
        <v>577.0</v>
      </c>
      <c r="H56" s="160">
        <v>0.0</v>
      </c>
      <c r="I56" s="161">
        <v>0.0</v>
      </c>
      <c r="J56" s="161">
        <v>0.0</v>
      </c>
      <c r="K56" s="161">
        <v>0.0</v>
      </c>
      <c r="L56" s="161">
        <v>0.0</v>
      </c>
      <c r="M56" s="161">
        <v>0.0</v>
      </c>
      <c r="N56" s="161">
        <v>0.0</v>
      </c>
      <c r="O56" s="162">
        <f t="shared" si="3"/>
        <v>0</v>
      </c>
      <c r="P56" s="203">
        <v>1.0</v>
      </c>
      <c r="Q56" s="164">
        <v>0.0</v>
      </c>
      <c r="R56" s="164">
        <v>0.0</v>
      </c>
      <c r="S56" s="164">
        <v>0.0</v>
      </c>
      <c r="T56" s="165">
        <v>1.0</v>
      </c>
      <c r="U56" s="165">
        <v>0.0</v>
      </c>
      <c r="V56" s="165">
        <v>0.0</v>
      </c>
      <c r="W56" s="166">
        <f t="shared" si="4"/>
        <v>1</v>
      </c>
      <c r="X56" s="203">
        <v>2.0</v>
      </c>
      <c r="Y56" s="165">
        <v>0.0</v>
      </c>
      <c r="Z56" s="165">
        <v>0.0</v>
      </c>
      <c r="AA56" s="165">
        <v>1.0</v>
      </c>
      <c r="AB56" s="165">
        <v>1.0</v>
      </c>
      <c r="AC56" s="165">
        <v>1.0</v>
      </c>
      <c r="AD56" s="165">
        <v>1.0</v>
      </c>
      <c r="AE56" s="166">
        <f t="shared" si="5"/>
        <v>0</v>
      </c>
      <c r="AF56" s="167">
        <v>4.0</v>
      </c>
      <c r="AG56" s="165">
        <v>0.0</v>
      </c>
      <c r="AH56" s="165">
        <v>0.0</v>
      </c>
      <c r="AI56" s="165">
        <v>2.0</v>
      </c>
      <c r="AJ56" s="165">
        <v>2.0</v>
      </c>
      <c r="AK56" s="165">
        <v>2.0</v>
      </c>
      <c r="AL56" s="165">
        <v>0.0</v>
      </c>
      <c r="AM56" s="166">
        <f t="shared" si="98"/>
        <v>2</v>
      </c>
      <c r="AN56" s="167">
        <v>5.0</v>
      </c>
      <c r="AO56" s="165">
        <v>0.0</v>
      </c>
      <c r="AP56" s="165">
        <v>0.0</v>
      </c>
      <c r="AQ56" s="165">
        <v>2.0</v>
      </c>
      <c r="AR56" s="165">
        <v>3.0</v>
      </c>
      <c r="AS56" s="165">
        <v>1.0</v>
      </c>
      <c r="AT56" s="165">
        <v>0.0</v>
      </c>
      <c r="AU56" s="168">
        <f t="shared" si="7"/>
        <v>4</v>
      </c>
      <c r="AV56" s="169">
        <v>567.0</v>
      </c>
      <c r="AW56" s="204">
        <f t="shared" si="8"/>
        <v>5</v>
      </c>
      <c r="AX56" s="169">
        <v>0.0</v>
      </c>
      <c r="AY56" s="169">
        <v>0.0</v>
      </c>
      <c r="AZ56" s="171">
        <v>1.0</v>
      </c>
      <c r="BA56" s="171">
        <v>4.0</v>
      </c>
      <c r="BB56" s="169">
        <v>0.0</v>
      </c>
      <c r="BC56" s="169">
        <v>0.0</v>
      </c>
      <c r="BD56" s="169">
        <v>0.0</v>
      </c>
      <c r="BE56" s="169">
        <v>0.0</v>
      </c>
      <c r="BF56" s="169">
        <v>0.0</v>
      </c>
      <c r="BG56" s="169">
        <v>0.0</v>
      </c>
      <c r="BH56" s="169">
        <v>0.0</v>
      </c>
      <c r="BI56" s="169">
        <v>0.0</v>
      </c>
      <c r="BJ56" s="169">
        <v>0.0</v>
      </c>
      <c r="BK56" s="169">
        <v>0.0</v>
      </c>
      <c r="BL56" s="169">
        <v>0.0</v>
      </c>
      <c r="BM56" s="169">
        <v>0.0</v>
      </c>
      <c r="BN56" s="169">
        <v>0.0</v>
      </c>
      <c r="BO56" s="169">
        <v>0.0</v>
      </c>
      <c r="BP56" s="205">
        <f t="shared" si="131"/>
        <v>0</v>
      </c>
      <c r="BQ56" s="173">
        <v>597.0</v>
      </c>
      <c r="BR56" s="170">
        <f t="shared" si="10"/>
        <v>5</v>
      </c>
      <c r="BS56" s="173">
        <v>0.0</v>
      </c>
      <c r="BT56" s="173">
        <v>0.0</v>
      </c>
      <c r="BU56" s="173">
        <v>1.0</v>
      </c>
      <c r="BV56" s="173">
        <v>4.0</v>
      </c>
      <c r="BW56" s="173">
        <v>0.0</v>
      </c>
      <c r="BX56" s="173">
        <v>0.0</v>
      </c>
      <c r="BY56" s="173">
        <v>0.0</v>
      </c>
      <c r="BZ56" s="173">
        <v>0.0</v>
      </c>
      <c r="CA56" s="173">
        <v>0.0</v>
      </c>
      <c r="CB56" s="173">
        <v>0.0</v>
      </c>
      <c r="CC56" s="173">
        <v>0.0</v>
      </c>
      <c r="CD56" s="173">
        <v>0.0</v>
      </c>
      <c r="CE56" s="173">
        <v>0.0</v>
      </c>
      <c r="CF56" s="173">
        <v>0.0</v>
      </c>
      <c r="CG56" s="173">
        <v>0.0</v>
      </c>
      <c r="CH56" s="173">
        <v>0.0</v>
      </c>
      <c r="CI56" s="173">
        <v>0.0</v>
      </c>
      <c r="CJ56" s="173">
        <v>0.0</v>
      </c>
      <c r="CK56" s="172">
        <f t="shared" si="132"/>
        <v>0</v>
      </c>
      <c r="CL56" s="173">
        <v>763.0</v>
      </c>
      <c r="CM56" s="173">
        <v>227.0</v>
      </c>
      <c r="CN56" s="175">
        <f t="shared" si="12"/>
        <v>6</v>
      </c>
      <c r="CO56" s="173">
        <v>0.0</v>
      </c>
      <c r="CP56" s="173">
        <v>0.0</v>
      </c>
      <c r="CQ56" s="173">
        <v>1.0</v>
      </c>
      <c r="CR56" s="173">
        <v>4.0</v>
      </c>
      <c r="CS56" s="173">
        <v>0.0</v>
      </c>
      <c r="CT56" s="173">
        <v>0.0</v>
      </c>
      <c r="CU56" s="173">
        <v>0.0</v>
      </c>
      <c r="CV56" s="173">
        <v>1.0</v>
      </c>
      <c r="CW56" s="173">
        <v>0.0</v>
      </c>
      <c r="CX56" s="173">
        <v>0.0</v>
      </c>
      <c r="CY56" s="173">
        <v>0.0</v>
      </c>
      <c r="CZ56" s="173">
        <v>0.0</v>
      </c>
      <c r="DA56" s="173">
        <v>0.0</v>
      </c>
      <c r="DB56" s="173">
        <v>0.0</v>
      </c>
      <c r="DC56" s="173">
        <v>0.0</v>
      </c>
      <c r="DD56" s="173">
        <v>0.0</v>
      </c>
      <c r="DE56" s="173">
        <v>0.0</v>
      </c>
      <c r="DF56" s="173">
        <v>0.0</v>
      </c>
      <c r="DG56" s="176">
        <f t="shared" si="13"/>
        <v>0</v>
      </c>
      <c r="DH56" s="177">
        <v>541.0</v>
      </c>
      <c r="DI56" s="177">
        <v>195.0</v>
      </c>
      <c r="DJ56" s="178">
        <v>499.0</v>
      </c>
      <c r="DK56" s="178">
        <v>186.0</v>
      </c>
      <c r="DL56" s="179">
        <f t="shared" si="14"/>
        <v>7</v>
      </c>
      <c r="DM56" s="180">
        <f t="shared" si="15"/>
        <v>2</v>
      </c>
      <c r="DN56" s="180">
        <f t="shared" si="16"/>
        <v>5</v>
      </c>
      <c r="DO56" s="177">
        <v>0.0</v>
      </c>
      <c r="DP56" s="177">
        <v>0.0</v>
      </c>
      <c r="DQ56" s="177">
        <v>1.0</v>
      </c>
      <c r="DR56" s="177">
        <v>5.0</v>
      </c>
      <c r="DS56" s="177">
        <v>0.0</v>
      </c>
      <c r="DT56" s="177">
        <v>0.0</v>
      </c>
      <c r="DU56" s="177">
        <v>1.0</v>
      </c>
      <c r="DV56" s="177">
        <v>0.0</v>
      </c>
      <c r="DW56" s="177">
        <v>0.0</v>
      </c>
      <c r="DX56" s="177">
        <v>0.0</v>
      </c>
      <c r="DY56" s="177">
        <v>0.0</v>
      </c>
      <c r="DZ56" s="177">
        <v>0.0</v>
      </c>
      <c r="EA56" s="177">
        <v>0.0</v>
      </c>
      <c r="EB56" s="177">
        <v>0.0</v>
      </c>
      <c r="EC56" s="177">
        <v>0.0</v>
      </c>
      <c r="ED56" s="177">
        <v>0.0</v>
      </c>
      <c r="EE56" s="177">
        <v>0.0</v>
      </c>
      <c r="EF56" s="177">
        <v>0.0</v>
      </c>
      <c r="EG56" s="179">
        <f t="shared" si="17"/>
        <v>0</v>
      </c>
      <c r="EH56" s="179">
        <f t="shared" si="18"/>
        <v>0</v>
      </c>
      <c r="EI56" s="177">
        <v>541.0</v>
      </c>
      <c r="EJ56" s="177">
        <v>207.0</v>
      </c>
      <c r="EK56" s="178">
        <v>475.0</v>
      </c>
      <c r="EL56" s="178">
        <v>189.0</v>
      </c>
      <c r="EM56" s="185">
        <f t="shared" si="19"/>
        <v>5</v>
      </c>
      <c r="EN56" s="186">
        <f t="shared" si="89"/>
        <v>2</v>
      </c>
      <c r="EO56" s="186">
        <f t="shared" si="90"/>
        <v>3</v>
      </c>
      <c r="EP56" s="177">
        <v>0.0</v>
      </c>
      <c r="EQ56" s="177">
        <v>0.0</v>
      </c>
      <c r="ER56" s="177">
        <v>2.0</v>
      </c>
      <c r="ES56" s="177">
        <v>3.0</v>
      </c>
      <c r="ET56" s="177">
        <v>0.0</v>
      </c>
      <c r="EU56" s="177">
        <v>0.0</v>
      </c>
      <c r="EV56" s="177">
        <v>0.0</v>
      </c>
      <c r="EW56" s="177">
        <v>0.0</v>
      </c>
      <c r="EX56" s="177">
        <v>0.0</v>
      </c>
      <c r="EY56" s="177">
        <v>0.0</v>
      </c>
      <c r="EZ56" s="177">
        <v>0.0</v>
      </c>
      <c r="FA56" s="177">
        <v>2.0</v>
      </c>
      <c r="FB56" s="302">
        <v>0.0</v>
      </c>
      <c r="FC56" s="303">
        <v>0.0</v>
      </c>
      <c r="FD56" s="303">
        <v>0.0</v>
      </c>
      <c r="FE56" s="303">
        <v>0.0</v>
      </c>
      <c r="FF56" s="303">
        <v>0.0</v>
      </c>
      <c r="FG56" s="177">
        <v>0.0</v>
      </c>
      <c r="FH56" s="185">
        <f t="shared" si="22"/>
        <v>2</v>
      </c>
      <c r="FI56" s="185">
        <f t="shared" si="23"/>
        <v>0</v>
      </c>
      <c r="FJ56" s="177">
        <v>651.0</v>
      </c>
      <c r="FK56" s="177">
        <v>173.0</v>
      </c>
      <c r="FL56" s="177">
        <v>478.0</v>
      </c>
      <c r="FM56" s="177">
        <v>166.0</v>
      </c>
      <c r="FN56" s="304"/>
      <c r="FO56" s="304">
        <v>8.0</v>
      </c>
      <c r="FP56" s="188">
        <f t="shared" si="128"/>
        <v>8</v>
      </c>
      <c r="FQ56" s="211">
        <v>4.0</v>
      </c>
      <c r="FR56" s="212">
        <v>4.0</v>
      </c>
      <c r="FS56" s="206">
        <v>0.0</v>
      </c>
      <c r="FT56" s="207">
        <v>0.0</v>
      </c>
      <c r="FU56" s="207">
        <v>2.0</v>
      </c>
      <c r="FV56" s="207">
        <v>3.0</v>
      </c>
      <c r="FW56" s="207">
        <v>0.0</v>
      </c>
      <c r="FX56" s="207">
        <v>0.0</v>
      </c>
      <c r="FY56" s="207">
        <v>2.0</v>
      </c>
      <c r="FZ56" s="207">
        <v>1.0</v>
      </c>
      <c r="GA56" s="207">
        <v>0.0</v>
      </c>
      <c r="GB56" s="207">
        <v>0.0</v>
      </c>
      <c r="GC56" s="207">
        <v>0.0</v>
      </c>
      <c r="GD56" s="207">
        <v>0.0</v>
      </c>
      <c r="GE56" s="207">
        <v>0.0</v>
      </c>
      <c r="GF56" s="207">
        <v>0.0</v>
      </c>
      <c r="GG56" s="207">
        <v>0.0</v>
      </c>
      <c r="GH56" s="207">
        <v>0.0</v>
      </c>
      <c r="GI56" s="207">
        <v>0.0</v>
      </c>
      <c r="GJ56" s="207">
        <v>0.0</v>
      </c>
      <c r="GK56" s="212">
        <v>0.0</v>
      </c>
      <c r="GL56" s="212">
        <v>0.0</v>
      </c>
      <c r="GM56" s="207">
        <v>594.0</v>
      </c>
      <c r="GN56" s="207">
        <v>319.0</v>
      </c>
      <c r="GO56" s="213">
        <v>585.0</v>
      </c>
      <c r="GP56" s="213">
        <v>245.0</v>
      </c>
      <c r="GQ56" s="207"/>
      <c r="GR56" s="213">
        <v>8.0</v>
      </c>
      <c r="GS56" s="193">
        <v>4.0</v>
      </c>
      <c r="GT56" s="194">
        <f t="shared" si="25"/>
        <v>8</v>
      </c>
      <c r="GU56" s="194">
        <f t="shared" si="26"/>
        <v>4</v>
      </c>
      <c r="GV56" s="194">
        <f t="shared" si="27"/>
        <v>4</v>
      </c>
      <c r="GW56" s="207">
        <v>0.0</v>
      </c>
      <c r="GX56" s="207">
        <v>1.0</v>
      </c>
      <c r="GY56" s="207">
        <v>2.0</v>
      </c>
      <c r="GZ56" s="207">
        <v>4.0</v>
      </c>
      <c r="HA56" s="207">
        <v>0.0</v>
      </c>
      <c r="HB56" s="207">
        <v>0.0</v>
      </c>
      <c r="HC56" s="207">
        <v>1.0</v>
      </c>
      <c r="HD56" s="207">
        <v>0.0</v>
      </c>
      <c r="HE56" s="207">
        <v>0.0</v>
      </c>
      <c r="HF56" s="207">
        <v>0.0</v>
      </c>
      <c r="HG56" s="207">
        <v>1.0</v>
      </c>
      <c r="HH56" s="207">
        <v>0.0</v>
      </c>
      <c r="HI56" s="207">
        <v>0.0</v>
      </c>
      <c r="HJ56" s="207">
        <v>0.0</v>
      </c>
      <c r="HK56" s="207">
        <v>0.0</v>
      </c>
      <c r="HL56" s="207">
        <v>0.0</v>
      </c>
      <c r="HM56" s="207">
        <v>0.0</v>
      </c>
      <c r="HN56" s="207">
        <v>0.0</v>
      </c>
      <c r="HO56" s="299">
        <v>0.0</v>
      </c>
      <c r="HP56" s="299">
        <v>1.0</v>
      </c>
      <c r="HQ56" s="214"/>
      <c r="HR56" s="197"/>
      <c r="HS56" s="197"/>
      <c r="HT56" s="198">
        <f t="shared" si="28"/>
        <v>0</v>
      </c>
      <c r="HU56" s="198">
        <f t="shared" si="29"/>
        <v>1</v>
      </c>
      <c r="HV56" s="198">
        <f t="shared" si="30"/>
        <v>2</v>
      </c>
      <c r="HW56" s="198">
        <f t="shared" si="99"/>
        <v>4</v>
      </c>
      <c r="HX56" s="198">
        <f t="shared" si="32"/>
        <v>5</v>
      </c>
      <c r="HY56" s="198">
        <f t="shared" si="33"/>
        <v>5</v>
      </c>
      <c r="HZ56" s="198">
        <f t="shared" si="34"/>
        <v>5</v>
      </c>
      <c r="IA56" s="198">
        <f t="shared" si="35"/>
        <v>6</v>
      </c>
      <c r="IB56" s="198">
        <f t="shared" si="36"/>
        <v>7</v>
      </c>
      <c r="IC56" s="198">
        <f t="shared" si="37"/>
        <v>5</v>
      </c>
      <c r="ID56" s="198">
        <f t="shared" si="38"/>
        <v>8</v>
      </c>
      <c r="IE56" s="198">
        <f t="shared" si="39"/>
        <v>8</v>
      </c>
      <c r="IF56" s="197"/>
      <c r="IG56" s="197"/>
      <c r="IH56" s="197"/>
      <c r="II56" s="197"/>
      <c r="IJ56" s="197"/>
      <c r="IK56" s="197"/>
      <c r="IL56" s="197"/>
      <c r="IM56" s="197"/>
      <c r="IN56" s="197"/>
      <c r="IO56" s="197"/>
      <c r="IP56" s="197"/>
      <c r="IQ56" s="197"/>
      <c r="IR56" s="197"/>
      <c r="IS56" s="197"/>
      <c r="IT56" s="197"/>
      <c r="IU56" s="197"/>
      <c r="IV56" s="197"/>
      <c r="IW56" s="197"/>
      <c r="IX56" s="197"/>
      <c r="IY56" s="197"/>
      <c r="IZ56" s="197"/>
      <c r="JA56" s="199"/>
      <c r="JB56" s="200">
        <f t="shared" si="40"/>
        <v>0</v>
      </c>
      <c r="JC56" s="200">
        <f t="shared" si="41"/>
        <v>1</v>
      </c>
      <c r="JD56" s="200">
        <f t="shared" si="42"/>
        <v>2</v>
      </c>
      <c r="JE56" s="200">
        <f t="shared" si="43"/>
        <v>4</v>
      </c>
      <c r="JF56" s="200">
        <f t="shared" si="44"/>
        <v>5</v>
      </c>
      <c r="JG56" s="200">
        <f t="shared" si="45"/>
        <v>5</v>
      </c>
      <c r="JH56" s="200">
        <f t="shared" si="46"/>
        <v>5</v>
      </c>
      <c r="JI56" s="200">
        <f t="shared" si="47"/>
        <v>6</v>
      </c>
      <c r="JJ56" s="200">
        <f t="shared" si="48"/>
        <v>7</v>
      </c>
      <c r="JK56" s="200">
        <f t="shared" si="49"/>
        <v>7</v>
      </c>
      <c r="JL56" s="200">
        <f t="shared" si="50"/>
        <v>8</v>
      </c>
      <c r="JM56" s="200">
        <f t="shared" si="51"/>
        <v>8</v>
      </c>
      <c r="JN56" s="199"/>
      <c r="JO56" s="200">
        <f t="shared" si="52"/>
        <v>0</v>
      </c>
      <c r="JP56" s="202">
        <v>1.0</v>
      </c>
      <c r="JQ56" s="202">
        <v>2.0</v>
      </c>
      <c r="JR56" s="202">
        <v>4.0</v>
      </c>
      <c r="JS56" s="202">
        <v>5.0</v>
      </c>
      <c r="JT56" s="199"/>
      <c r="JU56" s="199"/>
      <c r="JV56" s="200">
        <f t="shared" ref="JV56:JX56" si="159">IA56-JI56</f>
        <v>0</v>
      </c>
      <c r="JW56" s="200">
        <f t="shared" si="159"/>
        <v>0</v>
      </c>
      <c r="JX56" s="200">
        <f t="shared" si="159"/>
        <v>-2</v>
      </c>
      <c r="JY56" s="199"/>
      <c r="JZ56" s="199"/>
      <c r="KA56" s="199"/>
      <c r="KB56" s="200">
        <f t="shared" ref="KB56:KM56" si="160">JB56-JO56</f>
        <v>0</v>
      </c>
      <c r="KC56" s="200">
        <f t="shared" si="160"/>
        <v>0</v>
      </c>
      <c r="KD56" s="200">
        <f t="shared" si="160"/>
        <v>0</v>
      </c>
      <c r="KE56" s="200">
        <f t="shared" si="160"/>
        <v>0</v>
      </c>
      <c r="KF56" s="200">
        <f t="shared" si="160"/>
        <v>0</v>
      </c>
      <c r="KG56" s="200">
        <f t="shared" si="160"/>
        <v>5</v>
      </c>
      <c r="KH56" s="200">
        <f t="shared" si="160"/>
        <v>5</v>
      </c>
      <c r="KI56" s="200">
        <f t="shared" si="160"/>
        <v>6</v>
      </c>
      <c r="KJ56" s="200">
        <f t="shared" si="160"/>
        <v>7</v>
      </c>
      <c r="KK56" s="200">
        <f t="shared" si="160"/>
        <v>9</v>
      </c>
      <c r="KL56" s="200">
        <f t="shared" si="160"/>
        <v>8</v>
      </c>
      <c r="KM56" s="200">
        <f t="shared" si="160"/>
        <v>8</v>
      </c>
      <c r="KN56" s="199"/>
      <c r="KO56" s="199"/>
      <c r="KP56" s="199"/>
      <c r="KQ56" s="199"/>
      <c r="KR56" s="199"/>
      <c r="KS56" s="199"/>
      <c r="KT56" s="199"/>
      <c r="KU56" s="199"/>
      <c r="KV56" s="199"/>
      <c r="KW56" s="199"/>
      <c r="KX56" s="199"/>
      <c r="KY56" s="199"/>
      <c r="KZ56" s="199"/>
      <c r="LA56" s="199"/>
      <c r="LB56" s="199"/>
      <c r="LC56" s="199"/>
      <c r="LD56" s="199"/>
      <c r="LE56" s="199"/>
      <c r="LF56" s="199"/>
      <c r="LG56" s="199"/>
    </row>
    <row r="57" ht="14.25" customHeight="1">
      <c r="A57" s="156">
        <v>50.0</v>
      </c>
      <c r="B57" s="157" t="s">
        <v>128</v>
      </c>
      <c r="C57" s="158">
        <v>3374070.0</v>
      </c>
      <c r="D57" s="158" t="s">
        <v>128</v>
      </c>
      <c r="E57" s="158" t="s">
        <v>138</v>
      </c>
      <c r="F57" s="159">
        <v>5.0</v>
      </c>
      <c r="G57" s="285">
        <v>275.0</v>
      </c>
      <c r="H57" s="160">
        <v>0.0</v>
      </c>
      <c r="I57" s="161">
        <v>0.0</v>
      </c>
      <c r="J57" s="161">
        <v>0.0</v>
      </c>
      <c r="K57" s="161">
        <v>0.0</v>
      </c>
      <c r="L57" s="161">
        <v>0.0</v>
      </c>
      <c r="M57" s="161">
        <v>0.0</v>
      </c>
      <c r="N57" s="161">
        <v>0.0</v>
      </c>
      <c r="O57" s="162">
        <f t="shared" si="3"/>
        <v>0</v>
      </c>
      <c r="P57" s="203">
        <v>2.0</v>
      </c>
      <c r="Q57" s="164">
        <v>0.0</v>
      </c>
      <c r="R57" s="164">
        <v>0.0</v>
      </c>
      <c r="S57" s="164">
        <v>0.0</v>
      </c>
      <c r="T57" s="165">
        <v>2.0</v>
      </c>
      <c r="U57" s="165">
        <v>0.0</v>
      </c>
      <c r="V57" s="165">
        <v>0.0</v>
      </c>
      <c r="W57" s="166">
        <f t="shared" si="4"/>
        <v>2</v>
      </c>
      <c r="X57" s="203">
        <v>0.0</v>
      </c>
      <c r="Y57" s="165">
        <v>0.0</v>
      </c>
      <c r="Z57" s="165">
        <v>0.0</v>
      </c>
      <c r="AA57" s="165">
        <v>0.0</v>
      </c>
      <c r="AB57" s="165">
        <v>0.0</v>
      </c>
      <c r="AC57" s="165">
        <v>0.0</v>
      </c>
      <c r="AD57" s="165">
        <v>0.0</v>
      </c>
      <c r="AE57" s="166">
        <f t="shared" si="5"/>
        <v>0</v>
      </c>
      <c r="AF57" s="167">
        <v>2.0</v>
      </c>
      <c r="AG57" s="165">
        <v>0.0</v>
      </c>
      <c r="AH57" s="165">
        <v>0.0</v>
      </c>
      <c r="AI57" s="165">
        <v>0.0</v>
      </c>
      <c r="AJ57" s="165">
        <v>2.0</v>
      </c>
      <c r="AK57" s="165">
        <v>0.0</v>
      </c>
      <c r="AL57" s="165">
        <v>0.0</v>
      </c>
      <c r="AM57" s="166">
        <f t="shared" si="98"/>
        <v>2</v>
      </c>
      <c r="AN57" s="167">
        <v>2.0</v>
      </c>
      <c r="AO57" s="165">
        <v>0.0</v>
      </c>
      <c r="AP57" s="165">
        <v>0.0</v>
      </c>
      <c r="AQ57" s="165">
        <v>0.0</v>
      </c>
      <c r="AR57" s="165">
        <v>2.0</v>
      </c>
      <c r="AS57" s="165">
        <v>0.0</v>
      </c>
      <c r="AT57" s="165">
        <v>0.0</v>
      </c>
      <c r="AU57" s="168">
        <f t="shared" si="7"/>
        <v>2</v>
      </c>
      <c r="AV57" s="169">
        <v>248.0</v>
      </c>
      <c r="AW57" s="204">
        <f t="shared" si="8"/>
        <v>0</v>
      </c>
      <c r="AX57" s="169">
        <v>0.0</v>
      </c>
      <c r="AY57" s="169">
        <v>0.0</v>
      </c>
      <c r="AZ57" s="169">
        <v>0.0</v>
      </c>
      <c r="BA57" s="169">
        <v>0.0</v>
      </c>
      <c r="BB57" s="169">
        <v>0.0</v>
      </c>
      <c r="BC57" s="169">
        <v>0.0</v>
      </c>
      <c r="BD57" s="169">
        <v>0.0</v>
      </c>
      <c r="BE57" s="169">
        <v>0.0</v>
      </c>
      <c r="BF57" s="169">
        <v>0.0</v>
      </c>
      <c r="BG57" s="169">
        <v>0.0</v>
      </c>
      <c r="BH57" s="169">
        <v>0.0</v>
      </c>
      <c r="BI57" s="169">
        <v>0.0</v>
      </c>
      <c r="BJ57" s="169">
        <v>0.0</v>
      </c>
      <c r="BK57" s="169">
        <v>0.0</v>
      </c>
      <c r="BL57" s="169">
        <v>0.0</v>
      </c>
      <c r="BM57" s="169">
        <v>0.0</v>
      </c>
      <c r="BN57" s="169">
        <v>0.0</v>
      </c>
      <c r="BO57" s="169">
        <v>0.0</v>
      </c>
      <c r="BP57" s="205">
        <f t="shared" si="131"/>
        <v>0</v>
      </c>
      <c r="BQ57" s="173">
        <v>240.0</v>
      </c>
      <c r="BR57" s="170">
        <f t="shared" si="10"/>
        <v>0</v>
      </c>
      <c r="BS57" s="6"/>
      <c r="BT57" s="173">
        <v>0.0</v>
      </c>
      <c r="BU57" s="173">
        <v>0.0</v>
      </c>
      <c r="BV57" s="173">
        <v>0.0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172">
        <f t="shared" si="132"/>
        <v>0</v>
      </c>
      <c r="CL57" s="173">
        <v>248.0</v>
      </c>
      <c r="CM57" s="173">
        <v>127.0</v>
      </c>
      <c r="CN57" s="175">
        <f t="shared" si="12"/>
        <v>0</v>
      </c>
      <c r="CO57" s="173">
        <v>0.0</v>
      </c>
      <c r="CP57" s="173">
        <v>0.0</v>
      </c>
      <c r="CQ57" s="173">
        <v>0.0</v>
      </c>
      <c r="CR57" s="173">
        <v>0.0</v>
      </c>
      <c r="CS57" s="173">
        <v>0.0</v>
      </c>
      <c r="CT57" s="173">
        <v>0.0</v>
      </c>
      <c r="CU57" s="173">
        <v>0.0</v>
      </c>
      <c r="CV57" s="173">
        <v>0.0</v>
      </c>
      <c r="CW57" s="173">
        <v>0.0</v>
      </c>
      <c r="CX57" s="173">
        <v>0.0</v>
      </c>
      <c r="CY57" s="173">
        <v>0.0</v>
      </c>
      <c r="CZ57" s="173">
        <v>0.0</v>
      </c>
      <c r="DA57" s="173">
        <v>0.0</v>
      </c>
      <c r="DB57" s="173">
        <v>0.0</v>
      </c>
      <c r="DC57" s="173">
        <v>0.0</v>
      </c>
      <c r="DD57" s="173">
        <v>0.0</v>
      </c>
      <c r="DE57" s="173">
        <v>0.0</v>
      </c>
      <c r="DF57" s="173">
        <v>0.0</v>
      </c>
      <c r="DG57" s="176">
        <f t="shared" si="13"/>
        <v>0</v>
      </c>
      <c r="DH57" s="177">
        <v>298.0</v>
      </c>
      <c r="DI57" s="177">
        <v>127.0</v>
      </c>
      <c r="DJ57" s="178">
        <v>295.0</v>
      </c>
      <c r="DK57" s="178">
        <v>126.0</v>
      </c>
      <c r="DL57" s="179">
        <f t="shared" si="14"/>
        <v>0</v>
      </c>
      <c r="DM57" s="180">
        <f t="shared" si="15"/>
        <v>0</v>
      </c>
      <c r="DN57" s="180">
        <f t="shared" si="16"/>
        <v>0</v>
      </c>
      <c r="DO57" s="177">
        <v>0.0</v>
      </c>
      <c r="DP57" s="177">
        <v>0.0</v>
      </c>
      <c r="DQ57" s="177">
        <v>0.0</v>
      </c>
      <c r="DR57" s="177">
        <v>0.0</v>
      </c>
      <c r="DS57" s="177">
        <v>0.0</v>
      </c>
      <c r="DT57" s="177">
        <v>0.0</v>
      </c>
      <c r="DU57" s="177">
        <v>0.0</v>
      </c>
      <c r="DV57" s="177">
        <v>0.0</v>
      </c>
      <c r="DW57" s="177">
        <v>0.0</v>
      </c>
      <c r="DX57" s="177">
        <v>0.0</v>
      </c>
      <c r="DY57" s="177">
        <v>0.0</v>
      </c>
      <c r="DZ57" s="177">
        <v>0.0</v>
      </c>
      <c r="EA57" s="177">
        <v>0.0</v>
      </c>
      <c r="EB57" s="177">
        <v>0.0</v>
      </c>
      <c r="EC57" s="177">
        <v>0.0</v>
      </c>
      <c r="ED57" s="226"/>
      <c r="EE57" s="226"/>
      <c r="EF57" s="226"/>
      <c r="EG57" s="179">
        <f t="shared" si="17"/>
        <v>0</v>
      </c>
      <c r="EH57" s="179">
        <f t="shared" si="18"/>
        <v>0</v>
      </c>
      <c r="EI57" s="177">
        <v>236.0</v>
      </c>
      <c r="EJ57" s="177">
        <v>108.0</v>
      </c>
      <c r="EK57" s="178">
        <v>205.0</v>
      </c>
      <c r="EL57" s="178">
        <v>101.0</v>
      </c>
      <c r="EM57" s="185">
        <f t="shared" si="19"/>
        <v>0</v>
      </c>
      <c r="EN57" s="186">
        <f t="shared" si="89"/>
        <v>0</v>
      </c>
      <c r="EO57" s="186">
        <f t="shared" si="90"/>
        <v>0</v>
      </c>
      <c r="EP57" s="177">
        <v>0.0</v>
      </c>
      <c r="EQ57" s="177">
        <v>0.0</v>
      </c>
      <c r="ER57" s="177">
        <v>0.0</v>
      </c>
      <c r="ES57" s="177">
        <v>0.0</v>
      </c>
      <c r="ET57" s="177">
        <v>0.0</v>
      </c>
      <c r="EU57" s="177">
        <v>0.0</v>
      </c>
      <c r="EV57" s="177">
        <v>0.0</v>
      </c>
      <c r="EW57" s="177">
        <v>0.0</v>
      </c>
      <c r="EX57" s="177">
        <v>0.0</v>
      </c>
      <c r="EY57" s="177">
        <v>0.0</v>
      </c>
      <c r="EZ57" s="177">
        <v>0.0</v>
      </c>
      <c r="FA57" s="177">
        <v>0.0</v>
      </c>
      <c r="FB57" s="300">
        <v>0.0</v>
      </c>
      <c r="FC57" s="305">
        <v>0.0</v>
      </c>
      <c r="FD57" s="305">
        <v>0.0</v>
      </c>
      <c r="FE57" s="305">
        <v>0.0</v>
      </c>
      <c r="FF57" s="303">
        <v>0.0</v>
      </c>
      <c r="FG57" s="226"/>
      <c r="FH57" s="185">
        <f t="shared" si="22"/>
        <v>0</v>
      </c>
      <c r="FI57" s="185">
        <f t="shared" si="23"/>
        <v>0</v>
      </c>
      <c r="FJ57" s="177">
        <v>255.0</v>
      </c>
      <c r="FK57" s="177">
        <v>95.0</v>
      </c>
      <c r="FL57" s="177">
        <v>253.0</v>
      </c>
      <c r="FM57" s="177">
        <v>95.0</v>
      </c>
      <c r="FN57" s="297"/>
      <c r="FO57" s="297">
        <v>0.0</v>
      </c>
      <c r="FP57" s="188">
        <f t="shared" si="128"/>
        <v>0</v>
      </c>
      <c r="FQ57" s="211">
        <v>0.0</v>
      </c>
      <c r="FR57" s="212">
        <v>0.0</v>
      </c>
      <c r="FS57" s="206">
        <v>0.0</v>
      </c>
      <c r="FT57" s="207">
        <v>0.0</v>
      </c>
      <c r="FU57" s="207">
        <v>0.0</v>
      </c>
      <c r="FV57" s="207">
        <v>0.0</v>
      </c>
      <c r="FW57" s="207">
        <v>0.0</v>
      </c>
      <c r="FX57" s="207">
        <v>0.0</v>
      </c>
      <c r="FY57" s="207">
        <v>0.0</v>
      </c>
      <c r="FZ57" s="207">
        <v>0.0</v>
      </c>
      <c r="GA57" s="207">
        <v>0.0</v>
      </c>
      <c r="GB57" s="207">
        <v>0.0</v>
      </c>
      <c r="GC57" s="207">
        <v>0.0</v>
      </c>
      <c r="GD57" s="207">
        <v>0.0</v>
      </c>
      <c r="GE57" s="207">
        <v>0.0</v>
      </c>
      <c r="GF57" s="207">
        <v>0.0</v>
      </c>
      <c r="GG57" s="207">
        <v>0.0</v>
      </c>
      <c r="GH57" s="207">
        <v>0.0</v>
      </c>
      <c r="GI57" s="207">
        <v>0.0</v>
      </c>
      <c r="GJ57" s="207">
        <v>0.0</v>
      </c>
      <c r="GK57" s="212">
        <v>0.0</v>
      </c>
      <c r="GL57" s="212">
        <v>0.0</v>
      </c>
      <c r="GM57" s="177">
        <v>271.0</v>
      </c>
      <c r="GN57" s="177">
        <v>42.0</v>
      </c>
      <c r="GO57" s="298">
        <v>266.0</v>
      </c>
      <c r="GP57" s="298">
        <v>35.0</v>
      </c>
      <c r="GQ57" s="207"/>
      <c r="GR57" s="213">
        <v>0.0</v>
      </c>
      <c r="GS57" s="193">
        <v>0.0</v>
      </c>
      <c r="GT57" s="194">
        <f t="shared" si="25"/>
        <v>0</v>
      </c>
      <c r="GU57" s="194">
        <f t="shared" si="26"/>
        <v>0</v>
      </c>
      <c r="GV57" s="194">
        <f t="shared" si="27"/>
        <v>0</v>
      </c>
      <c r="GW57" s="207">
        <v>0.0</v>
      </c>
      <c r="GX57" s="207">
        <v>0.0</v>
      </c>
      <c r="GY57" s="207">
        <v>0.0</v>
      </c>
      <c r="GZ57" s="207">
        <v>0.0</v>
      </c>
      <c r="HA57" s="207">
        <v>0.0</v>
      </c>
      <c r="HB57" s="207">
        <v>0.0</v>
      </c>
      <c r="HC57" s="207">
        <v>0.0</v>
      </c>
      <c r="HD57" s="207">
        <v>0.0</v>
      </c>
      <c r="HE57" s="207">
        <v>0.0</v>
      </c>
      <c r="HF57" s="207">
        <v>0.0</v>
      </c>
      <c r="HG57" s="207">
        <v>0.0</v>
      </c>
      <c r="HH57" s="207">
        <v>0.0</v>
      </c>
      <c r="HI57" s="207">
        <v>0.0</v>
      </c>
      <c r="HJ57" s="207">
        <v>0.0</v>
      </c>
      <c r="HK57" s="207">
        <v>0.0</v>
      </c>
      <c r="HL57" s="207">
        <v>0.0</v>
      </c>
      <c r="HM57" s="207">
        <v>0.0</v>
      </c>
      <c r="HN57" s="207">
        <v>0.0</v>
      </c>
      <c r="HO57" s="299">
        <v>0.0</v>
      </c>
      <c r="HP57" s="299">
        <v>0.0</v>
      </c>
      <c r="HQ57" s="214"/>
      <c r="HR57" s="197"/>
      <c r="HS57" s="197"/>
      <c r="HT57" s="198">
        <f t="shared" si="28"/>
        <v>0</v>
      </c>
      <c r="HU57" s="198">
        <f t="shared" si="29"/>
        <v>2</v>
      </c>
      <c r="HV57" s="198">
        <f t="shared" si="30"/>
        <v>0</v>
      </c>
      <c r="HW57" s="198">
        <f t="shared" si="99"/>
        <v>2</v>
      </c>
      <c r="HX57" s="198">
        <f t="shared" si="32"/>
        <v>2</v>
      </c>
      <c r="HY57" s="198">
        <f t="shared" si="33"/>
        <v>0</v>
      </c>
      <c r="HZ57" s="198">
        <f t="shared" si="34"/>
        <v>0</v>
      </c>
      <c r="IA57" s="198">
        <f t="shared" si="35"/>
        <v>0</v>
      </c>
      <c r="IB57" s="198">
        <f t="shared" si="36"/>
        <v>0</v>
      </c>
      <c r="IC57" s="198">
        <f t="shared" si="37"/>
        <v>0</v>
      </c>
      <c r="ID57" s="198">
        <f t="shared" si="38"/>
        <v>0</v>
      </c>
      <c r="IE57" s="198">
        <f t="shared" si="39"/>
        <v>0</v>
      </c>
      <c r="IF57" s="197"/>
      <c r="IG57" s="197"/>
      <c r="IH57" s="197"/>
      <c r="II57" s="197"/>
      <c r="IJ57" s="197"/>
      <c r="IK57" s="197"/>
      <c r="IL57" s="197"/>
      <c r="IM57" s="197"/>
      <c r="IN57" s="197"/>
      <c r="IO57" s="197"/>
      <c r="IP57" s="197"/>
      <c r="IQ57" s="197"/>
      <c r="IR57" s="197"/>
      <c r="IS57" s="197"/>
      <c r="IT57" s="197"/>
      <c r="IU57" s="197"/>
      <c r="IV57" s="197"/>
      <c r="IW57" s="197"/>
      <c r="IX57" s="197"/>
      <c r="IY57" s="197"/>
      <c r="IZ57" s="197"/>
      <c r="JA57" s="199"/>
      <c r="JB57" s="200">
        <f t="shared" si="40"/>
        <v>0</v>
      </c>
      <c r="JC57" s="200">
        <f t="shared" si="41"/>
        <v>2</v>
      </c>
      <c r="JD57" s="200">
        <f t="shared" si="42"/>
        <v>0</v>
      </c>
      <c r="JE57" s="200">
        <f t="shared" si="43"/>
        <v>2</v>
      </c>
      <c r="JF57" s="200">
        <f t="shared" si="44"/>
        <v>2</v>
      </c>
      <c r="JG57" s="200">
        <f t="shared" si="45"/>
        <v>0</v>
      </c>
      <c r="JH57" s="200">
        <f t="shared" si="46"/>
        <v>0</v>
      </c>
      <c r="JI57" s="200">
        <f t="shared" si="47"/>
        <v>0</v>
      </c>
      <c r="JJ57" s="200">
        <f t="shared" si="48"/>
        <v>0</v>
      </c>
      <c r="JK57" s="200">
        <f t="shared" si="49"/>
        <v>0</v>
      </c>
      <c r="JL57" s="200">
        <f t="shared" si="50"/>
        <v>0</v>
      </c>
      <c r="JM57" s="200">
        <f t="shared" si="51"/>
        <v>0</v>
      </c>
      <c r="JN57" s="199"/>
      <c r="JO57" s="200">
        <f t="shared" si="52"/>
        <v>0</v>
      </c>
      <c r="JP57" s="202">
        <v>2.0</v>
      </c>
      <c r="JQ57" s="202">
        <v>0.0</v>
      </c>
      <c r="JR57" s="202">
        <v>2.0</v>
      </c>
      <c r="JS57" s="202">
        <v>2.0</v>
      </c>
      <c r="JT57" s="199"/>
      <c r="JU57" s="199"/>
      <c r="JV57" s="200">
        <f t="shared" ref="JV57:JX57" si="161">IA57-JI57</f>
        <v>0</v>
      </c>
      <c r="JW57" s="200">
        <f t="shared" si="161"/>
        <v>0</v>
      </c>
      <c r="JX57" s="200">
        <f t="shared" si="161"/>
        <v>0</v>
      </c>
      <c r="JY57" s="199"/>
      <c r="JZ57" s="199"/>
      <c r="KA57" s="199"/>
      <c r="KB57" s="200">
        <f t="shared" ref="KB57:KM57" si="162">JB57-JO57</f>
        <v>0</v>
      </c>
      <c r="KC57" s="200">
        <f t="shared" si="162"/>
        <v>0</v>
      </c>
      <c r="KD57" s="200">
        <f t="shared" si="162"/>
        <v>0</v>
      </c>
      <c r="KE57" s="200">
        <f t="shared" si="162"/>
        <v>0</v>
      </c>
      <c r="KF57" s="200">
        <f t="shared" si="162"/>
        <v>0</v>
      </c>
      <c r="KG57" s="200">
        <f t="shared" si="162"/>
        <v>0</v>
      </c>
      <c r="KH57" s="200">
        <f t="shared" si="162"/>
        <v>0</v>
      </c>
      <c r="KI57" s="200">
        <f t="shared" si="162"/>
        <v>0</v>
      </c>
      <c r="KJ57" s="200">
        <f t="shared" si="162"/>
        <v>0</v>
      </c>
      <c r="KK57" s="200">
        <f t="shared" si="162"/>
        <v>0</v>
      </c>
      <c r="KL57" s="200">
        <f t="shared" si="162"/>
        <v>0</v>
      </c>
      <c r="KM57" s="200">
        <f t="shared" si="162"/>
        <v>0</v>
      </c>
      <c r="KN57" s="199"/>
      <c r="KO57" s="199"/>
      <c r="KP57" s="199"/>
      <c r="KQ57" s="199"/>
      <c r="KR57" s="199"/>
      <c r="KS57" s="199"/>
      <c r="KT57" s="199"/>
      <c r="KU57" s="199"/>
      <c r="KV57" s="199"/>
      <c r="KW57" s="199"/>
      <c r="KX57" s="199"/>
      <c r="KY57" s="199"/>
      <c r="KZ57" s="199"/>
      <c r="LA57" s="199"/>
      <c r="LB57" s="199"/>
      <c r="LC57" s="199"/>
      <c r="LD57" s="199"/>
      <c r="LE57" s="199"/>
      <c r="LF57" s="199"/>
      <c r="LG57" s="199"/>
    </row>
    <row r="58" ht="14.25" customHeight="1">
      <c r="A58" s="156">
        <v>51.0</v>
      </c>
      <c r="B58" s="157" t="s">
        <v>128</v>
      </c>
      <c r="C58" s="158">
        <v>3374090.0</v>
      </c>
      <c r="D58" s="158" t="s">
        <v>129</v>
      </c>
      <c r="E58" s="158" t="s">
        <v>139</v>
      </c>
      <c r="F58" s="159">
        <v>15.0</v>
      </c>
      <c r="G58" s="285">
        <v>1422.0</v>
      </c>
      <c r="H58" s="160">
        <v>0.0</v>
      </c>
      <c r="I58" s="161">
        <v>0.0</v>
      </c>
      <c r="J58" s="161">
        <v>0.0</v>
      </c>
      <c r="K58" s="161">
        <v>0.0</v>
      </c>
      <c r="L58" s="161">
        <v>0.0</v>
      </c>
      <c r="M58" s="161">
        <v>0.0</v>
      </c>
      <c r="N58" s="161">
        <v>0.0</v>
      </c>
      <c r="O58" s="162">
        <f t="shared" si="3"/>
        <v>0</v>
      </c>
      <c r="P58" s="203">
        <v>1.0</v>
      </c>
      <c r="Q58" s="164">
        <v>0.0</v>
      </c>
      <c r="R58" s="164">
        <v>0.0</v>
      </c>
      <c r="S58" s="164">
        <v>0.0</v>
      </c>
      <c r="T58" s="165">
        <v>1.0</v>
      </c>
      <c r="U58" s="165">
        <v>1.0</v>
      </c>
      <c r="V58" s="165">
        <v>0.0</v>
      </c>
      <c r="W58" s="166">
        <f t="shared" si="4"/>
        <v>0</v>
      </c>
      <c r="X58" s="203">
        <v>0.0</v>
      </c>
      <c r="Y58" s="165">
        <v>0.0</v>
      </c>
      <c r="Z58" s="165">
        <v>0.0</v>
      </c>
      <c r="AA58" s="165">
        <v>0.0</v>
      </c>
      <c r="AB58" s="165">
        <v>0.0</v>
      </c>
      <c r="AC58" s="165">
        <v>0.0</v>
      </c>
      <c r="AD58" s="165">
        <v>0.0</v>
      </c>
      <c r="AE58" s="166">
        <f t="shared" si="5"/>
        <v>0</v>
      </c>
      <c r="AF58" s="167">
        <v>2.0</v>
      </c>
      <c r="AG58" s="165">
        <v>0.0</v>
      </c>
      <c r="AH58" s="165">
        <v>0.0</v>
      </c>
      <c r="AI58" s="165">
        <v>1.0</v>
      </c>
      <c r="AJ58" s="165">
        <v>1.0</v>
      </c>
      <c r="AK58" s="165">
        <v>2.0</v>
      </c>
      <c r="AL58" s="165">
        <v>0.0</v>
      </c>
      <c r="AM58" s="166">
        <f t="shared" si="98"/>
        <v>0</v>
      </c>
      <c r="AN58" s="167">
        <v>3.0</v>
      </c>
      <c r="AO58" s="165">
        <v>0.0</v>
      </c>
      <c r="AP58" s="165">
        <v>0.0</v>
      </c>
      <c r="AQ58" s="165">
        <v>2.0</v>
      </c>
      <c r="AR58" s="165">
        <v>1.0</v>
      </c>
      <c r="AS58" s="165">
        <v>1.0</v>
      </c>
      <c r="AT58" s="165">
        <v>0.0</v>
      </c>
      <c r="AU58" s="168">
        <f t="shared" si="7"/>
        <v>2</v>
      </c>
      <c r="AV58" s="169">
        <v>1487.0</v>
      </c>
      <c r="AW58" s="204">
        <f t="shared" si="8"/>
        <v>3</v>
      </c>
      <c r="AX58" s="169">
        <v>0.0</v>
      </c>
      <c r="AY58" s="169">
        <v>0.0</v>
      </c>
      <c r="AZ58" s="171">
        <v>1.0</v>
      </c>
      <c r="BA58" s="171">
        <v>2.0</v>
      </c>
      <c r="BB58" s="169">
        <v>0.0</v>
      </c>
      <c r="BC58" s="169">
        <v>0.0</v>
      </c>
      <c r="BD58" s="169">
        <v>0.0</v>
      </c>
      <c r="BE58" s="169">
        <v>0.0</v>
      </c>
      <c r="BF58" s="169">
        <v>0.0</v>
      </c>
      <c r="BG58" s="169">
        <v>0.0</v>
      </c>
      <c r="BH58" s="169">
        <v>0.0</v>
      </c>
      <c r="BI58" s="169">
        <v>0.0</v>
      </c>
      <c r="BJ58" s="169">
        <v>0.0</v>
      </c>
      <c r="BK58" s="169">
        <v>0.0</v>
      </c>
      <c r="BL58" s="169">
        <v>0.0</v>
      </c>
      <c r="BM58" s="169">
        <v>0.0</v>
      </c>
      <c r="BN58" s="169">
        <v>0.0</v>
      </c>
      <c r="BO58" s="169">
        <v>0.0</v>
      </c>
      <c r="BP58" s="205">
        <f t="shared" si="131"/>
        <v>0</v>
      </c>
      <c r="BQ58" s="169">
        <v>1454.0</v>
      </c>
      <c r="BR58" s="170">
        <f t="shared" si="10"/>
        <v>3</v>
      </c>
      <c r="BS58" s="173">
        <v>0.0</v>
      </c>
      <c r="BT58" s="173">
        <v>1.0</v>
      </c>
      <c r="BU58" s="173">
        <v>0.0</v>
      </c>
      <c r="BV58" s="173">
        <v>2.0</v>
      </c>
      <c r="BW58" s="173">
        <v>0.0</v>
      </c>
      <c r="BX58" s="173">
        <v>0.0</v>
      </c>
      <c r="BY58" s="173">
        <v>0.0</v>
      </c>
      <c r="BZ58" s="173">
        <v>0.0</v>
      </c>
      <c r="CA58" s="173">
        <v>0.0</v>
      </c>
      <c r="CB58" s="173">
        <v>0.0</v>
      </c>
      <c r="CC58" s="173">
        <v>0.0</v>
      </c>
      <c r="CD58" s="173">
        <v>0.0</v>
      </c>
      <c r="CE58" s="173">
        <v>0.0</v>
      </c>
      <c r="CF58" s="173">
        <v>0.0</v>
      </c>
      <c r="CG58" s="173">
        <v>0.0</v>
      </c>
      <c r="CH58" s="173">
        <v>0.0</v>
      </c>
      <c r="CI58" s="173">
        <v>0.0</v>
      </c>
      <c r="CJ58" s="173">
        <v>0.0</v>
      </c>
      <c r="CK58" s="172">
        <f t="shared" si="132"/>
        <v>0</v>
      </c>
      <c r="CL58" s="173">
        <v>1484.0</v>
      </c>
      <c r="CM58" s="173">
        <v>528.0</v>
      </c>
      <c r="CN58" s="175">
        <f t="shared" si="12"/>
        <v>2</v>
      </c>
      <c r="CO58" s="173">
        <v>0.0</v>
      </c>
      <c r="CP58" s="173">
        <v>0.0</v>
      </c>
      <c r="CQ58" s="173">
        <v>0.0</v>
      </c>
      <c r="CR58" s="173">
        <v>2.0</v>
      </c>
      <c r="CS58" s="173">
        <v>0.0</v>
      </c>
      <c r="CT58" s="173">
        <v>0.0</v>
      </c>
      <c r="CU58" s="173">
        <v>0.0</v>
      </c>
      <c r="CV58" s="173">
        <v>0.0</v>
      </c>
      <c r="CW58" s="173">
        <v>0.0</v>
      </c>
      <c r="CX58" s="173">
        <v>0.0</v>
      </c>
      <c r="CY58" s="173">
        <v>0.0</v>
      </c>
      <c r="CZ58" s="173">
        <v>0.0</v>
      </c>
      <c r="DA58" s="173">
        <v>0.0</v>
      </c>
      <c r="DB58" s="173">
        <v>1.0</v>
      </c>
      <c r="DC58" s="173">
        <v>0.0</v>
      </c>
      <c r="DD58" s="173">
        <v>0.0</v>
      </c>
      <c r="DE58" s="173">
        <v>0.0</v>
      </c>
      <c r="DF58" s="173">
        <v>0.0</v>
      </c>
      <c r="DG58" s="176">
        <f t="shared" si="13"/>
        <v>1</v>
      </c>
      <c r="DH58" s="177">
        <v>1476.0</v>
      </c>
      <c r="DI58" s="177">
        <v>541.0</v>
      </c>
      <c r="DJ58" s="178">
        <v>1342.0</v>
      </c>
      <c r="DK58" s="178">
        <v>526.0</v>
      </c>
      <c r="DL58" s="179">
        <f t="shared" si="14"/>
        <v>2</v>
      </c>
      <c r="DM58" s="180">
        <f t="shared" si="15"/>
        <v>0</v>
      </c>
      <c r="DN58" s="180">
        <f t="shared" si="16"/>
        <v>2</v>
      </c>
      <c r="DO58" s="177">
        <v>0.0</v>
      </c>
      <c r="DP58" s="177">
        <v>0.0</v>
      </c>
      <c r="DQ58" s="177">
        <v>0.0</v>
      </c>
      <c r="DR58" s="177">
        <v>2.0</v>
      </c>
      <c r="DS58" s="177">
        <v>0.0</v>
      </c>
      <c r="DT58" s="177">
        <v>0.0</v>
      </c>
      <c r="DU58" s="177">
        <v>0.0</v>
      </c>
      <c r="DV58" s="177">
        <v>0.0</v>
      </c>
      <c r="DW58" s="177">
        <v>0.0</v>
      </c>
      <c r="DX58" s="177">
        <v>0.0</v>
      </c>
      <c r="DY58" s="177">
        <v>0.0</v>
      </c>
      <c r="DZ58" s="177">
        <v>0.0</v>
      </c>
      <c r="EA58" s="177">
        <v>0.0</v>
      </c>
      <c r="EB58" s="177">
        <v>0.0</v>
      </c>
      <c r="EC58" s="177">
        <v>0.0</v>
      </c>
      <c r="ED58" s="177">
        <v>0.0</v>
      </c>
      <c r="EE58" s="177">
        <v>0.0</v>
      </c>
      <c r="EF58" s="177">
        <v>0.0</v>
      </c>
      <c r="EG58" s="179">
        <f t="shared" si="17"/>
        <v>0</v>
      </c>
      <c r="EH58" s="179">
        <f t="shared" si="18"/>
        <v>0</v>
      </c>
      <c r="EI58" s="177">
        <v>1386.0</v>
      </c>
      <c r="EJ58" s="177">
        <v>536.0</v>
      </c>
      <c r="EK58" s="178">
        <v>1323.0</v>
      </c>
      <c r="EL58" s="178">
        <v>526.0</v>
      </c>
      <c r="EM58" s="185">
        <f t="shared" si="19"/>
        <v>2</v>
      </c>
      <c r="EN58" s="186">
        <f t="shared" si="89"/>
        <v>0</v>
      </c>
      <c r="EO58" s="186">
        <f t="shared" si="90"/>
        <v>2</v>
      </c>
      <c r="EP58" s="177">
        <v>0.0</v>
      </c>
      <c r="EQ58" s="177">
        <v>0.0</v>
      </c>
      <c r="ER58" s="177">
        <v>0.0</v>
      </c>
      <c r="ES58" s="177">
        <v>1.0</v>
      </c>
      <c r="ET58" s="177">
        <v>0.0</v>
      </c>
      <c r="EU58" s="177">
        <v>0.0</v>
      </c>
      <c r="EV58" s="177">
        <v>0.0</v>
      </c>
      <c r="EW58" s="177">
        <v>1.0</v>
      </c>
      <c r="EX58" s="177">
        <v>0.0</v>
      </c>
      <c r="EY58" s="177">
        <v>0.0</v>
      </c>
      <c r="EZ58" s="177">
        <v>1.0</v>
      </c>
      <c r="FA58" s="177">
        <v>0.0</v>
      </c>
      <c r="FB58" s="302">
        <v>0.0</v>
      </c>
      <c r="FC58" s="303">
        <v>0.0</v>
      </c>
      <c r="FD58" s="303">
        <v>0.0</v>
      </c>
      <c r="FE58" s="303">
        <v>0.0</v>
      </c>
      <c r="FF58" s="303">
        <v>0.0</v>
      </c>
      <c r="FG58" s="177">
        <v>0.0</v>
      </c>
      <c r="FH58" s="185">
        <f t="shared" si="22"/>
        <v>1</v>
      </c>
      <c r="FI58" s="185">
        <f t="shared" si="23"/>
        <v>1</v>
      </c>
      <c r="FJ58" s="177">
        <v>1402.0</v>
      </c>
      <c r="FK58" s="177">
        <v>398.0</v>
      </c>
      <c r="FL58" s="177">
        <v>1340.0</v>
      </c>
      <c r="FM58" s="177">
        <v>382.0</v>
      </c>
      <c r="FN58" s="304"/>
      <c r="FO58" s="304">
        <v>2.0</v>
      </c>
      <c r="FP58" s="188">
        <f t="shared" si="128"/>
        <v>2</v>
      </c>
      <c r="FQ58" s="211">
        <v>1.0</v>
      </c>
      <c r="FR58" s="212">
        <v>1.0</v>
      </c>
      <c r="FS58" s="206">
        <v>0.0</v>
      </c>
      <c r="FT58" s="207">
        <v>0.0</v>
      </c>
      <c r="FU58" s="207">
        <v>0.0</v>
      </c>
      <c r="FV58" s="207">
        <v>1.0</v>
      </c>
      <c r="FW58" s="207">
        <v>0.0</v>
      </c>
      <c r="FX58" s="207">
        <v>0.0</v>
      </c>
      <c r="FY58" s="207">
        <v>1.0</v>
      </c>
      <c r="FZ58" s="207">
        <v>0.0</v>
      </c>
      <c r="GA58" s="207">
        <v>0.0</v>
      </c>
      <c r="GB58" s="207">
        <v>0.0</v>
      </c>
      <c r="GC58" s="207">
        <v>0.0</v>
      </c>
      <c r="GD58" s="207">
        <v>1.0</v>
      </c>
      <c r="GE58" s="207">
        <v>0.0</v>
      </c>
      <c r="GF58" s="207">
        <v>0.0</v>
      </c>
      <c r="GG58" s="207">
        <v>0.0</v>
      </c>
      <c r="GH58" s="207">
        <v>0.0</v>
      </c>
      <c r="GI58" s="207">
        <v>0.0</v>
      </c>
      <c r="GJ58" s="207">
        <v>0.0</v>
      </c>
      <c r="GK58" s="212">
        <v>1.0</v>
      </c>
      <c r="GL58" s="212">
        <v>0.0</v>
      </c>
      <c r="GM58" s="207">
        <v>1542.0</v>
      </c>
      <c r="GN58" s="207">
        <v>605.0</v>
      </c>
      <c r="GO58" s="213">
        <v>1533.0</v>
      </c>
      <c r="GP58" s="213">
        <v>533.0</v>
      </c>
      <c r="GQ58" s="207"/>
      <c r="GR58" s="213">
        <v>6.0</v>
      </c>
      <c r="GS58" s="193">
        <v>4.0</v>
      </c>
      <c r="GT58" s="194">
        <f t="shared" si="25"/>
        <v>6</v>
      </c>
      <c r="GU58" s="194">
        <f t="shared" si="26"/>
        <v>4</v>
      </c>
      <c r="GV58" s="194">
        <f t="shared" si="27"/>
        <v>2</v>
      </c>
      <c r="GW58" s="207">
        <v>0.0</v>
      </c>
      <c r="GX58" s="207">
        <v>0.0</v>
      </c>
      <c r="GY58" s="207">
        <v>0.0</v>
      </c>
      <c r="GZ58" s="207">
        <v>1.0</v>
      </c>
      <c r="HA58" s="207">
        <v>0.0</v>
      </c>
      <c r="HB58" s="207">
        <v>1.0</v>
      </c>
      <c r="HC58" s="207">
        <v>3.0</v>
      </c>
      <c r="HD58" s="207">
        <v>1.0</v>
      </c>
      <c r="HE58" s="207">
        <v>0.0</v>
      </c>
      <c r="HF58" s="207">
        <v>0.0</v>
      </c>
      <c r="HG58" s="207">
        <v>1.0</v>
      </c>
      <c r="HH58" s="207">
        <v>0.0</v>
      </c>
      <c r="HI58" s="207">
        <v>0.0</v>
      </c>
      <c r="HJ58" s="207">
        <v>0.0</v>
      </c>
      <c r="HK58" s="207">
        <v>0.0</v>
      </c>
      <c r="HL58" s="207">
        <v>0.0</v>
      </c>
      <c r="HM58" s="207">
        <v>0.0</v>
      </c>
      <c r="HN58" s="207">
        <v>0.0</v>
      </c>
      <c r="HO58" s="299">
        <v>0.0</v>
      </c>
      <c r="HP58" s="299">
        <v>1.0</v>
      </c>
      <c r="HQ58" s="214"/>
      <c r="HR58" s="197"/>
      <c r="HS58" s="197"/>
      <c r="HT58" s="198">
        <f t="shared" si="28"/>
        <v>0</v>
      </c>
      <c r="HU58" s="198">
        <f t="shared" si="29"/>
        <v>1</v>
      </c>
      <c r="HV58" s="198">
        <f t="shared" si="30"/>
        <v>0</v>
      </c>
      <c r="HW58" s="198">
        <f t="shared" si="99"/>
        <v>2</v>
      </c>
      <c r="HX58" s="198">
        <f t="shared" si="32"/>
        <v>3</v>
      </c>
      <c r="HY58" s="198">
        <f t="shared" si="33"/>
        <v>3</v>
      </c>
      <c r="HZ58" s="198">
        <f t="shared" si="34"/>
        <v>3</v>
      </c>
      <c r="IA58" s="198">
        <f t="shared" si="35"/>
        <v>2</v>
      </c>
      <c r="IB58" s="198">
        <f t="shared" si="36"/>
        <v>2</v>
      </c>
      <c r="IC58" s="198">
        <f t="shared" si="37"/>
        <v>2</v>
      </c>
      <c r="ID58" s="198">
        <f t="shared" si="38"/>
        <v>2</v>
      </c>
      <c r="IE58" s="198">
        <f t="shared" si="39"/>
        <v>6</v>
      </c>
      <c r="IF58" s="197"/>
      <c r="IG58" s="197"/>
      <c r="IH58" s="197"/>
      <c r="II58" s="197"/>
      <c r="IJ58" s="197"/>
      <c r="IK58" s="197"/>
      <c r="IL58" s="197"/>
      <c r="IM58" s="197"/>
      <c r="IN58" s="197"/>
      <c r="IO58" s="197"/>
      <c r="IP58" s="197"/>
      <c r="IQ58" s="197"/>
      <c r="IR58" s="197"/>
      <c r="IS58" s="197"/>
      <c r="IT58" s="197"/>
      <c r="IU58" s="197"/>
      <c r="IV58" s="197"/>
      <c r="IW58" s="197"/>
      <c r="IX58" s="197"/>
      <c r="IY58" s="197"/>
      <c r="IZ58" s="197"/>
      <c r="JA58" s="199"/>
      <c r="JB58" s="200">
        <f t="shared" si="40"/>
        <v>0</v>
      </c>
      <c r="JC58" s="200">
        <f t="shared" si="41"/>
        <v>1</v>
      </c>
      <c r="JD58" s="200">
        <f t="shared" si="42"/>
        <v>0</v>
      </c>
      <c r="JE58" s="200">
        <f t="shared" si="43"/>
        <v>2</v>
      </c>
      <c r="JF58" s="200">
        <f t="shared" si="44"/>
        <v>3</v>
      </c>
      <c r="JG58" s="200">
        <f t="shared" si="45"/>
        <v>3</v>
      </c>
      <c r="JH58" s="200">
        <f t="shared" si="46"/>
        <v>3</v>
      </c>
      <c r="JI58" s="200">
        <f t="shared" si="47"/>
        <v>2</v>
      </c>
      <c r="JJ58" s="200">
        <f t="shared" si="48"/>
        <v>2</v>
      </c>
      <c r="JK58" s="200">
        <f t="shared" si="49"/>
        <v>3</v>
      </c>
      <c r="JL58" s="200">
        <f t="shared" si="50"/>
        <v>2</v>
      </c>
      <c r="JM58" s="200">
        <f t="shared" si="51"/>
        <v>6</v>
      </c>
      <c r="JN58" s="199"/>
      <c r="JO58" s="200">
        <f t="shared" si="52"/>
        <v>0</v>
      </c>
      <c r="JP58" s="202">
        <v>1.0</v>
      </c>
      <c r="JQ58" s="202">
        <v>0.0</v>
      </c>
      <c r="JR58" s="202">
        <v>2.0</v>
      </c>
      <c r="JS58" s="202">
        <v>3.0</v>
      </c>
      <c r="JT58" s="199"/>
      <c r="JU58" s="199"/>
      <c r="JV58" s="200">
        <f t="shared" ref="JV58:JX58" si="163">IA58-JI58</f>
        <v>0</v>
      </c>
      <c r="JW58" s="200">
        <f t="shared" si="163"/>
        <v>0</v>
      </c>
      <c r="JX58" s="200">
        <f t="shared" si="163"/>
        <v>-1</v>
      </c>
      <c r="JY58" s="199"/>
      <c r="JZ58" s="199"/>
      <c r="KA58" s="199"/>
      <c r="KB58" s="200">
        <f t="shared" ref="KB58:KM58" si="164">JB58-JO58</f>
        <v>0</v>
      </c>
      <c r="KC58" s="200">
        <f t="shared" si="164"/>
        <v>0</v>
      </c>
      <c r="KD58" s="200">
        <f t="shared" si="164"/>
        <v>0</v>
      </c>
      <c r="KE58" s="200">
        <f t="shared" si="164"/>
        <v>0</v>
      </c>
      <c r="KF58" s="200">
        <f t="shared" si="164"/>
        <v>0</v>
      </c>
      <c r="KG58" s="200">
        <f t="shared" si="164"/>
        <v>3</v>
      </c>
      <c r="KH58" s="200">
        <f t="shared" si="164"/>
        <v>3</v>
      </c>
      <c r="KI58" s="200">
        <f t="shared" si="164"/>
        <v>2</v>
      </c>
      <c r="KJ58" s="200">
        <f t="shared" si="164"/>
        <v>2</v>
      </c>
      <c r="KK58" s="200">
        <f t="shared" si="164"/>
        <v>4</v>
      </c>
      <c r="KL58" s="200">
        <f t="shared" si="164"/>
        <v>2</v>
      </c>
      <c r="KM58" s="200">
        <f t="shared" si="164"/>
        <v>6</v>
      </c>
      <c r="KN58" s="199"/>
      <c r="KO58" s="199"/>
      <c r="KP58" s="199"/>
      <c r="KQ58" s="199"/>
      <c r="KR58" s="199"/>
      <c r="KS58" s="199"/>
      <c r="KT58" s="199"/>
      <c r="KU58" s="199"/>
      <c r="KV58" s="199"/>
      <c r="KW58" s="199"/>
      <c r="KX58" s="199"/>
      <c r="KY58" s="199"/>
      <c r="KZ58" s="199"/>
      <c r="LA58" s="199"/>
      <c r="LB58" s="199"/>
      <c r="LC58" s="199"/>
      <c r="LD58" s="199"/>
      <c r="LE58" s="199"/>
      <c r="LF58" s="199"/>
      <c r="LG58" s="199"/>
    </row>
    <row r="59" ht="14.25" customHeight="1">
      <c r="A59" s="156">
        <v>52.0</v>
      </c>
      <c r="B59" s="157" t="s">
        <v>128</v>
      </c>
      <c r="C59" s="158">
        <v>3374090.0</v>
      </c>
      <c r="D59" s="158" t="s">
        <v>129</v>
      </c>
      <c r="E59" s="158" t="s">
        <v>140</v>
      </c>
      <c r="F59" s="159">
        <v>11.0</v>
      </c>
      <c r="G59" s="285">
        <v>1472.0</v>
      </c>
      <c r="H59" s="160">
        <v>1.0</v>
      </c>
      <c r="I59" s="161">
        <v>0.0</v>
      </c>
      <c r="J59" s="161">
        <v>0.0</v>
      </c>
      <c r="K59" s="161">
        <v>0.0</v>
      </c>
      <c r="L59" s="161">
        <v>1.0</v>
      </c>
      <c r="M59" s="161">
        <v>0.0</v>
      </c>
      <c r="N59" s="161">
        <v>0.0</v>
      </c>
      <c r="O59" s="162">
        <f t="shared" si="3"/>
        <v>1</v>
      </c>
      <c r="P59" s="203">
        <v>1.0</v>
      </c>
      <c r="Q59" s="164">
        <v>0.0</v>
      </c>
      <c r="R59" s="164">
        <v>0.0</v>
      </c>
      <c r="S59" s="164">
        <v>0.0</v>
      </c>
      <c r="T59" s="165">
        <v>1.0</v>
      </c>
      <c r="U59" s="165">
        <v>0.0</v>
      </c>
      <c r="V59" s="165">
        <v>0.0</v>
      </c>
      <c r="W59" s="166">
        <f t="shared" si="4"/>
        <v>1</v>
      </c>
      <c r="X59" s="203">
        <v>1.0</v>
      </c>
      <c r="Y59" s="165">
        <v>0.0</v>
      </c>
      <c r="Z59" s="165">
        <v>0.0</v>
      </c>
      <c r="AA59" s="165">
        <v>0.0</v>
      </c>
      <c r="AB59" s="165">
        <v>1.0</v>
      </c>
      <c r="AC59" s="165">
        <v>0.0</v>
      </c>
      <c r="AD59" s="165">
        <v>0.0</v>
      </c>
      <c r="AE59" s="166">
        <f t="shared" si="5"/>
        <v>1</v>
      </c>
      <c r="AF59" s="167">
        <v>4.0</v>
      </c>
      <c r="AG59" s="165">
        <v>0.0</v>
      </c>
      <c r="AH59" s="165">
        <v>0.0</v>
      </c>
      <c r="AI59" s="165">
        <v>1.0</v>
      </c>
      <c r="AJ59" s="165">
        <v>3.0</v>
      </c>
      <c r="AK59" s="165">
        <v>3.0</v>
      </c>
      <c r="AL59" s="165">
        <v>0.0</v>
      </c>
      <c r="AM59" s="166">
        <f t="shared" si="98"/>
        <v>1</v>
      </c>
      <c r="AN59" s="167">
        <v>5.0</v>
      </c>
      <c r="AO59" s="165">
        <v>1.0</v>
      </c>
      <c r="AP59" s="165">
        <v>0.0</v>
      </c>
      <c r="AQ59" s="165">
        <v>1.0</v>
      </c>
      <c r="AR59" s="165">
        <v>3.0</v>
      </c>
      <c r="AS59" s="165">
        <v>1.0</v>
      </c>
      <c r="AT59" s="165">
        <v>0.0</v>
      </c>
      <c r="AU59" s="168">
        <f t="shared" si="7"/>
        <v>4</v>
      </c>
      <c r="AV59" s="169">
        <v>1368.0</v>
      </c>
      <c r="AW59" s="170">
        <f t="shared" si="8"/>
        <v>5</v>
      </c>
      <c r="AX59" s="165">
        <v>1.0</v>
      </c>
      <c r="AY59" s="165">
        <v>0.0</v>
      </c>
      <c r="AZ59" s="165">
        <v>1.0</v>
      </c>
      <c r="BA59" s="165">
        <v>3.0</v>
      </c>
      <c r="BB59" s="169">
        <v>0.0</v>
      </c>
      <c r="BC59" s="169">
        <v>0.0</v>
      </c>
      <c r="BD59" s="169">
        <v>0.0</v>
      </c>
      <c r="BE59" s="169">
        <v>0.0</v>
      </c>
      <c r="BF59" s="169">
        <v>0.0</v>
      </c>
      <c r="BG59" s="169">
        <v>0.0</v>
      </c>
      <c r="BH59" s="169">
        <v>0.0</v>
      </c>
      <c r="BI59" s="169">
        <v>0.0</v>
      </c>
      <c r="BJ59" s="169">
        <v>0.0</v>
      </c>
      <c r="BK59" s="169">
        <v>0.0</v>
      </c>
      <c r="BL59" s="169">
        <v>0.0</v>
      </c>
      <c r="BM59" s="169">
        <v>0.0</v>
      </c>
      <c r="BN59" s="169">
        <v>0.0</v>
      </c>
      <c r="BO59" s="169">
        <v>0.0</v>
      </c>
      <c r="BP59" s="205">
        <f t="shared" si="131"/>
        <v>0</v>
      </c>
      <c r="BQ59" s="169">
        <v>1299.0</v>
      </c>
      <c r="BR59" s="170">
        <f t="shared" si="10"/>
        <v>5</v>
      </c>
      <c r="BS59" s="173">
        <v>1.0</v>
      </c>
      <c r="BT59" s="173">
        <v>0.0</v>
      </c>
      <c r="BU59" s="173">
        <v>1.0</v>
      </c>
      <c r="BV59" s="173">
        <v>3.0</v>
      </c>
      <c r="BW59" s="173">
        <v>0.0</v>
      </c>
      <c r="BX59" s="173">
        <v>0.0</v>
      </c>
      <c r="BY59" s="173">
        <v>0.0</v>
      </c>
      <c r="BZ59" s="173">
        <v>0.0</v>
      </c>
      <c r="CA59" s="173">
        <v>0.0</v>
      </c>
      <c r="CB59" s="173">
        <v>0.0</v>
      </c>
      <c r="CC59" s="173">
        <v>0.0</v>
      </c>
      <c r="CD59" s="173">
        <v>0.0</v>
      </c>
      <c r="CE59" s="173">
        <v>0.0</v>
      </c>
      <c r="CF59" s="173">
        <v>0.0</v>
      </c>
      <c r="CG59" s="173">
        <v>0.0</v>
      </c>
      <c r="CH59" s="173">
        <v>0.0</v>
      </c>
      <c r="CI59" s="173">
        <v>0.0</v>
      </c>
      <c r="CJ59" s="173">
        <v>0.0</v>
      </c>
      <c r="CK59" s="172">
        <f t="shared" si="132"/>
        <v>0</v>
      </c>
      <c r="CL59" s="173">
        <v>1295.0</v>
      </c>
      <c r="CM59" s="173">
        <v>574.0</v>
      </c>
      <c r="CN59" s="175">
        <f t="shared" si="12"/>
        <v>3</v>
      </c>
      <c r="CO59" s="173">
        <v>0.0</v>
      </c>
      <c r="CP59" s="173">
        <v>0.0</v>
      </c>
      <c r="CQ59" s="173">
        <v>1.0</v>
      </c>
      <c r="CR59" s="173">
        <v>2.0</v>
      </c>
      <c r="CS59" s="173">
        <v>0.0</v>
      </c>
      <c r="CT59" s="173">
        <v>0.0</v>
      </c>
      <c r="CU59" s="173">
        <v>0.0</v>
      </c>
      <c r="CV59" s="173">
        <v>0.0</v>
      </c>
      <c r="CW59" s="173">
        <v>0.0</v>
      </c>
      <c r="CX59" s="173">
        <v>0.0</v>
      </c>
      <c r="CY59" s="173">
        <v>0.0</v>
      </c>
      <c r="CZ59" s="173">
        <v>0.0</v>
      </c>
      <c r="DA59" s="173">
        <v>0.0</v>
      </c>
      <c r="DB59" s="173">
        <v>2.0</v>
      </c>
      <c r="DC59" s="173">
        <v>0.0</v>
      </c>
      <c r="DD59" s="173">
        <v>0.0</v>
      </c>
      <c r="DE59" s="173">
        <v>0.0</v>
      </c>
      <c r="DF59" s="173">
        <v>0.0</v>
      </c>
      <c r="DG59" s="176">
        <f t="shared" si="13"/>
        <v>2</v>
      </c>
      <c r="DH59" s="177">
        <v>1123.0</v>
      </c>
      <c r="DI59" s="177">
        <v>351.0</v>
      </c>
      <c r="DJ59" s="178">
        <v>998.0</v>
      </c>
      <c r="DK59" s="178">
        <v>330.0</v>
      </c>
      <c r="DL59" s="179">
        <f t="shared" si="14"/>
        <v>3</v>
      </c>
      <c r="DM59" s="180">
        <f t="shared" si="15"/>
        <v>1</v>
      </c>
      <c r="DN59" s="180">
        <f t="shared" si="16"/>
        <v>2</v>
      </c>
      <c r="DO59" s="177">
        <v>0.0</v>
      </c>
      <c r="DP59" s="177">
        <v>0.0</v>
      </c>
      <c r="DQ59" s="177">
        <v>1.0</v>
      </c>
      <c r="DR59" s="177">
        <v>2.0</v>
      </c>
      <c r="DS59" s="177">
        <v>0.0</v>
      </c>
      <c r="DT59" s="177">
        <v>0.0</v>
      </c>
      <c r="DU59" s="177">
        <v>0.0</v>
      </c>
      <c r="DV59" s="177">
        <v>0.0</v>
      </c>
      <c r="DW59" s="177">
        <v>0.0</v>
      </c>
      <c r="DX59" s="177">
        <v>0.0</v>
      </c>
      <c r="DY59" s="177">
        <v>0.0</v>
      </c>
      <c r="DZ59" s="177">
        <v>0.0</v>
      </c>
      <c r="EA59" s="177">
        <v>0.0</v>
      </c>
      <c r="EB59" s="177">
        <v>0.0</v>
      </c>
      <c r="EC59" s="177">
        <v>0.0</v>
      </c>
      <c r="ED59" s="177">
        <v>0.0</v>
      </c>
      <c r="EE59" s="177">
        <v>0.0</v>
      </c>
      <c r="EF59" s="177">
        <v>0.0</v>
      </c>
      <c r="EG59" s="179">
        <f t="shared" si="17"/>
        <v>0</v>
      </c>
      <c r="EH59" s="179">
        <f t="shared" si="18"/>
        <v>0</v>
      </c>
      <c r="EI59" s="177">
        <v>1236.0</v>
      </c>
      <c r="EJ59" s="177">
        <v>428.0</v>
      </c>
      <c r="EK59" s="178">
        <v>967.0</v>
      </c>
      <c r="EL59" s="178">
        <v>330.0</v>
      </c>
      <c r="EM59" s="185">
        <f t="shared" si="19"/>
        <v>3</v>
      </c>
      <c r="EN59" s="186">
        <f t="shared" si="89"/>
        <v>0</v>
      </c>
      <c r="EO59" s="186">
        <f t="shared" si="90"/>
        <v>3</v>
      </c>
      <c r="EP59" s="177">
        <v>0.0</v>
      </c>
      <c r="EQ59" s="177">
        <v>0.0</v>
      </c>
      <c r="ER59" s="177">
        <v>0.0</v>
      </c>
      <c r="ES59" s="177">
        <v>0.0</v>
      </c>
      <c r="ET59" s="177">
        <v>0.0</v>
      </c>
      <c r="EU59" s="177">
        <v>0.0</v>
      </c>
      <c r="EV59" s="177">
        <v>0.0</v>
      </c>
      <c r="EW59" s="177">
        <v>3.0</v>
      </c>
      <c r="EX59" s="177">
        <v>0.0</v>
      </c>
      <c r="EY59" s="177">
        <v>0.0</v>
      </c>
      <c r="EZ59" s="177">
        <v>1.0</v>
      </c>
      <c r="FA59" s="177">
        <v>2.0</v>
      </c>
      <c r="FB59" s="302">
        <v>0.0</v>
      </c>
      <c r="FC59" s="303">
        <v>0.0</v>
      </c>
      <c r="FD59" s="303">
        <v>0.0</v>
      </c>
      <c r="FE59" s="303">
        <v>0.0</v>
      </c>
      <c r="FF59" s="303">
        <v>0.0</v>
      </c>
      <c r="FG59" s="177">
        <v>0.0</v>
      </c>
      <c r="FH59" s="185">
        <f t="shared" si="22"/>
        <v>3</v>
      </c>
      <c r="FI59" s="185">
        <f t="shared" si="23"/>
        <v>1</v>
      </c>
      <c r="FJ59" s="177">
        <v>1290.0</v>
      </c>
      <c r="FK59" s="177">
        <v>381.0</v>
      </c>
      <c r="FL59" s="177">
        <v>1203.0</v>
      </c>
      <c r="FM59" s="177">
        <v>365.0</v>
      </c>
      <c r="FN59" s="304"/>
      <c r="FO59" s="304">
        <v>5.0</v>
      </c>
      <c r="FP59" s="188">
        <f t="shared" si="128"/>
        <v>5</v>
      </c>
      <c r="FQ59" s="211">
        <v>1.0</v>
      </c>
      <c r="FR59" s="212">
        <v>4.0</v>
      </c>
      <c r="FS59" s="206">
        <v>0.0</v>
      </c>
      <c r="FT59" s="207">
        <v>0.0</v>
      </c>
      <c r="FU59" s="207">
        <v>0.0</v>
      </c>
      <c r="FV59" s="207">
        <v>3.0</v>
      </c>
      <c r="FW59" s="207">
        <v>0.0</v>
      </c>
      <c r="FX59" s="207">
        <v>0.0</v>
      </c>
      <c r="FY59" s="207">
        <v>1.0</v>
      </c>
      <c r="FZ59" s="207">
        <v>1.0</v>
      </c>
      <c r="GA59" s="207">
        <v>0.0</v>
      </c>
      <c r="GB59" s="207">
        <v>0.0</v>
      </c>
      <c r="GC59" s="207">
        <v>0.0</v>
      </c>
      <c r="GD59" s="207">
        <v>0.0</v>
      </c>
      <c r="GE59" s="207">
        <v>0.0</v>
      </c>
      <c r="GF59" s="207">
        <v>0.0</v>
      </c>
      <c r="GG59" s="207">
        <v>0.0</v>
      </c>
      <c r="GH59" s="207">
        <v>0.0</v>
      </c>
      <c r="GI59" s="207">
        <v>0.0</v>
      </c>
      <c r="GJ59" s="207">
        <v>0.0</v>
      </c>
      <c r="GK59" s="212">
        <v>0.0</v>
      </c>
      <c r="GL59" s="212">
        <v>0.0</v>
      </c>
      <c r="GM59" s="207">
        <v>1254.0</v>
      </c>
      <c r="GN59" s="207">
        <v>428.0</v>
      </c>
      <c r="GO59" s="213">
        <v>1230.0</v>
      </c>
      <c r="GP59" s="213">
        <v>390.0</v>
      </c>
      <c r="GQ59" s="207"/>
      <c r="GR59" s="213">
        <v>7.0</v>
      </c>
      <c r="GS59" s="193">
        <v>1.0</v>
      </c>
      <c r="GT59" s="194">
        <f t="shared" si="25"/>
        <v>7</v>
      </c>
      <c r="GU59" s="194">
        <f t="shared" si="26"/>
        <v>1</v>
      </c>
      <c r="GV59" s="194">
        <f t="shared" si="27"/>
        <v>6</v>
      </c>
      <c r="GW59" s="207">
        <v>0.0</v>
      </c>
      <c r="GX59" s="207">
        <v>0.0</v>
      </c>
      <c r="GY59" s="207">
        <v>1.0</v>
      </c>
      <c r="GZ59" s="207">
        <v>4.0</v>
      </c>
      <c r="HA59" s="207">
        <v>0.0</v>
      </c>
      <c r="HB59" s="207">
        <v>0.0</v>
      </c>
      <c r="HC59" s="207">
        <v>0.0</v>
      </c>
      <c r="HD59" s="207">
        <v>2.0</v>
      </c>
      <c r="HE59" s="207">
        <v>0.0</v>
      </c>
      <c r="HF59" s="207">
        <v>0.0</v>
      </c>
      <c r="HG59" s="207">
        <v>0.0</v>
      </c>
      <c r="HH59" s="207">
        <v>0.0</v>
      </c>
      <c r="HI59" s="207">
        <v>0.0</v>
      </c>
      <c r="HJ59" s="207">
        <v>0.0</v>
      </c>
      <c r="HK59" s="207">
        <v>0.0</v>
      </c>
      <c r="HL59" s="207">
        <v>0.0</v>
      </c>
      <c r="HM59" s="207">
        <v>0.0</v>
      </c>
      <c r="HN59" s="207">
        <v>0.0</v>
      </c>
      <c r="HO59" s="299">
        <v>0.0</v>
      </c>
      <c r="HP59" s="299">
        <v>0.0</v>
      </c>
      <c r="HQ59" s="214"/>
      <c r="HR59" s="197"/>
      <c r="HS59" s="197"/>
      <c r="HT59" s="198">
        <f t="shared" si="28"/>
        <v>1</v>
      </c>
      <c r="HU59" s="198">
        <f t="shared" si="29"/>
        <v>1</v>
      </c>
      <c r="HV59" s="198">
        <f t="shared" si="30"/>
        <v>1</v>
      </c>
      <c r="HW59" s="198">
        <f t="shared" si="99"/>
        <v>4</v>
      </c>
      <c r="HX59" s="198">
        <f t="shared" si="32"/>
        <v>5</v>
      </c>
      <c r="HY59" s="198">
        <f t="shared" si="33"/>
        <v>5</v>
      </c>
      <c r="HZ59" s="198">
        <f t="shared" si="34"/>
        <v>5</v>
      </c>
      <c r="IA59" s="198">
        <f t="shared" si="35"/>
        <v>3</v>
      </c>
      <c r="IB59" s="198">
        <f t="shared" si="36"/>
        <v>3</v>
      </c>
      <c r="IC59" s="198">
        <f t="shared" si="37"/>
        <v>3</v>
      </c>
      <c r="ID59" s="198">
        <f t="shared" si="38"/>
        <v>5</v>
      </c>
      <c r="IE59" s="198">
        <f t="shared" si="39"/>
        <v>7</v>
      </c>
      <c r="IF59" s="197"/>
      <c r="IG59" s="197"/>
      <c r="IH59" s="197"/>
      <c r="II59" s="197"/>
      <c r="IJ59" s="197"/>
      <c r="IK59" s="197"/>
      <c r="IL59" s="197"/>
      <c r="IM59" s="197"/>
      <c r="IN59" s="197"/>
      <c r="IO59" s="197"/>
      <c r="IP59" s="197"/>
      <c r="IQ59" s="197"/>
      <c r="IR59" s="197"/>
      <c r="IS59" s="197"/>
      <c r="IT59" s="197"/>
      <c r="IU59" s="197"/>
      <c r="IV59" s="197"/>
      <c r="IW59" s="197"/>
      <c r="IX59" s="197"/>
      <c r="IY59" s="197"/>
      <c r="IZ59" s="197"/>
      <c r="JA59" s="199"/>
      <c r="JB59" s="200">
        <f t="shared" si="40"/>
        <v>1</v>
      </c>
      <c r="JC59" s="200">
        <f t="shared" si="41"/>
        <v>1</v>
      </c>
      <c r="JD59" s="200">
        <f t="shared" si="42"/>
        <v>1</v>
      </c>
      <c r="JE59" s="200">
        <f t="shared" si="43"/>
        <v>4</v>
      </c>
      <c r="JF59" s="200">
        <f t="shared" si="44"/>
        <v>5</v>
      </c>
      <c r="JG59" s="200">
        <f t="shared" si="45"/>
        <v>5</v>
      </c>
      <c r="JH59" s="200">
        <f t="shared" si="46"/>
        <v>5</v>
      </c>
      <c r="JI59" s="200">
        <f t="shared" si="47"/>
        <v>3</v>
      </c>
      <c r="JJ59" s="200">
        <f t="shared" si="48"/>
        <v>3</v>
      </c>
      <c r="JK59" s="200">
        <f t="shared" si="49"/>
        <v>6</v>
      </c>
      <c r="JL59" s="200">
        <f t="shared" si="50"/>
        <v>5</v>
      </c>
      <c r="JM59" s="200">
        <f t="shared" si="51"/>
        <v>7</v>
      </c>
      <c r="JN59" s="199"/>
      <c r="JO59" s="200">
        <f t="shared" si="52"/>
        <v>1</v>
      </c>
      <c r="JP59" s="202">
        <v>1.0</v>
      </c>
      <c r="JQ59" s="202">
        <v>1.0</v>
      </c>
      <c r="JR59" s="202">
        <v>4.0</v>
      </c>
      <c r="JS59" s="202">
        <v>5.0</v>
      </c>
      <c r="JT59" s="199"/>
      <c r="JU59" s="199"/>
      <c r="JV59" s="200">
        <f t="shared" ref="JV59:JX59" si="165">IA59-JI59</f>
        <v>0</v>
      </c>
      <c r="JW59" s="200">
        <f t="shared" si="165"/>
        <v>0</v>
      </c>
      <c r="JX59" s="200">
        <f t="shared" si="165"/>
        <v>-3</v>
      </c>
      <c r="JY59" s="199"/>
      <c r="JZ59" s="199"/>
      <c r="KA59" s="199"/>
      <c r="KB59" s="200">
        <f t="shared" ref="KB59:KM59" si="166">JB59-JO59</f>
        <v>0</v>
      </c>
      <c r="KC59" s="200">
        <f t="shared" si="166"/>
        <v>0</v>
      </c>
      <c r="KD59" s="200">
        <f t="shared" si="166"/>
        <v>0</v>
      </c>
      <c r="KE59" s="200">
        <f t="shared" si="166"/>
        <v>0</v>
      </c>
      <c r="KF59" s="200">
        <f t="shared" si="166"/>
        <v>0</v>
      </c>
      <c r="KG59" s="200">
        <f t="shared" si="166"/>
        <v>5</v>
      </c>
      <c r="KH59" s="200">
        <f t="shared" si="166"/>
        <v>5</v>
      </c>
      <c r="KI59" s="200">
        <f t="shared" si="166"/>
        <v>3</v>
      </c>
      <c r="KJ59" s="200">
        <f t="shared" si="166"/>
        <v>3</v>
      </c>
      <c r="KK59" s="200">
        <f t="shared" si="166"/>
        <v>9</v>
      </c>
      <c r="KL59" s="200">
        <f t="shared" si="166"/>
        <v>5</v>
      </c>
      <c r="KM59" s="200">
        <f t="shared" si="166"/>
        <v>7</v>
      </c>
      <c r="KN59" s="199"/>
      <c r="KO59" s="199"/>
      <c r="KP59" s="199"/>
      <c r="KQ59" s="199"/>
      <c r="KR59" s="199"/>
      <c r="KS59" s="199"/>
      <c r="KT59" s="199"/>
      <c r="KU59" s="199"/>
      <c r="KV59" s="199"/>
      <c r="KW59" s="199"/>
      <c r="KX59" s="199"/>
      <c r="KY59" s="199"/>
      <c r="KZ59" s="199"/>
      <c r="LA59" s="199"/>
      <c r="LB59" s="199"/>
      <c r="LC59" s="199"/>
      <c r="LD59" s="199"/>
      <c r="LE59" s="199"/>
      <c r="LF59" s="199"/>
      <c r="LG59" s="199"/>
    </row>
    <row r="60" ht="14.25" customHeight="1">
      <c r="A60" s="156">
        <v>53.0</v>
      </c>
      <c r="B60" s="157" t="s">
        <v>128</v>
      </c>
      <c r="C60" s="158">
        <v>3374070.0</v>
      </c>
      <c r="D60" s="158" t="s">
        <v>128</v>
      </c>
      <c r="E60" s="158" t="s">
        <v>141</v>
      </c>
      <c r="F60" s="159">
        <v>2.0</v>
      </c>
      <c r="G60" s="285">
        <v>34.0</v>
      </c>
      <c r="H60" s="160">
        <v>0.0</v>
      </c>
      <c r="I60" s="161">
        <v>0.0</v>
      </c>
      <c r="J60" s="161">
        <v>0.0</v>
      </c>
      <c r="K60" s="161">
        <v>0.0</v>
      </c>
      <c r="L60" s="161">
        <v>0.0</v>
      </c>
      <c r="M60" s="161">
        <v>0.0</v>
      </c>
      <c r="N60" s="161">
        <v>0.0</v>
      </c>
      <c r="O60" s="162">
        <f t="shared" si="3"/>
        <v>0</v>
      </c>
      <c r="P60" s="203">
        <v>2.0</v>
      </c>
      <c r="Q60" s="164">
        <v>0.0</v>
      </c>
      <c r="R60" s="164">
        <v>0.0</v>
      </c>
      <c r="S60" s="164">
        <v>0.0</v>
      </c>
      <c r="T60" s="165">
        <v>2.0</v>
      </c>
      <c r="U60" s="165">
        <v>0.0</v>
      </c>
      <c r="V60" s="165">
        <v>0.0</v>
      </c>
      <c r="W60" s="166">
        <f t="shared" si="4"/>
        <v>2</v>
      </c>
      <c r="X60" s="203">
        <v>2.0</v>
      </c>
      <c r="Y60" s="165">
        <v>0.0</v>
      </c>
      <c r="Z60" s="165">
        <v>0.0</v>
      </c>
      <c r="AA60" s="165">
        <v>0.0</v>
      </c>
      <c r="AB60" s="165">
        <v>2.0</v>
      </c>
      <c r="AC60" s="165">
        <v>0.0</v>
      </c>
      <c r="AD60" s="165">
        <v>0.0</v>
      </c>
      <c r="AE60" s="166">
        <f t="shared" si="5"/>
        <v>2</v>
      </c>
      <c r="AF60" s="167">
        <v>1.0</v>
      </c>
      <c r="AG60" s="165">
        <v>0.0</v>
      </c>
      <c r="AH60" s="165">
        <v>0.0</v>
      </c>
      <c r="AI60" s="165">
        <v>0.0</v>
      </c>
      <c r="AJ60" s="165">
        <v>1.0</v>
      </c>
      <c r="AK60" s="165">
        <v>0.0</v>
      </c>
      <c r="AL60" s="165">
        <v>0.0</v>
      </c>
      <c r="AM60" s="166">
        <f t="shared" si="98"/>
        <v>1</v>
      </c>
      <c r="AN60" s="167">
        <v>1.0</v>
      </c>
      <c r="AO60" s="165">
        <v>0.0</v>
      </c>
      <c r="AP60" s="165">
        <v>0.0</v>
      </c>
      <c r="AQ60" s="165">
        <v>0.0</v>
      </c>
      <c r="AR60" s="165">
        <v>1.0</v>
      </c>
      <c r="AS60" s="165">
        <v>0.0</v>
      </c>
      <c r="AT60" s="165">
        <v>0.0</v>
      </c>
      <c r="AU60" s="168">
        <f t="shared" si="7"/>
        <v>1</v>
      </c>
      <c r="AV60" s="169">
        <v>39.0</v>
      </c>
      <c r="AW60" s="204">
        <f t="shared" si="8"/>
        <v>0</v>
      </c>
      <c r="AX60" s="169">
        <v>0.0</v>
      </c>
      <c r="AY60" s="169">
        <v>0.0</v>
      </c>
      <c r="AZ60" s="169">
        <v>0.0</v>
      </c>
      <c r="BA60" s="169">
        <v>0.0</v>
      </c>
      <c r="BB60" s="169">
        <v>0.0</v>
      </c>
      <c r="BC60" s="169">
        <v>0.0</v>
      </c>
      <c r="BD60" s="169">
        <v>0.0</v>
      </c>
      <c r="BE60" s="169">
        <v>0.0</v>
      </c>
      <c r="BF60" s="169">
        <v>0.0</v>
      </c>
      <c r="BG60" s="169">
        <v>0.0</v>
      </c>
      <c r="BH60" s="169">
        <v>0.0</v>
      </c>
      <c r="BI60" s="169">
        <v>0.0</v>
      </c>
      <c r="BJ60" s="169">
        <v>0.0</v>
      </c>
      <c r="BK60" s="169">
        <v>0.0</v>
      </c>
      <c r="BL60" s="169">
        <v>0.0</v>
      </c>
      <c r="BM60" s="169">
        <v>0.0</v>
      </c>
      <c r="BN60" s="169">
        <v>0.0</v>
      </c>
      <c r="BO60" s="169">
        <v>0.0</v>
      </c>
      <c r="BP60" s="205">
        <f t="shared" si="131"/>
        <v>0</v>
      </c>
      <c r="BQ60" s="173">
        <v>19.0</v>
      </c>
      <c r="BR60" s="170">
        <f t="shared" si="10"/>
        <v>0</v>
      </c>
      <c r="BS60" s="6"/>
      <c r="BT60" s="173">
        <v>0.0</v>
      </c>
      <c r="BU60" s="173">
        <v>0.0</v>
      </c>
      <c r="BV60" s="173">
        <v>0.0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172">
        <f t="shared" si="132"/>
        <v>0</v>
      </c>
      <c r="CL60" s="173">
        <v>19.0</v>
      </c>
      <c r="CM60" s="173">
        <v>8.0</v>
      </c>
      <c r="CN60" s="175">
        <f t="shared" si="12"/>
        <v>0</v>
      </c>
      <c r="CO60" s="173">
        <v>0.0</v>
      </c>
      <c r="CP60" s="173">
        <v>0.0</v>
      </c>
      <c r="CQ60" s="173">
        <v>0.0</v>
      </c>
      <c r="CR60" s="173">
        <v>0.0</v>
      </c>
      <c r="CS60" s="173">
        <v>0.0</v>
      </c>
      <c r="CT60" s="173">
        <v>0.0</v>
      </c>
      <c r="CU60" s="173">
        <v>0.0</v>
      </c>
      <c r="CV60" s="173">
        <v>0.0</v>
      </c>
      <c r="CW60" s="173">
        <v>0.0</v>
      </c>
      <c r="CX60" s="173">
        <v>0.0</v>
      </c>
      <c r="CY60" s="173">
        <v>0.0</v>
      </c>
      <c r="CZ60" s="173">
        <v>0.0</v>
      </c>
      <c r="DA60" s="173">
        <v>0.0</v>
      </c>
      <c r="DB60" s="173">
        <v>0.0</v>
      </c>
      <c r="DC60" s="173">
        <v>0.0</v>
      </c>
      <c r="DD60" s="173">
        <v>0.0</v>
      </c>
      <c r="DE60" s="173">
        <v>0.0</v>
      </c>
      <c r="DF60" s="173">
        <v>0.0</v>
      </c>
      <c r="DG60" s="176">
        <f t="shared" si="13"/>
        <v>0</v>
      </c>
      <c r="DH60" s="177">
        <v>45.0</v>
      </c>
      <c r="DI60" s="177">
        <v>20.0</v>
      </c>
      <c r="DJ60" s="178">
        <v>45.0</v>
      </c>
      <c r="DK60" s="178">
        <v>20.0</v>
      </c>
      <c r="DL60" s="179">
        <f t="shared" si="14"/>
        <v>0</v>
      </c>
      <c r="DM60" s="180">
        <f t="shared" si="15"/>
        <v>0</v>
      </c>
      <c r="DN60" s="180">
        <f t="shared" si="16"/>
        <v>0</v>
      </c>
      <c r="DO60" s="177">
        <v>0.0</v>
      </c>
      <c r="DP60" s="177">
        <v>0.0</v>
      </c>
      <c r="DQ60" s="177">
        <v>0.0</v>
      </c>
      <c r="DR60" s="177">
        <v>0.0</v>
      </c>
      <c r="DS60" s="177">
        <v>0.0</v>
      </c>
      <c r="DT60" s="177">
        <v>0.0</v>
      </c>
      <c r="DU60" s="177">
        <v>0.0</v>
      </c>
      <c r="DV60" s="177">
        <v>0.0</v>
      </c>
      <c r="DW60" s="177">
        <v>0.0</v>
      </c>
      <c r="DX60" s="177">
        <v>0.0</v>
      </c>
      <c r="DY60" s="177">
        <v>0.0</v>
      </c>
      <c r="DZ60" s="177">
        <v>0.0</v>
      </c>
      <c r="EA60" s="177">
        <v>0.0</v>
      </c>
      <c r="EB60" s="177">
        <v>0.0</v>
      </c>
      <c r="EC60" s="177">
        <v>0.0</v>
      </c>
      <c r="ED60" s="177">
        <v>0.0</v>
      </c>
      <c r="EE60" s="177">
        <v>0.0</v>
      </c>
      <c r="EF60" s="177">
        <v>0.0</v>
      </c>
      <c r="EG60" s="179">
        <f t="shared" si="17"/>
        <v>0</v>
      </c>
      <c r="EH60" s="179">
        <f t="shared" si="18"/>
        <v>0</v>
      </c>
      <c r="EI60" s="177">
        <v>34.0</v>
      </c>
      <c r="EJ60" s="177">
        <v>11.0</v>
      </c>
      <c r="EK60" s="178">
        <v>28.0</v>
      </c>
      <c r="EL60" s="178">
        <v>8.0</v>
      </c>
      <c r="EM60" s="185">
        <f t="shared" si="19"/>
        <v>0</v>
      </c>
      <c r="EN60" s="186">
        <f t="shared" si="89"/>
        <v>0</v>
      </c>
      <c r="EO60" s="186">
        <f t="shared" si="90"/>
        <v>0</v>
      </c>
      <c r="EP60" s="177">
        <v>0.0</v>
      </c>
      <c r="EQ60" s="177">
        <v>0.0</v>
      </c>
      <c r="ER60" s="177">
        <v>0.0</v>
      </c>
      <c r="ES60" s="177">
        <v>0.0</v>
      </c>
      <c r="ET60" s="177">
        <v>0.0</v>
      </c>
      <c r="EU60" s="177">
        <v>0.0</v>
      </c>
      <c r="EV60" s="177">
        <v>0.0</v>
      </c>
      <c r="EW60" s="177">
        <v>0.0</v>
      </c>
      <c r="EX60" s="177">
        <v>0.0</v>
      </c>
      <c r="EY60" s="177">
        <v>0.0</v>
      </c>
      <c r="EZ60" s="177">
        <v>0.0</v>
      </c>
      <c r="FA60" s="177">
        <v>0.0</v>
      </c>
      <c r="FB60" s="300">
        <v>0.0</v>
      </c>
      <c r="FC60" s="305">
        <v>0.0</v>
      </c>
      <c r="FD60" s="305">
        <v>0.0</v>
      </c>
      <c r="FE60" s="305">
        <v>0.0</v>
      </c>
      <c r="FF60" s="303">
        <v>0.0</v>
      </c>
      <c r="FG60" s="226"/>
      <c r="FH60" s="185">
        <f t="shared" si="22"/>
        <v>0</v>
      </c>
      <c r="FI60" s="185">
        <f t="shared" si="23"/>
        <v>0</v>
      </c>
      <c r="FJ60" s="177">
        <v>32.0</v>
      </c>
      <c r="FK60" s="177">
        <v>11.0</v>
      </c>
      <c r="FL60" s="177">
        <v>30.0</v>
      </c>
      <c r="FM60" s="177">
        <v>11.0</v>
      </c>
      <c r="FN60" s="297"/>
      <c r="FO60" s="297">
        <v>0.0</v>
      </c>
      <c r="FP60" s="188">
        <f t="shared" si="128"/>
        <v>0</v>
      </c>
      <c r="FQ60" s="211">
        <v>0.0</v>
      </c>
      <c r="FR60" s="212">
        <v>0.0</v>
      </c>
      <c r="FS60" s="206">
        <v>0.0</v>
      </c>
      <c r="FT60" s="207">
        <v>0.0</v>
      </c>
      <c r="FU60" s="207">
        <v>0.0</v>
      </c>
      <c r="FV60" s="207">
        <v>0.0</v>
      </c>
      <c r="FW60" s="207">
        <v>0.0</v>
      </c>
      <c r="FX60" s="207">
        <v>0.0</v>
      </c>
      <c r="FY60" s="207">
        <v>0.0</v>
      </c>
      <c r="FZ60" s="207">
        <v>0.0</v>
      </c>
      <c r="GA60" s="207">
        <v>0.0</v>
      </c>
      <c r="GB60" s="207">
        <v>0.0</v>
      </c>
      <c r="GC60" s="207">
        <v>0.0</v>
      </c>
      <c r="GD60" s="207">
        <v>0.0</v>
      </c>
      <c r="GE60" s="207">
        <v>0.0</v>
      </c>
      <c r="GF60" s="207">
        <v>0.0</v>
      </c>
      <c r="GG60" s="207">
        <v>0.0</v>
      </c>
      <c r="GH60" s="207">
        <v>0.0</v>
      </c>
      <c r="GI60" s="207">
        <v>0.0</v>
      </c>
      <c r="GJ60" s="207">
        <v>0.0</v>
      </c>
      <c r="GK60" s="212">
        <v>0.0</v>
      </c>
      <c r="GL60" s="212">
        <v>0.0</v>
      </c>
      <c r="GM60" s="177">
        <v>59.0</v>
      </c>
      <c r="GN60" s="177">
        <v>16.0</v>
      </c>
      <c r="GO60" s="298">
        <v>54.0</v>
      </c>
      <c r="GP60" s="298">
        <v>11.0</v>
      </c>
      <c r="GQ60" s="207"/>
      <c r="GR60" s="213">
        <v>0.0</v>
      </c>
      <c r="GS60" s="193">
        <v>0.0</v>
      </c>
      <c r="GT60" s="194">
        <f t="shared" si="25"/>
        <v>0</v>
      </c>
      <c r="GU60" s="194">
        <f t="shared" si="26"/>
        <v>0</v>
      </c>
      <c r="GV60" s="194">
        <f t="shared" si="27"/>
        <v>0</v>
      </c>
      <c r="GW60" s="207">
        <v>0.0</v>
      </c>
      <c r="GX60" s="207">
        <v>0.0</v>
      </c>
      <c r="GY60" s="207">
        <v>0.0</v>
      </c>
      <c r="GZ60" s="207">
        <v>0.0</v>
      </c>
      <c r="HA60" s="207">
        <v>0.0</v>
      </c>
      <c r="HB60" s="207">
        <v>0.0</v>
      </c>
      <c r="HC60" s="207">
        <v>0.0</v>
      </c>
      <c r="HD60" s="207">
        <v>0.0</v>
      </c>
      <c r="HE60" s="207">
        <v>0.0</v>
      </c>
      <c r="HF60" s="207">
        <v>0.0</v>
      </c>
      <c r="HG60" s="207">
        <v>0.0</v>
      </c>
      <c r="HH60" s="207">
        <v>0.0</v>
      </c>
      <c r="HI60" s="207">
        <v>0.0</v>
      </c>
      <c r="HJ60" s="207">
        <v>0.0</v>
      </c>
      <c r="HK60" s="207">
        <v>0.0</v>
      </c>
      <c r="HL60" s="207">
        <v>0.0</v>
      </c>
      <c r="HM60" s="207">
        <v>0.0</v>
      </c>
      <c r="HN60" s="207">
        <v>0.0</v>
      </c>
      <c r="HO60" s="299">
        <v>0.0</v>
      </c>
      <c r="HP60" s="299">
        <v>0.0</v>
      </c>
      <c r="HQ60" s="214"/>
      <c r="HR60" s="197"/>
      <c r="HS60" s="197"/>
      <c r="HT60" s="198">
        <f t="shared" si="28"/>
        <v>0</v>
      </c>
      <c r="HU60" s="198">
        <f t="shared" si="29"/>
        <v>2</v>
      </c>
      <c r="HV60" s="198">
        <f t="shared" si="30"/>
        <v>2</v>
      </c>
      <c r="HW60" s="198">
        <f t="shared" si="99"/>
        <v>1</v>
      </c>
      <c r="HX60" s="198">
        <f t="shared" si="32"/>
        <v>1</v>
      </c>
      <c r="HY60" s="198">
        <f t="shared" si="33"/>
        <v>0</v>
      </c>
      <c r="HZ60" s="198">
        <f t="shared" si="34"/>
        <v>0</v>
      </c>
      <c r="IA60" s="198">
        <f t="shared" si="35"/>
        <v>0</v>
      </c>
      <c r="IB60" s="198">
        <f t="shared" si="36"/>
        <v>0</v>
      </c>
      <c r="IC60" s="198">
        <f t="shared" si="37"/>
        <v>0</v>
      </c>
      <c r="ID60" s="198">
        <f t="shared" si="38"/>
        <v>0</v>
      </c>
      <c r="IE60" s="198">
        <f t="shared" si="39"/>
        <v>0</v>
      </c>
      <c r="IF60" s="197"/>
      <c r="IG60" s="197"/>
      <c r="IH60" s="197"/>
      <c r="II60" s="197"/>
      <c r="IJ60" s="197"/>
      <c r="IK60" s="197"/>
      <c r="IL60" s="197"/>
      <c r="IM60" s="197"/>
      <c r="IN60" s="197"/>
      <c r="IO60" s="197"/>
      <c r="IP60" s="197"/>
      <c r="IQ60" s="197"/>
      <c r="IR60" s="197"/>
      <c r="IS60" s="197"/>
      <c r="IT60" s="197"/>
      <c r="IU60" s="197"/>
      <c r="IV60" s="197"/>
      <c r="IW60" s="197"/>
      <c r="IX60" s="197"/>
      <c r="IY60" s="197"/>
      <c r="IZ60" s="197"/>
      <c r="JA60" s="199"/>
      <c r="JB60" s="200">
        <f t="shared" si="40"/>
        <v>0</v>
      </c>
      <c r="JC60" s="200">
        <f t="shared" si="41"/>
        <v>2</v>
      </c>
      <c r="JD60" s="200">
        <f t="shared" si="42"/>
        <v>2</v>
      </c>
      <c r="JE60" s="200">
        <f t="shared" si="43"/>
        <v>1</v>
      </c>
      <c r="JF60" s="200">
        <f t="shared" si="44"/>
        <v>1</v>
      </c>
      <c r="JG60" s="200">
        <f t="shared" si="45"/>
        <v>0</v>
      </c>
      <c r="JH60" s="200">
        <f t="shared" si="46"/>
        <v>0</v>
      </c>
      <c r="JI60" s="200">
        <f t="shared" si="47"/>
        <v>0</v>
      </c>
      <c r="JJ60" s="200">
        <f t="shared" si="48"/>
        <v>0</v>
      </c>
      <c r="JK60" s="200">
        <f t="shared" si="49"/>
        <v>0</v>
      </c>
      <c r="JL60" s="200">
        <f t="shared" si="50"/>
        <v>0</v>
      </c>
      <c r="JM60" s="200">
        <f t="shared" si="51"/>
        <v>0</v>
      </c>
      <c r="JN60" s="199"/>
      <c r="JO60" s="200">
        <f t="shared" si="52"/>
        <v>0</v>
      </c>
      <c r="JP60" s="202">
        <v>2.0</v>
      </c>
      <c r="JQ60" s="202">
        <v>2.0</v>
      </c>
      <c r="JR60" s="202">
        <v>1.0</v>
      </c>
      <c r="JS60" s="202">
        <v>1.0</v>
      </c>
      <c r="JT60" s="199"/>
      <c r="JU60" s="199"/>
      <c r="JV60" s="200">
        <f t="shared" ref="JV60:JX60" si="167">IA60-JI60</f>
        <v>0</v>
      </c>
      <c r="JW60" s="200">
        <f t="shared" si="167"/>
        <v>0</v>
      </c>
      <c r="JX60" s="200">
        <f t="shared" si="167"/>
        <v>0</v>
      </c>
      <c r="JY60" s="199"/>
      <c r="JZ60" s="199"/>
      <c r="KA60" s="199"/>
      <c r="KB60" s="200">
        <f t="shared" ref="KB60:KM60" si="168">JB60-JO60</f>
        <v>0</v>
      </c>
      <c r="KC60" s="200">
        <f t="shared" si="168"/>
        <v>0</v>
      </c>
      <c r="KD60" s="200">
        <f t="shared" si="168"/>
        <v>0</v>
      </c>
      <c r="KE60" s="200">
        <f t="shared" si="168"/>
        <v>0</v>
      </c>
      <c r="KF60" s="200">
        <f t="shared" si="168"/>
        <v>0</v>
      </c>
      <c r="KG60" s="200">
        <f t="shared" si="168"/>
        <v>0</v>
      </c>
      <c r="KH60" s="200">
        <f t="shared" si="168"/>
        <v>0</v>
      </c>
      <c r="KI60" s="200">
        <f t="shared" si="168"/>
        <v>0</v>
      </c>
      <c r="KJ60" s="200">
        <f t="shared" si="168"/>
        <v>0</v>
      </c>
      <c r="KK60" s="200">
        <f t="shared" si="168"/>
        <v>0</v>
      </c>
      <c r="KL60" s="200">
        <f t="shared" si="168"/>
        <v>0</v>
      </c>
      <c r="KM60" s="200">
        <f t="shared" si="168"/>
        <v>0</v>
      </c>
      <c r="KN60" s="199"/>
      <c r="KO60" s="199"/>
      <c r="KP60" s="199"/>
      <c r="KQ60" s="199"/>
      <c r="KR60" s="199"/>
      <c r="KS60" s="199"/>
      <c r="KT60" s="199"/>
      <c r="KU60" s="199"/>
      <c r="KV60" s="199"/>
      <c r="KW60" s="199"/>
      <c r="KX60" s="199"/>
      <c r="KY60" s="199"/>
      <c r="KZ60" s="199"/>
      <c r="LA60" s="199"/>
      <c r="LB60" s="199"/>
      <c r="LC60" s="199"/>
      <c r="LD60" s="199"/>
      <c r="LE60" s="199"/>
      <c r="LF60" s="199"/>
      <c r="LG60" s="199"/>
    </row>
    <row r="61" ht="14.25" customHeight="1">
      <c r="A61" s="156">
        <v>54.0</v>
      </c>
      <c r="B61" s="157" t="s">
        <v>128</v>
      </c>
      <c r="C61" s="158">
        <v>3374070.0</v>
      </c>
      <c r="D61" s="158" t="s">
        <v>128</v>
      </c>
      <c r="E61" s="158" t="s">
        <v>142</v>
      </c>
      <c r="F61" s="159">
        <v>2.0</v>
      </c>
      <c r="G61" s="285">
        <v>97.0</v>
      </c>
      <c r="H61" s="160">
        <v>0.0</v>
      </c>
      <c r="I61" s="161">
        <v>0.0</v>
      </c>
      <c r="J61" s="161">
        <v>0.0</v>
      </c>
      <c r="K61" s="161">
        <v>0.0</v>
      </c>
      <c r="L61" s="161">
        <v>0.0</v>
      </c>
      <c r="M61" s="161">
        <v>0.0</v>
      </c>
      <c r="N61" s="161">
        <v>0.0</v>
      </c>
      <c r="O61" s="162">
        <f t="shared" si="3"/>
        <v>0</v>
      </c>
      <c r="P61" s="203">
        <v>3.0</v>
      </c>
      <c r="Q61" s="164">
        <v>0.0</v>
      </c>
      <c r="R61" s="164">
        <v>0.0</v>
      </c>
      <c r="S61" s="164">
        <v>0.0</v>
      </c>
      <c r="T61" s="165">
        <v>3.0</v>
      </c>
      <c r="U61" s="165">
        <v>3.0</v>
      </c>
      <c r="V61" s="165">
        <v>0.0</v>
      </c>
      <c r="W61" s="166">
        <f t="shared" si="4"/>
        <v>0</v>
      </c>
      <c r="X61" s="203">
        <v>0.0</v>
      </c>
      <c r="Y61" s="165">
        <v>0.0</v>
      </c>
      <c r="Z61" s="165">
        <v>0.0</v>
      </c>
      <c r="AA61" s="165">
        <v>0.0</v>
      </c>
      <c r="AB61" s="165">
        <v>0.0</v>
      </c>
      <c r="AC61" s="165">
        <v>0.0</v>
      </c>
      <c r="AD61" s="165">
        <v>0.0</v>
      </c>
      <c r="AE61" s="166">
        <f t="shared" si="5"/>
        <v>0</v>
      </c>
      <c r="AF61" s="167">
        <v>1.0</v>
      </c>
      <c r="AG61" s="165">
        <v>0.0</v>
      </c>
      <c r="AH61" s="165">
        <v>0.0</v>
      </c>
      <c r="AI61" s="165">
        <v>0.0</v>
      </c>
      <c r="AJ61" s="165">
        <v>1.0</v>
      </c>
      <c r="AK61" s="165">
        <v>1.0</v>
      </c>
      <c r="AL61" s="165">
        <v>0.0</v>
      </c>
      <c r="AM61" s="166">
        <f t="shared" si="98"/>
        <v>0</v>
      </c>
      <c r="AN61" s="167">
        <v>1.0</v>
      </c>
      <c r="AO61" s="165">
        <v>0.0</v>
      </c>
      <c r="AP61" s="165">
        <v>0.0</v>
      </c>
      <c r="AQ61" s="165">
        <v>0.0</v>
      </c>
      <c r="AR61" s="165">
        <v>1.0</v>
      </c>
      <c r="AS61" s="165">
        <v>0.0</v>
      </c>
      <c r="AT61" s="165">
        <v>0.0</v>
      </c>
      <c r="AU61" s="168">
        <f t="shared" si="7"/>
        <v>1</v>
      </c>
      <c r="AV61" s="169">
        <v>97.0</v>
      </c>
      <c r="AW61" s="204">
        <f t="shared" si="8"/>
        <v>0</v>
      </c>
      <c r="AX61" s="169">
        <v>0.0</v>
      </c>
      <c r="AY61" s="169">
        <v>0.0</v>
      </c>
      <c r="AZ61" s="169">
        <v>0.0</v>
      </c>
      <c r="BA61" s="169">
        <v>0.0</v>
      </c>
      <c r="BB61" s="169">
        <v>0.0</v>
      </c>
      <c r="BC61" s="169">
        <v>0.0</v>
      </c>
      <c r="BD61" s="169">
        <v>0.0</v>
      </c>
      <c r="BE61" s="169">
        <v>0.0</v>
      </c>
      <c r="BF61" s="169">
        <v>0.0</v>
      </c>
      <c r="BG61" s="169">
        <v>0.0</v>
      </c>
      <c r="BH61" s="169">
        <v>0.0</v>
      </c>
      <c r="BI61" s="169">
        <v>0.0</v>
      </c>
      <c r="BJ61" s="169">
        <v>0.0</v>
      </c>
      <c r="BK61" s="169">
        <v>0.0</v>
      </c>
      <c r="BL61" s="169">
        <v>0.0</v>
      </c>
      <c r="BM61" s="169">
        <v>0.0</v>
      </c>
      <c r="BN61" s="169">
        <v>0.0</v>
      </c>
      <c r="BO61" s="169">
        <v>0.0</v>
      </c>
      <c r="BP61" s="205">
        <f t="shared" si="131"/>
        <v>0</v>
      </c>
      <c r="BQ61" s="173">
        <v>98.0</v>
      </c>
      <c r="BR61" s="170">
        <f t="shared" si="10"/>
        <v>0</v>
      </c>
      <c r="BS61" s="6"/>
      <c r="BT61" s="173">
        <v>0.0</v>
      </c>
      <c r="BU61" s="173">
        <v>0.0</v>
      </c>
      <c r="BV61" s="173">
        <v>0.0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172">
        <f t="shared" si="132"/>
        <v>0</v>
      </c>
      <c r="CL61" s="173">
        <v>98.0</v>
      </c>
      <c r="CM61" s="173">
        <v>37.0</v>
      </c>
      <c r="CN61" s="175">
        <f t="shared" si="12"/>
        <v>0</v>
      </c>
      <c r="CO61" s="173">
        <v>0.0</v>
      </c>
      <c r="CP61" s="173">
        <v>0.0</v>
      </c>
      <c r="CQ61" s="173">
        <v>0.0</v>
      </c>
      <c r="CR61" s="173">
        <v>0.0</v>
      </c>
      <c r="CS61" s="173">
        <v>0.0</v>
      </c>
      <c r="CT61" s="173">
        <v>0.0</v>
      </c>
      <c r="CU61" s="173">
        <v>0.0</v>
      </c>
      <c r="CV61" s="173">
        <v>0.0</v>
      </c>
      <c r="CW61" s="173">
        <v>0.0</v>
      </c>
      <c r="CX61" s="173">
        <v>0.0</v>
      </c>
      <c r="CY61" s="173">
        <v>0.0</v>
      </c>
      <c r="CZ61" s="173">
        <v>0.0</v>
      </c>
      <c r="DA61" s="173">
        <v>0.0</v>
      </c>
      <c r="DB61" s="173">
        <v>0.0</v>
      </c>
      <c r="DC61" s="173">
        <v>0.0</v>
      </c>
      <c r="DD61" s="173">
        <v>0.0</v>
      </c>
      <c r="DE61" s="173">
        <v>0.0</v>
      </c>
      <c r="DF61" s="173">
        <v>0.0</v>
      </c>
      <c r="DG61" s="176">
        <f t="shared" si="13"/>
        <v>0</v>
      </c>
      <c r="DH61" s="177">
        <v>89.0</v>
      </c>
      <c r="DI61" s="177">
        <v>24.0</v>
      </c>
      <c r="DJ61" s="178">
        <v>89.0</v>
      </c>
      <c r="DK61" s="178">
        <v>24.0</v>
      </c>
      <c r="DL61" s="179">
        <f t="shared" si="14"/>
        <v>0</v>
      </c>
      <c r="DM61" s="180">
        <f t="shared" si="15"/>
        <v>0</v>
      </c>
      <c r="DN61" s="180">
        <f t="shared" si="16"/>
        <v>0</v>
      </c>
      <c r="DO61" s="177">
        <v>0.0</v>
      </c>
      <c r="DP61" s="177">
        <v>0.0</v>
      </c>
      <c r="DQ61" s="177">
        <v>0.0</v>
      </c>
      <c r="DR61" s="177">
        <v>0.0</v>
      </c>
      <c r="DS61" s="177">
        <v>0.0</v>
      </c>
      <c r="DT61" s="177">
        <v>0.0</v>
      </c>
      <c r="DU61" s="177">
        <v>0.0</v>
      </c>
      <c r="DV61" s="177">
        <v>0.0</v>
      </c>
      <c r="DW61" s="177">
        <v>0.0</v>
      </c>
      <c r="DX61" s="177">
        <v>0.0</v>
      </c>
      <c r="DY61" s="177">
        <v>0.0</v>
      </c>
      <c r="DZ61" s="177">
        <v>0.0</v>
      </c>
      <c r="EA61" s="177">
        <v>0.0</v>
      </c>
      <c r="EB61" s="177">
        <v>0.0</v>
      </c>
      <c r="EC61" s="177">
        <v>0.0</v>
      </c>
      <c r="ED61" s="177">
        <v>0.0</v>
      </c>
      <c r="EE61" s="177">
        <v>0.0</v>
      </c>
      <c r="EF61" s="177">
        <v>0.0</v>
      </c>
      <c r="EG61" s="179">
        <f t="shared" si="17"/>
        <v>0</v>
      </c>
      <c r="EH61" s="179">
        <f t="shared" si="18"/>
        <v>0</v>
      </c>
      <c r="EI61" s="177">
        <v>69.0</v>
      </c>
      <c r="EJ61" s="177">
        <v>21.0</v>
      </c>
      <c r="EK61" s="178">
        <v>68.0</v>
      </c>
      <c r="EL61" s="178">
        <v>48.0</v>
      </c>
      <c r="EM61" s="185">
        <f t="shared" si="19"/>
        <v>0</v>
      </c>
      <c r="EN61" s="186">
        <f t="shared" si="89"/>
        <v>0</v>
      </c>
      <c r="EO61" s="186">
        <f t="shared" si="90"/>
        <v>0</v>
      </c>
      <c r="EP61" s="177">
        <v>0.0</v>
      </c>
      <c r="EQ61" s="177">
        <v>0.0</v>
      </c>
      <c r="ER61" s="177">
        <v>0.0</v>
      </c>
      <c r="ES61" s="177">
        <v>0.0</v>
      </c>
      <c r="ET61" s="177">
        <v>0.0</v>
      </c>
      <c r="EU61" s="177">
        <v>0.0</v>
      </c>
      <c r="EV61" s="177">
        <v>0.0</v>
      </c>
      <c r="EW61" s="177">
        <v>0.0</v>
      </c>
      <c r="EX61" s="177">
        <v>0.0</v>
      </c>
      <c r="EY61" s="177">
        <v>0.0</v>
      </c>
      <c r="EZ61" s="177">
        <v>0.0</v>
      </c>
      <c r="FA61" s="177">
        <v>0.0</v>
      </c>
      <c r="FB61" s="300">
        <v>0.0</v>
      </c>
      <c r="FC61" s="305">
        <v>0.0</v>
      </c>
      <c r="FD61" s="305">
        <v>0.0</v>
      </c>
      <c r="FE61" s="305">
        <v>0.0</v>
      </c>
      <c r="FF61" s="303">
        <v>0.0</v>
      </c>
      <c r="FG61" s="226"/>
      <c r="FH61" s="185">
        <f t="shared" si="22"/>
        <v>0</v>
      </c>
      <c r="FI61" s="185">
        <f t="shared" si="23"/>
        <v>0</v>
      </c>
      <c r="FJ61" s="177">
        <v>71.0</v>
      </c>
      <c r="FK61" s="177">
        <v>34.0</v>
      </c>
      <c r="FL61" s="177">
        <v>69.0</v>
      </c>
      <c r="FM61" s="177">
        <v>34.0</v>
      </c>
      <c r="FN61" s="297"/>
      <c r="FO61" s="297">
        <v>0.0</v>
      </c>
      <c r="FP61" s="188">
        <f t="shared" si="128"/>
        <v>0</v>
      </c>
      <c r="FQ61" s="211">
        <v>0.0</v>
      </c>
      <c r="FR61" s="212">
        <v>0.0</v>
      </c>
      <c r="FS61" s="206">
        <v>0.0</v>
      </c>
      <c r="FT61" s="207">
        <v>0.0</v>
      </c>
      <c r="FU61" s="207">
        <v>0.0</v>
      </c>
      <c r="FV61" s="207">
        <v>0.0</v>
      </c>
      <c r="FW61" s="207">
        <v>0.0</v>
      </c>
      <c r="FX61" s="207">
        <v>0.0</v>
      </c>
      <c r="FY61" s="207">
        <v>0.0</v>
      </c>
      <c r="FZ61" s="207">
        <v>0.0</v>
      </c>
      <c r="GA61" s="207">
        <v>0.0</v>
      </c>
      <c r="GB61" s="207">
        <v>0.0</v>
      </c>
      <c r="GC61" s="207">
        <v>0.0</v>
      </c>
      <c r="GD61" s="207">
        <v>0.0</v>
      </c>
      <c r="GE61" s="207">
        <v>0.0</v>
      </c>
      <c r="GF61" s="207">
        <v>0.0</v>
      </c>
      <c r="GG61" s="207">
        <v>0.0</v>
      </c>
      <c r="GH61" s="207">
        <v>0.0</v>
      </c>
      <c r="GI61" s="207">
        <v>0.0</v>
      </c>
      <c r="GJ61" s="207">
        <v>0.0</v>
      </c>
      <c r="GK61" s="212">
        <v>0.0</v>
      </c>
      <c r="GL61" s="212">
        <v>0.0</v>
      </c>
      <c r="GM61" s="177">
        <v>65.0</v>
      </c>
      <c r="GN61" s="177">
        <v>7.0</v>
      </c>
      <c r="GO61" s="298">
        <v>61.0</v>
      </c>
      <c r="GP61" s="298">
        <v>3.0</v>
      </c>
      <c r="GQ61" s="207"/>
      <c r="GR61" s="213">
        <v>0.0</v>
      </c>
      <c r="GS61" s="193">
        <v>0.0</v>
      </c>
      <c r="GT61" s="194">
        <f t="shared" si="25"/>
        <v>0</v>
      </c>
      <c r="GU61" s="194">
        <f t="shared" si="26"/>
        <v>0</v>
      </c>
      <c r="GV61" s="194">
        <f t="shared" si="27"/>
        <v>0</v>
      </c>
      <c r="GW61" s="207">
        <v>0.0</v>
      </c>
      <c r="GX61" s="207">
        <v>0.0</v>
      </c>
      <c r="GY61" s="207">
        <v>0.0</v>
      </c>
      <c r="GZ61" s="207">
        <v>0.0</v>
      </c>
      <c r="HA61" s="207">
        <v>0.0</v>
      </c>
      <c r="HB61" s="207">
        <v>0.0</v>
      </c>
      <c r="HC61" s="207">
        <v>0.0</v>
      </c>
      <c r="HD61" s="207">
        <v>0.0</v>
      </c>
      <c r="HE61" s="207">
        <v>0.0</v>
      </c>
      <c r="HF61" s="207">
        <v>0.0</v>
      </c>
      <c r="HG61" s="207">
        <v>0.0</v>
      </c>
      <c r="HH61" s="207">
        <v>0.0</v>
      </c>
      <c r="HI61" s="207">
        <v>0.0</v>
      </c>
      <c r="HJ61" s="207">
        <v>0.0</v>
      </c>
      <c r="HK61" s="207">
        <v>0.0</v>
      </c>
      <c r="HL61" s="207">
        <v>0.0</v>
      </c>
      <c r="HM61" s="207">
        <v>0.0</v>
      </c>
      <c r="HN61" s="207">
        <v>0.0</v>
      </c>
      <c r="HO61" s="299">
        <v>0.0</v>
      </c>
      <c r="HP61" s="299">
        <v>0.0</v>
      </c>
      <c r="HQ61" s="214"/>
      <c r="HR61" s="197"/>
      <c r="HS61" s="197"/>
      <c r="HT61" s="198">
        <f t="shared" si="28"/>
        <v>0</v>
      </c>
      <c r="HU61" s="198">
        <f t="shared" si="29"/>
        <v>3</v>
      </c>
      <c r="HV61" s="198">
        <f t="shared" si="30"/>
        <v>0</v>
      </c>
      <c r="HW61" s="198">
        <f t="shared" si="99"/>
        <v>1</v>
      </c>
      <c r="HX61" s="198">
        <f t="shared" si="32"/>
        <v>1</v>
      </c>
      <c r="HY61" s="198">
        <f t="shared" si="33"/>
        <v>0</v>
      </c>
      <c r="HZ61" s="198">
        <f t="shared" si="34"/>
        <v>0</v>
      </c>
      <c r="IA61" s="198">
        <f t="shared" si="35"/>
        <v>0</v>
      </c>
      <c r="IB61" s="198">
        <f t="shared" si="36"/>
        <v>0</v>
      </c>
      <c r="IC61" s="198">
        <f t="shared" si="37"/>
        <v>0</v>
      </c>
      <c r="ID61" s="198">
        <f t="shared" si="38"/>
        <v>0</v>
      </c>
      <c r="IE61" s="198">
        <f t="shared" si="39"/>
        <v>0</v>
      </c>
      <c r="IF61" s="197"/>
      <c r="IG61" s="197"/>
      <c r="IH61" s="197"/>
      <c r="II61" s="197"/>
      <c r="IJ61" s="197"/>
      <c r="IK61" s="197"/>
      <c r="IL61" s="197"/>
      <c r="IM61" s="197"/>
      <c r="IN61" s="197"/>
      <c r="IO61" s="197"/>
      <c r="IP61" s="197"/>
      <c r="IQ61" s="197"/>
      <c r="IR61" s="197"/>
      <c r="IS61" s="197"/>
      <c r="IT61" s="197"/>
      <c r="IU61" s="197"/>
      <c r="IV61" s="197"/>
      <c r="IW61" s="197"/>
      <c r="IX61" s="197"/>
      <c r="IY61" s="197"/>
      <c r="IZ61" s="197"/>
      <c r="JA61" s="199"/>
      <c r="JB61" s="200">
        <f t="shared" si="40"/>
        <v>0</v>
      </c>
      <c r="JC61" s="200">
        <f t="shared" si="41"/>
        <v>3</v>
      </c>
      <c r="JD61" s="200">
        <f t="shared" si="42"/>
        <v>0</v>
      </c>
      <c r="JE61" s="200">
        <f t="shared" si="43"/>
        <v>1</v>
      </c>
      <c r="JF61" s="200">
        <f t="shared" si="44"/>
        <v>1</v>
      </c>
      <c r="JG61" s="200">
        <f t="shared" si="45"/>
        <v>0</v>
      </c>
      <c r="JH61" s="200">
        <f t="shared" si="46"/>
        <v>0</v>
      </c>
      <c r="JI61" s="200">
        <f t="shared" si="47"/>
        <v>0</v>
      </c>
      <c r="JJ61" s="200">
        <f t="shared" si="48"/>
        <v>0</v>
      </c>
      <c r="JK61" s="200">
        <f t="shared" si="49"/>
        <v>0</v>
      </c>
      <c r="JL61" s="200">
        <f t="shared" si="50"/>
        <v>0</v>
      </c>
      <c r="JM61" s="200">
        <f t="shared" si="51"/>
        <v>0</v>
      </c>
      <c r="JN61" s="199"/>
      <c r="JO61" s="200">
        <f t="shared" si="52"/>
        <v>0</v>
      </c>
      <c r="JP61" s="202">
        <v>3.0</v>
      </c>
      <c r="JQ61" s="202">
        <v>0.0</v>
      </c>
      <c r="JR61" s="202">
        <v>1.0</v>
      </c>
      <c r="JS61" s="202">
        <v>1.0</v>
      </c>
      <c r="JT61" s="199"/>
      <c r="JU61" s="199"/>
      <c r="JV61" s="200">
        <f t="shared" ref="JV61:JX61" si="169">IA61-JI61</f>
        <v>0</v>
      </c>
      <c r="JW61" s="200">
        <f t="shared" si="169"/>
        <v>0</v>
      </c>
      <c r="JX61" s="200">
        <f t="shared" si="169"/>
        <v>0</v>
      </c>
      <c r="JY61" s="199"/>
      <c r="JZ61" s="199"/>
      <c r="KA61" s="199"/>
      <c r="KB61" s="200">
        <f t="shared" ref="KB61:KM61" si="170">JB61-JO61</f>
        <v>0</v>
      </c>
      <c r="KC61" s="200">
        <f t="shared" si="170"/>
        <v>0</v>
      </c>
      <c r="KD61" s="200">
        <f t="shared" si="170"/>
        <v>0</v>
      </c>
      <c r="KE61" s="200">
        <f t="shared" si="170"/>
        <v>0</v>
      </c>
      <c r="KF61" s="200">
        <f t="shared" si="170"/>
        <v>0</v>
      </c>
      <c r="KG61" s="200">
        <f t="shared" si="170"/>
        <v>0</v>
      </c>
      <c r="KH61" s="200">
        <f t="shared" si="170"/>
        <v>0</v>
      </c>
      <c r="KI61" s="200">
        <f t="shared" si="170"/>
        <v>0</v>
      </c>
      <c r="KJ61" s="200">
        <f t="shared" si="170"/>
        <v>0</v>
      </c>
      <c r="KK61" s="200">
        <f t="shared" si="170"/>
        <v>0</v>
      </c>
      <c r="KL61" s="200">
        <f t="shared" si="170"/>
        <v>0</v>
      </c>
      <c r="KM61" s="200">
        <f t="shared" si="170"/>
        <v>0</v>
      </c>
      <c r="KN61" s="199"/>
      <c r="KO61" s="199"/>
      <c r="KP61" s="199"/>
      <c r="KQ61" s="199"/>
      <c r="KR61" s="199"/>
      <c r="KS61" s="199"/>
      <c r="KT61" s="199"/>
      <c r="KU61" s="199"/>
      <c r="KV61" s="199"/>
      <c r="KW61" s="199"/>
      <c r="KX61" s="199"/>
      <c r="KY61" s="199"/>
      <c r="KZ61" s="199"/>
      <c r="LA61" s="199"/>
      <c r="LB61" s="199"/>
      <c r="LC61" s="199"/>
      <c r="LD61" s="199"/>
      <c r="LE61" s="199"/>
      <c r="LF61" s="199"/>
      <c r="LG61" s="199"/>
    </row>
    <row r="62" ht="14.25" customHeight="1">
      <c r="A62" s="156">
        <v>55.0</v>
      </c>
      <c r="B62" s="157" t="s">
        <v>143</v>
      </c>
      <c r="C62" s="158">
        <v>3374080.0</v>
      </c>
      <c r="D62" s="158" t="s">
        <v>144</v>
      </c>
      <c r="E62" s="158" t="s">
        <v>145</v>
      </c>
      <c r="F62" s="159">
        <v>6.0</v>
      </c>
      <c r="G62" s="2">
        <v>461.0</v>
      </c>
      <c r="H62" s="161">
        <v>2.0</v>
      </c>
      <c r="I62" s="161">
        <v>0.0</v>
      </c>
      <c r="J62" s="161">
        <v>0.0</v>
      </c>
      <c r="K62" s="161">
        <v>0.0</v>
      </c>
      <c r="L62" s="161">
        <v>2.0</v>
      </c>
      <c r="M62" s="161">
        <v>2.0</v>
      </c>
      <c r="N62" s="161">
        <v>0.0</v>
      </c>
      <c r="O62" s="162">
        <f t="shared" si="3"/>
        <v>0</v>
      </c>
      <c r="P62" s="203">
        <v>3.0</v>
      </c>
      <c r="Q62" s="164">
        <v>0.0</v>
      </c>
      <c r="R62" s="164">
        <v>1.0</v>
      </c>
      <c r="S62" s="164">
        <v>0.0</v>
      </c>
      <c r="T62" s="165">
        <v>2.0</v>
      </c>
      <c r="U62" s="165">
        <v>1.0</v>
      </c>
      <c r="V62" s="165">
        <v>0.0</v>
      </c>
      <c r="W62" s="166">
        <f t="shared" si="4"/>
        <v>2</v>
      </c>
      <c r="X62" s="203">
        <v>3.0</v>
      </c>
      <c r="Y62" s="165">
        <v>0.0</v>
      </c>
      <c r="Z62" s="165">
        <v>0.0</v>
      </c>
      <c r="AA62" s="165">
        <v>1.0</v>
      </c>
      <c r="AB62" s="165">
        <v>2.0</v>
      </c>
      <c r="AC62" s="165">
        <v>1.0</v>
      </c>
      <c r="AD62" s="165">
        <v>1.0</v>
      </c>
      <c r="AE62" s="166">
        <f t="shared" si="5"/>
        <v>1</v>
      </c>
      <c r="AF62" s="167">
        <v>3.0</v>
      </c>
      <c r="AG62" s="165">
        <v>0.0</v>
      </c>
      <c r="AH62" s="165">
        <v>0.0</v>
      </c>
      <c r="AI62" s="165">
        <v>1.0</v>
      </c>
      <c r="AJ62" s="165">
        <v>2.0</v>
      </c>
      <c r="AK62" s="165">
        <v>0.0</v>
      </c>
      <c r="AL62" s="165">
        <v>0.0</v>
      </c>
      <c r="AM62" s="166">
        <f t="shared" si="98"/>
        <v>3</v>
      </c>
      <c r="AN62" s="167">
        <v>1.0</v>
      </c>
      <c r="AO62" s="165">
        <v>0.0</v>
      </c>
      <c r="AP62" s="165">
        <v>0.0</v>
      </c>
      <c r="AQ62" s="165">
        <v>0.0</v>
      </c>
      <c r="AR62" s="165">
        <v>1.0</v>
      </c>
      <c r="AS62" s="165">
        <v>0.0</v>
      </c>
      <c r="AT62" s="165">
        <v>0.0</v>
      </c>
      <c r="AU62" s="168">
        <f t="shared" si="7"/>
        <v>1</v>
      </c>
      <c r="AV62" s="169">
        <v>240.0</v>
      </c>
      <c r="AW62" s="204">
        <f t="shared" si="8"/>
        <v>4</v>
      </c>
      <c r="AX62" s="169">
        <v>0.0</v>
      </c>
      <c r="AY62" s="169">
        <v>0.0</v>
      </c>
      <c r="AZ62" s="169">
        <v>0.0</v>
      </c>
      <c r="BA62" s="169">
        <v>1.0</v>
      </c>
      <c r="BB62" s="169">
        <v>0.0</v>
      </c>
      <c r="BC62" s="169">
        <v>0.0</v>
      </c>
      <c r="BD62" s="169">
        <v>1.0</v>
      </c>
      <c r="BE62" s="169">
        <v>2.0</v>
      </c>
      <c r="BF62" s="169">
        <v>0.0</v>
      </c>
      <c r="BG62" s="169">
        <v>0.0</v>
      </c>
      <c r="BH62" s="169">
        <v>0.0</v>
      </c>
      <c r="BI62" s="169">
        <v>0.0</v>
      </c>
      <c r="BJ62" s="169">
        <v>0.0</v>
      </c>
      <c r="BK62" s="169">
        <v>0.0</v>
      </c>
      <c r="BL62" s="169">
        <v>0.0</v>
      </c>
      <c r="BM62" s="169">
        <v>0.0</v>
      </c>
      <c r="BN62" s="169">
        <v>0.0</v>
      </c>
      <c r="BO62" s="169">
        <v>0.0</v>
      </c>
      <c r="BP62" s="205">
        <f t="shared" si="131"/>
        <v>0</v>
      </c>
      <c r="BQ62" s="173">
        <v>274.0</v>
      </c>
      <c r="BR62" s="170">
        <f t="shared" si="10"/>
        <v>3</v>
      </c>
      <c r="BS62" s="173">
        <v>0.0</v>
      </c>
      <c r="BT62" s="173">
        <v>0.0</v>
      </c>
      <c r="BU62" s="173">
        <v>1.0</v>
      </c>
      <c r="BV62" s="173">
        <v>0.0</v>
      </c>
      <c r="BW62" s="173">
        <v>0.0</v>
      </c>
      <c r="BX62" s="173">
        <v>0.0</v>
      </c>
      <c r="BY62" s="173">
        <v>1.0</v>
      </c>
      <c r="BZ62" s="173">
        <v>1.0</v>
      </c>
      <c r="CA62" s="173">
        <v>0.0</v>
      </c>
      <c r="CB62" s="173">
        <v>0.0</v>
      </c>
      <c r="CC62" s="173">
        <v>0.0</v>
      </c>
      <c r="CD62" s="173">
        <v>0.0</v>
      </c>
      <c r="CE62" s="173">
        <v>0.0</v>
      </c>
      <c r="CF62" s="173">
        <v>0.0</v>
      </c>
      <c r="CG62" s="173">
        <v>0.0</v>
      </c>
      <c r="CH62" s="173">
        <v>0.0</v>
      </c>
      <c r="CI62" s="173">
        <v>0.0</v>
      </c>
      <c r="CJ62" s="173">
        <v>0.0</v>
      </c>
      <c r="CK62" s="172">
        <f t="shared" si="132"/>
        <v>0</v>
      </c>
      <c r="CL62" s="173">
        <v>243.0</v>
      </c>
      <c r="CM62" s="173">
        <v>240.0</v>
      </c>
      <c r="CN62" s="175">
        <f t="shared" si="12"/>
        <v>3</v>
      </c>
      <c r="CO62" s="173">
        <v>0.0</v>
      </c>
      <c r="CP62" s="173">
        <v>0.0</v>
      </c>
      <c r="CQ62" s="173">
        <v>2.0</v>
      </c>
      <c r="CR62" s="173">
        <v>1.0</v>
      </c>
      <c r="CS62" s="173">
        <v>0.0</v>
      </c>
      <c r="CT62" s="173">
        <v>0.0</v>
      </c>
      <c r="CU62" s="173">
        <v>0.0</v>
      </c>
      <c r="CV62" s="173">
        <v>0.0</v>
      </c>
      <c r="CW62" s="173">
        <v>0.0</v>
      </c>
      <c r="CX62" s="173">
        <v>0.0</v>
      </c>
      <c r="CY62" s="173">
        <v>0.0</v>
      </c>
      <c r="CZ62" s="173">
        <v>0.0</v>
      </c>
      <c r="DA62" s="173">
        <v>0.0</v>
      </c>
      <c r="DB62" s="173">
        <v>0.0</v>
      </c>
      <c r="DC62" s="173">
        <v>0.0</v>
      </c>
      <c r="DD62" s="173">
        <v>0.0</v>
      </c>
      <c r="DE62" s="173">
        <v>0.0</v>
      </c>
      <c r="DF62" s="173">
        <v>0.0</v>
      </c>
      <c r="DG62" s="176">
        <f t="shared" si="13"/>
        <v>0</v>
      </c>
      <c r="DH62" s="177">
        <v>352.0</v>
      </c>
      <c r="DI62" s="177">
        <v>96.0</v>
      </c>
      <c r="DJ62" s="177">
        <v>352.0</v>
      </c>
      <c r="DK62" s="177">
        <v>96.0</v>
      </c>
      <c r="DL62" s="179">
        <f t="shared" si="14"/>
        <v>1</v>
      </c>
      <c r="DM62" s="180">
        <f t="shared" si="15"/>
        <v>1</v>
      </c>
      <c r="DN62" s="180">
        <f t="shared" si="16"/>
        <v>0</v>
      </c>
      <c r="DO62" s="177">
        <v>0.0</v>
      </c>
      <c r="DP62" s="177">
        <v>0.0</v>
      </c>
      <c r="DQ62" s="177">
        <v>1.0</v>
      </c>
      <c r="DR62" s="177">
        <v>0.0</v>
      </c>
      <c r="DS62" s="177">
        <v>0.0</v>
      </c>
      <c r="DT62" s="177">
        <v>0.0</v>
      </c>
      <c r="DU62" s="177">
        <v>0.0</v>
      </c>
      <c r="DV62" s="177">
        <v>0.0</v>
      </c>
      <c r="DW62" s="177">
        <v>0.0</v>
      </c>
      <c r="DX62" s="177">
        <v>0.0</v>
      </c>
      <c r="DY62" s="177">
        <v>1.0</v>
      </c>
      <c r="DZ62" s="177">
        <v>1.0</v>
      </c>
      <c r="EA62" s="177">
        <v>0.0</v>
      </c>
      <c r="EB62" s="177">
        <v>0.0</v>
      </c>
      <c r="EC62" s="177">
        <v>0.0</v>
      </c>
      <c r="ED62" s="177">
        <v>0.0</v>
      </c>
      <c r="EE62" s="177">
        <v>0.0</v>
      </c>
      <c r="EF62" s="177">
        <v>0.0</v>
      </c>
      <c r="EG62" s="179">
        <f t="shared" si="17"/>
        <v>2</v>
      </c>
      <c r="EH62" s="179">
        <f t="shared" si="18"/>
        <v>1</v>
      </c>
      <c r="EI62" s="177">
        <v>398.0</v>
      </c>
      <c r="EJ62" s="177">
        <v>125.0</v>
      </c>
      <c r="EK62" s="177">
        <v>398.0</v>
      </c>
      <c r="EL62" s="177">
        <v>125.0</v>
      </c>
      <c r="EM62" s="186">
        <v>7.0</v>
      </c>
      <c r="EN62" s="186">
        <f t="shared" si="89"/>
        <v>3</v>
      </c>
      <c r="EO62" s="186">
        <f t="shared" si="90"/>
        <v>4</v>
      </c>
      <c r="EP62" s="177">
        <v>0.0</v>
      </c>
      <c r="EQ62" s="177">
        <v>0.0</v>
      </c>
      <c r="ER62" s="177">
        <v>1.0</v>
      </c>
      <c r="ES62" s="177">
        <v>0.0</v>
      </c>
      <c r="ET62" s="177">
        <v>0.0</v>
      </c>
      <c r="EU62" s="177">
        <v>0.0</v>
      </c>
      <c r="EV62" s="177">
        <v>2.0</v>
      </c>
      <c r="EW62" s="177">
        <v>4.0</v>
      </c>
      <c r="EX62" s="177">
        <v>0.0</v>
      </c>
      <c r="EY62" s="177">
        <v>0.0</v>
      </c>
      <c r="EZ62" s="177">
        <v>0.0</v>
      </c>
      <c r="FA62" s="177">
        <v>0.0</v>
      </c>
      <c r="FB62" s="177">
        <v>0.0</v>
      </c>
      <c r="FC62" s="177">
        <v>0.0</v>
      </c>
      <c r="FD62" s="177">
        <v>0.0</v>
      </c>
      <c r="FE62" s="177">
        <v>0.0</v>
      </c>
      <c r="FF62" s="177">
        <v>0.0</v>
      </c>
      <c r="FG62" s="177">
        <v>0.0</v>
      </c>
      <c r="FH62" s="185">
        <f t="shared" si="22"/>
        <v>0</v>
      </c>
      <c r="FI62" s="185">
        <f t="shared" si="23"/>
        <v>0</v>
      </c>
      <c r="FJ62" s="177">
        <v>396.0</v>
      </c>
      <c r="FK62" s="177">
        <v>131.0</v>
      </c>
      <c r="FL62" s="177">
        <v>394.0</v>
      </c>
      <c r="FM62" s="306">
        <v>131.0</v>
      </c>
      <c r="FN62" s="210"/>
      <c r="FO62" s="210">
        <v>7.0</v>
      </c>
      <c r="FP62" s="243">
        <v>7.0</v>
      </c>
      <c r="FQ62" s="211">
        <v>3.0</v>
      </c>
      <c r="FR62" s="212">
        <v>4.0</v>
      </c>
      <c r="FS62" s="206">
        <v>0.0</v>
      </c>
      <c r="FT62" s="207">
        <v>0.0</v>
      </c>
      <c r="FU62" s="207">
        <v>1.0</v>
      </c>
      <c r="FV62" s="207">
        <v>0.0</v>
      </c>
      <c r="FW62" s="207">
        <v>0.0</v>
      </c>
      <c r="FX62" s="207">
        <v>0.0</v>
      </c>
      <c r="FY62" s="207">
        <v>2.0</v>
      </c>
      <c r="FZ62" s="207">
        <v>4.0</v>
      </c>
      <c r="GA62" s="207">
        <v>0.0</v>
      </c>
      <c r="GB62" s="207">
        <v>0.0</v>
      </c>
      <c r="GC62" s="207">
        <v>0.0</v>
      </c>
      <c r="GD62" s="207">
        <v>0.0</v>
      </c>
      <c r="GE62" s="207">
        <v>0.0</v>
      </c>
      <c r="GF62" s="207">
        <v>0.0</v>
      </c>
      <c r="GG62" s="207">
        <v>0.0</v>
      </c>
      <c r="GH62" s="207">
        <v>0.0</v>
      </c>
      <c r="GI62" s="207">
        <v>0.0</v>
      </c>
      <c r="GJ62" s="207">
        <v>0.0</v>
      </c>
      <c r="GK62" s="212">
        <v>0.0</v>
      </c>
      <c r="GL62" s="212">
        <v>0.0</v>
      </c>
      <c r="GM62" s="207">
        <v>471.0</v>
      </c>
      <c r="GN62" s="207">
        <v>161.0</v>
      </c>
      <c r="GO62" s="213">
        <v>471.0</v>
      </c>
      <c r="GP62" s="213">
        <v>161.0</v>
      </c>
      <c r="GQ62" s="207"/>
      <c r="GR62" s="213">
        <v>7.0</v>
      </c>
      <c r="GS62" s="193">
        <v>3.0</v>
      </c>
      <c r="GT62" s="194">
        <f t="shared" si="25"/>
        <v>7</v>
      </c>
      <c r="GU62" s="194">
        <f t="shared" si="26"/>
        <v>3</v>
      </c>
      <c r="GV62" s="194">
        <f t="shared" si="27"/>
        <v>4</v>
      </c>
      <c r="GW62" s="207">
        <v>0.0</v>
      </c>
      <c r="GX62" s="207">
        <v>0.0</v>
      </c>
      <c r="GY62" s="207">
        <v>3.0</v>
      </c>
      <c r="GZ62" s="207">
        <v>4.0</v>
      </c>
      <c r="HA62" s="207">
        <v>0.0</v>
      </c>
      <c r="HB62" s="207">
        <v>0.0</v>
      </c>
      <c r="HC62" s="207">
        <v>0.0</v>
      </c>
      <c r="HD62" s="207">
        <v>0.0</v>
      </c>
      <c r="HE62" s="207">
        <v>0.0</v>
      </c>
      <c r="HF62" s="207">
        <v>0.0</v>
      </c>
      <c r="HG62" s="207">
        <v>0.0</v>
      </c>
      <c r="HH62" s="207">
        <v>0.0</v>
      </c>
      <c r="HI62" s="207">
        <v>0.0</v>
      </c>
      <c r="HJ62" s="207">
        <v>0.0</v>
      </c>
      <c r="HK62" s="207">
        <v>0.0</v>
      </c>
      <c r="HL62" s="207">
        <v>0.0</v>
      </c>
      <c r="HM62" s="207">
        <v>0.0</v>
      </c>
      <c r="HN62" s="207">
        <v>0.0</v>
      </c>
      <c r="HO62" s="222">
        <v>0.0</v>
      </c>
      <c r="HP62" s="222">
        <v>0.0</v>
      </c>
      <c r="HQ62" s="214"/>
      <c r="HR62" s="197"/>
      <c r="HS62" s="197"/>
      <c r="HT62" s="198">
        <f t="shared" si="28"/>
        <v>2</v>
      </c>
      <c r="HU62" s="198">
        <f t="shared" si="29"/>
        <v>3</v>
      </c>
      <c r="HV62" s="198">
        <f t="shared" si="30"/>
        <v>3</v>
      </c>
      <c r="HW62" s="198">
        <f t="shared" si="99"/>
        <v>3</v>
      </c>
      <c r="HX62" s="198">
        <f t="shared" si="32"/>
        <v>1</v>
      </c>
      <c r="HY62" s="198">
        <f t="shared" si="33"/>
        <v>4</v>
      </c>
      <c r="HZ62" s="198">
        <f t="shared" si="34"/>
        <v>3</v>
      </c>
      <c r="IA62" s="198">
        <f t="shared" si="35"/>
        <v>3</v>
      </c>
      <c r="IB62" s="198">
        <f t="shared" si="36"/>
        <v>1</v>
      </c>
      <c r="IC62" s="198">
        <f t="shared" si="37"/>
        <v>7</v>
      </c>
      <c r="ID62" s="198">
        <f t="shared" si="38"/>
        <v>7</v>
      </c>
      <c r="IE62" s="198">
        <f t="shared" si="39"/>
        <v>7</v>
      </c>
      <c r="IF62" s="197"/>
      <c r="IG62" s="197"/>
      <c r="IH62" s="197"/>
      <c r="II62" s="197"/>
      <c r="IJ62" s="197"/>
      <c r="IK62" s="197"/>
      <c r="IL62" s="197"/>
      <c r="IM62" s="197"/>
      <c r="IN62" s="197"/>
      <c r="IO62" s="197"/>
      <c r="IP62" s="197"/>
      <c r="IQ62" s="197"/>
      <c r="IR62" s="197"/>
      <c r="IS62" s="197"/>
      <c r="IT62" s="197"/>
      <c r="IU62" s="197"/>
      <c r="IV62" s="197"/>
      <c r="IW62" s="197"/>
      <c r="IX62" s="197"/>
      <c r="IY62" s="197"/>
      <c r="IZ62" s="197"/>
      <c r="JA62" s="199"/>
      <c r="JB62" s="200">
        <f t="shared" si="40"/>
        <v>2</v>
      </c>
      <c r="JC62" s="200">
        <f t="shared" si="41"/>
        <v>3</v>
      </c>
      <c r="JD62" s="200">
        <f t="shared" si="42"/>
        <v>3</v>
      </c>
      <c r="JE62" s="200">
        <f t="shared" si="43"/>
        <v>3</v>
      </c>
      <c r="JF62" s="200">
        <f t="shared" si="44"/>
        <v>1</v>
      </c>
      <c r="JG62" s="200">
        <f t="shared" si="45"/>
        <v>4</v>
      </c>
      <c r="JH62" s="200">
        <f t="shared" si="46"/>
        <v>3</v>
      </c>
      <c r="JI62" s="200">
        <f t="shared" si="47"/>
        <v>3</v>
      </c>
      <c r="JJ62" s="200">
        <f t="shared" si="48"/>
        <v>1</v>
      </c>
      <c r="JK62" s="200">
        <f t="shared" si="49"/>
        <v>7</v>
      </c>
      <c r="JL62" s="200">
        <f t="shared" si="50"/>
        <v>7</v>
      </c>
      <c r="JM62" s="200">
        <f t="shared" si="51"/>
        <v>7</v>
      </c>
      <c r="JN62" s="199"/>
      <c r="JO62" s="200">
        <f t="shared" si="52"/>
        <v>2</v>
      </c>
      <c r="JP62" s="202">
        <v>3.0</v>
      </c>
      <c r="JQ62" s="202">
        <v>3.0</v>
      </c>
      <c r="JR62" s="202">
        <v>3.0</v>
      </c>
      <c r="JS62" s="202">
        <v>1.0</v>
      </c>
      <c r="JT62" s="199"/>
      <c r="JU62" s="199"/>
      <c r="JV62" s="200">
        <f t="shared" ref="JV62:JX62" si="171">IA62-JI62</f>
        <v>0</v>
      </c>
      <c r="JW62" s="200">
        <f t="shared" si="171"/>
        <v>0</v>
      </c>
      <c r="JX62" s="200">
        <f t="shared" si="171"/>
        <v>0</v>
      </c>
      <c r="JY62" s="199"/>
      <c r="JZ62" s="199"/>
      <c r="KA62" s="199"/>
      <c r="KB62" s="200">
        <f t="shared" ref="KB62:KM62" si="172">JB62-JO62</f>
        <v>0</v>
      </c>
      <c r="KC62" s="200">
        <f t="shared" si="172"/>
        <v>0</v>
      </c>
      <c r="KD62" s="200">
        <f t="shared" si="172"/>
        <v>0</v>
      </c>
      <c r="KE62" s="200">
        <f t="shared" si="172"/>
        <v>0</v>
      </c>
      <c r="KF62" s="200">
        <f t="shared" si="172"/>
        <v>0</v>
      </c>
      <c r="KG62" s="200">
        <f t="shared" si="172"/>
        <v>4</v>
      </c>
      <c r="KH62" s="200">
        <f t="shared" si="172"/>
        <v>3</v>
      </c>
      <c r="KI62" s="200">
        <f t="shared" si="172"/>
        <v>3</v>
      </c>
      <c r="KJ62" s="200">
        <f t="shared" si="172"/>
        <v>1</v>
      </c>
      <c r="KK62" s="200">
        <f t="shared" si="172"/>
        <v>7</v>
      </c>
      <c r="KL62" s="200">
        <f t="shared" si="172"/>
        <v>7</v>
      </c>
      <c r="KM62" s="200">
        <f t="shared" si="172"/>
        <v>7</v>
      </c>
      <c r="KN62" s="199"/>
      <c r="KO62" s="199"/>
      <c r="KP62" s="199"/>
      <c r="KQ62" s="199"/>
      <c r="KR62" s="199"/>
      <c r="KS62" s="199"/>
      <c r="KT62" s="199"/>
      <c r="KU62" s="199"/>
      <c r="KV62" s="199"/>
      <c r="KW62" s="199"/>
      <c r="KX62" s="199"/>
      <c r="KY62" s="199"/>
      <c r="KZ62" s="199"/>
      <c r="LA62" s="199"/>
      <c r="LB62" s="199"/>
      <c r="LC62" s="199"/>
      <c r="LD62" s="199"/>
      <c r="LE62" s="199"/>
      <c r="LF62" s="199"/>
      <c r="LG62" s="199"/>
    </row>
    <row r="63" ht="14.25" customHeight="1">
      <c r="A63" s="156">
        <v>56.0</v>
      </c>
      <c r="B63" s="157" t="s">
        <v>143</v>
      </c>
      <c r="C63" s="158">
        <v>3374080.0</v>
      </c>
      <c r="D63" s="158" t="s">
        <v>144</v>
      </c>
      <c r="E63" s="158" t="s">
        <v>146</v>
      </c>
      <c r="F63" s="159">
        <v>14.0</v>
      </c>
      <c r="G63" s="159">
        <v>860.0</v>
      </c>
      <c r="H63" s="161">
        <v>11.0</v>
      </c>
      <c r="I63" s="161">
        <v>0.0</v>
      </c>
      <c r="J63" s="161">
        <v>1.0</v>
      </c>
      <c r="K63" s="161">
        <v>2.0</v>
      </c>
      <c r="L63" s="161">
        <v>8.0</v>
      </c>
      <c r="M63" s="161">
        <v>7.0</v>
      </c>
      <c r="N63" s="161">
        <v>0.0</v>
      </c>
      <c r="O63" s="162">
        <f t="shared" si="3"/>
        <v>4</v>
      </c>
      <c r="P63" s="203">
        <v>11.0</v>
      </c>
      <c r="Q63" s="164">
        <v>1.0</v>
      </c>
      <c r="R63" s="164">
        <v>1.0</v>
      </c>
      <c r="S63" s="164">
        <v>1.0</v>
      </c>
      <c r="T63" s="165">
        <v>8.0</v>
      </c>
      <c r="U63" s="165">
        <v>1.0</v>
      </c>
      <c r="V63" s="165">
        <v>1.0</v>
      </c>
      <c r="W63" s="166">
        <f t="shared" si="4"/>
        <v>9</v>
      </c>
      <c r="X63" s="203">
        <v>6.0</v>
      </c>
      <c r="Y63" s="165">
        <v>0.0</v>
      </c>
      <c r="Z63" s="165">
        <v>2.0</v>
      </c>
      <c r="AA63" s="165">
        <v>1.0</v>
      </c>
      <c r="AB63" s="165">
        <v>3.0</v>
      </c>
      <c r="AC63" s="165">
        <v>1.0</v>
      </c>
      <c r="AD63" s="165">
        <v>0.0</v>
      </c>
      <c r="AE63" s="166">
        <f t="shared" si="5"/>
        <v>5</v>
      </c>
      <c r="AF63" s="167">
        <v>9.0</v>
      </c>
      <c r="AG63" s="165">
        <v>0.0</v>
      </c>
      <c r="AH63" s="165">
        <v>0.0</v>
      </c>
      <c r="AI63" s="165">
        <v>2.0</v>
      </c>
      <c r="AJ63" s="165">
        <v>7.0</v>
      </c>
      <c r="AK63" s="165">
        <v>0.0</v>
      </c>
      <c r="AL63" s="165">
        <v>0.0</v>
      </c>
      <c r="AM63" s="166">
        <f t="shared" si="98"/>
        <v>9</v>
      </c>
      <c r="AN63" s="167">
        <v>19.0</v>
      </c>
      <c r="AO63" s="165">
        <v>0.0</v>
      </c>
      <c r="AP63" s="165">
        <v>1.0</v>
      </c>
      <c r="AQ63" s="165">
        <v>4.0</v>
      </c>
      <c r="AR63" s="165">
        <v>14.0</v>
      </c>
      <c r="AS63" s="165">
        <v>10.0</v>
      </c>
      <c r="AT63" s="165">
        <v>0.0</v>
      </c>
      <c r="AU63" s="168">
        <f t="shared" si="7"/>
        <v>9</v>
      </c>
      <c r="AV63" s="169">
        <v>991.0</v>
      </c>
      <c r="AW63" s="204">
        <f t="shared" si="8"/>
        <v>16</v>
      </c>
      <c r="AX63" s="169">
        <v>0.0</v>
      </c>
      <c r="AY63" s="169">
        <v>1.0</v>
      </c>
      <c r="AZ63" s="169">
        <v>1.0</v>
      </c>
      <c r="BA63" s="169">
        <v>14.0</v>
      </c>
      <c r="BB63" s="169">
        <v>0.0</v>
      </c>
      <c r="BC63" s="169">
        <v>0.0</v>
      </c>
      <c r="BD63" s="169">
        <v>0.0</v>
      </c>
      <c r="BE63" s="169">
        <v>0.0</v>
      </c>
      <c r="BF63" s="169">
        <v>0.0</v>
      </c>
      <c r="BG63" s="169">
        <v>0.0</v>
      </c>
      <c r="BH63" s="169">
        <v>0.0</v>
      </c>
      <c r="BI63" s="169">
        <v>0.0</v>
      </c>
      <c r="BJ63" s="169">
        <v>0.0</v>
      </c>
      <c r="BK63" s="169">
        <v>0.0</v>
      </c>
      <c r="BL63" s="169">
        <v>0.0</v>
      </c>
      <c r="BM63" s="169">
        <v>0.0</v>
      </c>
      <c r="BN63" s="169">
        <v>0.0</v>
      </c>
      <c r="BO63" s="169">
        <v>0.0</v>
      </c>
      <c r="BP63" s="205">
        <f t="shared" si="131"/>
        <v>0</v>
      </c>
      <c r="BQ63" s="173">
        <v>1030.0</v>
      </c>
      <c r="BR63" s="170">
        <f t="shared" si="10"/>
        <v>7</v>
      </c>
      <c r="BS63" s="173">
        <v>0.0</v>
      </c>
      <c r="BT63" s="173">
        <v>0.0</v>
      </c>
      <c r="BU63" s="173">
        <v>0.0</v>
      </c>
      <c r="BV63" s="173">
        <v>7.0</v>
      </c>
      <c r="BW63" s="173">
        <v>0.0</v>
      </c>
      <c r="BX63" s="173">
        <v>0.0</v>
      </c>
      <c r="BY63" s="173">
        <v>0.0</v>
      </c>
      <c r="BZ63" s="173">
        <v>0.0</v>
      </c>
      <c r="CA63" s="173">
        <v>0.0</v>
      </c>
      <c r="CB63" s="173">
        <v>1.0</v>
      </c>
      <c r="CC63" s="173">
        <v>1.0</v>
      </c>
      <c r="CD63" s="173">
        <v>0.0</v>
      </c>
      <c r="CE63" s="173">
        <v>0.0</v>
      </c>
      <c r="CF63" s="173">
        <v>0.0</v>
      </c>
      <c r="CG63" s="173">
        <v>0.0</v>
      </c>
      <c r="CH63" s="173">
        <v>0.0</v>
      </c>
      <c r="CI63" s="173">
        <v>0.0</v>
      </c>
      <c r="CJ63" s="173">
        <v>0.0</v>
      </c>
      <c r="CK63" s="172">
        <f t="shared" si="132"/>
        <v>2</v>
      </c>
      <c r="CL63" s="173">
        <v>1008.0</v>
      </c>
      <c r="CM63" s="173">
        <v>514.0</v>
      </c>
      <c r="CN63" s="175">
        <f t="shared" si="12"/>
        <v>16</v>
      </c>
      <c r="CO63" s="173">
        <v>0.0</v>
      </c>
      <c r="CP63" s="173">
        <v>0.0</v>
      </c>
      <c r="CQ63" s="173">
        <v>0.0</v>
      </c>
      <c r="CR63" s="173">
        <v>7.0</v>
      </c>
      <c r="CS63" s="173">
        <v>0.0</v>
      </c>
      <c r="CT63" s="173">
        <v>0.0</v>
      </c>
      <c r="CU63" s="173">
        <v>1.0</v>
      </c>
      <c r="CV63" s="173">
        <v>8.0</v>
      </c>
      <c r="CW63" s="173">
        <v>0.0</v>
      </c>
      <c r="CX63" s="173">
        <v>0.0</v>
      </c>
      <c r="CY63" s="173">
        <v>0.0</v>
      </c>
      <c r="CZ63" s="173">
        <v>0.0</v>
      </c>
      <c r="DA63" s="173">
        <v>0.0</v>
      </c>
      <c r="DB63" s="173">
        <v>0.0</v>
      </c>
      <c r="DC63" s="173">
        <v>0.0</v>
      </c>
      <c r="DD63" s="173">
        <v>0.0</v>
      </c>
      <c r="DE63" s="173">
        <v>0.0</v>
      </c>
      <c r="DF63" s="173">
        <v>0.0</v>
      </c>
      <c r="DG63" s="176">
        <f t="shared" si="13"/>
        <v>0</v>
      </c>
      <c r="DH63" s="177">
        <v>902.0</v>
      </c>
      <c r="DI63" s="177">
        <v>102.0</v>
      </c>
      <c r="DJ63" s="177">
        <v>902.0</v>
      </c>
      <c r="DK63" s="177">
        <v>102.0</v>
      </c>
      <c r="DL63" s="179">
        <f t="shared" si="14"/>
        <v>12</v>
      </c>
      <c r="DM63" s="180">
        <f t="shared" si="15"/>
        <v>0</v>
      </c>
      <c r="DN63" s="180">
        <f t="shared" si="16"/>
        <v>12</v>
      </c>
      <c r="DO63" s="177">
        <v>0.0</v>
      </c>
      <c r="DP63" s="177">
        <v>0.0</v>
      </c>
      <c r="DQ63" s="177">
        <v>0.0</v>
      </c>
      <c r="DR63" s="177">
        <v>12.0</v>
      </c>
      <c r="DS63" s="177">
        <v>0.0</v>
      </c>
      <c r="DT63" s="177">
        <v>0.0</v>
      </c>
      <c r="DU63" s="177">
        <v>0.0</v>
      </c>
      <c r="DV63" s="177">
        <v>0.0</v>
      </c>
      <c r="DW63" s="177">
        <v>0.0</v>
      </c>
      <c r="DX63" s="177">
        <v>0.0</v>
      </c>
      <c r="DY63" s="177">
        <v>1.0</v>
      </c>
      <c r="DZ63" s="177">
        <v>3.0</v>
      </c>
      <c r="EA63" s="177">
        <v>0.0</v>
      </c>
      <c r="EB63" s="177">
        <v>0.0</v>
      </c>
      <c r="EC63" s="177">
        <v>0.0</v>
      </c>
      <c r="ED63" s="177">
        <v>0.0</v>
      </c>
      <c r="EE63" s="177">
        <v>0.0</v>
      </c>
      <c r="EF63" s="177">
        <v>0.0</v>
      </c>
      <c r="EG63" s="179">
        <f t="shared" si="17"/>
        <v>4</v>
      </c>
      <c r="EH63" s="179">
        <f t="shared" si="18"/>
        <v>1</v>
      </c>
      <c r="EI63" s="177">
        <v>873.0</v>
      </c>
      <c r="EJ63" s="177">
        <v>90.0</v>
      </c>
      <c r="EK63" s="177">
        <v>873.0</v>
      </c>
      <c r="EL63" s="177">
        <v>90.0</v>
      </c>
      <c r="EM63" s="186">
        <v>12.0</v>
      </c>
      <c r="EN63" s="186">
        <f t="shared" si="89"/>
        <v>0</v>
      </c>
      <c r="EO63" s="186">
        <f t="shared" si="90"/>
        <v>12</v>
      </c>
      <c r="EP63" s="177">
        <v>0.0</v>
      </c>
      <c r="EQ63" s="177">
        <v>0.0</v>
      </c>
      <c r="ER63" s="177">
        <v>0.0</v>
      </c>
      <c r="ES63" s="177">
        <v>12.0</v>
      </c>
      <c r="ET63" s="177">
        <v>0.0</v>
      </c>
      <c r="EU63" s="177">
        <v>0.0</v>
      </c>
      <c r="EV63" s="177">
        <v>0.0</v>
      </c>
      <c r="EW63" s="177">
        <v>0.0</v>
      </c>
      <c r="EX63" s="177">
        <v>0.0</v>
      </c>
      <c r="EY63" s="177">
        <v>0.0</v>
      </c>
      <c r="EZ63" s="177">
        <v>0.0</v>
      </c>
      <c r="FA63" s="177">
        <v>0.0</v>
      </c>
      <c r="FB63" s="177">
        <v>0.0</v>
      </c>
      <c r="FC63" s="177">
        <v>0.0</v>
      </c>
      <c r="FD63" s="177">
        <v>0.0</v>
      </c>
      <c r="FE63" s="177">
        <v>0.0</v>
      </c>
      <c r="FF63" s="177">
        <v>0.0</v>
      </c>
      <c r="FG63" s="177">
        <v>0.0</v>
      </c>
      <c r="FH63" s="185">
        <f t="shared" si="22"/>
        <v>0</v>
      </c>
      <c r="FI63" s="185">
        <f t="shared" si="23"/>
        <v>0</v>
      </c>
      <c r="FJ63" s="177">
        <v>852.0</v>
      </c>
      <c r="FK63" s="177">
        <v>29.0</v>
      </c>
      <c r="FL63" s="177">
        <v>852.0</v>
      </c>
      <c r="FM63" s="177">
        <v>29.0</v>
      </c>
      <c r="FN63" s="210"/>
      <c r="FO63" s="210">
        <v>11.0</v>
      </c>
      <c r="FP63" s="243">
        <v>11.0</v>
      </c>
      <c r="FQ63" s="211">
        <v>0.0</v>
      </c>
      <c r="FR63" s="212">
        <v>11.0</v>
      </c>
      <c r="FS63" s="206">
        <v>0.0</v>
      </c>
      <c r="FT63" s="207">
        <v>0.0</v>
      </c>
      <c r="FU63" s="207">
        <v>0.0</v>
      </c>
      <c r="FV63" s="207">
        <v>11.0</v>
      </c>
      <c r="FW63" s="207">
        <v>0.0</v>
      </c>
      <c r="FX63" s="207">
        <v>0.0</v>
      </c>
      <c r="FY63" s="207">
        <v>0.0</v>
      </c>
      <c r="FZ63" s="207">
        <v>0.0</v>
      </c>
      <c r="GA63" s="207">
        <v>0.0</v>
      </c>
      <c r="GB63" s="207">
        <v>0.0</v>
      </c>
      <c r="GC63" s="207">
        <v>0.0</v>
      </c>
      <c r="GD63" s="207">
        <v>1.0</v>
      </c>
      <c r="GE63" s="207">
        <v>0.0</v>
      </c>
      <c r="GF63" s="207">
        <v>0.0</v>
      </c>
      <c r="GG63" s="207">
        <v>0.0</v>
      </c>
      <c r="GH63" s="207">
        <v>0.0</v>
      </c>
      <c r="GI63" s="207">
        <v>0.0</v>
      </c>
      <c r="GJ63" s="207">
        <v>0.0</v>
      </c>
      <c r="GK63" s="212">
        <v>1.0</v>
      </c>
      <c r="GL63" s="212">
        <v>0.0</v>
      </c>
      <c r="GM63" s="207">
        <v>828.0</v>
      </c>
      <c r="GN63" s="207">
        <v>71.0</v>
      </c>
      <c r="GO63" s="213">
        <v>828.0</v>
      </c>
      <c r="GP63" s="213">
        <v>71.0</v>
      </c>
      <c r="GQ63" s="207"/>
      <c r="GR63" s="213">
        <v>11.0</v>
      </c>
      <c r="GS63" s="193">
        <v>0.0</v>
      </c>
      <c r="GT63" s="194">
        <f t="shared" si="25"/>
        <v>11</v>
      </c>
      <c r="GU63" s="194">
        <f t="shared" si="26"/>
        <v>0</v>
      </c>
      <c r="GV63" s="194">
        <f t="shared" si="27"/>
        <v>11</v>
      </c>
      <c r="GW63" s="207">
        <v>0.0</v>
      </c>
      <c r="GX63" s="207">
        <v>0.0</v>
      </c>
      <c r="GY63" s="207">
        <v>0.0</v>
      </c>
      <c r="GZ63" s="207">
        <v>11.0</v>
      </c>
      <c r="HA63" s="207">
        <v>0.0</v>
      </c>
      <c r="HB63" s="207">
        <v>0.0</v>
      </c>
      <c r="HC63" s="207">
        <v>0.0</v>
      </c>
      <c r="HD63" s="207">
        <v>0.0</v>
      </c>
      <c r="HE63" s="207">
        <v>0.0</v>
      </c>
      <c r="HF63" s="207">
        <v>0.0</v>
      </c>
      <c r="HG63" s="207">
        <v>0.0</v>
      </c>
      <c r="HH63" s="207">
        <v>0.0</v>
      </c>
      <c r="HI63" s="207">
        <v>0.0</v>
      </c>
      <c r="HJ63" s="207">
        <v>0.0</v>
      </c>
      <c r="HK63" s="207">
        <v>0.0</v>
      </c>
      <c r="HL63" s="207">
        <v>0.0</v>
      </c>
      <c r="HM63" s="207">
        <v>0.0</v>
      </c>
      <c r="HN63" s="207">
        <v>0.0</v>
      </c>
      <c r="HO63" s="222">
        <v>0.0</v>
      </c>
      <c r="HP63" s="222">
        <v>0.0</v>
      </c>
      <c r="HQ63" s="214"/>
      <c r="HR63" s="197"/>
      <c r="HS63" s="197"/>
      <c r="HT63" s="198">
        <f t="shared" si="28"/>
        <v>11</v>
      </c>
      <c r="HU63" s="198">
        <f t="shared" si="29"/>
        <v>11</v>
      </c>
      <c r="HV63" s="198">
        <f t="shared" si="30"/>
        <v>6</v>
      </c>
      <c r="HW63" s="198">
        <f t="shared" si="99"/>
        <v>9</v>
      </c>
      <c r="HX63" s="198">
        <f t="shared" si="32"/>
        <v>19</v>
      </c>
      <c r="HY63" s="198">
        <f t="shared" si="33"/>
        <v>16</v>
      </c>
      <c r="HZ63" s="198">
        <f t="shared" si="34"/>
        <v>7</v>
      </c>
      <c r="IA63" s="198">
        <f t="shared" si="35"/>
        <v>16</v>
      </c>
      <c r="IB63" s="198">
        <f t="shared" si="36"/>
        <v>12</v>
      </c>
      <c r="IC63" s="198">
        <f t="shared" si="37"/>
        <v>12</v>
      </c>
      <c r="ID63" s="198">
        <f t="shared" si="38"/>
        <v>11</v>
      </c>
      <c r="IE63" s="198">
        <f t="shared" si="39"/>
        <v>11</v>
      </c>
      <c r="IF63" s="197"/>
      <c r="IG63" s="197"/>
      <c r="IH63" s="197"/>
      <c r="II63" s="197"/>
      <c r="IJ63" s="197"/>
      <c r="IK63" s="197"/>
      <c r="IL63" s="197"/>
      <c r="IM63" s="197"/>
      <c r="IN63" s="197"/>
      <c r="IO63" s="197"/>
      <c r="IP63" s="197"/>
      <c r="IQ63" s="197"/>
      <c r="IR63" s="197"/>
      <c r="IS63" s="197"/>
      <c r="IT63" s="197"/>
      <c r="IU63" s="197"/>
      <c r="IV63" s="197"/>
      <c r="IW63" s="197"/>
      <c r="IX63" s="197"/>
      <c r="IY63" s="197"/>
      <c r="IZ63" s="197"/>
      <c r="JA63" s="199"/>
      <c r="JB63" s="200">
        <f t="shared" si="40"/>
        <v>11</v>
      </c>
      <c r="JC63" s="200">
        <f t="shared" si="41"/>
        <v>11</v>
      </c>
      <c r="JD63" s="200">
        <f t="shared" si="42"/>
        <v>6</v>
      </c>
      <c r="JE63" s="200">
        <f t="shared" si="43"/>
        <v>9</v>
      </c>
      <c r="JF63" s="200">
        <f t="shared" si="44"/>
        <v>19</v>
      </c>
      <c r="JG63" s="200">
        <f t="shared" si="45"/>
        <v>16</v>
      </c>
      <c r="JH63" s="200">
        <f t="shared" si="46"/>
        <v>7</v>
      </c>
      <c r="JI63" s="200">
        <f t="shared" si="47"/>
        <v>16</v>
      </c>
      <c r="JJ63" s="200">
        <f t="shared" si="48"/>
        <v>12</v>
      </c>
      <c r="JK63" s="200">
        <f t="shared" si="49"/>
        <v>12</v>
      </c>
      <c r="JL63" s="200">
        <f t="shared" si="50"/>
        <v>11</v>
      </c>
      <c r="JM63" s="200">
        <f t="shared" si="51"/>
        <v>11</v>
      </c>
      <c r="JN63" s="199"/>
      <c r="JO63" s="200">
        <f t="shared" si="52"/>
        <v>11</v>
      </c>
      <c r="JP63" s="202">
        <v>11.0</v>
      </c>
      <c r="JQ63" s="202">
        <v>6.0</v>
      </c>
      <c r="JR63" s="202">
        <v>9.0</v>
      </c>
      <c r="JS63" s="202">
        <v>19.0</v>
      </c>
      <c r="JT63" s="199"/>
      <c r="JU63" s="199"/>
      <c r="JV63" s="200">
        <f t="shared" ref="JV63:JX63" si="173">IA63-JI63</f>
        <v>0</v>
      </c>
      <c r="JW63" s="200">
        <f t="shared" si="173"/>
        <v>0</v>
      </c>
      <c r="JX63" s="200">
        <f t="shared" si="173"/>
        <v>0</v>
      </c>
      <c r="JY63" s="199"/>
      <c r="JZ63" s="199"/>
      <c r="KA63" s="199"/>
      <c r="KB63" s="200">
        <f t="shared" ref="KB63:KM63" si="174">JB63-JO63</f>
        <v>0</v>
      </c>
      <c r="KC63" s="200">
        <f t="shared" si="174"/>
        <v>0</v>
      </c>
      <c r="KD63" s="200">
        <f t="shared" si="174"/>
        <v>0</v>
      </c>
      <c r="KE63" s="200">
        <f t="shared" si="174"/>
        <v>0</v>
      </c>
      <c r="KF63" s="200">
        <f t="shared" si="174"/>
        <v>0</v>
      </c>
      <c r="KG63" s="200">
        <f t="shared" si="174"/>
        <v>16</v>
      </c>
      <c r="KH63" s="200">
        <f t="shared" si="174"/>
        <v>7</v>
      </c>
      <c r="KI63" s="200">
        <f t="shared" si="174"/>
        <v>16</v>
      </c>
      <c r="KJ63" s="200">
        <f t="shared" si="174"/>
        <v>12</v>
      </c>
      <c r="KK63" s="200">
        <f t="shared" si="174"/>
        <v>12</v>
      </c>
      <c r="KL63" s="200">
        <f t="shared" si="174"/>
        <v>11</v>
      </c>
      <c r="KM63" s="200">
        <f t="shared" si="174"/>
        <v>11</v>
      </c>
      <c r="KN63" s="199"/>
      <c r="KO63" s="199"/>
      <c r="KP63" s="199"/>
      <c r="KQ63" s="199"/>
      <c r="KR63" s="199"/>
      <c r="KS63" s="199"/>
      <c r="KT63" s="199"/>
      <c r="KU63" s="199"/>
      <c r="KV63" s="199"/>
      <c r="KW63" s="199"/>
      <c r="KX63" s="199"/>
      <c r="KY63" s="199"/>
      <c r="KZ63" s="199"/>
      <c r="LA63" s="199"/>
      <c r="LB63" s="199"/>
      <c r="LC63" s="199"/>
      <c r="LD63" s="199"/>
      <c r="LE63" s="199"/>
      <c r="LF63" s="199"/>
      <c r="LG63" s="199"/>
    </row>
    <row r="64" ht="14.25" customHeight="1">
      <c r="A64" s="156">
        <v>57.0</v>
      </c>
      <c r="B64" s="157" t="s">
        <v>143</v>
      </c>
      <c r="C64" s="158">
        <v>3374080.0</v>
      </c>
      <c r="D64" s="158" t="s">
        <v>144</v>
      </c>
      <c r="E64" s="158" t="s">
        <v>147</v>
      </c>
      <c r="F64" s="249">
        <v>2.0</v>
      </c>
      <c r="G64" s="159">
        <v>582.0</v>
      </c>
      <c r="H64" s="161">
        <v>0.0</v>
      </c>
      <c r="I64" s="161">
        <v>0.0</v>
      </c>
      <c r="J64" s="161">
        <v>0.0</v>
      </c>
      <c r="K64" s="161">
        <v>0.0</v>
      </c>
      <c r="L64" s="161">
        <v>0.0</v>
      </c>
      <c r="M64" s="161">
        <v>0.0</v>
      </c>
      <c r="N64" s="161">
        <v>0.0</v>
      </c>
      <c r="O64" s="162">
        <f t="shared" si="3"/>
        <v>0</v>
      </c>
      <c r="P64" s="203">
        <v>2.0</v>
      </c>
      <c r="Q64" s="164">
        <v>0.0</v>
      </c>
      <c r="R64" s="164">
        <v>0.0</v>
      </c>
      <c r="S64" s="164">
        <v>1.0</v>
      </c>
      <c r="T64" s="165">
        <v>1.0</v>
      </c>
      <c r="U64" s="165">
        <v>2.0</v>
      </c>
      <c r="V64" s="165">
        <v>0.0</v>
      </c>
      <c r="W64" s="166">
        <f t="shared" si="4"/>
        <v>0</v>
      </c>
      <c r="X64" s="203">
        <v>2.0</v>
      </c>
      <c r="Y64" s="165">
        <v>0.0</v>
      </c>
      <c r="Z64" s="165">
        <v>0.0</v>
      </c>
      <c r="AA64" s="165">
        <v>1.0</v>
      </c>
      <c r="AB64" s="165">
        <v>1.0</v>
      </c>
      <c r="AC64" s="165">
        <v>0.0</v>
      </c>
      <c r="AD64" s="165">
        <v>0.0</v>
      </c>
      <c r="AE64" s="166">
        <f t="shared" si="5"/>
        <v>2</v>
      </c>
      <c r="AF64" s="167">
        <v>3.0</v>
      </c>
      <c r="AG64" s="165">
        <v>0.0</v>
      </c>
      <c r="AH64" s="165">
        <v>0.0</v>
      </c>
      <c r="AI64" s="165">
        <v>1.0</v>
      </c>
      <c r="AJ64" s="165">
        <v>2.0</v>
      </c>
      <c r="AK64" s="165">
        <v>1.0</v>
      </c>
      <c r="AL64" s="165">
        <v>0.0</v>
      </c>
      <c r="AM64" s="166">
        <f t="shared" si="98"/>
        <v>2</v>
      </c>
      <c r="AN64" s="167">
        <v>2.0</v>
      </c>
      <c r="AO64" s="165">
        <v>0.0</v>
      </c>
      <c r="AP64" s="165">
        <v>0.0</v>
      </c>
      <c r="AQ64" s="165">
        <v>0.0</v>
      </c>
      <c r="AR64" s="165">
        <v>2.0</v>
      </c>
      <c r="AS64" s="165">
        <v>0.0</v>
      </c>
      <c r="AT64" s="165">
        <v>1.0</v>
      </c>
      <c r="AU64" s="168">
        <f t="shared" si="7"/>
        <v>1</v>
      </c>
      <c r="AV64" s="169">
        <v>430.0</v>
      </c>
      <c r="AW64" s="204">
        <f t="shared" si="8"/>
        <v>3</v>
      </c>
      <c r="AX64" s="169">
        <v>0.0</v>
      </c>
      <c r="AY64" s="169">
        <v>0.0</v>
      </c>
      <c r="AZ64" s="169">
        <v>0.0</v>
      </c>
      <c r="BA64" s="169">
        <v>2.0</v>
      </c>
      <c r="BB64" s="169">
        <v>0.0</v>
      </c>
      <c r="BC64" s="169">
        <v>0.0</v>
      </c>
      <c r="BD64" s="169">
        <v>1.0</v>
      </c>
      <c r="BE64" s="169">
        <v>0.0</v>
      </c>
      <c r="BF64" s="169">
        <v>0.0</v>
      </c>
      <c r="BG64" s="169">
        <v>0.0</v>
      </c>
      <c r="BH64" s="169">
        <v>0.0</v>
      </c>
      <c r="BI64" s="169">
        <v>0.0</v>
      </c>
      <c r="BJ64" s="169">
        <v>0.0</v>
      </c>
      <c r="BK64" s="169">
        <v>0.0</v>
      </c>
      <c r="BL64" s="169">
        <v>0.0</v>
      </c>
      <c r="BM64" s="169">
        <v>0.0</v>
      </c>
      <c r="BN64" s="169">
        <v>0.0</v>
      </c>
      <c r="BO64" s="169">
        <v>0.0</v>
      </c>
      <c r="BP64" s="205">
        <f t="shared" si="131"/>
        <v>0</v>
      </c>
      <c r="BQ64" s="173">
        <v>446.0</v>
      </c>
      <c r="BR64" s="170">
        <f t="shared" si="10"/>
        <v>2</v>
      </c>
      <c r="BS64" s="173">
        <v>0.0</v>
      </c>
      <c r="BT64" s="173">
        <v>0.0</v>
      </c>
      <c r="BU64" s="173">
        <v>0.0</v>
      </c>
      <c r="BV64" s="173">
        <v>2.0</v>
      </c>
      <c r="BW64" s="173">
        <v>0.0</v>
      </c>
      <c r="BX64" s="173">
        <v>0.0</v>
      </c>
      <c r="BY64" s="173">
        <v>0.0</v>
      </c>
      <c r="BZ64" s="173">
        <v>0.0</v>
      </c>
      <c r="CA64" s="173">
        <v>0.0</v>
      </c>
      <c r="CB64" s="173">
        <v>0.0</v>
      </c>
      <c r="CC64" s="173">
        <v>0.0</v>
      </c>
      <c r="CD64" s="173">
        <v>0.0</v>
      </c>
      <c r="CE64" s="173">
        <v>0.0</v>
      </c>
      <c r="CF64" s="173">
        <v>0.0</v>
      </c>
      <c r="CG64" s="173">
        <v>0.0</v>
      </c>
      <c r="CH64" s="173">
        <v>0.0</v>
      </c>
      <c r="CI64" s="173">
        <v>0.0</v>
      </c>
      <c r="CJ64" s="173">
        <v>0.0</v>
      </c>
      <c r="CK64" s="172">
        <f t="shared" si="132"/>
        <v>0</v>
      </c>
      <c r="CL64" s="173">
        <v>419.0</v>
      </c>
      <c r="CM64" s="173">
        <v>249.0</v>
      </c>
      <c r="CN64" s="175">
        <f t="shared" si="12"/>
        <v>5</v>
      </c>
      <c r="CO64" s="173">
        <v>0.0</v>
      </c>
      <c r="CP64" s="173">
        <v>0.0</v>
      </c>
      <c r="CQ64" s="173">
        <v>0.0</v>
      </c>
      <c r="CR64" s="173">
        <v>2.0</v>
      </c>
      <c r="CS64" s="173">
        <v>0.0</v>
      </c>
      <c r="CT64" s="173">
        <v>0.0</v>
      </c>
      <c r="CU64" s="173">
        <v>0.0</v>
      </c>
      <c r="CV64" s="173">
        <v>3.0</v>
      </c>
      <c r="CW64" s="173">
        <v>0.0</v>
      </c>
      <c r="CX64" s="173">
        <v>0.0</v>
      </c>
      <c r="CY64" s="173">
        <v>0.0</v>
      </c>
      <c r="CZ64" s="173">
        <v>0.0</v>
      </c>
      <c r="DA64" s="173">
        <v>0.0</v>
      </c>
      <c r="DB64" s="173">
        <v>0.0</v>
      </c>
      <c r="DC64" s="173">
        <v>0.0</v>
      </c>
      <c r="DD64" s="173">
        <v>0.0</v>
      </c>
      <c r="DE64" s="173">
        <v>0.0</v>
      </c>
      <c r="DF64" s="173">
        <v>0.0</v>
      </c>
      <c r="DG64" s="176">
        <f t="shared" si="13"/>
        <v>0</v>
      </c>
      <c r="DH64" s="177">
        <v>418.0</v>
      </c>
      <c r="DI64" s="177">
        <v>50.0</v>
      </c>
      <c r="DJ64" s="177">
        <v>418.0</v>
      </c>
      <c r="DK64" s="177">
        <v>50.0</v>
      </c>
      <c r="DL64" s="179">
        <f t="shared" si="14"/>
        <v>4</v>
      </c>
      <c r="DM64" s="180">
        <f t="shared" si="15"/>
        <v>3</v>
      </c>
      <c r="DN64" s="180">
        <f t="shared" si="16"/>
        <v>1</v>
      </c>
      <c r="DO64" s="177">
        <v>0.0</v>
      </c>
      <c r="DP64" s="177">
        <v>0.0</v>
      </c>
      <c r="DQ64" s="177">
        <v>0.0</v>
      </c>
      <c r="DR64" s="177">
        <v>1.0</v>
      </c>
      <c r="DS64" s="177">
        <v>0.0</v>
      </c>
      <c r="DT64" s="177">
        <v>0.0</v>
      </c>
      <c r="DU64" s="177">
        <v>3.0</v>
      </c>
      <c r="DV64" s="177">
        <v>0.0</v>
      </c>
      <c r="DW64" s="177">
        <v>0.0</v>
      </c>
      <c r="DX64" s="177">
        <v>0.0</v>
      </c>
      <c r="DY64" s="177">
        <v>0.0</v>
      </c>
      <c r="DZ64" s="177">
        <v>4.0</v>
      </c>
      <c r="EA64" s="177">
        <v>0.0</v>
      </c>
      <c r="EB64" s="177">
        <v>0.0</v>
      </c>
      <c r="EC64" s="177">
        <v>0.0</v>
      </c>
      <c r="ED64" s="177">
        <v>0.0</v>
      </c>
      <c r="EE64" s="177">
        <v>0.0</v>
      </c>
      <c r="EF64" s="177">
        <v>0.0</v>
      </c>
      <c r="EG64" s="179">
        <f t="shared" si="17"/>
        <v>4</v>
      </c>
      <c r="EH64" s="179">
        <f t="shared" si="18"/>
        <v>0</v>
      </c>
      <c r="EI64" s="177">
        <v>447.0</v>
      </c>
      <c r="EJ64" s="177">
        <v>56.0</v>
      </c>
      <c r="EK64" s="177">
        <v>447.0</v>
      </c>
      <c r="EL64" s="177">
        <v>56.0</v>
      </c>
      <c r="EM64" s="186">
        <v>11.0</v>
      </c>
      <c r="EN64" s="186">
        <f t="shared" si="89"/>
        <v>7</v>
      </c>
      <c r="EO64" s="186">
        <f t="shared" si="90"/>
        <v>4</v>
      </c>
      <c r="EP64" s="177">
        <v>0.0</v>
      </c>
      <c r="EQ64" s="177">
        <v>0.0</v>
      </c>
      <c r="ER64" s="177">
        <v>3.0</v>
      </c>
      <c r="ES64" s="177">
        <v>1.0</v>
      </c>
      <c r="ET64" s="177">
        <v>0.0</v>
      </c>
      <c r="EU64" s="177">
        <v>1.0</v>
      </c>
      <c r="EV64" s="177">
        <v>3.0</v>
      </c>
      <c r="EW64" s="177">
        <v>3.0</v>
      </c>
      <c r="EX64" s="177">
        <v>0.0</v>
      </c>
      <c r="EY64" s="177">
        <v>1.0</v>
      </c>
      <c r="EZ64" s="177">
        <v>0.0</v>
      </c>
      <c r="FA64" s="177">
        <v>0.0</v>
      </c>
      <c r="FB64" s="177">
        <v>0.0</v>
      </c>
      <c r="FC64" s="177">
        <v>0.0</v>
      </c>
      <c r="FD64" s="177">
        <v>0.0</v>
      </c>
      <c r="FE64" s="177">
        <v>0.0</v>
      </c>
      <c r="FF64" s="177">
        <v>0.0</v>
      </c>
      <c r="FG64" s="177">
        <v>0.0</v>
      </c>
      <c r="FH64" s="185">
        <f t="shared" si="22"/>
        <v>1</v>
      </c>
      <c r="FI64" s="185">
        <f t="shared" si="23"/>
        <v>1</v>
      </c>
      <c r="FJ64" s="177">
        <v>456.0</v>
      </c>
      <c r="FK64" s="177">
        <v>67.0</v>
      </c>
      <c r="FL64" s="177">
        <v>456.0</v>
      </c>
      <c r="FM64" s="177">
        <v>67.0</v>
      </c>
      <c r="FN64" s="210"/>
      <c r="FO64" s="210">
        <v>13.0</v>
      </c>
      <c r="FP64" s="243">
        <v>13.0</v>
      </c>
      <c r="FQ64" s="211">
        <v>7.0</v>
      </c>
      <c r="FR64" s="212">
        <v>6.0</v>
      </c>
      <c r="FS64" s="206">
        <v>0.0</v>
      </c>
      <c r="FT64" s="207">
        <v>0.0</v>
      </c>
      <c r="FU64" s="207">
        <v>3.0</v>
      </c>
      <c r="FV64" s="207">
        <v>1.0</v>
      </c>
      <c r="FW64" s="207">
        <v>0.0</v>
      </c>
      <c r="FX64" s="207">
        <v>0.0</v>
      </c>
      <c r="FY64" s="207">
        <v>4.0</v>
      </c>
      <c r="FZ64" s="207">
        <v>5.0</v>
      </c>
      <c r="GA64" s="207">
        <v>0.0</v>
      </c>
      <c r="GB64" s="207">
        <v>0.0</v>
      </c>
      <c r="GC64" s="207">
        <v>0.0</v>
      </c>
      <c r="GD64" s="207">
        <v>0.0</v>
      </c>
      <c r="GE64" s="207">
        <v>0.0</v>
      </c>
      <c r="GF64" s="207">
        <v>0.0</v>
      </c>
      <c r="GG64" s="207">
        <v>1.0</v>
      </c>
      <c r="GH64" s="207">
        <v>1.0</v>
      </c>
      <c r="GI64" s="207">
        <v>0.0</v>
      </c>
      <c r="GJ64" s="207">
        <v>0.0</v>
      </c>
      <c r="GK64" s="212">
        <v>2.0</v>
      </c>
      <c r="GL64" s="212">
        <v>1.0</v>
      </c>
      <c r="GM64" s="207">
        <v>481.0</v>
      </c>
      <c r="GN64" s="207">
        <v>72.0</v>
      </c>
      <c r="GO64" s="213">
        <v>481.0</v>
      </c>
      <c r="GP64" s="213">
        <v>72.0</v>
      </c>
      <c r="GQ64" s="207"/>
      <c r="GR64" s="213">
        <v>12.0</v>
      </c>
      <c r="GS64" s="193">
        <v>5.0</v>
      </c>
      <c r="GT64" s="194">
        <f t="shared" si="25"/>
        <v>12</v>
      </c>
      <c r="GU64" s="194">
        <f t="shared" si="26"/>
        <v>5</v>
      </c>
      <c r="GV64" s="194">
        <f t="shared" si="27"/>
        <v>7</v>
      </c>
      <c r="GW64" s="207">
        <v>0.0</v>
      </c>
      <c r="GX64" s="207">
        <v>0.0</v>
      </c>
      <c r="GY64" s="207">
        <v>4.0</v>
      </c>
      <c r="GZ64" s="207">
        <v>7.0</v>
      </c>
      <c r="HA64" s="207">
        <v>0.0</v>
      </c>
      <c r="HB64" s="207">
        <v>1.0</v>
      </c>
      <c r="HC64" s="207">
        <v>0.0</v>
      </c>
      <c r="HD64" s="207">
        <v>0.0</v>
      </c>
      <c r="HE64" s="207">
        <v>0.0</v>
      </c>
      <c r="HF64" s="207">
        <v>0.0</v>
      </c>
      <c r="HG64" s="207">
        <v>2.0</v>
      </c>
      <c r="HH64" s="207">
        <v>0.0</v>
      </c>
      <c r="HI64" s="207">
        <v>0.0</v>
      </c>
      <c r="HJ64" s="207">
        <v>0.0</v>
      </c>
      <c r="HK64" s="207">
        <v>0.0</v>
      </c>
      <c r="HL64" s="207">
        <v>0.0</v>
      </c>
      <c r="HM64" s="207">
        <v>0.0</v>
      </c>
      <c r="HN64" s="207">
        <v>0.0</v>
      </c>
      <c r="HO64" s="222">
        <v>0.0</v>
      </c>
      <c r="HP64" s="222">
        <v>2.0</v>
      </c>
      <c r="HQ64" s="214"/>
      <c r="HR64" s="197"/>
      <c r="HS64" s="197"/>
      <c r="HT64" s="198">
        <f t="shared" si="28"/>
        <v>0</v>
      </c>
      <c r="HU64" s="198">
        <f t="shared" si="29"/>
        <v>2</v>
      </c>
      <c r="HV64" s="198">
        <f t="shared" si="30"/>
        <v>2</v>
      </c>
      <c r="HW64" s="198">
        <f t="shared" si="99"/>
        <v>3</v>
      </c>
      <c r="HX64" s="198">
        <f t="shared" si="32"/>
        <v>2</v>
      </c>
      <c r="HY64" s="198">
        <f t="shared" si="33"/>
        <v>3</v>
      </c>
      <c r="HZ64" s="198">
        <f t="shared" si="34"/>
        <v>2</v>
      </c>
      <c r="IA64" s="198">
        <f t="shared" si="35"/>
        <v>5</v>
      </c>
      <c r="IB64" s="198">
        <f t="shared" si="36"/>
        <v>4</v>
      </c>
      <c r="IC64" s="198">
        <f t="shared" si="37"/>
        <v>11</v>
      </c>
      <c r="ID64" s="198">
        <f t="shared" si="38"/>
        <v>13</v>
      </c>
      <c r="IE64" s="198">
        <f t="shared" si="39"/>
        <v>12</v>
      </c>
      <c r="IF64" s="197"/>
      <c r="IG64" s="197"/>
      <c r="IH64" s="197"/>
      <c r="II64" s="197"/>
      <c r="IJ64" s="197"/>
      <c r="IK64" s="197"/>
      <c r="IL64" s="197"/>
      <c r="IM64" s="197"/>
      <c r="IN64" s="197"/>
      <c r="IO64" s="197"/>
      <c r="IP64" s="197"/>
      <c r="IQ64" s="197"/>
      <c r="IR64" s="197"/>
      <c r="IS64" s="197"/>
      <c r="IT64" s="197"/>
      <c r="IU64" s="197"/>
      <c r="IV64" s="197"/>
      <c r="IW64" s="197"/>
      <c r="IX64" s="197"/>
      <c r="IY64" s="197"/>
      <c r="IZ64" s="197"/>
      <c r="JA64" s="199"/>
      <c r="JB64" s="200">
        <f t="shared" si="40"/>
        <v>0</v>
      </c>
      <c r="JC64" s="200">
        <f t="shared" si="41"/>
        <v>2</v>
      </c>
      <c r="JD64" s="200">
        <f t="shared" si="42"/>
        <v>2</v>
      </c>
      <c r="JE64" s="200">
        <f t="shared" si="43"/>
        <v>3</v>
      </c>
      <c r="JF64" s="200">
        <f t="shared" si="44"/>
        <v>2</v>
      </c>
      <c r="JG64" s="200">
        <f t="shared" si="45"/>
        <v>3</v>
      </c>
      <c r="JH64" s="200">
        <f t="shared" si="46"/>
        <v>2</v>
      </c>
      <c r="JI64" s="200">
        <f t="shared" si="47"/>
        <v>5</v>
      </c>
      <c r="JJ64" s="200">
        <f t="shared" si="48"/>
        <v>4</v>
      </c>
      <c r="JK64" s="200">
        <f t="shared" si="49"/>
        <v>12</v>
      </c>
      <c r="JL64" s="200">
        <f t="shared" si="50"/>
        <v>13</v>
      </c>
      <c r="JM64" s="200">
        <f t="shared" si="51"/>
        <v>12</v>
      </c>
      <c r="JN64" s="199"/>
      <c r="JO64" s="200">
        <f t="shared" si="52"/>
        <v>0</v>
      </c>
      <c r="JP64" s="202">
        <v>2.0</v>
      </c>
      <c r="JQ64" s="202">
        <v>2.0</v>
      </c>
      <c r="JR64" s="202">
        <v>3.0</v>
      </c>
      <c r="JS64" s="202">
        <v>2.0</v>
      </c>
      <c r="JT64" s="199"/>
      <c r="JU64" s="199"/>
      <c r="JV64" s="200">
        <f t="shared" ref="JV64:JX64" si="175">IA64-JI64</f>
        <v>0</v>
      </c>
      <c r="JW64" s="200">
        <f t="shared" si="175"/>
        <v>0</v>
      </c>
      <c r="JX64" s="200">
        <f t="shared" si="175"/>
        <v>-1</v>
      </c>
      <c r="JY64" s="199"/>
      <c r="JZ64" s="199"/>
      <c r="KA64" s="199"/>
      <c r="KB64" s="200">
        <f t="shared" ref="KB64:KM64" si="176">JB64-JO64</f>
        <v>0</v>
      </c>
      <c r="KC64" s="200">
        <f t="shared" si="176"/>
        <v>0</v>
      </c>
      <c r="KD64" s="200">
        <f t="shared" si="176"/>
        <v>0</v>
      </c>
      <c r="KE64" s="200">
        <f t="shared" si="176"/>
        <v>0</v>
      </c>
      <c r="KF64" s="200">
        <f t="shared" si="176"/>
        <v>0</v>
      </c>
      <c r="KG64" s="200">
        <f t="shared" si="176"/>
        <v>3</v>
      </c>
      <c r="KH64" s="200">
        <f t="shared" si="176"/>
        <v>2</v>
      </c>
      <c r="KI64" s="200">
        <f t="shared" si="176"/>
        <v>5</v>
      </c>
      <c r="KJ64" s="200">
        <f t="shared" si="176"/>
        <v>4</v>
      </c>
      <c r="KK64" s="200">
        <f t="shared" si="176"/>
        <v>13</v>
      </c>
      <c r="KL64" s="200">
        <f t="shared" si="176"/>
        <v>13</v>
      </c>
      <c r="KM64" s="200">
        <f t="shared" si="176"/>
        <v>12</v>
      </c>
      <c r="KN64" s="199"/>
      <c r="KO64" s="199"/>
      <c r="KP64" s="199"/>
      <c r="KQ64" s="199"/>
      <c r="KR64" s="199"/>
      <c r="KS64" s="199"/>
      <c r="KT64" s="199"/>
      <c r="KU64" s="199"/>
      <c r="KV64" s="199"/>
      <c r="KW64" s="199"/>
      <c r="KX64" s="199"/>
      <c r="KY64" s="199"/>
      <c r="KZ64" s="199"/>
      <c r="LA64" s="199"/>
      <c r="LB64" s="199"/>
      <c r="LC64" s="199"/>
      <c r="LD64" s="199"/>
      <c r="LE64" s="199"/>
      <c r="LF64" s="199"/>
      <c r="LG64" s="199"/>
    </row>
    <row r="65" ht="14.25" customHeight="1">
      <c r="A65" s="156">
        <v>58.0</v>
      </c>
      <c r="B65" s="157" t="s">
        <v>143</v>
      </c>
      <c r="C65" s="158">
        <v>3374080.0</v>
      </c>
      <c r="D65" s="158" t="s">
        <v>148</v>
      </c>
      <c r="E65" s="158" t="s">
        <v>149</v>
      </c>
      <c r="F65" s="159">
        <v>27.0</v>
      </c>
      <c r="G65" s="159">
        <v>1574.0</v>
      </c>
      <c r="H65" s="161">
        <v>7.0</v>
      </c>
      <c r="I65" s="161">
        <v>0.0</v>
      </c>
      <c r="J65" s="161">
        <v>0.0</v>
      </c>
      <c r="K65" s="161">
        <v>0.0</v>
      </c>
      <c r="L65" s="161">
        <v>7.0</v>
      </c>
      <c r="M65" s="161">
        <v>0.0</v>
      </c>
      <c r="N65" s="161">
        <v>0.0</v>
      </c>
      <c r="O65" s="162">
        <f t="shared" si="3"/>
        <v>7</v>
      </c>
      <c r="P65" s="203">
        <v>17.0</v>
      </c>
      <c r="Q65" s="164">
        <v>0.0</v>
      </c>
      <c r="R65" s="164">
        <v>1.0</v>
      </c>
      <c r="S65" s="164">
        <v>2.0</v>
      </c>
      <c r="T65" s="165">
        <v>14.0</v>
      </c>
      <c r="U65" s="165">
        <v>10.0</v>
      </c>
      <c r="V65" s="165">
        <v>0.0</v>
      </c>
      <c r="W65" s="166">
        <f t="shared" si="4"/>
        <v>7</v>
      </c>
      <c r="X65" s="203">
        <v>17.0</v>
      </c>
      <c r="Y65" s="165">
        <v>0.0</v>
      </c>
      <c r="Z65" s="165">
        <v>0.0</v>
      </c>
      <c r="AA65" s="165">
        <v>0.0</v>
      </c>
      <c r="AB65" s="165">
        <v>17.0</v>
      </c>
      <c r="AC65" s="165">
        <v>0.0</v>
      </c>
      <c r="AD65" s="165">
        <v>0.0</v>
      </c>
      <c r="AE65" s="166">
        <f t="shared" si="5"/>
        <v>17</v>
      </c>
      <c r="AF65" s="167">
        <v>21.0</v>
      </c>
      <c r="AG65" s="165">
        <v>3.0</v>
      </c>
      <c r="AH65" s="165">
        <v>2.0</v>
      </c>
      <c r="AI65" s="165">
        <v>1.0</v>
      </c>
      <c r="AJ65" s="165">
        <v>15.0</v>
      </c>
      <c r="AK65" s="165">
        <v>4.0</v>
      </c>
      <c r="AL65" s="165">
        <v>0.0</v>
      </c>
      <c r="AM65" s="166">
        <f t="shared" si="98"/>
        <v>17</v>
      </c>
      <c r="AN65" s="167">
        <v>16.0</v>
      </c>
      <c r="AO65" s="165">
        <v>1.0</v>
      </c>
      <c r="AP65" s="165">
        <v>0.0</v>
      </c>
      <c r="AQ65" s="165">
        <v>4.0</v>
      </c>
      <c r="AR65" s="165">
        <v>11.0</v>
      </c>
      <c r="AS65" s="165">
        <v>0.0</v>
      </c>
      <c r="AT65" s="165">
        <v>5.0</v>
      </c>
      <c r="AU65" s="168">
        <f t="shared" si="7"/>
        <v>11</v>
      </c>
      <c r="AV65" s="169">
        <v>1570.0</v>
      </c>
      <c r="AW65" s="204">
        <f t="shared" si="8"/>
        <v>17</v>
      </c>
      <c r="AX65" s="169">
        <v>0.0</v>
      </c>
      <c r="AY65" s="169">
        <v>1.0</v>
      </c>
      <c r="AZ65" s="169">
        <v>4.0</v>
      </c>
      <c r="BA65" s="169">
        <v>12.0</v>
      </c>
      <c r="BB65" s="169">
        <v>0.0</v>
      </c>
      <c r="BC65" s="169">
        <v>0.0</v>
      </c>
      <c r="BD65" s="169">
        <v>0.0</v>
      </c>
      <c r="BE65" s="169">
        <v>0.0</v>
      </c>
      <c r="BF65" s="169">
        <v>0.0</v>
      </c>
      <c r="BG65" s="169">
        <v>0.0</v>
      </c>
      <c r="BH65" s="169">
        <v>0.0</v>
      </c>
      <c r="BI65" s="169">
        <v>0.0</v>
      </c>
      <c r="BJ65" s="169">
        <v>0.0</v>
      </c>
      <c r="BK65" s="169">
        <v>0.0</v>
      </c>
      <c r="BL65" s="169">
        <v>0.0</v>
      </c>
      <c r="BM65" s="169">
        <v>0.0</v>
      </c>
      <c r="BN65" s="169">
        <v>3.0</v>
      </c>
      <c r="BO65" s="169">
        <v>0.0</v>
      </c>
      <c r="BP65" s="205">
        <f t="shared" si="131"/>
        <v>3</v>
      </c>
      <c r="BQ65" s="173">
        <v>1521.0</v>
      </c>
      <c r="BR65" s="170">
        <f t="shared" si="10"/>
        <v>11</v>
      </c>
      <c r="BS65" s="173">
        <v>0.0</v>
      </c>
      <c r="BT65" s="173">
        <v>0.0</v>
      </c>
      <c r="BU65" s="173">
        <v>4.0</v>
      </c>
      <c r="BV65" s="173">
        <v>7.0</v>
      </c>
      <c r="BW65" s="173">
        <v>0.0</v>
      </c>
      <c r="BX65" s="173">
        <v>0.0</v>
      </c>
      <c r="BY65" s="173">
        <v>0.0</v>
      </c>
      <c r="BZ65" s="173">
        <v>0.0</v>
      </c>
      <c r="CA65" s="173">
        <v>0.0</v>
      </c>
      <c r="CB65" s="173">
        <v>0.0</v>
      </c>
      <c r="CC65" s="173">
        <v>0.0</v>
      </c>
      <c r="CD65" s="173">
        <v>0.0</v>
      </c>
      <c r="CE65" s="173">
        <v>0.0</v>
      </c>
      <c r="CF65" s="173">
        <v>0.0</v>
      </c>
      <c r="CG65" s="173">
        <v>1.0</v>
      </c>
      <c r="CH65" s="173">
        <v>0.0</v>
      </c>
      <c r="CI65" s="173">
        <v>4.0</v>
      </c>
      <c r="CJ65" s="173">
        <v>0.0</v>
      </c>
      <c r="CK65" s="172">
        <f t="shared" si="132"/>
        <v>5</v>
      </c>
      <c r="CL65" s="173">
        <v>1478.0</v>
      </c>
      <c r="CM65" s="173">
        <v>275.0</v>
      </c>
      <c r="CN65" s="175">
        <f t="shared" si="12"/>
        <v>13</v>
      </c>
      <c r="CO65" s="173">
        <v>0.0</v>
      </c>
      <c r="CP65" s="173">
        <v>0.0</v>
      </c>
      <c r="CQ65" s="173">
        <v>4.0</v>
      </c>
      <c r="CR65" s="173">
        <v>7.0</v>
      </c>
      <c r="CS65" s="173">
        <v>0.0</v>
      </c>
      <c r="CT65" s="173">
        <v>0.0</v>
      </c>
      <c r="CU65" s="173">
        <v>1.0</v>
      </c>
      <c r="CV65" s="173">
        <v>1.0</v>
      </c>
      <c r="CW65" s="173">
        <v>0.0</v>
      </c>
      <c r="CX65" s="173">
        <v>0.0</v>
      </c>
      <c r="CY65" s="173">
        <v>0.0</v>
      </c>
      <c r="CZ65" s="173">
        <v>0.0</v>
      </c>
      <c r="DA65" s="173">
        <v>0.0</v>
      </c>
      <c r="DB65" s="173">
        <v>0.0</v>
      </c>
      <c r="DC65" s="173">
        <v>0.0</v>
      </c>
      <c r="DD65" s="173">
        <v>0.0</v>
      </c>
      <c r="DE65" s="173">
        <v>0.0</v>
      </c>
      <c r="DF65" s="173">
        <v>0.0</v>
      </c>
      <c r="DG65" s="176">
        <f t="shared" si="13"/>
        <v>0</v>
      </c>
      <c r="DH65" s="177">
        <v>1478.0</v>
      </c>
      <c r="DI65" s="177">
        <v>275.0</v>
      </c>
      <c r="DJ65" s="177">
        <v>1427.0</v>
      </c>
      <c r="DK65" s="177">
        <v>255.0</v>
      </c>
      <c r="DL65" s="179">
        <f t="shared" si="14"/>
        <v>13</v>
      </c>
      <c r="DM65" s="180">
        <f t="shared" si="15"/>
        <v>6</v>
      </c>
      <c r="DN65" s="180">
        <f t="shared" si="16"/>
        <v>7</v>
      </c>
      <c r="DO65" s="177">
        <v>0.0</v>
      </c>
      <c r="DP65" s="177">
        <v>0.0</v>
      </c>
      <c r="DQ65" s="177">
        <v>6.0</v>
      </c>
      <c r="DR65" s="177">
        <v>7.0</v>
      </c>
      <c r="DS65" s="177">
        <v>0.0</v>
      </c>
      <c r="DT65" s="177">
        <v>0.0</v>
      </c>
      <c r="DU65" s="177">
        <v>0.0</v>
      </c>
      <c r="DV65" s="177">
        <v>0.0</v>
      </c>
      <c r="DW65" s="177">
        <v>0.0</v>
      </c>
      <c r="DX65" s="177">
        <v>0.0</v>
      </c>
      <c r="DY65" s="177">
        <v>0.0</v>
      </c>
      <c r="DZ65" s="177">
        <v>0.0</v>
      </c>
      <c r="EA65" s="177">
        <v>0.0</v>
      </c>
      <c r="EB65" s="177">
        <v>0.0</v>
      </c>
      <c r="EC65" s="177">
        <v>0.0</v>
      </c>
      <c r="ED65" s="177">
        <v>0.0</v>
      </c>
      <c r="EE65" s="177">
        <v>0.0</v>
      </c>
      <c r="EF65" s="177">
        <v>0.0</v>
      </c>
      <c r="EG65" s="179">
        <f t="shared" si="17"/>
        <v>0</v>
      </c>
      <c r="EH65" s="179">
        <f t="shared" si="18"/>
        <v>0</v>
      </c>
      <c r="EI65" s="177">
        <v>1362.0</v>
      </c>
      <c r="EJ65" s="177">
        <v>218.0</v>
      </c>
      <c r="EK65" s="177">
        <v>1420.0</v>
      </c>
      <c r="EL65" s="177">
        <v>235.0</v>
      </c>
      <c r="EM65" s="185">
        <f t="shared" ref="EM65:EM66" si="179">SUM(EP65:EW65)</f>
        <v>10</v>
      </c>
      <c r="EN65" s="186">
        <f t="shared" si="89"/>
        <v>3</v>
      </c>
      <c r="EO65" s="186">
        <f t="shared" si="90"/>
        <v>7</v>
      </c>
      <c r="EP65" s="177">
        <v>0.0</v>
      </c>
      <c r="EQ65" s="177">
        <v>0.0</v>
      </c>
      <c r="ER65" s="177">
        <v>3.0</v>
      </c>
      <c r="ES65" s="177">
        <v>7.0</v>
      </c>
      <c r="ET65" s="177">
        <v>0.0</v>
      </c>
      <c r="EU65" s="177">
        <v>0.0</v>
      </c>
      <c r="EV65" s="177">
        <v>0.0</v>
      </c>
      <c r="EW65" s="177">
        <v>0.0</v>
      </c>
      <c r="EX65" s="177">
        <v>0.0</v>
      </c>
      <c r="EY65" s="177">
        <v>0.0</v>
      </c>
      <c r="EZ65" s="177">
        <v>1.0</v>
      </c>
      <c r="FA65" s="177">
        <v>2.0</v>
      </c>
      <c r="FB65" s="177">
        <v>0.0</v>
      </c>
      <c r="FC65" s="177">
        <v>0.0</v>
      </c>
      <c r="FD65" s="177">
        <v>0.0</v>
      </c>
      <c r="FE65" s="177">
        <v>0.0</v>
      </c>
      <c r="FF65" s="177">
        <v>0.0</v>
      </c>
      <c r="FG65" s="177">
        <v>0.0</v>
      </c>
      <c r="FH65" s="185">
        <f t="shared" si="22"/>
        <v>3</v>
      </c>
      <c r="FI65" s="185">
        <f t="shared" si="23"/>
        <v>1</v>
      </c>
      <c r="FJ65" s="177">
        <v>1409.0</v>
      </c>
      <c r="FK65" s="177">
        <v>216.0</v>
      </c>
      <c r="FL65" s="177">
        <v>1358.0</v>
      </c>
      <c r="FM65" s="177">
        <v>209.0</v>
      </c>
      <c r="FN65" s="180"/>
      <c r="FO65" s="180">
        <v>10.0</v>
      </c>
      <c r="FP65" s="243">
        <v>10.0</v>
      </c>
      <c r="FQ65" s="211">
        <v>3.0</v>
      </c>
      <c r="FR65" s="212">
        <v>7.0</v>
      </c>
      <c r="FS65" s="206">
        <v>0.0</v>
      </c>
      <c r="FT65" s="207">
        <v>0.0</v>
      </c>
      <c r="FU65" s="207">
        <v>3.0</v>
      </c>
      <c r="FV65" s="207">
        <v>7.0</v>
      </c>
      <c r="FW65" s="207">
        <v>0.0</v>
      </c>
      <c r="FX65" s="207">
        <v>0.0</v>
      </c>
      <c r="FY65" s="207">
        <v>0.0</v>
      </c>
      <c r="FZ65" s="207">
        <v>0.0</v>
      </c>
      <c r="GA65" s="207">
        <v>0.0</v>
      </c>
      <c r="GB65" s="207">
        <v>0.0</v>
      </c>
      <c r="GC65" s="207">
        <v>0.0</v>
      </c>
      <c r="GD65" s="207">
        <v>0.0</v>
      </c>
      <c r="GE65" s="207">
        <v>0.0</v>
      </c>
      <c r="GF65" s="207">
        <v>0.0</v>
      </c>
      <c r="GG65" s="207">
        <v>0.0</v>
      </c>
      <c r="GH65" s="207">
        <v>0.0</v>
      </c>
      <c r="GI65" s="207">
        <v>0.0</v>
      </c>
      <c r="GJ65" s="207">
        <v>0.0</v>
      </c>
      <c r="GK65" s="212">
        <v>0.0</v>
      </c>
      <c r="GL65" s="212">
        <v>0.0</v>
      </c>
      <c r="GM65" s="207">
        <v>1379.0</v>
      </c>
      <c r="GN65" s="207">
        <v>195.0</v>
      </c>
      <c r="GO65" s="213">
        <v>1327.0</v>
      </c>
      <c r="GP65" s="213">
        <v>194.0</v>
      </c>
      <c r="GQ65" s="207"/>
      <c r="GR65" s="213">
        <v>8.0</v>
      </c>
      <c r="GS65" s="193">
        <v>2.0</v>
      </c>
      <c r="GT65" s="194">
        <f t="shared" si="25"/>
        <v>8</v>
      </c>
      <c r="GU65" s="307">
        <f t="shared" si="26"/>
        <v>3</v>
      </c>
      <c r="GV65" s="194">
        <f t="shared" si="27"/>
        <v>5</v>
      </c>
      <c r="GW65" s="207">
        <v>0.0</v>
      </c>
      <c r="GX65" s="207">
        <v>0.0</v>
      </c>
      <c r="GY65" s="207">
        <v>3.0</v>
      </c>
      <c r="GZ65" s="207">
        <v>4.0</v>
      </c>
      <c r="HA65" s="207">
        <v>0.0</v>
      </c>
      <c r="HB65" s="207">
        <v>0.0</v>
      </c>
      <c r="HC65" s="207">
        <v>0.0</v>
      </c>
      <c r="HD65" s="207">
        <v>1.0</v>
      </c>
      <c r="HE65" s="207">
        <v>0.0</v>
      </c>
      <c r="HF65" s="207">
        <v>0.0</v>
      </c>
      <c r="HG65" s="207">
        <v>0.0</v>
      </c>
      <c r="HH65" s="207">
        <v>3.0</v>
      </c>
      <c r="HI65" s="207">
        <v>0.0</v>
      </c>
      <c r="HJ65" s="207">
        <v>0.0</v>
      </c>
      <c r="HK65" s="207">
        <v>0.0</v>
      </c>
      <c r="HL65" s="207">
        <v>0.0</v>
      </c>
      <c r="HM65" s="207">
        <v>0.0</v>
      </c>
      <c r="HN65" s="207">
        <v>0.0</v>
      </c>
      <c r="HO65" s="222">
        <v>3.0</v>
      </c>
      <c r="HP65" s="222">
        <v>0.0</v>
      </c>
      <c r="HQ65" s="214"/>
      <c r="HR65" s="197"/>
      <c r="HS65" s="197"/>
      <c r="HT65" s="198">
        <f t="shared" si="28"/>
        <v>7</v>
      </c>
      <c r="HU65" s="198">
        <f t="shared" si="29"/>
        <v>17</v>
      </c>
      <c r="HV65" s="198">
        <f t="shared" si="30"/>
        <v>17</v>
      </c>
      <c r="HW65" s="198">
        <f t="shared" si="99"/>
        <v>21</v>
      </c>
      <c r="HX65" s="198">
        <f t="shared" si="32"/>
        <v>16</v>
      </c>
      <c r="HY65" s="198">
        <f t="shared" si="33"/>
        <v>17</v>
      </c>
      <c r="HZ65" s="198">
        <f t="shared" si="34"/>
        <v>11</v>
      </c>
      <c r="IA65" s="198">
        <f t="shared" si="35"/>
        <v>13</v>
      </c>
      <c r="IB65" s="198">
        <f t="shared" si="36"/>
        <v>13</v>
      </c>
      <c r="IC65" s="198">
        <f t="shared" si="37"/>
        <v>10</v>
      </c>
      <c r="ID65" s="198">
        <f t="shared" si="38"/>
        <v>10</v>
      </c>
      <c r="IE65" s="198">
        <f t="shared" si="39"/>
        <v>8</v>
      </c>
      <c r="IF65" s="197"/>
      <c r="IG65" s="197"/>
      <c r="IH65" s="197"/>
      <c r="II65" s="197"/>
      <c r="IJ65" s="197"/>
      <c r="IK65" s="197"/>
      <c r="IL65" s="197"/>
      <c r="IM65" s="197"/>
      <c r="IN65" s="197"/>
      <c r="IO65" s="197"/>
      <c r="IP65" s="197"/>
      <c r="IQ65" s="197"/>
      <c r="IR65" s="197"/>
      <c r="IS65" s="197"/>
      <c r="IT65" s="197"/>
      <c r="IU65" s="197"/>
      <c r="IV65" s="197"/>
      <c r="IW65" s="197"/>
      <c r="IX65" s="197"/>
      <c r="IY65" s="197"/>
      <c r="IZ65" s="197"/>
      <c r="JA65" s="199"/>
      <c r="JB65" s="200">
        <f t="shared" si="40"/>
        <v>7</v>
      </c>
      <c r="JC65" s="200">
        <f t="shared" si="41"/>
        <v>17</v>
      </c>
      <c r="JD65" s="200">
        <f t="shared" si="42"/>
        <v>17</v>
      </c>
      <c r="JE65" s="200">
        <f t="shared" si="43"/>
        <v>21</v>
      </c>
      <c r="JF65" s="200">
        <f t="shared" si="44"/>
        <v>16</v>
      </c>
      <c r="JG65" s="200">
        <f t="shared" si="45"/>
        <v>17</v>
      </c>
      <c r="JH65" s="200">
        <f t="shared" si="46"/>
        <v>11</v>
      </c>
      <c r="JI65" s="200">
        <f t="shared" si="47"/>
        <v>13</v>
      </c>
      <c r="JJ65" s="200">
        <f t="shared" si="48"/>
        <v>13</v>
      </c>
      <c r="JK65" s="200">
        <f t="shared" si="49"/>
        <v>13</v>
      </c>
      <c r="JL65" s="200">
        <f t="shared" si="50"/>
        <v>10</v>
      </c>
      <c r="JM65" s="200">
        <f t="shared" si="51"/>
        <v>8</v>
      </c>
      <c r="JN65" s="199"/>
      <c r="JO65" s="200">
        <f t="shared" si="52"/>
        <v>7</v>
      </c>
      <c r="JP65" s="202">
        <v>17.0</v>
      </c>
      <c r="JQ65" s="202">
        <v>17.0</v>
      </c>
      <c r="JR65" s="202">
        <v>21.0</v>
      </c>
      <c r="JS65" s="202">
        <v>16.0</v>
      </c>
      <c r="JT65" s="199"/>
      <c r="JU65" s="199"/>
      <c r="JV65" s="200">
        <f t="shared" ref="JV65:JX65" si="177">IA65-JI65</f>
        <v>0</v>
      </c>
      <c r="JW65" s="200">
        <f t="shared" si="177"/>
        <v>0</v>
      </c>
      <c r="JX65" s="200">
        <f t="shared" si="177"/>
        <v>-3</v>
      </c>
      <c r="JY65" s="199"/>
      <c r="JZ65" s="199"/>
      <c r="KA65" s="199"/>
      <c r="KB65" s="200">
        <f t="shared" ref="KB65:KM65" si="178">JB65-JO65</f>
        <v>0</v>
      </c>
      <c r="KC65" s="200">
        <f t="shared" si="178"/>
        <v>0</v>
      </c>
      <c r="KD65" s="200">
        <f t="shared" si="178"/>
        <v>0</v>
      </c>
      <c r="KE65" s="200">
        <f t="shared" si="178"/>
        <v>0</v>
      </c>
      <c r="KF65" s="200">
        <f t="shared" si="178"/>
        <v>0</v>
      </c>
      <c r="KG65" s="200">
        <f t="shared" si="178"/>
        <v>17</v>
      </c>
      <c r="KH65" s="200">
        <f t="shared" si="178"/>
        <v>11</v>
      </c>
      <c r="KI65" s="200">
        <f t="shared" si="178"/>
        <v>13</v>
      </c>
      <c r="KJ65" s="200">
        <f t="shared" si="178"/>
        <v>13</v>
      </c>
      <c r="KK65" s="200">
        <f t="shared" si="178"/>
        <v>16</v>
      </c>
      <c r="KL65" s="200">
        <f t="shared" si="178"/>
        <v>10</v>
      </c>
      <c r="KM65" s="200">
        <f t="shared" si="178"/>
        <v>8</v>
      </c>
      <c r="KN65" s="199"/>
      <c r="KO65" s="199"/>
      <c r="KP65" s="199"/>
      <c r="KQ65" s="199"/>
      <c r="KR65" s="199"/>
      <c r="KS65" s="199"/>
      <c r="KT65" s="199"/>
      <c r="KU65" s="199"/>
      <c r="KV65" s="199"/>
      <c r="KW65" s="199"/>
      <c r="KX65" s="199"/>
      <c r="KY65" s="199"/>
      <c r="KZ65" s="199"/>
      <c r="LA65" s="199"/>
      <c r="LB65" s="199"/>
      <c r="LC65" s="199"/>
      <c r="LD65" s="199"/>
      <c r="LE65" s="199"/>
      <c r="LF65" s="199"/>
      <c r="LG65" s="199"/>
    </row>
    <row r="66" ht="14.25" customHeight="1">
      <c r="A66" s="156">
        <v>59.0</v>
      </c>
      <c r="B66" s="157" t="s">
        <v>143</v>
      </c>
      <c r="C66" s="158">
        <v>3374080.0</v>
      </c>
      <c r="D66" s="158" t="s">
        <v>148</v>
      </c>
      <c r="E66" s="158" t="s">
        <v>150</v>
      </c>
      <c r="F66" s="159">
        <v>25.0</v>
      </c>
      <c r="G66" s="159">
        <v>2071.0</v>
      </c>
      <c r="H66" s="161">
        <v>42.0</v>
      </c>
      <c r="I66" s="161">
        <v>2.0</v>
      </c>
      <c r="J66" s="161">
        <v>2.0</v>
      </c>
      <c r="K66" s="161">
        <v>8.0</v>
      </c>
      <c r="L66" s="161">
        <v>30.0</v>
      </c>
      <c r="M66" s="161">
        <v>10.0</v>
      </c>
      <c r="N66" s="161">
        <v>0.0</v>
      </c>
      <c r="O66" s="162">
        <f t="shared" si="3"/>
        <v>32</v>
      </c>
      <c r="P66" s="203">
        <v>42.0</v>
      </c>
      <c r="Q66" s="164">
        <v>2.0</v>
      </c>
      <c r="R66" s="164">
        <v>2.0</v>
      </c>
      <c r="S66" s="164">
        <v>8.0</v>
      </c>
      <c r="T66" s="165">
        <v>30.0</v>
      </c>
      <c r="U66" s="165">
        <v>32.0</v>
      </c>
      <c r="V66" s="165">
        <v>0.0</v>
      </c>
      <c r="W66" s="166">
        <f t="shared" si="4"/>
        <v>10</v>
      </c>
      <c r="X66" s="203">
        <v>9.0</v>
      </c>
      <c r="Y66" s="165">
        <v>0.0</v>
      </c>
      <c r="Z66" s="165">
        <v>0.0</v>
      </c>
      <c r="AA66" s="165">
        <v>2.0</v>
      </c>
      <c r="AB66" s="165">
        <v>7.0</v>
      </c>
      <c r="AC66" s="165">
        <v>0.0</v>
      </c>
      <c r="AD66" s="165">
        <v>31.0</v>
      </c>
      <c r="AE66" s="166">
        <f t="shared" si="5"/>
        <v>-22</v>
      </c>
      <c r="AF66" s="167">
        <v>31.0</v>
      </c>
      <c r="AG66" s="165">
        <v>0.0</v>
      </c>
      <c r="AH66" s="165">
        <v>0.0</v>
      </c>
      <c r="AI66" s="165">
        <v>6.0</v>
      </c>
      <c r="AJ66" s="165">
        <v>25.0</v>
      </c>
      <c r="AK66" s="165">
        <v>22.0</v>
      </c>
      <c r="AL66" s="165">
        <v>0.0</v>
      </c>
      <c r="AM66" s="166">
        <f t="shared" si="98"/>
        <v>9</v>
      </c>
      <c r="AN66" s="167">
        <v>27.0</v>
      </c>
      <c r="AO66" s="165">
        <v>1.0</v>
      </c>
      <c r="AP66" s="165">
        <v>5.0</v>
      </c>
      <c r="AQ66" s="165">
        <v>7.0</v>
      </c>
      <c r="AR66" s="165">
        <v>14.0</v>
      </c>
      <c r="AS66" s="165">
        <v>0.0</v>
      </c>
      <c r="AT66" s="165">
        <v>4.0</v>
      </c>
      <c r="AU66" s="168">
        <f t="shared" si="7"/>
        <v>23</v>
      </c>
      <c r="AV66" s="169">
        <v>2063.0</v>
      </c>
      <c r="AW66" s="204">
        <f t="shared" si="8"/>
        <v>27</v>
      </c>
      <c r="AX66" s="169">
        <v>0.0</v>
      </c>
      <c r="AY66" s="169">
        <v>1.0</v>
      </c>
      <c r="AZ66" s="169">
        <v>7.0</v>
      </c>
      <c r="BA66" s="169">
        <v>16.0</v>
      </c>
      <c r="BB66" s="169">
        <v>0.0</v>
      </c>
      <c r="BC66" s="169">
        <v>0.0</v>
      </c>
      <c r="BD66" s="169">
        <v>0.0</v>
      </c>
      <c r="BE66" s="169">
        <v>3.0</v>
      </c>
      <c r="BF66" s="169">
        <v>0.0</v>
      </c>
      <c r="BG66" s="169">
        <v>0.0</v>
      </c>
      <c r="BH66" s="169">
        <v>0.0</v>
      </c>
      <c r="BI66" s="169">
        <v>0.0</v>
      </c>
      <c r="BJ66" s="169">
        <v>0.0</v>
      </c>
      <c r="BK66" s="169">
        <v>0.0</v>
      </c>
      <c r="BL66" s="169">
        <v>0.0</v>
      </c>
      <c r="BM66" s="169">
        <v>0.0</v>
      </c>
      <c r="BN66" s="169">
        <v>0.0</v>
      </c>
      <c r="BO66" s="169">
        <v>0.0</v>
      </c>
      <c r="BP66" s="205">
        <f t="shared" si="131"/>
        <v>0</v>
      </c>
      <c r="BQ66" s="173">
        <v>2029.0</v>
      </c>
      <c r="BR66" s="170">
        <f t="shared" si="10"/>
        <v>18</v>
      </c>
      <c r="BS66" s="173">
        <v>0.0</v>
      </c>
      <c r="BT66" s="173">
        <v>0.0</v>
      </c>
      <c r="BU66" s="173">
        <v>6.0</v>
      </c>
      <c r="BV66" s="173">
        <v>12.0</v>
      </c>
      <c r="BW66" s="173">
        <v>0.0</v>
      </c>
      <c r="BX66" s="173">
        <v>0.0</v>
      </c>
      <c r="BY66" s="173">
        <v>0.0</v>
      </c>
      <c r="BZ66" s="173">
        <v>0.0</v>
      </c>
      <c r="CA66" s="173">
        <v>0.0</v>
      </c>
      <c r="CB66" s="173">
        <v>0.0</v>
      </c>
      <c r="CC66" s="173">
        <v>0.0</v>
      </c>
      <c r="CD66" s="173">
        <v>0.0</v>
      </c>
      <c r="CE66" s="173">
        <v>0.0</v>
      </c>
      <c r="CF66" s="173">
        <v>0.0</v>
      </c>
      <c r="CG66" s="173">
        <v>0.0</v>
      </c>
      <c r="CH66" s="173">
        <v>0.0</v>
      </c>
      <c r="CI66" s="173">
        <v>10.0</v>
      </c>
      <c r="CJ66" s="173">
        <v>0.0</v>
      </c>
      <c r="CK66" s="172">
        <f t="shared" si="132"/>
        <v>10</v>
      </c>
      <c r="CL66" s="173">
        <v>2086.0</v>
      </c>
      <c r="CM66" s="173">
        <v>508.0</v>
      </c>
      <c r="CN66" s="175">
        <f t="shared" si="12"/>
        <v>22</v>
      </c>
      <c r="CO66" s="173">
        <v>0.0</v>
      </c>
      <c r="CP66" s="173">
        <v>0.0</v>
      </c>
      <c r="CQ66" s="173">
        <v>6.0</v>
      </c>
      <c r="CR66" s="173">
        <v>12.0</v>
      </c>
      <c r="CS66" s="173">
        <v>0.0</v>
      </c>
      <c r="CT66" s="173">
        <v>0.0</v>
      </c>
      <c r="CU66" s="173">
        <v>2.0</v>
      </c>
      <c r="CV66" s="173">
        <v>2.0</v>
      </c>
      <c r="CW66" s="173">
        <v>0.0</v>
      </c>
      <c r="CX66" s="173">
        <v>0.0</v>
      </c>
      <c r="CY66" s="173">
        <v>0.0</v>
      </c>
      <c r="CZ66" s="173">
        <v>0.0</v>
      </c>
      <c r="DA66" s="173">
        <v>0.0</v>
      </c>
      <c r="DB66" s="173">
        <v>0.0</v>
      </c>
      <c r="DC66" s="173">
        <v>0.0</v>
      </c>
      <c r="DD66" s="173">
        <v>0.0</v>
      </c>
      <c r="DE66" s="173">
        <v>0.0</v>
      </c>
      <c r="DF66" s="173">
        <v>0.0</v>
      </c>
      <c r="DG66" s="176">
        <f t="shared" si="13"/>
        <v>0</v>
      </c>
      <c r="DH66" s="177">
        <v>2086.0</v>
      </c>
      <c r="DI66" s="177">
        <v>498.0</v>
      </c>
      <c r="DJ66" s="177">
        <v>1791.0</v>
      </c>
      <c r="DK66" s="177">
        <v>476.0</v>
      </c>
      <c r="DL66" s="179">
        <f t="shared" si="14"/>
        <v>22</v>
      </c>
      <c r="DM66" s="180">
        <f t="shared" si="15"/>
        <v>7</v>
      </c>
      <c r="DN66" s="180">
        <f t="shared" si="16"/>
        <v>15</v>
      </c>
      <c r="DO66" s="177">
        <v>0.0</v>
      </c>
      <c r="DP66" s="177">
        <v>0.0</v>
      </c>
      <c r="DQ66" s="177">
        <v>7.0</v>
      </c>
      <c r="DR66" s="177">
        <v>15.0</v>
      </c>
      <c r="DS66" s="177">
        <v>0.0</v>
      </c>
      <c r="DT66" s="177">
        <v>0.0</v>
      </c>
      <c r="DU66" s="177">
        <v>0.0</v>
      </c>
      <c r="DV66" s="177">
        <v>0.0</v>
      </c>
      <c r="DW66" s="177">
        <v>0.0</v>
      </c>
      <c r="DX66" s="177">
        <v>0.0</v>
      </c>
      <c r="DY66" s="177">
        <v>0.0</v>
      </c>
      <c r="DZ66" s="177">
        <v>0.0</v>
      </c>
      <c r="EA66" s="177">
        <v>0.0</v>
      </c>
      <c r="EB66" s="177">
        <v>0.0</v>
      </c>
      <c r="EC66" s="177">
        <v>0.0</v>
      </c>
      <c r="ED66" s="177">
        <v>0.0</v>
      </c>
      <c r="EE66" s="177">
        <v>0.0</v>
      </c>
      <c r="EF66" s="177">
        <v>0.0</v>
      </c>
      <c r="EG66" s="179">
        <f t="shared" si="17"/>
        <v>0</v>
      </c>
      <c r="EH66" s="179">
        <f t="shared" si="18"/>
        <v>0</v>
      </c>
      <c r="EI66" s="177">
        <v>1898.0</v>
      </c>
      <c r="EJ66" s="177">
        <v>498.0</v>
      </c>
      <c r="EK66" s="177">
        <v>1674.0</v>
      </c>
      <c r="EL66" s="177">
        <v>428.0</v>
      </c>
      <c r="EM66" s="185">
        <f t="shared" si="179"/>
        <v>23</v>
      </c>
      <c r="EN66" s="186">
        <f t="shared" si="89"/>
        <v>8</v>
      </c>
      <c r="EO66" s="186">
        <f t="shared" si="90"/>
        <v>15</v>
      </c>
      <c r="EP66" s="177">
        <v>0.0</v>
      </c>
      <c r="EQ66" s="177">
        <v>1.0</v>
      </c>
      <c r="ER66" s="177">
        <v>6.0</v>
      </c>
      <c r="ES66" s="177">
        <v>15.0</v>
      </c>
      <c r="ET66" s="177">
        <v>0.0</v>
      </c>
      <c r="EU66" s="177">
        <v>0.0</v>
      </c>
      <c r="EV66" s="177">
        <v>1.0</v>
      </c>
      <c r="EW66" s="177">
        <v>0.0</v>
      </c>
      <c r="EX66" s="177">
        <v>0.0</v>
      </c>
      <c r="EY66" s="177">
        <v>0.0</v>
      </c>
      <c r="EZ66" s="177">
        <v>0.0</v>
      </c>
      <c r="FA66" s="177">
        <v>0.0</v>
      </c>
      <c r="FB66" s="177">
        <v>0.0</v>
      </c>
      <c r="FC66" s="177">
        <v>0.0</v>
      </c>
      <c r="FD66" s="177">
        <v>0.0</v>
      </c>
      <c r="FE66" s="177">
        <v>0.0</v>
      </c>
      <c r="FF66" s="177">
        <v>0.0</v>
      </c>
      <c r="FG66" s="177">
        <v>0.0</v>
      </c>
      <c r="FH66" s="185">
        <f t="shared" si="22"/>
        <v>0</v>
      </c>
      <c r="FI66" s="185">
        <f t="shared" si="23"/>
        <v>0</v>
      </c>
      <c r="FJ66" s="177">
        <v>1859.0</v>
      </c>
      <c r="FK66" s="177">
        <v>497.0</v>
      </c>
      <c r="FL66" s="177">
        <v>1847.0</v>
      </c>
      <c r="FM66" s="177">
        <v>495.0</v>
      </c>
      <c r="FN66" s="180"/>
      <c r="FO66" s="180">
        <v>21.0</v>
      </c>
      <c r="FP66" s="188">
        <f>SUM(FS66:FZ66)</f>
        <v>21</v>
      </c>
      <c r="FQ66" s="211">
        <v>7.0</v>
      </c>
      <c r="FR66" s="212">
        <v>14.0</v>
      </c>
      <c r="FS66" s="206">
        <v>0.0</v>
      </c>
      <c r="FT66" s="207">
        <v>0.0</v>
      </c>
      <c r="FU66" s="207">
        <v>6.0</v>
      </c>
      <c r="FV66" s="207">
        <v>14.0</v>
      </c>
      <c r="FW66" s="207">
        <v>0.0</v>
      </c>
      <c r="FX66" s="207">
        <v>0.0</v>
      </c>
      <c r="FY66" s="207">
        <v>1.0</v>
      </c>
      <c r="FZ66" s="207">
        <v>0.0</v>
      </c>
      <c r="GA66" s="207">
        <v>0.0</v>
      </c>
      <c r="GB66" s="207">
        <v>0.0</v>
      </c>
      <c r="GC66" s="207">
        <v>1.0</v>
      </c>
      <c r="GD66" s="207">
        <v>2.0</v>
      </c>
      <c r="GE66" s="207">
        <v>0.0</v>
      </c>
      <c r="GF66" s="207">
        <v>0.0</v>
      </c>
      <c r="GG66" s="207">
        <v>0.0</v>
      </c>
      <c r="GH66" s="207">
        <v>0.0</v>
      </c>
      <c r="GI66" s="207">
        <v>0.0</v>
      </c>
      <c r="GJ66" s="207">
        <v>0.0</v>
      </c>
      <c r="GK66" s="212">
        <v>3.0</v>
      </c>
      <c r="GL66" s="212">
        <v>1.0</v>
      </c>
      <c r="GM66" s="207">
        <v>1836.0</v>
      </c>
      <c r="GN66" s="207">
        <v>403.0</v>
      </c>
      <c r="GO66" s="213">
        <v>1757.0</v>
      </c>
      <c r="GP66" s="213">
        <v>403.0</v>
      </c>
      <c r="GQ66" s="207"/>
      <c r="GR66" s="213">
        <v>20.0</v>
      </c>
      <c r="GS66" s="193">
        <v>8.0</v>
      </c>
      <c r="GT66" s="194">
        <f t="shared" si="25"/>
        <v>20</v>
      </c>
      <c r="GU66" s="307">
        <f t="shared" si="26"/>
        <v>7</v>
      </c>
      <c r="GV66" s="194">
        <f t="shared" si="27"/>
        <v>13</v>
      </c>
      <c r="GW66" s="207">
        <v>0.0</v>
      </c>
      <c r="GX66" s="207">
        <v>1.0</v>
      </c>
      <c r="GY66" s="207">
        <v>6.0</v>
      </c>
      <c r="GZ66" s="207">
        <v>13.0</v>
      </c>
      <c r="HA66" s="207">
        <v>0.0</v>
      </c>
      <c r="HB66" s="207">
        <v>0.0</v>
      </c>
      <c r="HC66" s="207">
        <v>0.0</v>
      </c>
      <c r="HD66" s="207">
        <v>0.0</v>
      </c>
      <c r="HE66" s="207">
        <v>0.0</v>
      </c>
      <c r="HF66" s="207">
        <v>0.0</v>
      </c>
      <c r="HG66" s="207">
        <v>0.0</v>
      </c>
      <c r="HH66" s="207">
        <v>1.0</v>
      </c>
      <c r="HI66" s="207">
        <v>0.0</v>
      </c>
      <c r="HJ66" s="207">
        <v>0.0</v>
      </c>
      <c r="HK66" s="207">
        <v>0.0</v>
      </c>
      <c r="HL66" s="207">
        <v>0.0</v>
      </c>
      <c r="HM66" s="207">
        <v>0.0</v>
      </c>
      <c r="HN66" s="207">
        <v>0.0</v>
      </c>
      <c r="HO66" s="222">
        <v>1.0</v>
      </c>
      <c r="HP66" s="222">
        <v>0.0</v>
      </c>
      <c r="HQ66" s="214"/>
      <c r="HR66" s="197"/>
      <c r="HS66" s="197"/>
      <c r="HT66" s="198">
        <f t="shared" si="28"/>
        <v>42</v>
      </c>
      <c r="HU66" s="198">
        <f t="shared" si="29"/>
        <v>42</v>
      </c>
      <c r="HV66" s="198">
        <f t="shared" si="30"/>
        <v>9</v>
      </c>
      <c r="HW66" s="198">
        <f t="shared" si="99"/>
        <v>31</v>
      </c>
      <c r="HX66" s="198">
        <f t="shared" si="32"/>
        <v>27</v>
      </c>
      <c r="HY66" s="198">
        <f t="shared" si="33"/>
        <v>27</v>
      </c>
      <c r="HZ66" s="198">
        <f t="shared" si="34"/>
        <v>18</v>
      </c>
      <c r="IA66" s="198">
        <f t="shared" si="35"/>
        <v>22</v>
      </c>
      <c r="IB66" s="198">
        <f t="shared" si="36"/>
        <v>22</v>
      </c>
      <c r="IC66" s="198">
        <f t="shared" si="37"/>
        <v>23</v>
      </c>
      <c r="ID66" s="198">
        <f t="shared" si="38"/>
        <v>21</v>
      </c>
      <c r="IE66" s="198">
        <f t="shared" si="39"/>
        <v>20</v>
      </c>
      <c r="IF66" s="197"/>
      <c r="IG66" s="197"/>
      <c r="IH66" s="197"/>
      <c r="II66" s="197"/>
      <c r="IJ66" s="197"/>
      <c r="IK66" s="197"/>
      <c r="IL66" s="197"/>
      <c r="IM66" s="197"/>
      <c r="IN66" s="197"/>
      <c r="IO66" s="197"/>
      <c r="IP66" s="197"/>
      <c r="IQ66" s="197"/>
      <c r="IR66" s="197"/>
      <c r="IS66" s="197"/>
      <c r="IT66" s="197"/>
      <c r="IU66" s="197"/>
      <c r="IV66" s="197"/>
      <c r="IW66" s="197"/>
      <c r="IX66" s="197"/>
      <c r="IY66" s="197"/>
      <c r="IZ66" s="197"/>
      <c r="JA66" s="199"/>
      <c r="JB66" s="200">
        <f t="shared" si="40"/>
        <v>42</v>
      </c>
      <c r="JC66" s="200">
        <f t="shared" si="41"/>
        <v>42</v>
      </c>
      <c r="JD66" s="200">
        <f t="shared" si="42"/>
        <v>9</v>
      </c>
      <c r="JE66" s="200">
        <f t="shared" si="43"/>
        <v>31</v>
      </c>
      <c r="JF66" s="200">
        <f t="shared" si="44"/>
        <v>27</v>
      </c>
      <c r="JG66" s="200">
        <f t="shared" si="45"/>
        <v>27</v>
      </c>
      <c r="JH66" s="200">
        <f t="shared" si="46"/>
        <v>18</v>
      </c>
      <c r="JI66" s="200">
        <f t="shared" si="47"/>
        <v>22</v>
      </c>
      <c r="JJ66" s="200">
        <f t="shared" si="48"/>
        <v>22</v>
      </c>
      <c r="JK66" s="200">
        <f t="shared" si="49"/>
        <v>23</v>
      </c>
      <c r="JL66" s="200">
        <f t="shared" si="50"/>
        <v>21</v>
      </c>
      <c r="JM66" s="200">
        <f t="shared" si="51"/>
        <v>20</v>
      </c>
      <c r="JN66" s="199"/>
      <c r="JO66" s="200">
        <f t="shared" si="52"/>
        <v>42</v>
      </c>
      <c r="JP66" s="202">
        <v>42.0</v>
      </c>
      <c r="JQ66" s="202">
        <v>9.0</v>
      </c>
      <c r="JR66" s="202">
        <v>31.0</v>
      </c>
      <c r="JS66" s="202">
        <v>27.0</v>
      </c>
      <c r="JT66" s="199"/>
      <c r="JU66" s="199"/>
      <c r="JV66" s="200">
        <f t="shared" ref="JV66:JX66" si="180">IA66-JI66</f>
        <v>0</v>
      </c>
      <c r="JW66" s="200">
        <f t="shared" si="180"/>
        <v>0</v>
      </c>
      <c r="JX66" s="200">
        <f t="shared" si="180"/>
        <v>0</v>
      </c>
      <c r="JY66" s="199"/>
      <c r="JZ66" s="199"/>
      <c r="KA66" s="199"/>
      <c r="KB66" s="200">
        <f t="shared" ref="KB66:KM66" si="181">JB66-JO66</f>
        <v>0</v>
      </c>
      <c r="KC66" s="200">
        <f t="shared" si="181"/>
        <v>0</v>
      </c>
      <c r="KD66" s="200">
        <f t="shared" si="181"/>
        <v>0</v>
      </c>
      <c r="KE66" s="200">
        <f t="shared" si="181"/>
        <v>0</v>
      </c>
      <c r="KF66" s="200">
        <f t="shared" si="181"/>
        <v>0</v>
      </c>
      <c r="KG66" s="200">
        <f t="shared" si="181"/>
        <v>27</v>
      </c>
      <c r="KH66" s="200">
        <f t="shared" si="181"/>
        <v>18</v>
      </c>
      <c r="KI66" s="200">
        <f t="shared" si="181"/>
        <v>22</v>
      </c>
      <c r="KJ66" s="200">
        <f t="shared" si="181"/>
        <v>22</v>
      </c>
      <c r="KK66" s="200">
        <f t="shared" si="181"/>
        <v>23</v>
      </c>
      <c r="KL66" s="200">
        <f t="shared" si="181"/>
        <v>21</v>
      </c>
      <c r="KM66" s="200">
        <f t="shared" si="181"/>
        <v>20</v>
      </c>
      <c r="KN66" s="199"/>
      <c r="KO66" s="199"/>
      <c r="KP66" s="199"/>
      <c r="KQ66" s="199"/>
      <c r="KR66" s="199"/>
      <c r="KS66" s="199"/>
      <c r="KT66" s="199"/>
      <c r="KU66" s="199"/>
      <c r="KV66" s="199"/>
      <c r="KW66" s="199"/>
      <c r="KX66" s="199"/>
      <c r="KY66" s="199"/>
      <c r="KZ66" s="199"/>
      <c r="LA66" s="199"/>
      <c r="LB66" s="199"/>
      <c r="LC66" s="199"/>
      <c r="LD66" s="199"/>
      <c r="LE66" s="199"/>
      <c r="LF66" s="199"/>
      <c r="LG66" s="199"/>
    </row>
    <row r="67" ht="14.25" customHeight="1">
      <c r="A67" s="156">
        <v>60.0</v>
      </c>
      <c r="B67" s="157" t="s">
        <v>143</v>
      </c>
      <c r="C67" s="158">
        <v>3374080.0</v>
      </c>
      <c r="D67" s="158" t="s">
        <v>144</v>
      </c>
      <c r="E67" s="158" t="s">
        <v>151</v>
      </c>
      <c r="F67" s="159">
        <v>16.0</v>
      </c>
      <c r="G67" s="159">
        <v>783.0</v>
      </c>
      <c r="H67" s="161">
        <v>0.0</v>
      </c>
      <c r="I67" s="161">
        <v>0.0</v>
      </c>
      <c r="J67" s="161">
        <v>0.0</v>
      </c>
      <c r="K67" s="161">
        <v>0.0</v>
      </c>
      <c r="L67" s="161">
        <v>0.0</v>
      </c>
      <c r="M67" s="161">
        <v>0.0</v>
      </c>
      <c r="N67" s="161">
        <v>0.0</v>
      </c>
      <c r="O67" s="162">
        <f t="shared" si="3"/>
        <v>0</v>
      </c>
      <c r="P67" s="203">
        <v>0.0</v>
      </c>
      <c r="Q67" s="164">
        <v>0.0</v>
      </c>
      <c r="R67" s="164">
        <v>0.0</v>
      </c>
      <c r="S67" s="164">
        <v>0.0</v>
      </c>
      <c r="T67" s="165">
        <v>0.0</v>
      </c>
      <c r="U67" s="165">
        <v>0.0</v>
      </c>
      <c r="V67" s="165">
        <v>0.0</v>
      </c>
      <c r="W67" s="166">
        <f t="shared" si="4"/>
        <v>0</v>
      </c>
      <c r="X67" s="203">
        <v>0.0</v>
      </c>
      <c r="Y67" s="165">
        <v>0.0</v>
      </c>
      <c r="Z67" s="165">
        <v>0.0</v>
      </c>
      <c r="AA67" s="165">
        <v>0.0</v>
      </c>
      <c r="AB67" s="165">
        <v>0.0</v>
      </c>
      <c r="AC67" s="165">
        <v>0.0</v>
      </c>
      <c r="AD67" s="165">
        <v>0.0</v>
      </c>
      <c r="AE67" s="166">
        <f t="shared" si="5"/>
        <v>0</v>
      </c>
      <c r="AF67" s="167">
        <v>1.0</v>
      </c>
      <c r="AG67" s="165">
        <v>1.0</v>
      </c>
      <c r="AH67" s="165">
        <v>0.0</v>
      </c>
      <c r="AI67" s="165">
        <v>0.0</v>
      </c>
      <c r="AJ67" s="165">
        <v>0.0</v>
      </c>
      <c r="AK67" s="165">
        <v>1.0</v>
      </c>
      <c r="AL67" s="165">
        <v>0.0</v>
      </c>
      <c r="AM67" s="166">
        <f t="shared" si="98"/>
        <v>0</v>
      </c>
      <c r="AN67" s="167">
        <v>0.0</v>
      </c>
      <c r="AO67" s="165">
        <v>0.0</v>
      </c>
      <c r="AP67" s="165">
        <v>0.0</v>
      </c>
      <c r="AQ67" s="165">
        <v>0.0</v>
      </c>
      <c r="AR67" s="165">
        <v>0.0</v>
      </c>
      <c r="AS67" s="165">
        <v>0.0</v>
      </c>
      <c r="AT67" s="165">
        <v>0.0</v>
      </c>
      <c r="AU67" s="168">
        <f t="shared" si="7"/>
        <v>0</v>
      </c>
      <c r="AV67" s="169">
        <v>639.0</v>
      </c>
      <c r="AW67" s="204">
        <f t="shared" si="8"/>
        <v>2</v>
      </c>
      <c r="AX67" s="169">
        <v>0.0</v>
      </c>
      <c r="AY67" s="169">
        <v>0.0</v>
      </c>
      <c r="AZ67" s="169">
        <v>0.0</v>
      </c>
      <c r="BA67" s="169">
        <v>0.0</v>
      </c>
      <c r="BB67" s="169">
        <v>0.0</v>
      </c>
      <c r="BC67" s="169">
        <v>0.0</v>
      </c>
      <c r="BD67" s="169">
        <v>1.0</v>
      </c>
      <c r="BE67" s="169">
        <v>1.0</v>
      </c>
      <c r="BF67" s="169">
        <v>0.0</v>
      </c>
      <c r="BG67" s="169">
        <v>0.0</v>
      </c>
      <c r="BH67" s="169">
        <v>0.0</v>
      </c>
      <c r="BI67" s="169">
        <v>0.0</v>
      </c>
      <c r="BJ67" s="169">
        <v>0.0</v>
      </c>
      <c r="BK67" s="169">
        <v>0.0</v>
      </c>
      <c r="BL67" s="169">
        <v>0.0</v>
      </c>
      <c r="BM67" s="169">
        <v>0.0</v>
      </c>
      <c r="BN67" s="169">
        <v>0.0</v>
      </c>
      <c r="BO67" s="169">
        <v>0.0</v>
      </c>
      <c r="BP67" s="205">
        <f t="shared" si="131"/>
        <v>0</v>
      </c>
      <c r="BQ67" s="173">
        <v>657.0</v>
      </c>
      <c r="BR67" s="170">
        <f t="shared" si="10"/>
        <v>2</v>
      </c>
      <c r="BS67" s="173">
        <v>0.0</v>
      </c>
      <c r="BT67" s="173">
        <v>0.0</v>
      </c>
      <c r="BU67" s="173">
        <v>0.0</v>
      </c>
      <c r="BV67" s="173">
        <v>0.0</v>
      </c>
      <c r="BW67" s="173">
        <v>0.0</v>
      </c>
      <c r="BX67" s="173">
        <v>0.0</v>
      </c>
      <c r="BY67" s="173">
        <v>0.0</v>
      </c>
      <c r="BZ67" s="173">
        <v>2.0</v>
      </c>
      <c r="CA67" s="173">
        <v>0.0</v>
      </c>
      <c r="CB67" s="173">
        <v>0.0</v>
      </c>
      <c r="CC67" s="173">
        <v>1.0</v>
      </c>
      <c r="CD67" s="173">
        <v>0.0</v>
      </c>
      <c r="CE67" s="173">
        <v>0.0</v>
      </c>
      <c r="CF67" s="173">
        <v>0.0</v>
      </c>
      <c r="CG67" s="173">
        <v>0.0</v>
      </c>
      <c r="CH67" s="173">
        <v>0.0</v>
      </c>
      <c r="CI67" s="173">
        <v>0.0</v>
      </c>
      <c r="CJ67" s="173">
        <v>0.0</v>
      </c>
      <c r="CK67" s="172">
        <f t="shared" si="132"/>
        <v>1</v>
      </c>
      <c r="CL67" s="173">
        <v>623.0</v>
      </c>
      <c r="CM67" s="173">
        <v>364.0</v>
      </c>
      <c r="CN67" s="175">
        <f t="shared" si="12"/>
        <v>12</v>
      </c>
      <c r="CO67" s="173">
        <v>0.0</v>
      </c>
      <c r="CP67" s="173">
        <v>0.0</v>
      </c>
      <c r="CQ67" s="173">
        <v>0.0</v>
      </c>
      <c r="CR67" s="173">
        <v>2.0</v>
      </c>
      <c r="CS67" s="173">
        <v>0.0</v>
      </c>
      <c r="CT67" s="173">
        <v>0.0</v>
      </c>
      <c r="CU67" s="173">
        <v>1.0</v>
      </c>
      <c r="CV67" s="173">
        <v>9.0</v>
      </c>
      <c r="CW67" s="173">
        <v>0.0</v>
      </c>
      <c r="CX67" s="173">
        <v>0.0</v>
      </c>
      <c r="CY67" s="173">
        <v>0.0</v>
      </c>
      <c r="CZ67" s="173">
        <v>0.0</v>
      </c>
      <c r="DA67" s="173">
        <v>0.0</v>
      </c>
      <c r="DB67" s="173">
        <v>0.0</v>
      </c>
      <c r="DC67" s="173">
        <v>0.0</v>
      </c>
      <c r="DD67" s="173">
        <v>0.0</v>
      </c>
      <c r="DE67" s="173">
        <v>0.0</v>
      </c>
      <c r="DF67" s="173">
        <v>0.0</v>
      </c>
      <c r="DG67" s="176">
        <f t="shared" si="13"/>
        <v>0</v>
      </c>
      <c r="DH67" s="177">
        <v>538.0</v>
      </c>
      <c r="DI67" s="177">
        <v>38.0</v>
      </c>
      <c r="DJ67" s="177">
        <v>538.0</v>
      </c>
      <c r="DK67" s="177">
        <v>38.0</v>
      </c>
      <c r="DL67" s="179">
        <f t="shared" si="14"/>
        <v>12</v>
      </c>
      <c r="DM67" s="180">
        <f t="shared" si="15"/>
        <v>2</v>
      </c>
      <c r="DN67" s="180">
        <f t="shared" si="16"/>
        <v>10</v>
      </c>
      <c r="DO67" s="177">
        <v>0.0</v>
      </c>
      <c r="DP67" s="177">
        <v>0.0</v>
      </c>
      <c r="DQ67" s="177">
        <v>1.0</v>
      </c>
      <c r="DR67" s="177">
        <v>10.0</v>
      </c>
      <c r="DS67" s="177">
        <v>0.0</v>
      </c>
      <c r="DT67" s="177">
        <v>1.0</v>
      </c>
      <c r="DU67" s="177">
        <v>0.0</v>
      </c>
      <c r="DV67" s="177">
        <v>0.0</v>
      </c>
      <c r="DW67" s="177">
        <v>0.0</v>
      </c>
      <c r="DX67" s="177">
        <v>0.0</v>
      </c>
      <c r="DY67" s="177">
        <v>0.0</v>
      </c>
      <c r="DZ67" s="177">
        <v>1.0</v>
      </c>
      <c r="EA67" s="226"/>
      <c r="EB67" s="226"/>
      <c r="EC67" s="226"/>
      <c r="ED67" s="226"/>
      <c r="EE67" s="226"/>
      <c r="EF67" s="226"/>
      <c r="EG67" s="179">
        <f t="shared" si="17"/>
        <v>1</v>
      </c>
      <c r="EH67" s="179">
        <f t="shared" si="18"/>
        <v>0</v>
      </c>
      <c r="EI67" s="177">
        <v>517.0</v>
      </c>
      <c r="EJ67" s="177">
        <v>24.0</v>
      </c>
      <c r="EK67" s="177">
        <v>517.0</v>
      </c>
      <c r="EL67" s="177">
        <v>24.0</v>
      </c>
      <c r="EM67" s="186">
        <v>16.0</v>
      </c>
      <c r="EN67" s="186">
        <f t="shared" si="89"/>
        <v>1</v>
      </c>
      <c r="EO67" s="186">
        <f t="shared" si="90"/>
        <v>15</v>
      </c>
      <c r="EP67" s="177">
        <v>0.0</v>
      </c>
      <c r="EQ67" s="177">
        <v>1.0</v>
      </c>
      <c r="ER67" s="177">
        <v>0.0</v>
      </c>
      <c r="ES67" s="177">
        <v>10.0</v>
      </c>
      <c r="ET67" s="177">
        <v>0.0</v>
      </c>
      <c r="EU67" s="177">
        <v>0.0</v>
      </c>
      <c r="EV67" s="177">
        <v>0.0</v>
      </c>
      <c r="EW67" s="177">
        <v>5.0</v>
      </c>
      <c r="EX67" s="177">
        <v>0.0</v>
      </c>
      <c r="EY67" s="177">
        <v>0.0</v>
      </c>
      <c r="EZ67" s="177">
        <v>1.0</v>
      </c>
      <c r="FA67" s="177">
        <v>0.0</v>
      </c>
      <c r="FB67" s="177">
        <v>0.0</v>
      </c>
      <c r="FC67" s="177">
        <v>0.0</v>
      </c>
      <c r="FD67" s="177">
        <v>0.0</v>
      </c>
      <c r="FE67" s="177">
        <v>0.0</v>
      </c>
      <c r="FF67" s="177">
        <v>0.0</v>
      </c>
      <c r="FG67" s="177">
        <v>0.0</v>
      </c>
      <c r="FH67" s="185">
        <f t="shared" si="22"/>
        <v>1</v>
      </c>
      <c r="FI67" s="185">
        <f t="shared" si="23"/>
        <v>1</v>
      </c>
      <c r="FJ67" s="177">
        <v>491.0</v>
      </c>
      <c r="FK67" s="177">
        <v>23.0</v>
      </c>
      <c r="FL67" s="177">
        <v>491.0</v>
      </c>
      <c r="FM67" s="306">
        <v>23.0</v>
      </c>
      <c r="FN67" s="210"/>
      <c r="FO67" s="210">
        <v>18.0</v>
      </c>
      <c r="FP67" s="243">
        <v>18.0</v>
      </c>
      <c r="FQ67" s="211">
        <v>1.0</v>
      </c>
      <c r="FR67" s="212">
        <v>17.0</v>
      </c>
      <c r="FS67" s="206">
        <v>0.0</v>
      </c>
      <c r="FT67" s="207">
        <v>1.0</v>
      </c>
      <c r="FU67" s="207">
        <v>0.0</v>
      </c>
      <c r="FV67" s="207">
        <v>14.0</v>
      </c>
      <c r="FW67" s="207">
        <v>0.0</v>
      </c>
      <c r="FX67" s="207">
        <v>0.0</v>
      </c>
      <c r="FY67" s="207">
        <v>0.0</v>
      </c>
      <c r="FZ67" s="207">
        <v>3.0</v>
      </c>
      <c r="GA67" s="207">
        <v>0.0</v>
      </c>
      <c r="GB67" s="207">
        <v>0.0</v>
      </c>
      <c r="GC67" s="207">
        <v>1.0</v>
      </c>
      <c r="GD67" s="207">
        <v>0.0</v>
      </c>
      <c r="GE67" s="207">
        <v>0.0</v>
      </c>
      <c r="GF67" s="207">
        <v>0.0</v>
      </c>
      <c r="GG67" s="207">
        <v>0.0</v>
      </c>
      <c r="GH67" s="207">
        <v>0.0</v>
      </c>
      <c r="GI67" s="207">
        <v>0.0</v>
      </c>
      <c r="GJ67" s="207">
        <v>0.0</v>
      </c>
      <c r="GK67" s="212">
        <v>1.0</v>
      </c>
      <c r="GL67" s="212">
        <v>1.0</v>
      </c>
      <c r="GM67" s="207">
        <v>471.0</v>
      </c>
      <c r="GN67" s="207">
        <v>19.0</v>
      </c>
      <c r="GO67" s="213">
        <v>471.0</v>
      </c>
      <c r="GP67" s="213">
        <v>19.0</v>
      </c>
      <c r="GQ67" s="207"/>
      <c r="GR67" s="213">
        <v>15.0</v>
      </c>
      <c r="GS67" s="193">
        <v>1.0</v>
      </c>
      <c r="GT67" s="194">
        <f t="shared" si="25"/>
        <v>15</v>
      </c>
      <c r="GU67" s="194">
        <f t="shared" si="26"/>
        <v>1</v>
      </c>
      <c r="GV67" s="194">
        <f t="shared" si="27"/>
        <v>14</v>
      </c>
      <c r="GW67" s="207">
        <v>0.0</v>
      </c>
      <c r="GX67" s="207">
        <v>0.0</v>
      </c>
      <c r="GY67" s="207">
        <v>0.0</v>
      </c>
      <c r="GZ67" s="207">
        <v>14.0</v>
      </c>
      <c r="HA67" s="207">
        <v>0.0</v>
      </c>
      <c r="HB67" s="207">
        <v>0.0</v>
      </c>
      <c r="HC67" s="207">
        <v>1.0</v>
      </c>
      <c r="HD67" s="207">
        <v>0.0</v>
      </c>
      <c r="HE67" s="207">
        <v>0.0</v>
      </c>
      <c r="HF67" s="207">
        <v>1.0</v>
      </c>
      <c r="HG67" s="207">
        <v>0.0</v>
      </c>
      <c r="HH67" s="207">
        <v>3.0</v>
      </c>
      <c r="HI67" s="207">
        <v>0.0</v>
      </c>
      <c r="HJ67" s="207">
        <v>0.0</v>
      </c>
      <c r="HK67" s="207">
        <v>0.0</v>
      </c>
      <c r="HL67" s="207">
        <v>0.0</v>
      </c>
      <c r="HM67" s="207">
        <v>0.0</v>
      </c>
      <c r="HN67" s="207">
        <v>0.0</v>
      </c>
      <c r="HO67" s="222">
        <v>3.0</v>
      </c>
      <c r="HP67" s="222">
        <v>1.0</v>
      </c>
      <c r="HQ67" s="214"/>
      <c r="HR67" s="197"/>
      <c r="HS67" s="197"/>
      <c r="HT67" s="198">
        <f t="shared" si="28"/>
        <v>0</v>
      </c>
      <c r="HU67" s="198">
        <f t="shared" si="29"/>
        <v>0</v>
      </c>
      <c r="HV67" s="198">
        <f t="shared" si="30"/>
        <v>0</v>
      </c>
      <c r="HW67" s="198">
        <f t="shared" si="99"/>
        <v>1</v>
      </c>
      <c r="HX67" s="198">
        <f t="shared" si="32"/>
        <v>0</v>
      </c>
      <c r="HY67" s="198">
        <f t="shared" si="33"/>
        <v>2</v>
      </c>
      <c r="HZ67" s="198">
        <f t="shared" si="34"/>
        <v>2</v>
      </c>
      <c r="IA67" s="198">
        <f t="shared" si="35"/>
        <v>12</v>
      </c>
      <c r="IB67" s="198">
        <f t="shared" si="36"/>
        <v>12</v>
      </c>
      <c r="IC67" s="198">
        <f t="shared" si="37"/>
        <v>16</v>
      </c>
      <c r="ID67" s="198">
        <f t="shared" si="38"/>
        <v>18</v>
      </c>
      <c r="IE67" s="198">
        <f t="shared" si="39"/>
        <v>15</v>
      </c>
      <c r="IF67" s="197"/>
      <c r="IG67" s="197"/>
      <c r="IH67" s="197"/>
      <c r="II67" s="197"/>
      <c r="IJ67" s="197"/>
      <c r="IK67" s="197"/>
      <c r="IL67" s="197"/>
      <c r="IM67" s="197"/>
      <c r="IN67" s="197"/>
      <c r="IO67" s="197"/>
      <c r="IP67" s="197"/>
      <c r="IQ67" s="197"/>
      <c r="IR67" s="197"/>
      <c r="IS67" s="197"/>
      <c r="IT67" s="197"/>
      <c r="IU67" s="197"/>
      <c r="IV67" s="197"/>
      <c r="IW67" s="197"/>
      <c r="IX67" s="197"/>
      <c r="IY67" s="197"/>
      <c r="IZ67" s="197"/>
      <c r="JA67" s="199"/>
      <c r="JB67" s="200">
        <f t="shared" si="40"/>
        <v>0</v>
      </c>
      <c r="JC67" s="200">
        <f t="shared" si="41"/>
        <v>0</v>
      </c>
      <c r="JD67" s="200">
        <f t="shared" si="42"/>
        <v>0</v>
      </c>
      <c r="JE67" s="200">
        <f t="shared" si="43"/>
        <v>1</v>
      </c>
      <c r="JF67" s="200">
        <f t="shared" si="44"/>
        <v>0</v>
      </c>
      <c r="JG67" s="200">
        <f t="shared" si="45"/>
        <v>2</v>
      </c>
      <c r="JH67" s="200">
        <f t="shared" si="46"/>
        <v>2</v>
      </c>
      <c r="JI67" s="200">
        <f t="shared" si="47"/>
        <v>12</v>
      </c>
      <c r="JJ67" s="200">
        <f t="shared" si="48"/>
        <v>12</v>
      </c>
      <c r="JK67" s="200">
        <f t="shared" si="49"/>
        <v>17</v>
      </c>
      <c r="JL67" s="200">
        <f t="shared" si="50"/>
        <v>18</v>
      </c>
      <c r="JM67" s="200">
        <f t="shared" si="51"/>
        <v>15</v>
      </c>
      <c r="JN67" s="199"/>
      <c r="JO67" s="200">
        <f t="shared" si="52"/>
        <v>0</v>
      </c>
      <c r="JP67" s="202">
        <v>0.0</v>
      </c>
      <c r="JQ67" s="202">
        <v>0.0</v>
      </c>
      <c r="JR67" s="202">
        <v>1.0</v>
      </c>
      <c r="JS67" s="202">
        <v>0.0</v>
      </c>
      <c r="JT67" s="199"/>
      <c r="JU67" s="199"/>
      <c r="JV67" s="200">
        <f t="shared" ref="JV67:JX67" si="182">IA67-JI67</f>
        <v>0</v>
      </c>
      <c r="JW67" s="200">
        <f t="shared" si="182"/>
        <v>0</v>
      </c>
      <c r="JX67" s="200">
        <f t="shared" si="182"/>
        <v>-1</v>
      </c>
      <c r="JY67" s="199"/>
      <c r="JZ67" s="199"/>
      <c r="KA67" s="199"/>
      <c r="KB67" s="200">
        <f t="shared" ref="KB67:KM67" si="183">JB67-JO67</f>
        <v>0</v>
      </c>
      <c r="KC67" s="200">
        <f t="shared" si="183"/>
        <v>0</v>
      </c>
      <c r="KD67" s="200">
        <f t="shared" si="183"/>
        <v>0</v>
      </c>
      <c r="KE67" s="200">
        <f t="shared" si="183"/>
        <v>0</v>
      </c>
      <c r="KF67" s="200">
        <f t="shared" si="183"/>
        <v>0</v>
      </c>
      <c r="KG67" s="200">
        <f t="shared" si="183"/>
        <v>2</v>
      </c>
      <c r="KH67" s="200">
        <f t="shared" si="183"/>
        <v>2</v>
      </c>
      <c r="KI67" s="200">
        <f t="shared" si="183"/>
        <v>12</v>
      </c>
      <c r="KJ67" s="200">
        <f t="shared" si="183"/>
        <v>12</v>
      </c>
      <c r="KK67" s="200">
        <f t="shared" si="183"/>
        <v>18</v>
      </c>
      <c r="KL67" s="200">
        <f t="shared" si="183"/>
        <v>18</v>
      </c>
      <c r="KM67" s="200">
        <f t="shared" si="183"/>
        <v>15</v>
      </c>
      <c r="KN67" s="199"/>
      <c r="KO67" s="199"/>
      <c r="KP67" s="199"/>
      <c r="KQ67" s="199"/>
      <c r="KR67" s="199"/>
      <c r="KS67" s="199"/>
      <c r="KT67" s="199"/>
      <c r="KU67" s="199"/>
      <c r="KV67" s="199"/>
      <c r="KW67" s="199"/>
      <c r="KX67" s="199"/>
      <c r="KY67" s="199"/>
      <c r="KZ67" s="199"/>
      <c r="LA67" s="199"/>
      <c r="LB67" s="199"/>
      <c r="LC67" s="199"/>
      <c r="LD67" s="199"/>
      <c r="LE67" s="199"/>
      <c r="LF67" s="199"/>
      <c r="LG67" s="199"/>
    </row>
    <row r="68" ht="14.25" customHeight="1">
      <c r="A68" s="156">
        <v>61.0</v>
      </c>
      <c r="B68" s="157" t="s">
        <v>143</v>
      </c>
      <c r="C68" s="158">
        <v>3374080.0</v>
      </c>
      <c r="D68" s="158" t="s">
        <v>148</v>
      </c>
      <c r="E68" s="158" t="s">
        <v>152</v>
      </c>
      <c r="F68" s="159">
        <v>12.0</v>
      </c>
      <c r="G68" s="159">
        <v>780.0</v>
      </c>
      <c r="H68" s="161">
        <v>2.0</v>
      </c>
      <c r="I68" s="161">
        <v>0.0</v>
      </c>
      <c r="J68" s="161">
        <v>1.0</v>
      </c>
      <c r="K68" s="161">
        <v>0.0</v>
      </c>
      <c r="L68" s="161">
        <v>1.0</v>
      </c>
      <c r="M68" s="161">
        <v>0.0</v>
      </c>
      <c r="N68" s="161">
        <v>0.0</v>
      </c>
      <c r="O68" s="162">
        <f t="shared" si="3"/>
        <v>2</v>
      </c>
      <c r="P68" s="203">
        <v>9.0</v>
      </c>
      <c r="Q68" s="164">
        <v>0.0</v>
      </c>
      <c r="R68" s="164">
        <v>1.0</v>
      </c>
      <c r="S68" s="164">
        <v>3.0</v>
      </c>
      <c r="T68" s="165">
        <v>5.0</v>
      </c>
      <c r="U68" s="165">
        <v>7.0</v>
      </c>
      <c r="V68" s="165">
        <v>0.0</v>
      </c>
      <c r="W68" s="166">
        <f t="shared" si="4"/>
        <v>2</v>
      </c>
      <c r="X68" s="203">
        <v>0.0</v>
      </c>
      <c r="Y68" s="165">
        <v>0.0</v>
      </c>
      <c r="Z68" s="165">
        <v>0.0</v>
      </c>
      <c r="AA68" s="165">
        <v>0.0</v>
      </c>
      <c r="AB68" s="165">
        <v>0.0</v>
      </c>
      <c r="AC68" s="165">
        <v>0.0</v>
      </c>
      <c r="AD68" s="165">
        <v>0.0</v>
      </c>
      <c r="AE68" s="166">
        <f t="shared" si="5"/>
        <v>0</v>
      </c>
      <c r="AF68" s="167">
        <v>9.0</v>
      </c>
      <c r="AG68" s="165">
        <v>1.0</v>
      </c>
      <c r="AH68" s="165">
        <v>0.0</v>
      </c>
      <c r="AI68" s="165">
        <v>4.0</v>
      </c>
      <c r="AJ68" s="165">
        <v>4.0</v>
      </c>
      <c r="AK68" s="165">
        <v>9.0</v>
      </c>
      <c r="AL68" s="165">
        <v>0.0</v>
      </c>
      <c r="AM68" s="166">
        <f t="shared" si="98"/>
        <v>0</v>
      </c>
      <c r="AN68" s="167">
        <v>7.0</v>
      </c>
      <c r="AO68" s="165">
        <v>1.0</v>
      </c>
      <c r="AP68" s="165">
        <v>0.0</v>
      </c>
      <c r="AQ68" s="165">
        <v>4.0</v>
      </c>
      <c r="AR68" s="165">
        <v>2.0</v>
      </c>
      <c r="AS68" s="165">
        <v>0.0</v>
      </c>
      <c r="AT68" s="165">
        <v>2.0</v>
      </c>
      <c r="AU68" s="168">
        <f t="shared" si="7"/>
        <v>5</v>
      </c>
      <c r="AV68" s="169">
        <v>774.0</v>
      </c>
      <c r="AW68" s="204">
        <f t="shared" si="8"/>
        <v>6</v>
      </c>
      <c r="AX68" s="169">
        <v>0.0</v>
      </c>
      <c r="AY68" s="169">
        <v>0.0</v>
      </c>
      <c r="AZ68" s="169">
        <v>4.0</v>
      </c>
      <c r="BA68" s="169">
        <v>2.0</v>
      </c>
      <c r="BB68" s="169">
        <v>0.0</v>
      </c>
      <c r="BC68" s="169">
        <v>0.0</v>
      </c>
      <c r="BD68" s="169">
        <v>0.0</v>
      </c>
      <c r="BE68" s="169">
        <v>0.0</v>
      </c>
      <c r="BF68" s="169">
        <v>0.0</v>
      </c>
      <c r="BG68" s="169">
        <v>0.0</v>
      </c>
      <c r="BH68" s="169">
        <v>1.0</v>
      </c>
      <c r="BI68" s="169">
        <v>0.0</v>
      </c>
      <c r="BJ68" s="169">
        <v>0.0</v>
      </c>
      <c r="BK68" s="169">
        <v>0.0</v>
      </c>
      <c r="BL68" s="169">
        <v>0.0</v>
      </c>
      <c r="BM68" s="169">
        <v>0.0</v>
      </c>
      <c r="BN68" s="169">
        <v>0.0</v>
      </c>
      <c r="BO68" s="169">
        <v>0.0</v>
      </c>
      <c r="BP68" s="205">
        <f t="shared" si="131"/>
        <v>1</v>
      </c>
      <c r="BQ68" s="173">
        <v>743.0</v>
      </c>
      <c r="BR68" s="170">
        <f t="shared" si="10"/>
        <v>8</v>
      </c>
      <c r="BS68" s="173">
        <v>0.0</v>
      </c>
      <c r="BT68" s="173">
        <v>0.0</v>
      </c>
      <c r="BU68" s="173">
        <v>4.0</v>
      </c>
      <c r="BV68" s="173">
        <v>2.0</v>
      </c>
      <c r="BW68" s="173">
        <v>0.0</v>
      </c>
      <c r="BX68" s="173">
        <v>0.0</v>
      </c>
      <c r="BY68" s="173">
        <v>0.0</v>
      </c>
      <c r="BZ68" s="173">
        <v>2.0</v>
      </c>
      <c r="CA68" s="173">
        <v>0.0</v>
      </c>
      <c r="CB68" s="173">
        <v>0.0</v>
      </c>
      <c r="CC68" s="173">
        <v>0.0</v>
      </c>
      <c r="CD68" s="173">
        <v>0.0</v>
      </c>
      <c r="CE68" s="173">
        <v>0.0</v>
      </c>
      <c r="CF68" s="173">
        <v>0.0</v>
      </c>
      <c r="CG68" s="173">
        <v>0.0</v>
      </c>
      <c r="CH68" s="173">
        <v>0.0</v>
      </c>
      <c r="CI68" s="173">
        <v>0.0</v>
      </c>
      <c r="CJ68" s="173">
        <v>0.0</v>
      </c>
      <c r="CK68" s="172">
        <f t="shared" si="132"/>
        <v>0</v>
      </c>
      <c r="CL68" s="173">
        <v>735.0</v>
      </c>
      <c r="CM68" s="173">
        <v>158.0</v>
      </c>
      <c r="CN68" s="175">
        <f t="shared" si="12"/>
        <v>5</v>
      </c>
      <c r="CO68" s="173">
        <v>0.0</v>
      </c>
      <c r="CP68" s="173">
        <v>0.0</v>
      </c>
      <c r="CQ68" s="173">
        <v>1.0</v>
      </c>
      <c r="CR68" s="173">
        <v>4.0</v>
      </c>
      <c r="CS68" s="173">
        <v>0.0</v>
      </c>
      <c r="CT68" s="173">
        <v>0.0</v>
      </c>
      <c r="CU68" s="173">
        <v>0.0</v>
      </c>
      <c r="CV68" s="173">
        <v>0.0</v>
      </c>
      <c r="CW68" s="173">
        <v>0.0</v>
      </c>
      <c r="CX68" s="173">
        <v>0.0</v>
      </c>
      <c r="CY68" s="173">
        <v>0.0</v>
      </c>
      <c r="CZ68" s="173">
        <v>0.0</v>
      </c>
      <c r="DA68" s="173">
        <v>0.0</v>
      </c>
      <c r="DB68" s="173">
        <v>0.0</v>
      </c>
      <c r="DC68" s="173">
        <v>0.0</v>
      </c>
      <c r="DD68" s="173">
        <v>2.0</v>
      </c>
      <c r="DE68" s="173">
        <v>1.0</v>
      </c>
      <c r="DF68" s="173">
        <v>0.0</v>
      </c>
      <c r="DG68" s="176">
        <f t="shared" si="13"/>
        <v>3</v>
      </c>
      <c r="DH68" s="177">
        <v>735.0</v>
      </c>
      <c r="DI68" s="177">
        <v>158.0</v>
      </c>
      <c r="DJ68" s="177">
        <v>680.0</v>
      </c>
      <c r="DK68" s="177">
        <v>147.0</v>
      </c>
      <c r="DL68" s="179">
        <f t="shared" si="14"/>
        <v>5</v>
      </c>
      <c r="DM68" s="180">
        <f t="shared" si="15"/>
        <v>1</v>
      </c>
      <c r="DN68" s="180">
        <f t="shared" si="16"/>
        <v>4</v>
      </c>
      <c r="DO68" s="177">
        <v>0.0</v>
      </c>
      <c r="DP68" s="177">
        <v>0.0</v>
      </c>
      <c r="DQ68" s="177">
        <v>1.0</v>
      </c>
      <c r="DR68" s="177">
        <v>4.0</v>
      </c>
      <c r="DS68" s="177">
        <v>0.0</v>
      </c>
      <c r="DT68" s="177">
        <v>0.0</v>
      </c>
      <c r="DU68" s="177">
        <v>0.0</v>
      </c>
      <c r="DV68" s="177">
        <v>0.0</v>
      </c>
      <c r="DW68" s="177">
        <v>0.0</v>
      </c>
      <c r="DX68" s="177">
        <v>0.0</v>
      </c>
      <c r="DY68" s="177">
        <v>0.0</v>
      </c>
      <c r="DZ68" s="177">
        <v>0.0</v>
      </c>
      <c r="EA68" s="177">
        <v>0.0</v>
      </c>
      <c r="EB68" s="177">
        <v>0.0</v>
      </c>
      <c r="EC68" s="177">
        <v>0.0</v>
      </c>
      <c r="ED68" s="177">
        <v>0.0</v>
      </c>
      <c r="EE68" s="177">
        <v>0.0</v>
      </c>
      <c r="EF68" s="177">
        <v>0.0</v>
      </c>
      <c r="EG68" s="179">
        <f t="shared" si="17"/>
        <v>0</v>
      </c>
      <c r="EH68" s="179">
        <f t="shared" si="18"/>
        <v>0</v>
      </c>
      <c r="EI68" s="177">
        <v>703.0</v>
      </c>
      <c r="EJ68" s="177">
        <v>146.0</v>
      </c>
      <c r="EK68" s="177">
        <v>667.0</v>
      </c>
      <c r="EL68" s="177">
        <v>135.0</v>
      </c>
      <c r="EM68" s="185">
        <f>SUM(EP68:EW68)</f>
        <v>5</v>
      </c>
      <c r="EN68" s="186">
        <f t="shared" si="89"/>
        <v>1</v>
      </c>
      <c r="EO68" s="186">
        <f t="shared" si="90"/>
        <v>4</v>
      </c>
      <c r="EP68" s="177">
        <v>0.0</v>
      </c>
      <c r="EQ68" s="177">
        <v>0.0</v>
      </c>
      <c r="ER68" s="177">
        <v>1.0</v>
      </c>
      <c r="ES68" s="177">
        <v>4.0</v>
      </c>
      <c r="ET68" s="177">
        <v>0.0</v>
      </c>
      <c r="EU68" s="177">
        <v>0.0</v>
      </c>
      <c r="EV68" s="177">
        <v>0.0</v>
      </c>
      <c r="EW68" s="177">
        <v>0.0</v>
      </c>
      <c r="EX68" s="177">
        <v>0.0</v>
      </c>
      <c r="EY68" s="177">
        <v>0.0</v>
      </c>
      <c r="EZ68" s="177">
        <v>0.0</v>
      </c>
      <c r="FA68" s="177">
        <v>0.0</v>
      </c>
      <c r="FB68" s="177">
        <v>0.0</v>
      </c>
      <c r="FC68" s="177">
        <v>0.0</v>
      </c>
      <c r="FD68" s="177">
        <v>0.0</v>
      </c>
      <c r="FE68" s="177">
        <v>0.0</v>
      </c>
      <c r="FF68" s="177">
        <v>0.0</v>
      </c>
      <c r="FG68" s="177">
        <v>0.0</v>
      </c>
      <c r="FH68" s="185">
        <f t="shared" si="22"/>
        <v>0</v>
      </c>
      <c r="FI68" s="185">
        <f t="shared" si="23"/>
        <v>0</v>
      </c>
      <c r="FJ68" s="177">
        <v>699.0</v>
      </c>
      <c r="FK68" s="177">
        <v>142.0</v>
      </c>
      <c r="FL68" s="177">
        <v>653.0</v>
      </c>
      <c r="FM68" s="177">
        <v>131.0</v>
      </c>
      <c r="FN68" s="180"/>
      <c r="FO68" s="180">
        <v>5.0</v>
      </c>
      <c r="FP68" s="188">
        <f>SUM(FS68:FZ68)</f>
        <v>5</v>
      </c>
      <c r="FQ68" s="211">
        <v>1.0</v>
      </c>
      <c r="FR68" s="212">
        <v>4.0</v>
      </c>
      <c r="FS68" s="206">
        <v>0.0</v>
      </c>
      <c r="FT68" s="207">
        <v>0.0</v>
      </c>
      <c r="FU68" s="207">
        <v>1.0</v>
      </c>
      <c r="FV68" s="207">
        <v>4.0</v>
      </c>
      <c r="FW68" s="207">
        <v>0.0</v>
      </c>
      <c r="FX68" s="207">
        <v>0.0</v>
      </c>
      <c r="FY68" s="207">
        <v>0.0</v>
      </c>
      <c r="FZ68" s="207">
        <v>0.0</v>
      </c>
      <c r="GA68" s="207">
        <v>0.0</v>
      </c>
      <c r="GB68" s="207">
        <v>0.0</v>
      </c>
      <c r="GC68" s="207">
        <v>0.0</v>
      </c>
      <c r="GD68" s="207">
        <v>0.0</v>
      </c>
      <c r="GE68" s="207">
        <v>0.0</v>
      </c>
      <c r="GF68" s="207">
        <v>0.0</v>
      </c>
      <c r="GG68" s="207">
        <v>0.0</v>
      </c>
      <c r="GH68" s="207">
        <v>0.0</v>
      </c>
      <c r="GI68" s="207">
        <v>0.0</v>
      </c>
      <c r="GJ68" s="207">
        <v>0.0</v>
      </c>
      <c r="GK68" s="212">
        <v>0.0</v>
      </c>
      <c r="GL68" s="212">
        <v>0.0</v>
      </c>
      <c r="GM68" s="207">
        <v>680.0</v>
      </c>
      <c r="GN68" s="207">
        <v>121.0</v>
      </c>
      <c r="GO68" s="213">
        <v>638.0</v>
      </c>
      <c r="GP68" s="213">
        <v>121.0</v>
      </c>
      <c r="GQ68" s="207"/>
      <c r="GR68" s="213">
        <v>5.0</v>
      </c>
      <c r="GS68" s="193">
        <v>1.0</v>
      </c>
      <c r="GT68" s="194">
        <f t="shared" si="25"/>
        <v>5</v>
      </c>
      <c r="GU68" s="194">
        <f t="shared" si="26"/>
        <v>1</v>
      </c>
      <c r="GV68" s="194">
        <f t="shared" si="27"/>
        <v>4</v>
      </c>
      <c r="GW68" s="207">
        <v>0.0</v>
      </c>
      <c r="GX68" s="207">
        <v>0.0</v>
      </c>
      <c r="GY68" s="207">
        <v>1.0</v>
      </c>
      <c r="GZ68" s="207">
        <v>3.0</v>
      </c>
      <c r="HA68" s="207">
        <v>0.0</v>
      </c>
      <c r="HB68" s="207">
        <v>0.0</v>
      </c>
      <c r="HC68" s="207">
        <v>0.0</v>
      </c>
      <c r="HD68" s="207">
        <v>1.0</v>
      </c>
      <c r="HE68" s="207">
        <v>0.0</v>
      </c>
      <c r="HF68" s="207">
        <v>0.0</v>
      </c>
      <c r="HG68" s="207">
        <v>0.0</v>
      </c>
      <c r="HH68" s="207">
        <v>1.0</v>
      </c>
      <c r="HI68" s="207">
        <v>0.0</v>
      </c>
      <c r="HJ68" s="207">
        <v>0.0</v>
      </c>
      <c r="HK68" s="207">
        <v>0.0</v>
      </c>
      <c r="HL68" s="207">
        <v>0.0</v>
      </c>
      <c r="HM68" s="207">
        <v>0.0</v>
      </c>
      <c r="HN68" s="207">
        <v>0.0</v>
      </c>
      <c r="HO68" s="222">
        <v>1.0</v>
      </c>
      <c r="HP68" s="222">
        <v>0.0</v>
      </c>
      <c r="HQ68" s="214"/>
      <c r="HR68" s="197"/>
      <c r="HS68" s="197"/>
      <c r="HT68" s="198">
        <f t="shared" si="28"/>
        <v>2</v>
      </c>
      <c r="HU68" s="198">
        <f t="shared" si="29"/>
        <v>9</v>
      </c>
      <c r="HV68" s="198">
        <f t="shared" si="30"/>
        <v>0</v>
      </c>
      <c r="HW68" s="198">
        <f t="shared" si="99"/>
        <v>9</v>
      </c>
      <c r="HX68" s="198">
        <f t="shared" si="32"/>
        <v>7</v>
      </c>
      <c r="HY68" s="198">
        <f t="shared" si="33"/>
        <v>6</v>
      </c>
      <c r="HZ68" s="198">
        <f t="shared" si="34"/>
        <v>8</v>
      </c>
      <c r="IA68" s="198">
        <f t="shared" si="35"/>
        <v>5</v>
      </c>
      <c r="IB68" s="198">
        <f t="shared" si="36"/>
        <v>5</v>
      </c>
      <c r="IC68" s="198">
        <f t="shared" si="37"/>
        <v>5</v>
      </c>
      <c r="ID68" s="198">
        <f t="shared" si="38"/>
        <v>5</v>
      </c>
      <c r="IE68" s="198">
        <f t="shared" si="39"/>
        <v>5</v>
      </c>
      <c r="IF68" s="197"/>
      <c r="IG68" s="197"/>
      <c r="IH68" s="197"/>
      <c r="II68" s="197"/>
      <c r="IJ68" s="197"/>
      <c r="IK68" s="197"/>
      <c r="IL68" s="197"/>
      <c r="IM68" s="197"/>
      <c r="IN68" s="197"/>
      <c r="IO68" s="197"/>
      <c r="IP68" s="197"/>
      <c r="IQ68" s="197"/>
      <c r="IR68" s="197"/>
      <c r="IS68" s="197"/>
      <c r="IT68" s="197"/>
      <c r="IU68" s="197"/>
      <c r="IV68" s="197"/>
      <c r="IW68" s="197"/>
      <c r="IX68" s="197"/>
      <c r="IY68" s="197"/>
      <c r="IZ68" s="197"/>
      <c r="JA68" s="199"/>
      <c r="JB68" s="200">
        <f t="shared" si="40"/>
        <v>2</v>
      </c>
      <c r="JC68" s="200">
        <f t="shared" si="41"/>
        <v>9</v>
      </c>
      <c r="JD68" s="200">
        <f t="shared" si="42"/>
        <v>0</v>
      </c>
      <c r="JE68" s="200">
        <f t="shared" si="43"/>
        <v>9</v>
      </c>
      <c r="JF68" s="200">
        <f t="shared" si="44"/>
        <v>7</v>
      </c>
      <c r="JG68" s="200">
        <f t="shared" si="45"/>
        <v>6</v>
      </c>
      <c r="JH68" s="200">
        <f t="shared" si="46"/>
        <v>8</v>
      </c>
      <c r="JI68" s="200">
        <f t="shared" si="47"/>
        <v>5</v>
      </c>
      <c r="JJ68" s="200">
        <f t="shared" si="48"/>
        <v>5</v>
      </c>
      <c r="JK68" s="200">
        <f t="shared" si="49"/>
        <v>5</v>
      </c>
      <c r="JL68" s="200">
        <f t="shared" si="50"/>
        <v>5</v>
      </c>
      <c r="JM68" s="200">
        <f t="shared" si="51"/>
        <v>5</v>
      </c>
      <c r="JN68" s="199"/>
      <c r="JO68" s="200">
        <f t="shared" si="52"/>
        <v>2</v>
      </c>
      <c r="JP68" s="202">
        <v>9.0</v>
      </c>
      <c r="JQ68" s="202">
        <v>0.0</v>
      </c>
      <c r="JR68" s="202">
        <v>9.0</v>
      </c>
      <c r="JS68" s="202">
        <v>7.0</v>
      </c>
      <c r="JT68" s="199"/>
      <c r="JU68" s="199"/>
      <c r="JV68" s="200">
        <f t="shared" ref="JV68:JX68" si="184">IA68-JI68</f>
        <v>0</v>
      </c>
      <c r="JW68" s="200">
        <f t="shared" si="184"/>
        <v>0</v>
      </c>
      <c r="JX68" s="200">
        <f t="shared" si="184"/>
        <v>0</v>
      </c>
      <c r="JY68" s="199"/>
      <c r="JZ68" s="199"/>
      <c r="KA68" s="199"/>
      <c r="KB68" s="200">
        <f t="shared" ref="KB68:KM68" si="185">JB68-JO68</f>
        <v>0</v>
      </c>
      <c r="KC68" s="200">
        <f t="shared" si="185"/>
        <v>0</v>
      </c>
      <c r="KD68" s="200">
        <f t="shared" si="185"/>
        <v>0</v>
      </c>
      <c r="KE68" s="200">
        <f t="shared" si="185"/>
        <v>0</v>
      </c>
      <c r="KF68" s="200">
        <f t="shared" si="185"/>
        <v>0</v>
      </c>
      <c r="KG68" s="200">
        <f t="shared" si="185"/>
        <v>6</v>
      </c>
      <c r="KH68" s="200">
        <f t="shared" si="185"/>
        <v>8</v>
      </c>
      <c r="KI68" s="200">
        <f t="shared" si="185"/>
        <v>5</v>
      </c>
      <c r="KJ68" s="200">
        <f t="shared" si="185"/>
        <v>5</v>
      </c>
      <c r="KK68" s="200">
        <f t="shared" si="185"/>
        <v>5</v>
      </c>
      <c r="KL68" s="200">
        <f t="shared" si="185"/>
        <v>5</v>
      </c>
      <c r="KM68" s="200">
        <f t="shared" si="185"/>
        <v>5</v>
      </c>
      <c r="KN68" s="199"/>
      <c r="KO68" s="199"/>
      <c r="KP68" s="199"/>
      <c r="KQ68" s="199"/>
      <c r="KR68" s="199"/>
      <c r="KS68" s="199"/>
      <c r="KT68" s="199"/>
      <c r="KU68" s="199"/>
      <c r="KV68" s="199"/>
      <c r="KW68" s="199"/>
      <c r="KX68" s="199"/>
      <c r="KY68" s="199"/>
      <c r="KZ68" s="199"/>
      <c r="LA68" s="199"/>
      <c r="LB68" s="199"/>
      <c r="LC68" s="199"/>
      <c r="LD68" s="199"/>
      <c r="LE68" s="199"/>
      <c r="LF68" s="199"/>
      <c r="LG68" s="199"/>
    </row>
    <row r="69" ht="14.25" customHeight="1">
      <c r="A69" s="156">
        <v>62.0</v>
      </c>
      <c r="B69" s="157" t="s">
        <v>143</v>
      </c>
      <c r="C69" s="158">
        <v>3374080.0</v>
      </c>
      <c r="D69" s="158" t="s">
        <v>144</v>
      </c>
      <c r="E69" s="158" t="s">
        <v>153</v>
      </c>
      <c r="F69" s="159">
        <v>13.0</v>
      </c>
      <c r="G69" s="159">
        <v>777.0</v>
      </c>
      <c r="H69" s="161">
        <v>6.0</v>
      </c>
      <c r="I69" s="161">
        <v>0.0</v>
      </c>
      <c r="J69" s="161">
        <v>0.0</v>
      </c>
      <c r="K69" s="161">
        <v>2.0</v>
      </c>
      <c r="L69" s="161">
        <v>4.0</v>
      </c>
      <c r="M69" s="161">
        <v>4.0</v>
      </c>
      <c r="N69" s="161">
        <v>0.0</v>
      </c>
      <c r="O69" s="162">
        <f t="shared" si="3"/>
        <v>2</v>
      </c>
      <c r="P69" s="203">
        <v>2.0</v>
      </c>
      <c r="Q69" s="164">
        <v>0.0</v>
      </c>
      <c r="R69" s="164">
        <v>0.0</v>
      </c>
      <c r="S69" s="164">
        <v>2.0</v>
      </c>
      <c r="T69" s="165">
        <v>0.0</v>
      </c>
      <c r="U69" s="165">
        <v>0.0</v>
      </c>
      <c r="V69" s="165">
        <v>0.0</v>
      </c>
      <c r="W69" s="166">
        <f t="shared" si="4"/>
        <v>2</v>
      </c>
      <c r="X69" s="203">
        <v>5.0</v>
      </c>
      <c r="Y69" s="165">
        <v>1.0</v>
      </c>
      <c r="Z69" s="165">
        <v>1.0</v>
      </c>
      <c r="AA69" s="165">
        <v>1.0</v>
      </c>
      <c r="AB69" s="165">
        <v>2.0</v>
      </c>
      <c r="AC69" s="165">
        <v>2.0</v>
      </c>
      <c r="AD69" s="165">
        <v>2.0</v>
      </c>
      <c r="AE69" s="166">
        <f t="shared" si="5"/>
        <v>1</v>
      </c>
      <c r="AF69" s="167">
        <v>6.0</v>
      </c>
      <c r="AG69" s="165">
        <v>0.0</v>
      </c>
      <c r="AH69" s="165">
        <v>0.0</v>
      </c>
      <c r="AI69" s="165">
        <v>0.0</v>
      </c>
      <c r="AJ69" s="165">
        <v>6.0</v>
      </c>
      <c r="AK69" s="165">
        <v>1.0</v>
      </c>
      <c r="AL69" s="165">
        <v>0.0</v>
      </c>
      <c r="AM69" s="166">
        <f t="shared" si="98"/>
        <v>5</v>
      </c>
      <c r="AN69" s="167">
        <v>7.0</v>
      </c>
      <c r="AO69" s="165">
        <v>0.0</v>
      </c>
      <c r="AP69" s="165">
        <v>1.0</v>
      </c>
      <c r="AQ69" s="165">
        <v>1.0</v>
      </c>
      <c r="AR69" s="165">
        <v>5.0</v>
      </c>
      <c r="AS69" s="165">
        <v>1.0</v>
      </c>
      <c r="AT69" s="165">
        <v>0.0</v>
      </c>
      <c r="AU69" s="168">
        <f t="shared" si="7"/>
        <v>6</v>
      </c>
      <c r="AV69" s="169">
        <v>432.0</v>
      </c>
      <c r="AW69" s="204">
        <f t="shared" si="8"/>
        <v>7</v>
      </c>
      <c r="AX69" s="169">
        <v>0.0</v>
      </c>
      <c r="AY69" s="169">
        <v>1.0</v>
      </c>
      <c r="AZ69" s="169">
        <v>1.0</v>
      </c>
      <c r="BA69" s="169">
        <v>5.0</v>
      </c>
      <c r="BB69" s="169">
        <v>0.0</v>
      </c>
      <c r="BC69" s="169">
        <v>0.0</v>
      </c>
      <c r="BD69" s="169">
        <v>0.0</v>
      </c>
      <c r="BE69" s="169">
        <v>0.0</v>
      </c>
      <c r="BF69" s="169">
        <v>0.0</v>
      </c>
      <c r="BG69" s="169">
        <v>0.0</v>
      </c>
      <c r="BH69" s="169">
        <v>0.0</v>
      </c>
      <c r="BI69" s="169">
        <v>0.0</v>
      </c>
      <c r="BJ69" s="169">
        <v>0.0</v>
      </c>
      <c r="BK69" s="169">
        <v>0.0</v>
      </c>
      <c r="BL69" s="169">
        <v>0.0</v>
      </c>
      <c r="BM69" s="169">
        <v>0.0</v>
      </c>
      <c r="BN69" s="169">
        <v>0.0</v>
      </c>
      <c r="BO69" s="169">
        <v>0.0</v>
      </c>
      <c r="BP69" s="205">
        <f t="shared" si="131"/>
        <v>0</v>
      </c>
      <c r="BQ69" s="173">
        <v>696.0</v>
      </c>
      <c r="BR69" s="170">
        <f t="shared" si="10"/>
        <v>3</v>
      </c>
      <c r="BS69" s="173">
        <v>0.0</v>
      </c>
      <c r="BT69" s="173">
        <v>0.0</v>
      </c>
      <c r="BU69" s="173">
        <v>1.0</v>
      </c>
      <c r="BV69" s="173">
        <v>2.0</v>
      </c>
      <c r="BW69" s="173">
        <v>0.0</v>
      </c>
      <c r="BX69" s="173">
        <v>0.0</v>
      </c>
      <c r="BY69" s="173">
        <v>0.0</v>
      </c>
      <c r="BZ69" s="173">
        <v>0.0</v>
      </c>
      <c r="CA69" s="173">
        <v>0.0</v>
      </c>
      <c r="CB69" s="173">
        <v>1.0</v>
      </c>
      <c r="CC69" s="173">
        <v>0.0</v>
      </c>
      <c r="CD69" s="173">
        <v>3.0</v>
      </c>
      <c r="CE69" s="173">
        <v>0.0</v>
      </c>
      <c r="CF69" s="173">
        <v>0.0</v>
      </c>
      <c r="CG69" s="173">
        <v>0.0</v>
      </c>
      <c r="CH69" s="173">
        <v>0.0</v>
      </c>
      <c r="CI69" s="173">
        <v>0.0</v>
      </c>
      <c r="CJ69" s="173">
        <v>0.0</v>
      </c>
      <c r="CK69" s="172">
        <f t="shared" si="132"/>
        <v>4</v>
      </c>
      <c r="CL69" s="173">
        <v>751.0</v>
      </c>
      <c r="CM69" s="173">
        <v>419.0</v>
      </c>
      <c r="CN69" s="175">
        <f t="shared" si="12"/>
        <v>13</v>
      </c>
      <c r="CO69" s="173">
        <v>0.0</v>
      </c>
      <c r="CP69" s="173">
        <v>0.0</v>
      </c>
      <c r="CQ69" s="173">
        <v>1.0</v>
      </c>
      <c r="CR69" s="173">
        <v>2.0</v>
      </c>
      <c r="CS69" s="173">
        <v>2.0</v>
      </c>
      <c r="CT69" s="173">
        <v>1.0</v>
      </c>
      <c r="CU69" s="173">
        <v>4.0</v>
      </c>
      <c r="CV69" s="173">
        <v>3.0</v>
      </c>
      <c r="CW69" s="173">
        <v>0.0</v>
      </c>
      <c r="CX69" s="173">
        <v>0.0</v>
      </c>
      <c r="CY69" s="173">
        <v>0.0</v>
      </c>
      <c r="CZ69" s="173">
        <v>0.0</v>
      </c>
      <c r="DA69" s="173">
        <v>0.0</v>
      </c>
      <c r="DB69" s="173">
        <v>0.0</v>
      </c>
      <c r="DC69" s="173">
        <v>0.0</v>
      </c>
      <c r="DD69" s="173">
        <v>0.0</v>
      </c>
      <c r="DE69" s="173">
        <v>0.0</v>
      </c>
      <c r="DF69" s="173">
        <v>0.0</v>
      </c>
      <c r="DG69" s="176">
        <f t="shared" si="13"/>
        <v>0</v>
      </c>
      <c r="DH69" s="177">
        <v>656.0</v>
      </c>
      <c r="DI69" s="177">
        <v>175.0</v>
      </c>
      <c r="DJ69" s="177">
        <v>656.0</v>
      </c>
      <c r="DK69" s="177">
        <v>175.0</v>
      </c>
      <c r="DL69" s="179">
        <f t="shared" si="14"/>
        <v>5</v>
      </c>
      <c r="DM69" s="180">
        <f t="shared" si="15"/>
        <v>1</v>
      </c>
      <c r="DN69" s="180">
        <f t="shared" si="16"/>
        <v>4</v>
      </c>
      <c r="DO69" s="177">
        <v>0.0</v>
      </c>
      <c r="DP69" s="177">
        <v>0.0</v>
      </c>
      <c r="DQ69" s="177">
        <v>1.0</v>
      </c>
      <c r="DR69" s="177">
        <v>4.0</v>
      </c>
      <c r="DS69" s="177">
        <v>0.0</v>
      </c>
      <c r="DT69" s="177">
        <v>0.0</v>
      </c>
      <c r="DU69" s="177">
        <v>0.0</v>
      </c>
      <c r="DV69" s="177">
        <v>0.0</v>
      </c>
      <c r="DW69" s="177">
        <v>2.0</v>
      </c>
      <c r="DX69" s="177">
        <v>1.0</v>
      </c>
      <c r="DY69" s="177">
        <v>4.0</v>
      </c>
      <c r="DZ69" s="177">
        <v>1.0</v>
      </c>
      <c r="EA69" s="177">
        <v>0.0</v>
      </c>
      <c r="EB69" s="177">
        <v>0.0</v>
      </c>
      <c r="EC69" s="177">
        <v>0.0</v>
      </c>
      <c r="ED69" s="177">
        <v>0.0</v>
      </c>
      <c r="EE69" s="177">
        <v>0.0</v>
      </c>
      <c r="EF69" s="177">
        <v>0.0</v>
      </c>
      <c r="EG69" s="179">
        <f t="shared" si="17"/>
        <v>8</v>
      </c>
      <c r="EH69" s="179">
        <f t="shared" si="18"/>
        <v>7</v>
      </c>
      <c r="EI69" s="177">
        <v>637.0</v>
      </c>
      <c r="EJ69" s="177">
        <v>198.0</v>
      </c>
      <c r="EK69" s="177">
        <v>637.0</v>
      </c>
      <c r="EL69" s="177">
        <v>198.0</v>
      </c>
      <c r="EM69" s="186">
        <v>7.0</v>
      </c>
      <c r="EN69" s="186">
        <f t="shared" si="89"/>
        <v>1</v>
      </c>
      <c r="EO69" s="186">
        <f t="shared" si="90"/>
        <v>6</v>
      </c>
      <c r="EP69" s="177">
        <v>0.0</v>
      </c>
      <c r="EQ69" s="177">
        <v>0.0</v>
      </c>
      <c r="ER69" s="177">
        <v>1.0</v>
      </c>
      <c r="ES69" s="177">
        <v>4.0</v>
      </c>
      <c r="ET69" s="177">
        <v>0.0</v>
      </c>
      <c r="EU69" s="177">
        <v>0.0</v>
      </c>
      <c r="EV69" s="177">
        <v>0.0</v>
      </c>
      <c r="EW69" s="177">
        <v>2.0</v>
      </c>
      <c r="EX69" s="177">
        <v>0.0</v>
      </c>
      <c r="EY69" s="177">
        <v>0.0</v>
      </c>
      <c r="EZ69" s="177">
        <v>0.0</v>
      </c>
      <c r="FA69" s="177">
        <v>0.0</v>
      </c>
      <c r="FB69" s="177">
        <v>0.0</v>
      </c>
      <c r="FC69" s="177">
        <v>0.0</v>
      </c>
      <c r="FD69" s="177">
        <v>0.0</v>
      </c>
      <c r="FE69" s="177">
        <v>0.0</v>
      </c>
      <c r="FF69" s="177">
        <v>0.0</v>
      </c>
      <c r="FG69" s="177">
        <v>0.0</v>
      </c>
      <c r="FH69" s="185">
        <f t="shared" si="22"/>
        <v>0</v>
      </c>
      <c r="FI69" s="185">
        <f t="shared" si="23"/>
        <v>0</v>
      </c>
      <c r="FJ69" s="177">
        <v>627.0</v>
      </c>
      <c r="FK69" s="177">
        <v>197.0</v>
      </c>
      <c r="FL69" s="177">
        <v>627.0</v>
      </c>
      <c r="FM69" s="177">
        <v>197.0</v>
      </c>
      <c r="FN69" s="210"/>
      <c r="FO69" s="210">
        <v>7.0</v>
      </c>
      <c r="FP69" s="243">
        <v>7.0</v>
      </c>
      <c r="FQ69" s="211">
        <v>1.0</v>
      </c>
      <c r="FR69" s="212">
        <v>6.0</v>
      </c>
      <c r="FS69" s="206">
        <v>0.0</v>
      </c>
      <c r="FT69" s="207">
        <v>0.0</v>
      </c>
      <c r="FU69" s="207">
        <v>1.0</v>
      </c>
      <c r="FV69" s="207">
        <v>4.0</v>
      </c>
      <c r="FW69" s="207">
        <v>0.0</v>
      </c>
      <c r="FX69" s="207">
        <v>0.0</v>
      </c>
      <c r="FY69" s="207">
        <v>0.0</v>
      </c>
      <c r="FZ69" s="207">
        <v>2.0</v>
      </c>
      <c r="GA69" s="207">
        <v>0.0</v>
      </c>
      <c r="GB69" s="207">
        <v>0.0</v>
      </c>
      <c r="GC69" s="207">
        <v>0.0</v>
      </c>
      <c r="GD69" s="207">
        <v>0.0</v>
      </c>
      <c r="GE69" s="207">
        <v>0.0</v>
      </c>
      <c r="GF69" s="207">
        <v>0.0</v>
      </c>
      <c r="GG69" s="207">
        <v>0.0</v>
      </c>
      <c r="GH69" s="207">
        <v>0.0</v>
      </c>
      <c r="GI69" s="207">
        <v>0.0</v>
      </c>
      <c r="GJ69" s="207">
        <v>0.0</v>
      </c>
      <c r="GK69" s="212">
        <v>0.0</v>
      </c>
      <c r="GL69" s="212">
        <v>0.0</v>
      </c>
      <c r="GM69" s="207">
        <v>649.0</v>
      </c>
      <c r="GN69" s="207">
        <v>206.0</v>
      </c>
      <c r="GO69" s="213">
        <v>649.0</v>
      </c>
      <c r="GP69" s="213">
        <v>206.0</v>
      </c>
      <c r="GQ69" s="207"/>
      <c r="GR69" s="213">
        <v>10.0</v>
      </c>
      <c r="GS69" s="193">
        <v>3.0</v>
      </c>
      <c r="GT69" s="194">
        <f t="shared" si="25"/>
        <v>10</v>
      </c>
      <c r="GU69" s="194">
        <f t="shared" si="26"/>
        <v>3</v>
      </c>
      <c r="GV69" s="194">
        <f t="shared" si="27"/>
        <v>7</v>
      </c>
      <c r="GW69" s="207">
        <v>0.0</v>
      </c>
      <c r="GX69" s="207">
        <v>1.0</v>
      </c>
      <c r="GY69" s="207">
        <v>1.0</v>
      </c>
      <c r="GZ69" s="207">
        <v>6.0</v>
      </c>
      <c r="HA69" s="207">
        <v>0.0</v>
      </c>
      <c r="HB69" s="207">
        <v>0.0</v>
      </c>
      <c r="HC69" s="207">
        <v>1.0</v>
      </c>
      <c r="HD69" s="207">
        <v>1.0</v>
      </c>
      <c r="HE69" s="207">
        <v>0.0</v>
      </c>
      <c r="HF69" s="207">
        <v>0.0</v>
      </c>
      <c r="HG69" s="207">
        <v>0.0</v>
      </c>
      <c r="HH69" s="207">
        <v>0.0</v>
      </c>
      <c r="HI69" s="207">
        <v>0.0</v>
      </c>
      <c r="HJ69" s="207">
        <v>0.0</v>
      </c>
      <c r="HK69" s="207">
        <v>0.0</v>
      </c>
      <c r="HL69" s="207">
        <v>0.0</v>
      </c>
      <c r="HM69" s="207">
        <v>0.0</v>
      </c>
      <c r="HN69" s="207">
        <v>0.0</v>
      </c>
      <c r="HO69" s="222">
        <v>0.0</v>
      </c>
      <c r="HP69" s="222">
        <v>0.0</v>
      </c>
      <c r="HQ69" s="214"/>
      <c r="HR69" s="197"/>
      <c r="HS69" s="197"/>
      <c r="HT69" s="198">
        <f t="shared" si="28"/>
        <v>6</v>
      </c>
      <c r="HU69" s="198">
        <f t="shared" si="29"/>
        <v>2</v>
      </c>
      <c r="HV69" s="198">
        <f t="shared" si="30"/>
        <v>5</v>
      </c>
      <c r="HW69" s="198">
        <f t="shared" si="99"/>
        <v>6</v>
      </c>
      <c r="HX69" s="198">
        <f t="shared" si="32"/>
        <v>7</v>
      </c>
      <c r="HY69" s="198">
        <f t="shared" si="33"/>
        <v>7</v>
      </c>
      <c r="HZ69" s="198">
        <f t="shared" si="34"/>
        <v>3</v>
      </c>
      <c r="IA69" s="198">
        <f t="shared" si="35"/>
        <v>13</v>
      </c>
      <c r="IB69" s="198">
        <f t="shared" si="36"/>
        <v>5</v>
      </c>
      <c r="IC69" s="198">
        <f t="shared" si="37"/>
        <v>7</v>
      </c>
      <c r="ID69" s="198">
        <f t="shared" si="38"/>
        <v>7</v>
      </c>
      <c r="IE69" s="198">
        <f t="shared" si="39"/>
        <v>10</v>
      </c>
      <c r="IF69" s="197"/>
      <c r="IG69" s="197"/>
      <c r="IH69" s="197"/>
      <c r="II69" s="197"/>
      <c r="IJ69" s="197"/>
      <c r="IK69" s="197"/>
      <c r="IL69" s="197"/>
      <c r="IM69" s="197"/>
      <c r="IN69" s="197"/>
      <c r="IO69" s="197"/>
      <c r="IP69" s="197"/>
      <c r="IQ69" s="197"/>
      <c r="IR69" s="197"/>
      <c r="IS69" s="197"/>
      <c r="IT69" s="197"/>
      <c r="IU69" s="197"/>
      <c r="IV69" s="197"/>
      <c r="IW69" s="197"/>
      <c r="IX69" s="197"/>
      <c r="IY69" s="197"/>
      <c r="IZ69" s="197"/>
      <c r="JA69" s="199"/>
      <c r="JB69" s="200">
        <f t="shared" si="40"/>
        <v>6</v>
      </c>
      <c r="JC69" s="200">
        <f t="shared" si="41"/>
        <v>2</v>
      </c>
      <c r="JD69" s="200">
        <f t="shared" si="42"/>
        <v>5</v>
      </c>
      <c r="JE69" s="200">
        <f t="shared" si="43"/>
        <v>6</v>
      </c>
      <c r="JF69" s="200">
        <f t="shared" si="44"/>
        <v>7</v>
      </c>
      <c r="JG69" s="200">
        <f t="shared" si="45"/>
        <v>7</v>
      </c>
      <c r="JH69" s="200">
        <f t="shared" si="46"/>
        <v>3</v>
      </c>
      <c r="JI69" s="200">
        <f t="shared" si="47"/>
        <v>13</v>
      </c>
      <c r="JJ69" s="200">
        <f t="shared" si="48"/>
        <v>5</v>
      </c>
      <c r="JK69" s="200">
        <f t="shared" si="49"/>
        <v>7</v>
      </c>
      <c r="JL69" s="200">
        <f t="shared" si="50"/>
        <v>7</v>
      </c>
      <c r="JM69" s="200">
        <f t="shared" si="51"/>
        <v>10</v>
      </c>
      <c r="JN69" s="199"/>
      <c r="JO69" s="200">
        <f t="shared" si="52"/>
        <v>6</v>
      </c>
      <c r="JP69" s="202">
        <v>2.0</v>
      </c>
      <c r="JQ69" s="202">
        <v>5.0</v>
      </c>
      <c r="JR69" s="202">
        <v>6.0</v>
      </c>
      <c r="JS69" s="202">
        <v>7.0</v>
      </c>
      <c r="JT69" s="199"/>
      <c r="JU69" s="199"/>
      <c r="JV69" s="200">
        <f t="shared" ref="JV69:JX69" si="186">IA69-JI69</f>
        <v>0</v>
      </c>
      <c r="JW69" s="200">
        <f t="shared" si="186"/>
        <v>0</v>
      </c>
      <c r="JX69" s="200">
        <f t="shared" si="186"/>
        <v>0</v>
      </c>
      <c r="JY69" s="199"/>
      <c r="JZ69" s="199"/>
      <c r="KA69" s="199"/>
      <c r="KB69" s="200">
        <f t="shared" ref="KB69:KM69" si="187">JB69-JO69</f>
        <v>0</v>
      </c>
      <c r="KC69" s="200">
        <f t="shared" si="187"/>
        <v>0</v>
      </c>
      <c r="KD69" s="200">
        <f t="shared" si="187"/>
        <v>0</v>
      </c>
      <c r="KE69" s="200">
        <f t="shared" si="187"/>
        <v>0</v>
      </c>
      <c r="KF69" s="200">
        <f t="shared" si="187"/>
        <v>0</v>
      </c>
      <c r="KG69" s="200">
        <f t="shared" si="187"/>
        <v>7</v>
      </c>
      <c r="KH69" s="200">
        <f t="shared" si="187"/>
        <v>3</v>
      </c>
      <c r="KI69" s="200">
        <f t="shared" si="187"/>
        <v>13</v>
      </c>
      <c r="KJ69" s="200">
        <f t="shared" si="187"/>
        <v>5</v>
      </c>
      <c r="KK69" s="200">
        <f t="shared" si="187"/>
        <v>7</v>
      </c>
      <c r="KL69" s="200">
        <f t="shared" si="187"/>
        <v>7</v>
      </c>
      <c r="KM69" s="200">
        <f t="shared" si="187"/>
        <v>10</v>
      </c>
      <c r="KN69" s="199"/>
      <c r="KO69" s="199"/>
      <c r="KP69" s="199"/>
      <c r="KQ69" s="199"/>
      <c r="KR69" s="199"/>
      <c r="KS69" s="199"/>
      <c r="KT69" s="199"/>
      <c r="KU69" s="199"/>
      <c r="KV69" s="199"/>
      <c r="KW69" s="199"/>
      <c r="KX69" s="199"/>
      <c r="KY69" s="199"/>
      <c r="KZ69" s="199"/>
      <c r="LA69" s="199"/>
      <c r="LB69" s="199"/>
      <c r="LC69" s="199"/>
      <c r="LD69" s="199"/>
      <c r="LE69" s="199"/>
      <c r="LF69" s="199"/>
      <c r="LG69" s="199"/>
    </row>
    <row r="70" ht="14.25" customHeight="1">
      <c r="A70" s="156">
        <v>63.0</v>
      </c>
      <c r="B70" s="157" t="s">
        <v>143</v>
      </c>
      <c r="C70" s="158">
        <v>3374080.0</v>
      </c>
      <c r="D70" s="158" t="s">
        <v>144</v>
      </c>
      <c r="E70" s="158" t="s">
        <v>154</v>
      </c>
      <c r="F70" s="249">
        <v>13.0</v>
      </c>
      <c r="G70" s="159">
        <v>625.0</v>
      </c>
      <c r="H70" s="161">
        <v>0.0</v>
      </c>
      <c r="I70" s="161">
        <v>0.0</v>
      </c>
      <c r="J70" s="161">
        <v>0.0</v>
      </c>
      <c r="K70" s="161">
        <v>0.0</v>
      </c>
      <c r="L70" s="161">
        <v>0.0</v>
      </c>
      <c r="M70" s="161">
        <v>0.0</v>
      </c>
      <c r="N70" s="161">
        <v>0.0</v>
      </c>
      <c r="O70" s="162">
        <f t="shared" si="3"/>
        <v>0</v>
      </c>
      <c r="P70" s="203">
        <v>0.0</v>
      </c>
      <c r="Q70" s="164">
        <v>0.0</v>
      </c>
      <c r="R70" s="164">
        <v>0.0</v>
      </c>
      <c r="S70" s="164">
        <v>0.0</v>
      </c>
      <c r="T70" s="165">
        <v>0.0</v>
      </c>
      <c r="U70" s="165">
        <v>0.0</v>
      </c>
      <c r="V70" s="165">
        <v>0.0</v>
      </c>
      <c r="W70" s="166">
        <f t="shared" si="4"/>
        <v>0</v>
      </c>
      <c r="X70" s="203">
        <v>0.0</v>
      </c>
      <c r="Y70" s="165">
        <v>0.0</v>
      </c>
      <c r="Z70" s="165">
        <v>0.0</v>
      </c>
      <c r="AA70" s="165">
        <v>0.0</v>
      </c>
      <c r="AB70" s="165">
        <v>0.0</v>
      </c>
      <c r="AC70" s="165">
        <v>0.0</v>
      </c>
      <c r="AD70" s="165">
        <v>0.0</v>
      </c>
      <c r="AE70" s="166">
        <f t="shared" si="5"/>
        <v>0</v>
      </c>
      <c r="AF70" s="167">
        <v>5.0</v>
      </c>
      <c r="AG70" s="165">
        <v>0.0</v>
      </c>
      <c r="AH70" s="165">
        <v>0.0</v>
      </c>
      <c r="AI70" s="165">
        <v>3.0</v>
      </c>
      <c r="AJ70" s="165">
        <v>2.0</v>
      </c>
      <c r="AK70" s="165">
        <v>5.0</v>
      </c>
      <c r="AL70" s="165">
        <v>0.0</v>
      </c>
      <c r="AM70" s="166">
        <f t="shared" si="98"/>
        <v>0</v>
      </c>
      <c r="AN70" s="167">
        <v>1.0</v>
      </c>
      <c r="AO70" s="165">
        <v>0.0</v>
      </c>
      <c r="AP70" s="165">
        <v>0.0</v>
      </c>
      <c r="AQ70" s="165">
        <v>1.0</v>
      </c>
      <c r="AR70" s="165">
        <v>0.0</v>
      </c>
      <c r="AS70" s="165">
        <v>0.0</v>
      </c>
      <c r="AT70" s="165">
        <v>0.0</v>
      </c>
      <c r="AU70" s="168">
        <f t="shared" si="7"/>
        <v>1</v>
      </c>
      <c r="AV70" s="169">
        <v>491.0</v>
      </c>
      <c r="AW70" s="204">
        <f t="shared" si="8"/>
        <v>4</v>
      </c>
      <c r="AX70" s="169">
        <v>0.0</v>
      </c>
      <c r="AY70" s="169">
        <v>0.0</v>
      </c>
      <c r="AZ70" s="169">
        <v>1.0</v>
      </c>
      <c r="BA70" s="169">
        <v>0.0</v>
      </c>
      <c r="BB70" s="169">
        <v>0.0</v>
      </c>
      <c r="BC70" s="169">
        <v>1.0</v>
      </c>
      <c r="BD70" s="169">
        <v>0.0</v>
      </c>
      <c r="BE70" s="169">
        <v>2.0</v>
      </c>
      <c r="BF70" s="169">
        <v>0.0</v>
      </c>
      <c r="BG70" s="169">
        <v>0.0</v>
      </c>
      <c r="BH70" s="169">
        <v>0.0</v>
      </c>
      <c r="BI70" s="169">
        <v>0.0</v>
      </c>
      <c r="BJ70" s="169">
        <v>0.0</v>
      </c>
      <c r="BK70" s="169">
        <v>0.0</v>
      </c>
      <c r="BL70" s="169">
        <v>0.0</v>
      </c>
      <c r="BM70" s="169">
        <v>0.0</v>
      </c>
      <c r="BN70" s="169">
        <v>0.0</v>
      </c>
      <c r="BO70" s="169">
        <v>0.0</v>
      </c>
      <c r="BP70" s="205">
        <f t="shared" si="131"/>
        <v>0</v>
      </c>
      <c r="BQ70" s="173">
        <v>541.0</v>
      </c>
      <c r="BR70" s="170">
        <f t="shared" si="10"/>
        <v>7</v>
      </c>
      <c r="BS70" s="173">
        <v>0.0</v>
      </c>
      <c r="BT70" s="173">
        <v>0.0</v>
      </c>
      <c r="BU70" s="173">
        <v>1.0</v>
      </c>
      <c r="BV70" s="173">
        <v>0.0</v>
      </c>
      <c r="BW70" s="173">
        <v>0.0</v>
      </c>
      <c r="BX70" s="173">
        <v>3.0</v>
      </c>
      <c r="BY70" s="173">
        <v>3.0</v>
      </c>
      <c r="BZ70" s="173">
        <v>0.0</v>
      </c>
      <c r="CA70" s="173">
        <v>0.0</v>
      </c>
      <c r="CB70" s="173">
        <v>0.0</v>
      </c>
      <c r="CC70" s="173">
        <v>0.0</v>
      </c>
      <c r="CD70" s="173">
        <v>0.0</v>
      </c>
      <c r="CE70" s="173">
        <v>0.0</v>
      </c>
      <c r="CF70" s="173">
        <v>0.0</v>
      </c>
      <c r="CG70" s="173">
        <v>0.0</v>
      </c>
      <c r="CH70" s="173">
        <v>0.0</v>
      </c>
      <c r="CI70" s="173">
        <v>0.0</v>
      </c>
      <c r="CJ70" s="173">
        <v>0.0</v>
      </c>
      <c r="CK70" s="172">
        <f t="shared" si="132"/>
        <v>0</v>
      </c>
      <c r="CL70" s="173">
        <v>530.0</v>
      </c>
      <c r="CM70" s="173">
        <v>334.0</v>
      </c>
      <c r="CN70" s="175">
        <f t="shared" si="12"/>
        <v>2</v>
      </c>
      <c r="CO70" s="173">
        <v>0.0</v>
      </c>
      <c r="CP70" s="173">
        <v>0.0</v>
      </c>
      <c r="CQ70" s="173">
        <v>0.0</v>
      </c>
      <c r="CR70" s="173">
        <v>0.0</v>
      </c>
      <c r="CS70" s="173">
        <v>0.0</v>
      </c>
      <c r="CT70" s="173">
        <v>0.0</v>
      </c>
      <c r="CU70" s="173">
        <v>1.0</v>
      </c>
      <c r="CV70" s="173">
        <v>1.0</v>
      </c>
      <c r="CW70" s="173">
        <v>0.0</v>
      </c>
      <c r="CX70" s="173">
        <v>3.0</v>
      </c>
      <c r="CY70" s="173">
        <v>3.0</v>
      </c>
      <c r="CZ70" s="173">
        <v>0.0</v>
      </c>
      <c r="DA70" s="173">
        <v>0.0</v>
      </c>
      <c r="DB70" s="173">
        <v>0.0</v>
      </c>
      <c r="DC70" s="173">
        <v>0.0</v>
      </c>
      <c r="DD70" s="173">
        <v>0.0</v>
      </c>
      <c r="DE70" s="173">
        <v>0.0</v>
      </c>
      <c r="DF70" s="173">
        <v>0.0</v>
      </c>
      <c r="DG70" s="176">
        <f t="shared" si="13"/>
        <v>6</v>
      </c>
      <c r="DH70" s="177">
        <v>528.0</v>
      </c>
      <c r="DI70" s="177">
        <v>104.0</v>
      </c>
      <c r="DJ70" s="177">
        <v>528.0</v>
      </c>
      <c r="DK70" s="177">
        <v>104.0</v>
      </c>
      <c r="DL70" s="179">
        <f t="shared" si="14"/>
        <v>2</v>
      </c>
      <c r="DM70" s="180">
        <f t="shared" si="15"/>
        <v>1</v>
      </c>
      <c r="DN70" s="180">
        <f t="shared" si="16"/>
        <v>1</v>
      </c>
      <c r="DO70" s="177">
        <v>0.0</v>
      </c>
      <c r="DP70" s="177">
        <v>0.0</v>
      </c>
      <c r="DQ70" s="177">
        <v>1.0</v>
      </c>
      <c r="DR70" s="177">
        <v>1.0</v>
      </c>
      <c r="DS70" s="177">
        <v>0.0</v>
      </c>
      <c r="DT70" s="177">
        <v>0.0</v>
      </c>
      <c r="DU70" s="177">
        <v>0.0</v>
      </c>
      <c r="DV70" s="177">
        <v>0.0</v>
      </c>
      <c r="DW70" s="177">
        <v>0.0</v>
      </c>
      <c r="DX70" s="177">
        <v>0.0</v>
      </c>
      <c r="DY70" s="177">
        <v>0.0</v>
      </c>
      <c r="DZ70" s="177">
        <v>0.0</v>
      </c>
      <c r="EA70" s="177">
        <v>0.0</v>
      </c>
      <c r="EB70" s="177">
        <v>0.0</v>
      </c>
      <c r="EC70" s="177">
        <v>0.0</v>
      </c>
      <c r="ED70" s="177">
        <v>0.0</v>
      </c>
      <c r="EE70" s="177">
        <v>0.0</v>
      </c>
      <c r="EF70" s="177">
        <v>0.0</v>
      </c>
      <c r="EG70" s="179">
        <f t="shared" si="17"/>
        <v>0</v>
      </c>
      <c r="EH70" s="179">
        <f t="shared" si="18"/>
        <v>0</v>
      </c>
      <c r="EI70" s="177">
        <v>523.0</v>
      </c>
      <c r="EJ70" s="177">
        <v>103.0</v>
      </c>
      <c r="EK70" s="177">
        <v>523.0</v>
      </c>
      <c r="EL70" s="177">
        <v>103.0</v>
      </c>
      <c r="EM70" s="186">
        <v>3.0</v>
      </c>
      <c r="EN70" s="186">
        <f t="shared" si="89"/>
        <v>2</v>
      </c>
      <c r="EO70" s="186">
        <f t="shared" si="90"/>
        <v>1</v>
      </c>
      <c r="EP70" s="177">
        <v>0.0</v>
      </c>
      <c r="EQ70" s="177">
        <v>0.0</v>
      </c>
      <c r="ER70" s="177">
        <v>1.0</v>
      </c>
      <c r="ES70" s="177">
        <v>1.0</v>
      </c>
      <c r="ET70" s="177">
        <v>0.0</v>
      </c>
      <c r="EU70" s="177">
        <v>0.0</v>
      </c>
      <c r="EV70" s="177">
        <v>1.0</v>
      </c>
      <c r="EW70" s="177">
        <v>0.0</v>
      </c>
      <c r="EX70" s="177">
        <v>0.0</v>
      </c>
      <c r="EY70" s="177">
        <v>0.0</v>
      </c>
      <c r="EZ70" s="177">
        <v>0.0</v>
      </c>
      <c r="FA70" s="177">
        <v>0.0</v>
      </c>
      <c r="FB70" s="177">
        <v>0.0</v>
      </c>
      <c r="FC70" s="177">
        <v>0.0</v>
      </c>
      <c r="FD70" s="177">
        <v>0.0</v>
      </c>
      <c r="FE70" s="177">
        <v>0.0</v>
      </c>
      <c r="FF70" s="177">
        <v>0.0</v>
      </c>
      <c r="FG70" s="177">
        <v>0.0</v>
      </c>
      <c r="FH70" s="185">
        <f t="shared" si="22"/>
        <v>0</v>
      </c>
      <c r="FI70" s="185">
        <f t="shared" si="23"/>
        <v>0</v>
      </c>
      <c r="FJ70" s="177">
        <v>508.0</v>
      </c>
      <c r="FK70" s="177">
        <v>101.0</v>
      </c>
      <c r="FL70" s="177">
        <v>508.0</v>
      </c>
      <c r="FM70" s="177">
        <v>101.0</v>
      </c>
      <c r="FN70" s="210"/>
      <c r="FO70" s="210">
        <v>3.0</v>
      </c>
      <c r="FP70" s="243">
        <v>3.0</v>
      </c>
      <c r="FQ70" s="211">
        <v>2.0</v>
      </c>
      <c r="FR70" s="212">
        <v>1.0</v>
      </c>
      <c r="FS70" s="206">
        <v>0.0</v>
      </c>
      <c r="FT70" s="207">
        <v>0.0</v>
      </c>
      <c r="FU70" s="207">
        <v>1.0</v>
      </c>
      <c r="FV70" s="207">
        <v>1.0</v>
      </c>
      <c r="FW70" s="207">
        <v>0.0</v>
      </c>
      <c r="FX70" s="207">
        <v>0.0</v>
      </c>
      <c r="FY70" s="207">
        <v>1.0</v>
      </c>
      <c r="FZ70" s="207">
        <v>0.0</v>
      </c>
      <c r="GA70" s="207">
        <v>0.0</v>
      </c>
      <c r="GB70" s="207">
        <v>0.0</v>
      </c>
      <c r="GC70" s="207">
        <v>0.0</v>
      </c>
      <c r="GD70" s="207">
        <v>0.0</v>
      </c>
      <c r="GE70" s="207">
        <v>0.0</v>
      </c>
      <c r="GF70" s="207">
        <v>0.0</v>
      </c>
      <c r="GG70" s="207">
        <v>0.0</v>
      </c>
      <c r="GH70" s="207">
        <v>0.0</v>
      </c>
      <c r="GI70" s="207">
        <v>0.0</v>
      </c>
      <c r="GJ70" s="207">
        <v>0.0</v>
      </c>
      <c r="GK70" s="212">
        <v>0.0</v>
      </c>
      <c r="GL70" s="212">
        <v>0.0</v>
      </c>
      <c r="GM70" s="207">
        <v>509.0</v>
      </c>
      <c r="GN70" s="207">
        <v>99.0</v>
      </c>
      <c r="GO70" s="213">
        <v>509.0</v>
      </c>
      <c r="GP70" s="213">
        <v>99.0</v>
      </c>
      <c r="GQ70" s="207"/>
      <c r="GR70" s="213">
        <v>7.0</v>
      </c>
      <c r="GS70" s="193">
        <v>6.0</v>
      </c>
      <c r="GT70" s="194">
        <f t="shared" si="25"/>
        <v>7</v>
      </c>
      <c r="GU70" s="194">
        <f t="shared" si="26"/>
        <v>6</v>
      </c>
      <c r="GV70" s="194">
        <f t="shared" si="27"/>
        <v>1</v>
      </c>
      <c r="GW70" s="207">
        <v>0.0</v>
      </c>
      <c r="GX70" s="207">
        <v>0.0</v>
      </c>
      <c r="GY70" s="207">
        <v>2.0</v>
      </c>
      <c r="GZ70" s="207">
        <v>1.0</v>
      </c>
      <c r="HA70" s="207">
        <v>0.0</v>
      </c>
      <c r="HB70" s="207">
        <v>1.0</v>
      </c>
      <c r="HC70" s="207">
        <v>3.0</v>
      </c>
      <c r="HD70" s="207">
        <v>0.0</v>
      </c>
      <c r="HE70" s="207">
        <v>0.0</v>
      </c>
      <c r="HF70" s="207">
        <v>0.0</v>
      </c>
      <c r="HG70" s="207">
        <v>0.0</v>
      </c>
      <c r="HH70" s="207">
        <v>0.0</v>
      </c>
      <c r="HI70" s="207">
        <v>0.0</v>
      </c>
      <c r="HJ70" s="207">
        <v>0.0</v>
      </c>
      <c r="HK70" s="207">
        <v>0.0</v>
      </c>
      <c r="HL70" s="207">
        <v>0.0</v>
      </c>
      <c r="HM70" s="207">
        <v>0.0</v>
      </c>
      <c r="HN70" s="207">
        <v>0.0</v>
      </c>
      <c r="HO70" s="222">
        <v>0.0</v>
      </c>
      <c r="HP70" s="222">
        <v>0.0</v>
      </c>
      <c r="HQ70" s="214"/>
      <c r="HR70" s="197"/>
      <c r="HS70" s="197"/>
      <c r="HT70" s="198">
        <f t="shared" si="28"/>
        <v>0</v>
      </c>
      <c r="HU70" s="198">
        <f t="shared" si="29"/>
        <v>0</v>
      </c>
      <c r="HV70" s="198">
        <f t="shared" si="30"/>
        <v>0</v>
      </c>
      <c r="HW70" s="198">
        <f t="shared" si="99"/>
        <v>5</v>
      </c>
      <c r="HX70" s="198">
        <f t="shared" si="32"/>
        <v>1</v>
      </c>
      <c r="HY70" s="198">
        <f t="shared" si="33"/>
        <v>4</v>
      </c>
      <c r="HZ70" s="198">
        <f t="shared" si="34"/>
        <v>7</v>
      </c>
      <c r="IA70" s="198">
        <f t="shared" si="35"/>
        <v>2</v>
      </c>
      <c r="IB70" s="198">
        <f t="shared" si="36"/>
        <v>2</v>
      </c>
      <c r="IC70" s="198">
        <f t="shared" si="37"/>
        <v>3</v>
      </c>
      <c r="ID70" s="198">
        <f t="shared" si="38"/>
        <v>3</v>
      </c>
      <c r="IE70" s="198">
        <f t="shared" si="39"/>
        <v>7</v>
      </c>
      <c r="IF70" s="197"/>
      <c r="IG70" s="197"/>
      <c r="IH70" s="197"/>
      <c r="II70" s="197"/>
      <c r="IJ70" s="197"/>
      <c r="IK70" s="197"/>
      <c r="IL70" s="197"/>
      <c r="IM70" s="197"/>
      <c r="IN70" s="197"/>
      <c r="IO70" s="197"/>
      <c r="IP70" s="197"/>
      <c r="IQ70" s="197"/>
      <c r="IR70" s="197"/>
      <c r="IS70" s="197"/>
      <c r="IT70" s="197"/>
      <c r="IU70" s="197"/>
      <c r="IV70" s="197"/>
      <c r="IW70" s="197"/>
      <c r="IX70" s="197"/>
      <c r="IY70" s="197"/>
      <c r="IZ70" s="197"/>
      <c r="JA70" s="199"/>
      <c r="JB70" s="200">
        <f t="shared" si="40"/>
        <v>0</v>
      </c>
      <c r="JC70" s="200">
        <f t="shared" si="41"/>
        <v>0</v>
      </c>
      <c r="JD70" s="200">
        <f t="shared" si="42"/>
        <v>0</v>
      </c>
      <c r="JE70" s="200">
        <f t="shared" si="43"/>
        <v>5</v>
      </c>
      <c r="JF70" s="200">
        <f t="shared" si="44"/>
        <v>1</v>
      </c>
      <c r="JG70" s="200">
        <f t="shared" si="45"/>
        <v>4</v>
      </c>
      <c r="JH70" s="200">
        <f t="shared" si="46"/>
        <v>7</v>
      </c>
      <c r="JI70" s="200">
        <f t="shared" si="47"/>
        <v>2</v>
      </c>
      <c r="JJ70" s="200">
        <f t="shared" si="48"/>
        <v>2</v>
      </c>
      <c r="JK70" s="200">
        <f t="shared" si="49"/>
        <v>3</v>
      </c>
      <c r="JL70" s="200">
        <f t="shared" si="50"/>
        <v>3</v>
      </c>
      <c r="JM70" s="200">
        <f t="shared" si="51"/>
        <v>7</v>
      </c>
      <c r="JN70" s="199"/>
      <c r="JO70" s="200">
        <f t="shared" si="52"/>
        <v>0</v>
      </c>
      <c r="JP70" s="202">
        <v>0.0</v>
      </c>
      <c r="JQ70" s="202">
        <v>0.0</v>
      </c>
      <c r="JR70" s="202">
        <v>5.0</v>
      </c>
      <c r="JS70" s="202">
        <v>1.0</v>
      </c>
      <c r="JT70" s="199"/>
      <c r="JU70" s="199"/>
      <c r="JV70" s="200">
        <f t="shared" ref="JV70:JX70" si="188">IA70-JI70</f>
        <v>0</v>
      </c>
      <c r="JW70" s="200">
        <f t="shared" si="188"/>
        <v>0</v>
      </c>
      <c r="JX70" s="200">
        <f t="shared" si="188"/>
        <v>0</v>
      </c>
      <c r="JY70" s="199"/>
      <c r="JZ70" s="199"/>
      <c r="KA70" s="199"/>
      <c r="KB70" s="200">
        <f t="shared" ref="KB70:KM70" si="189">JB70-JO70</f>
        <v>0</v>
      </c>
      <c r="KC70" s="200">
        <f t="shared" si="189"/>
        <v>0</v>
      </c>
      <c r="KD70" s="200">
        <f t="shared" si="189"/>
        <v>0</v>
      </c>
      <c r="KE70" s="200">
        <f t="shared" si="189"/>
        <v>0</v>
      </c>
      <c r="KF70" s="200">
        <f t="shared" si="189"/>
        <v>0</v>
      </c>
      <c r="KG70" s="200">
        <f t="shared" si="189"/>
        <v>4</v>
      </c>
      <c r="KH70" s="200">
        <f t="shared" si="189"/>
        <v>7</v>
      </c>
      <c r="KI70" s="200">
        <f t="shared" si="189"/>
        <v>2</v>
      </c>
      <c r="KJ70" s="200">
        <f t="shared" si="189"/>
        <v>2</v>
      </c>
      <c r="KK70" s="200">
        <f t="shared" si="189"/>
        <v>3</v>
      </c>
      <c r="KL70" s="200">
        <f t="shared" si="189"/>
        <v>3</v>
      </c>
      <c r="KM70" s="200">
        <f t="shared" si="189"/>
        <v>7</v>
      </c>
      <c r="KN70" s="199"/>
      <c r="KO70" s="199"/>
      <c r="KP70" s="199"/>
      <c r="KQ70" s="199"/>
      <c r="KR70" s="199"/>
      <c r="KS70" s="199"/>
      <c r="KT70" s="199"/>
      <c r="KU70" s="199"/>
      <c r="KV70" s="199"/>
      <c r="KW70" s="199"/>
      <c r="KX70" s="199"/>
      <c r="KY70" s="199"/>
      <c r="KZ70" s="199"/>
      <c r="LA70" s="199"/>
      <c r="LB70" s="199"/>
      <c r="LC70" s="199"/>
      <c r="LD70" s="199"/>
      <c r="LE70" s="199"/>
      <c r="LF70" s="199"/>
      <c r="LG70" s="199"/>
    </row>
    <row r="71" ht="14.25" customHeight="1">
      <c r="A71" s="156">
        <v>64.0</v>
      </c>
      <c r="B71" s="157" t="s">
        <v>143</v>
      </c>
      <c r="C71" s="158">
        <v>3374080.0</v>
      </c>
      <c r="D71" s="158" t="s">
        <v>144</v>
      </c>
      <c r="E71" s="158" t="s">
        <v>155</v>
      </c>
      <c r="F71" s="159">
        <v>15.0</v>
      </c>
      <c r="G71" s="159">
        <v>874.0</v>
      </c>
      <c r="H71" s="161">
        <v>1.0</v>
      </c>
      <c r="I71" s="161">
        <v>0.0</v>
      </c>
      <c r="J71" s="161">
        <v>0.0</v>
      </c>
      <c r="K71" s="161">
        <v>0.0</v>
      </c>
      <c r="L71" s="161">
        <v>1.0</v>
      </c>
      <c r="M71" s="161">
        <v>1.0</v>
      </c>
      <c r="N71" s="161">
        <v>0.0</v>
      </c>
      <c r="O71" s="162">
        <f t="shared" si="3"/>
        <v>0</v>
      </c>
      <c r="P71" s="203">
        <v>1.0</v>
      </c>
      <c r="Q71" s="164">
        <v>0.0</v>
      </c>
      <c r="R71" s="164">
        <v>0.0</v>
      </c>
      <c r="S71" s="164">
        <v>0.0</v>
      </c>
      <c r="T71" s="165">
        <v>1.0</v>
      </c>
      <c r="U71" s="165">
        <v>0.0</v>
      </c>
      <c r="V71" s="165">
        <v>0.0</v>
      </c>
      <c r="W71" s="166">
        <f t="shared" si="4"/>
        <v>1</v>
      </c>
      <c r="X71" s="203">
        <v>16.0</v>
      </c>
      <c r="Y71" s="165">
        <v>1.0</v>
      </c>
      <c r="Z71" s="165">
        <v>0.0</v>
      </c>
      <c r="AA71" s="165">
        <v>2.0</v>
      </c>
      <c r="AB71" s="165">
        <v>13.0</v>
      </c>
      <c r="AC71" s="165">
        <v>14.0</v>
      </c>
      <c r="AD71" s="165">
        <v>0.0</v>
      </c>
      <c r="AE71" s="166">
        <f t="shared" si="5"/>
        <v>2</v>
      </c>
      <c r="AF71" s="167">
        <v>10.0</v>
      </c>
      <c r="AG71" s="165">
        <v>2.0</v>
      </c>
      <c r="AH71" s="165">
        <v>2.0</v>
      </c>
      <c r="AI71" s="165">
        <v>2.0</v>
      </c>
      <c r="AJ71" s="165">
        <v>4.0</v>
      </c>
      <c r="AK71" s="165">
        <v>3.0</v>
      </c>
      <c r="AL71" s="165">
        <v>0.0</v>
      </c>
      <c r="AM71" s="166">
        <f t="shared" si="98"/>
        <v>7</v>
      </c>
      <c r="AN71" s="167">
        <v>10.0</v>
      </c>
      <c r="AO71" s="165">
        <v>0.0</v>
      </c>
      <c r="AP71" s="165">
        <v>3.0</v>
      </c>
      <c r="AQ71" s="165">
        <v>2.0</v>
      </c>
      <c r="AR71" s="165">
        <v>5.0</v>
      </c>
      <c r="AS71" s="165">
        <v>1.0</v>
      </c>
      <c r="AT71" s="165">
        <v>2.0</v>
      </c>
      <c r="AU71" s="168">
        <f t="shared" si="7"/>
        <v>7</v>
      </c>
      <c r="AV71" s="169">
        <v>684.0</v>
      </c>
      <c r="AW71" s="204">
        <f t="shared" si="8"/>
        <v>11</v>
      </c>
      <c r="AX71" s="169">
        <v>0.0</v>
      </c>
      <c r="AY71" s="169">
        <v>3.0</v>
      </c>
      <c r="AZ71" s="169">
        <v>2.0</v>
      </c>
      <c r="BA71" s="169">
        <v>5.0</v>
      </c>
      <c r="BB71" s="169">
        <v>0.0</v>
      </c>
      <c r="BC71" s="169">
        <v>1.0</v>
      </c>
      <c r="BD71" s="169">
        <v>0.0</v>
      </c>
      <c r="BE71" s="169">
        <v>0.0</v>
      </c>
      <c r="BF71" s="169">
        <v>0.0</v>
      </c>
      <c r="BG71" s="169">
        <v>0.0</v>
      </c>
      <c r="BH71" s="169">
        <v>0.0</v>
      </c>
      <c r="BI71" s="169">
        <v>0.0</v>
      </c>
      <c r="BJ71" s="169">
        <v>0.0</v>
      </c>
      <c r="BK71" s="169">
        <v>0.0</v>
      </c>
      <c r="BL71" s="169">
        <v>0.0</v>
      </c>
      <c r="BM71" s="169">
        <v>0.0</v>
      </c>
      <c r="BN71" s="169">
        <v>0.0</v>
      </c>
      <c r="BO71" s="169">
        <v>0.0</v>
      </c>
      <c r="BP71" s="205">
        <f t="shared" si="131"/>
        <v>0</v>
      </c>
      <c r="BQ71" s="173">
        <v>804.0</v>
      </c>
      <c r="BR71" s="170">
        <f t="shared" si="10"/>
        <v>8</v>
      </c>
      <c r="BS71" s="173">
        <v>0.0</v>
      </c>
      <c r="BT71" s="173">
        <v>3.0</v>
      </c>
      <c r="BU71" s="173">
        <v>2.0</v>
      </c>
      <c r="BV71" s="173">
        <v>3.0</v>
      </c>
      <c r="BW71" s="173">
        <v>0.0</v>
      </c>
      <c r="BX71" s="173">
        <v>0.0</v>
      </c>
      <c r="BY71" s="173">
        <v>0.0</v>
      </c>
      <c r="BZ71" s="173">
        <v>0.0</v>
      </c>
      <c r="CA71" s="173">
        <v>0.0</v>
      </c>
      <c r="CB71" s="173">
        <v>0.0</v>
      </c>
      <c r="CC71" s="173">
        <v>0.0</v>
      </c>
      <c r="CD71" s="173">
        <v>2.0</v>
      </c>
      <c r="CE71" s="173">
        <v>0.0</v>
      </c>
      <c r="CF71" s="173">
        <v>0.0</v>
      </c>
      <c r="CG71" s="173">
        <v>0.0</v>
      </c>
      <c r="CH71" s="173">
        <v>0.0</v>
      </c>
      <c r="CI71" s="173">
        <v>0.0</v>
      </c>
      <c r="CJ71" s="173">
        <v>0.0</v>
      </c>
      <c r="CK71" s="172">
        <f t="shared" si="132"/>
        <v>2</v>
      </c>
      <c r="CL71" s="173">
        <v>822.0</v>
      </c>
      <c r="CM71" s="173">
        <v>368.0</v>
      </c>
      <c r="CN71" s="175">
        <f t="shared" si="12"/>
        <v>5</v>
      </c>
      <c r="CO71" s="173">
        <v>0.0</v>
      </c>
      <c r="CP71" s="173">
        <v>0.0</v>
      </c>
      <c r="CQ71" s="173">
        <v>2.0</v>
      </c>
      <c r="CR71" s="173">
        <v>3.0</v>
      </c>
      <c r="CS71" s="173">
        <v>0.0</v>
      </c>
      <c r="CT71" s="173">
        <v>0.0</v>
      </c>
      <c r="CU71" s="173">
        <v>0.0</v>
      </c>
      <c r="CV71" s="173">
        <v>0.0</v>
      </c>
      <c r="CW71" s="173">
        <v>0.0</v>
      </c>
      <c r="CX71" s="173">
        <v>2.0</v>
      </c>
      <c r="CY71" s="173">
        <v>0.0</v>
      </c>
      <c r="CZ71" s="173">
        <v>1.0</v>
      </c>
      <c r="DA71" s="173">
        <v>0.0</v>
      </c>
      <c r="DB71" s="173">
        <v>0.0</v>
      </c>
      <c r="DC71" s="173">
        <v>0.0</v>
      </c>
      <c r="DD71" s="173">
        <v>0.0</v>
      </c>
      <c r="DE71" s="173">
        <v>0.0</v>
      </c>
      <c r="DF71" s="173">
        <v>0.0</v>
      </c>
      <c r="DG71" s="176">
        <f t="shared" si="13"/>
        <v>3</v>
      </c>
      <c r="DH71" s="177">
        <v>834.0</v>
      </c>
      <c r="DI71" s="177">
        <v>186.0</v>
      </c>
      <c r="DJ71" s="177">
        <v>834.0</v>
      </c>
      <c r="DK71" s="177">
        <v>186.0</v>
      </c>
      <c r="DL71" s="179">
        <f t="shared" si="14"/>
        <v>5</v>
      </c>
      <c r="DM71" s="180">
        <f t="shared" si="15"/>
        <v>2</v>
      </c>
      <c r="DN71" s="180">
        <f t="shared" si="16"/>
        <v>3</v>
      </c>
      <c r="DO71" s="177">
        <v>0.0</v>
      </c>
      <c r="DP71" s="177">
        <v>0.0</v>
      </c>
      <c r="DQ71" s="177">
        <v>2.0</v>
      </c>
      <c r="DR71" s="177">
        <v>3.0</v>
      </c>
      <c r="DS71" s="177">
        <v>0.0</v>
      </c>
      <c r="DT71" s="177">
        <v>0.0</v>
      </c>
      <c r="DU71" s="177">
        <v>0.0</v>
      </c>
      <c r="DV71" s="177">
        <v>0.0</v>
      </c>
      <c r="DW71" s="177">
        <v>0.0</v>
      </c>
      <c r="DX71" s="177">
        <v>0.0</v>
      </c>
      <c r="DY71" s="177">
        <v>0.0</v>
      </c>
      <c r="DZ71" s="177">
        <v>0.0</v>
      </c>
      <c r="EA71" s="177">
        <v>0.0</v>
      </c>
      <c r="EB71" s="177">
        <v>0.0</v>
      </c>
      <c r="EC71" s="177">
        <v>0.0</v>
      </c>
      <c r="ED71" s="177">
        <v>0.0</v>
      </c>
      <c r="EE71" s="177">
        <v>0.0</v>
      </c>
      <c r="EF71" s="177">
        <v>0.0</v>
      </c>
      <c r="EG71" s="179">
        <f t="shared" si="17"/>
        <v>0</v>
      </c>
      <c r="EH71" s="179">
        <f t="shared" si="18"/>
        <v>0</v>
      </c>
      <c r="EI71" s="177">
        <v>840.0</v>
      </c>
      <c r="EJ71" s="177">
        <v>189.0</v>
      </c>
      <c r="EK71" s="177">
        <v>840.0</v>
      </c>
      <c r="EL71" s="177">
        <v>189.0</v>
      </c>
      <c r="EM71" s="186">
        <v>7.0</v>
      </c>
      <c r="EN71" s="186">
        <f t="shared" si="89"/>
        <v>2</v>
      </c>
      <c r="EO71" s="186">
        <f t="shared" si="90"/>
        <v>5</v>
      </c>
      <c r="EP71" s="177">
        <v>0.0</v>
      </c>
      <c r="EQ71" s="177">
        <v>0.0</v>
      </c>
      <c r="ER71" s="177">
        <v>2.0</v>
      </c>
      <c r="ES71" s="177">
        <v>3.0</v>
      </c>
      <c r="ET71" s="177">
        <v>0.0</v>
      </c>
      <c r="EU71" s="177">
        <v>0.0</v>
      </c>
      <c r="EV71" s="177">
        <v>0.0</v>
      </c>
      <c r="EW71" s="177">
        <v>2.0</v>
      </c>
      <c r="EX71" s="177">
        <v>0.0</v>
      </c>
      <c r="EY71" s="177">
        <v>0.0</v>
      </c>
      <c r="EZ71" s="177">
        <v>0.0</v>
      </c>
      <c r="FA71" s="177">
        <v>0.0</v>
      </c>
      <c r="FB71" s="177">
        <v>0.0</v>
      </c>
      <c r="FC71" s="177">
        <v>0.0</v>
      </c>
      <c r="FD71" s="177">
        <v>0.0</v>
      </c>
      <c r="FE71" s="177">
        <v>0.0</v>
      </c>
      <c r="FF71" s="177">
        <v>0.0</v>
      </c>
      <c r="FG71" s="177">
        <v>0.0</v>
      </c>
      <c r="FH71" s="185">
        <f t="shared" si="22"/>
        <v>0</v>
      </c>
      <c r="FI71" s="185">
        <f t="shared" si="23"/>
        <v>0</v>
      </c>
      <c r="FJ71" s="177">
        <v>812.0</v>
      </c>
      <c r="FK71" s="177">
        <v>181.0</v>
      </c>
      <c r="FL71" s="177">
        <v>812.0</v>
      </c>
      <c r="FM71" s="177">
        <v>181.0</v>
      </c>
      <c r="FN71" s="210"/>
      <c r="FO71" s="210">
        <v>7.0</v>
      </c>
      <c r="FP71" s="243">
        <v>7.0</v>
      </c>
      <c r="FQ71" s="211">
        <v>1.0</v>
      </c>
      <c r="FR71" s="212">
        <v>6.0</v>
      </c>
      <c r="FS71" s="206">
        <v>0.0</v>
      </c>
      <c r="FT71" s="207">
        <v>0.0</v>
      </c>
      <c r="FU71" s="207">
        <v>0.0</v>
      </c>
      <c r="FV71" s="207">
        <v>3.0</v>
      </c>
      <c r="FW71" s="207">
        <v>0.0</v>
      </c>
      <c r="FX71" s="207">
        <v>0.0</v>
      </c>
      <c r="FY71" s="207">
        <v>1.0</v>
      </c>
      <c r="FZ71" s="207">
        <v>3.0</v>
      </c>
      <c r="GA71" s="207">
        <v>0.0</v>
      </c>
      <c r="GB71" s="207">
        <v>0.0</v>
      </c>
      <c r="GC71" s="207">
        <v>0.0</v>
      </c>
      <c r="GD71" s="207">
        <v>0.0</v>
      </c>
      <c r="GE71" s="207">
        <v>0.0</v>
      </c>
      <c r="GF71" s="207">
        <v>0.0</v>
      </c>
      <c r="GG71" s="207">
        <v>0.0</v>
      </c>
      <c r="GH71" s="207">
        <v>0.0</v>
      </c>
      <c r="GI71" s="207">
        <v>0.0</v>
      </c>
      <c r="GJ71" s="207">
        <v>0.0</v>
      </c>
      <c r="GK71" s="212">
        <v>0.0</v>
      </c>
      <c r="GL71" s="212">
        <v>0.0</v>
      </c>
      <c r="GM71" s="207">
        <v>802.0</v>
      </c>
      <c r="GN71" s="207">
        <v>162.0</v>
      </c>
      <c r="GO71" s="213">
        <v>802.0</v>
      </c>
      <c r="GP71" s="213">
        <v>162.0</v>
      </c>
      <c r="GQ71" s="207"/>
      <c r="GR71" s="213">
        <v>8.0</v>
      </c>
      <c r="GS71" s="193">
        <v>0.0</v>
      </c>
      <c r="GT71" s="194">
        <f t="shared" si="25"/>
        <v>8</v>
      </c>
      <c r="GU71" s="194">
        <f t="shared" si="26"/>
        <v>0</v>
      </c>
      <c r="GV71" s="194">
        <f t="shared" si="27"/>
        <v>8</v>
      </c>
      <c r="GW71" s="207">
        <v>0.0</v>
      </c>
      <c r="GX71" s="207">
        <v>0.0</v>
      </c>
      <c r="GY71" s="207">
        <v>0.0</v>
      </c>
      <c r="GZ71" s="207">
        <v>7.0</v>
      </c>
      <c r="HA71" s="207">
        <v>0.0</v>
      </c>
      <c r="HB71" s="207">
        <v>0.0</v>
      </c>
      <c r="HC71" s="207">
        <v>0.0</v>
      </c>
      <c r="HD71" s="207">
        <v>1.0</v>
      </c>
      <c r="HE71" s="207">
        <v>0.0</v>
      </c>
      <c r="HF71" s="207">
        <v>0.0</v>
      </c>
      <c r="HG71" s="207">
        <v>0.0</v>
      </c>
      <c r="HH71" s="207">
        <v>0.0</v>
      </c>
      <c r="HI71" s="207">
        <v>0.0</v>
      </c>
      <c r="HJ71" s="207">
        <v>0.0</v>
      </c>
      <c r="HK71" s="207">
        <v>0.0</v>
      </c>
      <c r="HL71" s="207">
        <v>0.0</v>
      </c>
      <c r="HM71" s="207">
        <v>0.0</v>
      </c>
      <c r="HN71" s="207">
        <v>0.0</v>
      </c>
      <c r="HO71" s="222">
        <v>0.0</v>
      </c>
      <c r="HP71" s="222">
        <v>0.0</v>
      </c>
      <c r="HQ71" s="214"/>
      <c r="HR71" s="197"/>
      <c r="HS71" s="197"/>
      <c r="HT71" s="198">
        <f t="shared" si="28"/>
        <v>1</v>
      </c>
      <c r="HU71" s="198">
        <f t="shared" si="29"/>
        <v>1</v>
      </c>
      <c r="HV71" s="198">
        <f t="shared" si="30"/>
        <v>16</v>
      </c>
      <c r="HW71" s="198">
        <f t="shared" si="99"/>
        <v>10</v>
      </c>
      <c r="HX71" s="198">
        <f t="shared" si="32"/>
        <v>10</v>
      </c>
      <c r="HY71" s="198">
        <f t="shared" si="33"/>
        <v>11</v>
      </c>
      <c r="HZ71" s="198">
        <f t="shared" si="34"/>
        <v>8</v>
      </c>
      <c r="IA71" s="198">
        <f t="shared" si="35"/>
        <v>5</v>
      </c>
      <c r="IB71" s="198">
        <f t="shared" si="36"/>
        <v>5</v>
      </c>
      <c r="IC71" s="198">
        <f t="shared" si="37"/>
        <v>7</v>
      </c>
      <c r="ID71" s="198">
        <f t="shared" si="38"/>
        <v>7</v>
      </c>
      <c r="IE71" s="198">
        <f t="shared" si="39"/>
        <v>8</v>
      </c>
      <c r="IF71" s="197"/>
      <c r="IG71" s="197"/>
      <c r="IH71" s="197"/>
      <c r="II71" s="197"/>
      <c r="IJ71" s="197"/>
      <c r="IK71" s="197"/>
      <c r="IL71" s="197"/>
      <c r="IM71" s="197"/>
      <c r="IN71" s="197"/>
      <c r="IO71" s="197"/>
      <c r="IP71" s="197"/>
      <c r="IQ71" s="197"/>
      <c r="IR71" s="197"/>
      <c r="IS71" s="197"/>
      <c r="IT71" s="197"/>
      <c r="IU71" s="197"/>
      <c r="IV71" s="197"/>
      <c r="IW71" s="197"/>
      <c r="IX71" s="197"/>
      <c r="IY71" s="197"/>
      <c r="IZ71" s="197"/>
      <c r="JA71" s="199"/>
      <c r="JB71" s="200">
        <f t="shared" si="40"/>
        <v>1</v>
      </c>
      <c r="JC71" s="200">
        <f t="shared" si="41"/>
        <v>1</v>
      </c>
      <c r="JD71" s="200">
        <f t="shared" si="42"/>
        <v>16</v>
      </c>
      <c r="JE71" s="200">
        <f t="shared" si="43"/>
        <v>10</v>
      </c>
      <c r="JF71" s="200">
        <f t="shared" si="44"/>
        <v>10</v>
      </c>
      <c r="JG71" s="200">
        <f t="shared" si="45"/>
        <v>11</v>
      </c>
      <c r="JH71" s="200">
        <f t="shared" si="46"/>
        <v>8</v>
      </c>
      <c r="JI71" s="200">
        <f t="shared" si="47"/>
        <v>5</v>
      </c>
      <c r="JJ71" s="200">
        <f t="shared" si="48"/>
        <v>5</v>
      </c>
      <c r="JK71" s="200">
        <f t="shared" si="49"/>
        <v>7</v>
      </c>
      <c r="JL71" s="200">
        <f t="shared" si="50"/>
        <v>7</v>
      </c>
      <c r="JM71" s="200">
        <f t="shared" si="51"/>
        <v>8</v>
      </c>
      <c r="JN71" s="199"/>
      <c r="JO71" s="200">
        <f t="shared" si="52"/>
        <v>1</v>
      </c>
      <c r="JP71" s="202">
        <v>1.0</v>
      </c>
      <c r="JQ71" s="202">
        <v>16.0</v>
      </c>
      <c r="JR71" s="202">
        <v>10.0</v>
      </c>
      <c r="JS71" s="202">
        <v>10.0</v>
      </c>
      <c r="JT71" s="199"/>
      <c r="JU71" s="199"/>
      <c r="JV71" s="200">
        <f t="shared" ref="JV71:JX71" si="190">IA71-JI71</f>
        <v>0</v>
      </c>
      <c r="JW71" s="200">
        <f t="shared" si="190"/>
        <v>0</v>
      </c>
      <c r="JX71" s="200">
        <f t="shared" si="190"/>
        <v>0</v>
      </c>
      <c r="JY71" s="199"/>
      <c r="JZ71" s="199"/>
      <c r="KA71" s="199"/>
      <c r="KB71" s="200">
        <f t="shared" ref="KB71:KM71" si="191">JB71-JO71</f>
        <v>0</v>
      </c>
      <c r="KC71" s="200">
        <f t="shared" si="191"/>
        <v>0</v>
      </c>
      <c r="KD71" s="200">
        <f t="shared" si="191"/>
        <v>0</v>
      </c>
      <c r="KE71" s="200">
        <f t="shared" si="191"/>
        <v>0</v>
      </c>
      <c r="KF71" s="200">
        <f t="shared" si="191"/>
        <v>0</v>
      </c>
      <c r="KG71" s="200">
        <f t="shared" si="191"/>
        <v>11</v>
      </c>
      <c r="KH71" s="200">
        <f t="shared" si="191"/>
        <v>8</v>
      </c>
      <c r="KI71" s="200">
        <f t="shared" si="191"/>
        <v>5</v>
      </c>
      <c r="KJ71" s="200">
        <f t="shared" si="191"/>
        <v>5</v>
      </c>
      <c r="KK71" s="200">
        <f t="shared" si="191"/>
        <v>7</v>
      </c>
      <c r="KL71" s="200">
        <f t="shared" si="191"/>
        <v>7</v>
      </c>
      <c r="KM71" s="200">
        <f t="shared" si="191"/>
        <v>8</v>
      </c>
      <c r="KN71" s="199"/>
      <c r="KO71" s="199"/>
      <c r="KP71" s="199"/>
      <c r="KQ71" s="199"/>
      <c r="KR71" s="199"/>
      <c r="KS71" s="199"/>
      <c r="KT71" s="199"/>
      <c r="KU71" s="199"/>
      <c r="KV71" s="199"/>
      <c r="KW71" s="199"/>
      <c r="KX71" s="199"/>
      <c r="KY71" s="199"/>
      <c r="KZ71" s="199"/>
      <c r="LA71" s="199"/>
      <c r="LB71" s="199"/>
      <c r="LC71" s="199"/>
      <c r="LD71" s="199"/>
      <c r="LE71" s="199"/>
      <c r="LF71" s="199"/>
      <c r="LG71" s="199"/>
    </row>
    <row r="72" ht="14.25" customHeight="1">
      <c r="A72" s="156">
        <v>65.0</v>
      </c>
      <c r="B72" s="157" t="s">
        <v>143</v>
      </c>
      <c r="C72" s="158">
        <v>3374080.0</v>
      </c>
      <c r="D72" s="158" t="s">
        <v>144</v>
      </c>
      <c r="E72" s="158" t="s">
        <v>156</v>
      </c>
      <c r="F72" s="159">
        <v>11.0</v>
      </c>
      <c r="G72" s="159">
        <v>735.0</v>
      </c>
      <c r="H72" s="161">
        <v>2.0</v>
      </c>
      <c r="I72" s="161">
        <v>1.0</v>
      </c>
      <c r="J72" s="161">
        <v>0.0</v>
      </c>
      <c r="K72" s="161">
        <v>0.0</v>
      </c>
      <c r="L72" s="161">
        <v>1.0</v>
      </c>
      <c r="M72" s="161">
        <v>1.0</v>
      </c>
      <c r="N72" s="161">
        <v>0.0</v>
      </c>
      <c r="O72" s="162">
        <f t="shared" si="3"/>
        <v>1</v>
      </c>
      <c r="P72" s="203">
        <v>5.0</v>
      </c>
      <c r="Q72" s="164">
        <v>2.0</v>
      </c>
      <c r="R72" s="164">
        <v>1.0</v>
      </c>
      <c r="S72" s="164">
        <v>0.0</v>
      </c>
      <c r="T72" s="165">
        <v>2.0</v>
      </c>
      <c r="U72" s="165">
        <v>3.0</v>
      </c>
      <c r="V72" s="165">
        <v>0.0</v>
      </c>
      <c r="W72" s="166">
        <f t="shared" si="4"/>
        <v>2</v>
      </c>
      <c r="X72" s="203">
        <v>0.0</v>
      </c>
      <c r="Y72" s="165">
        <v>0.0</v>
      </c>
      <c r="Z72" s="165">
        <v>0.0</v>
      </c>
      <c r="AA72" s="165">
        <v>0.0</v>
      </c>
      <c r="AB72" s="165">
        <v>0.0</v>
      </c>
      <c r="AC72" s="165">
        <v>0.0</v>
      </c>
      <c r="AD72" s="165">
        <v>0.0</v>
      </c>
      <c r="AE72" s="166">
        <f t="shared" si="5"/>
        <v>0</v>
      </c>
      <c r="AF72" s="167">
        <v>4.0</v>
      </c>
      <c r="AG72" s="165">
        <v>0.0</v>
      </c>
      <c r="AH72" s="165">
        <v>1.0</v>
      </c>
      <c r="AI72" s="165">
        <v>0.0</v>
      </c>
      <c r="AJ72" s="165">
        <v>3.0</v>
      </c>
      <c r="AK72" s="165">
        <v>0.0</v>
      </c>
      <c r="AL72" s="165">
        <v>0.0</v>
      </c>
      <c r="AM72" s="166">
        <f t="shared" si="98"/>
        <v>4</v>
      </c>
      <c r="AN72" s="167">
        <v>3.0</v>
      </c>
      <c r="AO72" s="165">
        <v>0.0</v>
      </c>
      <c r="AP72" s="165">
        <v>0.0</v>
      </c>
      <c r="AQ72" s="165">
        <v>0.0</v>
      </c>
      <c r="AR72" s="165">
        <v>3.0</v>
      </c>
      <c r="AS72" s="165">
        <v>0.0</v>
      </c>
      <c r="AT72" s="165">
        <v>0.0</v>
      </c>
      <c r="AU72" s="168">
        <f t="shared" si="7"/>
        <v>3</v>
      </c>
      <c r="AV72" s="169">
        <v>533.0</v>
      </c>
      <c r="AW72" s="204">
        <f t="shared" si="8"/>
        <v>4</v>
      </c>
      <c r="AX72" s="169">
        <v>0.0</v>
      </c>
      <c r="AY72" s="169">
        <v>0.0</v>
      </c>
      <c r="AZ72" s="169">
        <v>0.0</v>
      </c>
      <c r="BA72" s="169">
        <v>3.0</v>
      </c>
      <c r="BB72" s="169">
        <v>0.0</v>
      </c>
      <c r="BC72" s="169">
        <v>0.0</v>
      </c>
      <c r="BD72" s="169">
        <v>1.0</v>
      </c>
      <c r="BE72" s="169">
        <v>0.0</v>
      </c>
      <c r="BF72" s="169">
        <v>0.0</v>
      </c>
      <c r="BG72" s="169">
        <v>0.0</v>
      </c>
      <c r="BH72" s="169">
        <v>0.0</v>
      </c>
      <c r="BI72" s="169">
        <v>0.0</v>
      </c>
      <c r="BJ72" s="169">
        <v>0.0</v>
      </c>
      <c r="BK72" s="169">
        <v>0.0</v>
      </c>
      <c r="BL72" s="169">
        <v>0.0</v>
      </c>
      <c r="BM72" s="169">
        <v>0.0</v>
      </c>
      <c r="BN72" s="169">
        <v>0.0</v>
      </c>
      <c r="BO72" s="169">
        <v>0.0</v>
      </c>
      <c r="BP72" s="205">
        <f t="shared" si="131"/>
        <v>0</v>
      </c>
      <c r="BQ72" s="173">
        <v>606.0</v>
      </c>
      <c r="BR72" s="170">
        <f t="shared" si="10"/>
        <v>8</v>
      </c>
      <c r="BS72" s="173">
        <v>0.0</v>
      </c>
      <c r="BT72" s="173">
        <v>0.0</v>
      </c>
      <c r="BU72" s="173">
        <v>0.0</v>
      </c>
      <c r="BV72" s="173">
        <v>1.0</v>
      </c>
      <c r="BW72" s="173">
        <v>2.0</v>
      </c>
      <c r="BX72" s="173">
        <v>2.0</v>
      </c>
      <c r="BY72" s="173">
        <v>1.0</v>
      </c>
      <c r="BZ72" s="173">
        <v>2.0</v>
      </c>
      <c r="CA72" s="173">
        <v>0.0</v>
      </c>
      <c r="CB72" s="173">
        <v>0.0</v>
      </c>
      <c r="CC72" s="173">
        <v>0.0</v>
      </c>
      <c r="CD72" s="173">
        <v>0.0</v>
      </c>
      <c r="CE72" s="173">
        <v>0.0</v>
      </c>
      <c r="CF72" s="173">
        <v>0.0</v>
      </c>
      <c r="CG72" s="173">
        <v>0.0</v>
      </c>
      <c r="CH72" s="173">
        <v>0.0</v>
      </c>
      <c r="CI72" s="173">
        <v>0.0</v>
      </c>
      <c r="CJ72" s="173">
        <v>0.0</v>
      </c>
      <c r="CK72" s="172">
        <f t="shared" si="132"/>
        <v>0</v>
      </c>
      <c r="CL72" s="173">
        <v>619.0</v>
      </c>
      <c r="CM72" s="173">
        <v>392.0</v>
      </c>
      <c r="CN72" s="175">
        <f t="shared" si="12"/>
        <v>8</v>
      </c>
      <c r="CO72" s="173">
        <v>2.0</v>
      </c>
      <c r="CP72" s="173">
        <v>2.0</v>
      </c>
      <c r="CQ72" s="173">
        <v>1.0</v>
      </c>
      <c r="CR72" s="173">
        <v>3.0</v>
      </c>
      <c r="CS72" s="173">
        <v>0.0</v>
      </c>
      <c r="CT72" s="173">
        <v>0.0</v>
      </c>
      <c r="CU72" s="173">
        <v>0.0</v>
      </c>
      <c r="CV72" s="173">
        <v>0.0</v>
      </c>
      <c r="CW72" s="173">
        <v>0.0</v>
      </c>
      <c r="CX72" s="173">
        <v>0.0</v>
      </c>
      <c r="CY72" s="173">
        <v>0.0</v>
      </c>
      <c r="CZ72" s="173">
        <v>0.0</v>
      </c>
      <c r="DA72" s="173">
        <v>0.0</v>
      </c>
      <c r="DB72" s="173">
        <v>0.0</v>
      </c>
      <c r="DC72" s="173">
        <v>0.0</v>
      </c>
      <c r="DD72" s="173">
        <v>0.0</v>
      </c>
      <c r="DE72" s="173">
        <v>0.0</v>
      </c>
      <c r="DF72" s="173">
        <v>0.0</v>
      </c>
      <c r="DG72" s="176">
        <f t="shared" si="13"/>
        <v>0</v>
      </c>
      <c r="DH72" s="177">
        <v>478.0</v>
      </c>
      <c r="DI72" s="177">
        <v>99.0</v>
      </c>
      <c r="DJ72" s="177">
        <v>478.0</v>
      </c>
      <c r="DK72" s="177">
        <v>99.0</v>
      </c>
      <c r="DL72" s="179">
        <f t="shared" si="14"/>
        <v>5</v>
      </c>
      <c r="DM72" s="180">
        <f t="shared" si="15"/>
        <v>0</v>
      </c>
      <c r="DN72" s="180">
        <f t="shared" si="16"/>
        <v>5</v>
      </c>
      <c r="DO72" s="177">
        <v>0.0</v>
      </c>
      <c r="DP72" s="177">
        <v>0.0</v>
      </c>
      <c r="DQ72" s="177">
        <v>0.0</v>
      </c>
      <c r="DR72" s="177">
        <v>3.0</v>
      </c>
      <c r="DS72" s="177">
        <v>0.0</v>
      </c>
      <c r="DT72" s="177">
        <v>0.0</v>
      </c>
      <c r="DU72" s="177">
        <v>0.0</v>
      </c>
      <c r="DV72" s="177">
        <v>2.0</v>
      </c>
      <c r="DW72" s="177">
        <v>0.0</v>
      </c>
      <c r="DX72" s="177">
        <v>0.0</v>
      </c>
      <c r="DY72" s="177">
        <v>0.0</v>
      </c>
      <c r="DZ72" s="177">
        <v>0.0</v>
      </c>
      <c r="EA72" s="177">
        <v>0.0</v>
      </c>
      <c r="EB72" s="177">
        <v>0.0</v>
      </c>
      <c r="EC72" s="177">
        <v>0.0</v>
      </c>
      <c r="ED72" s="177">
        <v>0.0</v>
      </c>
      <c r="EE72" s="177">
        <v>0.0</v>
      </c>
      <c r="EF72" s="177">
        <v>0.0</v>
      </c>
      <c r="EG72" s="179">
        <f t="shared" si="17"/>
        <v>0</v>
      </c>
      <c r="EH72" s="179">
        <f t="shared" si="18"/>
        <v>0</v>
      </c>
      <c r="EI72" s="177">
        <v>454.0</v>
      </c>
      <c r="EJ72" s="177">
        <v>87.0</v>
      </c>
      <c r="EK72" s="177">
        <v>454.0</v>
      </c>
      <c r="EL72" s="177">
        <v>87.0</v>
      </c>
      <c r="EM72" s="186">
        <v>5.0</v>
      </c>
      <c r="EN72" s="186">
        <f t="shared" si="89"/>
        <v>0</v>
      </c>
      <c r="EO72" s="186">
        <f t="shared" si="90"/>
        <v>5</v>
      </c>
      <c r="EP72" s="177">
        <v>0.0</v>
      </c>
      <c r="EQ72" s="177">
        <v>0.0</v>
      </c>
      <c r="ER72" s="177">
        <v>0.0</v>
      </c>
      <c r="ES72" s="177">
        <v>5.0</v>
      </c>
      <c r="ET72" s="177">
        <v>0.0</v>
      </c>
      <c r="EU72" s="177">
        <v>0.0</v>
      </c>
      <c r="EV72" s="177">
        <v>0.0</v>
      </c>
      <c r="EW72" s="177">
        <v>0.0</v>
      </c>
      <c r="EX72" s="177">
        <v>0.0</v>
      </c>
      <c r="EY72" s="177">
        <v>0.0</v>
      </c>
      <c r="EZ72" s="177">
        <v>0.0</v>
      </c>
      <c r="FA72" s="177">
        <v>0.0</v>
      </c>
      <c r="FB72" s="177">
        <v>0.0</v>
      </c>
      <c r="FC72" s="177">
        <v>0.0</v>
      </c>
      <c r="FD72" s="177">
        <v>0.0</v>
      </c>
      <c r="FE72" s="177">
        <v>0.0</v>
      </c>
      <c r="FF72" s="177">
        <v>0.0</v>
      </c>
      <c r="FG72" s="177">
        <v>0.0</v>
      </c>
      <c r="FH72" s="185">
        <f t="shared" si="22"/>
        <v>0</v>
      </c>
      <c r="FI72" s="185">
        <f t="shared" si="23"/>
        <v>0</v>
      </c>
      <c r="FJ72" s="177">
        <v>464.0</v>
      </c>
      <c r="FK72" s="177">
        <v>93.0</v>
      </c>
      <c r="FL72" s="177">
        <v>464.0</v>
      </c>
      <c r="FM72" s="177">
        <v>93.0</v>
      </c>
      <c r="FN72" s="210"/>
      <c r="FO72" s="210">
        <v>5.0</v>
      </c>
      <c r="FP72" s="243">
        <v>5.0</v>
      </c>
      <c r="FQ72" s="211">
        <v>0.0</v>
      </c>
      <c r="FR72" s="212">
        <v>5.0</v>
      </c>
      <c r="FS72" s="206">
        <v>0.0</v>
      </c>
      <c r="FT72" s="207">
        <v>0.0</v>
      </c>
      <c r="FU72" s="207">
        <v>0.0</v>
      </c>
      <c r="FV72" s="207">
        <v>5.0</v>
      </c>
      <c r="FW72" s="207">
        <v>0.0</v>
      </c>
      <c r="FX72" s="207">
        <v>0.0</v>
      </c>
      <c r="FY72" s="207">
        <v>0.0</v>
      </c>
      <c r="FZ72" s="207">
        <v>0.0</v>
      </c>
      <c r="GA72" s="207">
        <v>0.0</v>
      </c>
      <c r="GB72" s="207">
        <v>0.0</v>
      </c>
      <c r="GC72" s="207">
        <v>0.0</v>
      </c>
      <c r="GD72" s="207">
        <v>0.0</v>
      </c>
      <c r="GE72" s="207">
        <v>0.0</v>
      </c>
      <c r="GF72" s="207">
        <v>0.0</v>
      </c>
      <c r="GG72" s="207">
        <v>0.0</v>
      </c>
      <c r="GH72" s="207">
        <v>0.0</v>
      </c>
      <c r="GI72" s="207">
        <v>0.0</v>
      </c>
      <c r="GJ72" s="207">
        <v>0.0</v>
      </c>
      <c r="GK72" s="212">
        <v>0.0</v>
      </c>
      <c r="GL72" s="212">
        <v>0.0</v>
      </c>
      <c r="GM72" s="207">
        <v>460.0</v>
      </c>
      <c r="GN72" s="207">
        <v>82.0</v>
      </c>
      <c r="GO72" s="213">
        <v>459.0</v>
      </c>
      <c r="GP72" s="213">
        <v>82.0</v>
      </c>
      <c r="GQ72" s="207"/>
      <c r="GR72" s="213">
        <v>8.0</v>
      </c>
      <c r="GS72" s="193">
        <v>0.0</v>
      </c>
      <c r="GT72" s="194">
        <f t="shared" si="25"/>
        <v>8</v>
      </c>
      <c r="GU72" s="194">
        <f t="shared" si="26"/>
        <v>0</v>
      </c>
      <c r="GV72" s="194">
        <f t="shared" si="27"/>
        <v>8</v>
      </c>
      <c r="GW72" s="207">
        <v>0.0</v>
      </c>
      <c r="GX72" s="207">
        <v>0.0</v>
      </c>
      <c r="GY72" s="207">
        <v>0.0</v>
      </c>
      <c r="GZ72" s="207">
        <v>5.0</v>
      </c>
      <c r="HA72" s="207">
        <v>0.0</v>
      </c>
      <c r="HB72" s="207">
        <v>0.0</v>
      </c>
      <c r="HC72" s="207">
        <v>0.0</v>
      </c>
      <c r="HD72" s="207">
        <v>3.0</v>
      </c>
      <c r="HE72" s="207">
        <v>0.0</v>
      </c>
      <c r="HF72" s="207">
        <v>0.0</v>
      </c>
      <c r="HG72" s="207">
        <v>0.0</v>
      </c>
      <c r="HH72" s="207">
        <v>0.0</v>
      </c>
      <c r="HI72" s="207">
        <v>0.0</v>
      </c>
      <c r="HJ72" s="207">
        <v>0.0</v>
      </c>
      <c r="HK72" s="207">
        <v>0.0</v>
      </c>
      <c r="HL72" s="207">
        <v>0.0</v>
      </c>
      <c r="HM72" s="207">
        <v>0.0</v>
      </c>
      <c r="HN72" s="207">
        <v>0.0</v>
      </c>
      <c r="HO72" s="222">
        <v>0.0</v>
      </c>
      <c r="HP72" s="222">
        <v>0.0</v>
      </c>
      <c r="HQ72" s="214"/>
      <c r="HR72" s="197"/>
      <c r="HS72" s="197"/>
      <c r="HT72" s="198">
        <f t="shared" si="28"/>
        <v>2</v>
      </c>
      <c r="HU72" s="198">
        <f t="shared" si="29"/>
        <v>5</v>
      </c>
      <c r="HV72" s="198">
        <f t="shared" si="30"/>
        <v>0</v>
      </c>
      <c r="HW72" s="198">
        <f t="shared" si="99"/>
        <v>4</v>
      </c>
      <c r="HX72" s="198">
        <f t="shared" si="32"/>
        <v>3</v>
      </c>
      <c r="HY72" s="198">
        <f t="shared" si="33"/>
        <v>4</v>
      </c>
      <c r="HZ72" s="198">
        <f t="shared" si="34"/>
        <v>8</v>
      </c>
      <c r="IA72" s="198">
        <f t="shared" si="35"/>
        <v>8</v>
      </c>
      <c r="IB72" s="198">
        <f t="shared" si="36"/>
        <v>5</v>
      </c>
      <c r="IC72" s="198">
        <f t="shared" si="37"/>
        <v>5</v>
      </c>
      <c r="ID72" s="198">
        <f t="shared" si="38"/>
        <v>5</v>
      </c>
      <c r="IE72" s="198">
        <f t="shared" si="39"/>
        <v>8</v>
      </c>
      <c r="IF72" s="197"/>
      <c r="IG72" s="197"/>
      <c r="IH72" s="197"/>
      <c r="II72" s="197"/>
      <c r="IJ72" s="197"/>
      <c r="IK72" s="197"/>
      <c r="IL72" s="197"/>
      <c r="IM72" s="197"/>
      <c r="IN72" s="197"/>
      <c r="IO72" s="197"/>
      <c r="IP72" s="197"/>
      <c r="IQ72" s="197"/>
      <c r="IR72" s="197"/>
      <c r="IS72" s="197"/>
      <c r="IT72" s="197"/>
      <c r="IU72" s="197"/>
      <c r="IV72" s="197"/>
      <c r="IW72" s="197"/>
      <c r="IX72" s="197"/>
      <c r="IY72" s="197"/>
      <c r="IZ72" s="197"/>
      <c r="JA72" s="199"/>
      <c r="JB72" s="200">
        <f t="shared" si="40"/>
        <v>2</v>
      </c>
      <c r="JC72" s="200">
        <f t="shared" si="41"/>
        <v>5</v>
      </c>
      <c r="JD72" s="200">
        <f t="shared" si="42"/>
        <v>0</v>
      </c>
      <c r="JE72" s="200">
        <f t="shared" si="43"/>
        <v>4</v>
      </c>
      <c r="JF72" s="200">
        <f t="shared" si="44"/>
        <v>3</v>
      </c>
      <c r="JG72" s="200">
        <f t="shared" si="45"/>
        <v>4</v>
      </c>
      <c r="JH72" s="200">
        <f t="shared" si="46"/>
        <v>8</v>
      </c>
      <c r="JI72" s="200">
        <f t="shared" si="47"/>
        <v>8</v>
      </c>
      <c r="JJ72" s="200">
        <f t="shared" si="48"/>
        <v>5</v>
      </c>
      <c r="JK72" s="200">
        <f t="shared" si="49"/>
        <v>5</v>
      </c>
      <c r="JL72" s="200">
        <f t="shared" si="50"/>
        <v>5</v>
      </c>
      <c r="JM72" s="200">
        <f t="shared" si="51"/>
        <v>8</v>
      </c>
      <c r="JN72" s="199"/>
      <c r="JO72" s="200">
        <f t="shared" si="52"/>
        <v>2</v>
      </c>
      <c r="JP72" s="202">
        <v>5.0</v>
      </c>
      <c r="JQ72" s="202">
        <v>0.0</v>
      </c>
      <c r="JR72" s="202">
        <v>4.0</v>
      </c>
      <c r="JS72" s="202">
        <v>3.0</v>
      </c>
      <c r="JT72" s="199"/>
      <c r="JU72" s="199"/>
      <c r="JV72" s="200">
        <f t="shared" ref="JV72:JX72" si="192">IA72-JI72</f>
        <v>0</v>
      </c>
      <c r="JW72" s="200">
        <f t="shared" si="192"/>
        <v>0</v>
      </c>
      <c r="JX72" s="200">
        <f t="shared" si="192"/>
        <v>0</v>
      </c>
      <c r="JY72" s="199"/>
      <c r="JZ72" s="199"/>
      <c r="KA72" s="199"/>
      <c r="KB72" s="200">
        <f t="shared" ref="KB72:KM72" si="193">JB72-JO72</f>
        <v>0</v>
      </c>
      <c r="KC72" s="200">
        <f t="shared" si="193"/>
        <v>0</v>
      </c>
      <c r="KD72" s="200">
        <f t="shared" si="193"/>
        <v>0</v>
      </c>
      <c r="KE72" s="200">
        <f t="shared" si="193"/>
        <v>0</v>
      </c>
      <c r="KF72" s="200">
        <f t="shared" si="193"/>
        <v>0</v>
      </c>
      <c r="KG72" s="200">
        <f t="shared" si="193"/>
        <v>4</v>
      </c>
      <c r="KH72" s="200">
        <f t="shared" si="193"/>
        <v>8</v>
      </c>
      <c r="KI72" s="200">
        <f t="shared" si="193"/>
        <v>8</v>
      </c>
      <c r="KJ72" s="200">
        <f t="shared" si="193"/>
        <v>5</v>
      </c>
      <c r="KK72" s="200">
        <f t="shared" si="193"/>
        <v>5</v>
      </c>
      <c r="KL72" s="200">
        <f t="shared" si="193"/>
        <v>5</v>
      </c>
      <c r="KM72" s="200">
        <f t="shared" si="193"/>
        <v>8</v>
      </c>
      <c r="KN72" s="199"/>
      <c r="KO72" s="199"/>
      <c r="KP72" s="199"/>
      <c r="KQ72" s="199"/>
      <c r="KR72" s="199"/>
      <c r="KS72" s="199"/>
      <c r="KT72" s="199"/>
      <c r="KU72" s="199"/>
      <c r="KV72" s="199"/>
      <c r="KW72" s="199"/>
      <c r="KX72" s="199"/>
      <c r="KY72" s="199"/>
      <c r="KZ72" s="199"/>
      <c r="LA72" s="199"/>
      <c r="LB72" s="199"/>
      <c r="LC72" s="199"/>
      <c r="LD72" s="199"/>
      <c r="LE72" s="199"/>
      <c r="LF72" s="199"/>
      <c r="LG72" s="199"/>
    </row>
    <row r="73" ht="14.25" customHeight="1">
      <c r="A73" s="156">
        <v>66.0</v>
      </c>
      <c r="B73" s="157" t="s">
        <v>143</v>
      </c>
      <c r="C73" s="158">
        <v>3374080.0</v>
      </c>
      <c r="D73" s="158" t="s">
        <v>148</v>
      </c>
      <c r="E73" s="158" t="s">
        <v>157</v>
      </c>
      <c r="F73" s="159">
        <v>11.0</v>
      </c>
      <c r="G73" s="285">
        <v>347.0</v>
      </c>
      <c r="H73" s="160">
        <v>0.0</v>
      </c>
      <c r="I73" s="161">
        <v>0.0</v>
      </c>
      <c r="J73" s="161">
        <v>0.0</v>
      </c>
      <c r="K73" s="161">
        <v>0.0</v>
      </c>
      <c r="L73" s="161">
        <v>0.0</v>
      </c>
      <c r="M73" s="161">
        <v>0.0</v>
      </c>
      <c r="N73" s="161">
        <v>0.0</v>
      </c>
      <c r="O73" s="162">
        <f t="shared" si="3"/>
        <v>0</v>
      </c>
      <c r="P73" s="203">
        <v>1.0</v>
      </c>
      <c r="Q73" s="164">
        <v>0.0</v>
      </c>
      <c r="R73" s="164">
        <v>0.0</v>
      </c>
      <c r="S73" s="164">
        <v>0.0</v>
      </c>
      <c r="T73" s="165">
        <v>1.0</v>
      </c>
      <c r="U73" s="165">
        <v>1.0</v>
      </c>
      <c r="V73" s="165">
        <v>0.0</v>
      </c>
      <c r="W73" s="166">
        <f t="shared" si="4"/>
        <v>0</v>
      </c>
      <c r="X73" s="203">
        <v>1.0</v>
      </c>
      <c r="Y73" s="165">
        <v>0.0</v>
      </c>
      <c r="Z73" s="165">
        <v>0.0</v>
      </c>
      <c r="AA73" s="165">
        <v>0.0</v>
      </c>
      <c r="AB73" s="165">
        <v>1.0</v>
      </c>
      <c r="AC73" s="165">
        <v>0.0</v>
      </c>
      <c r="AD73" s="165">
        <v>0.0</v>
      </c>
      <c r="AE73" s="166">
        <f t="shared" si="5"/>
        <v>1</v>
      </c>
      <c r="AF73" s="167">
        <v>1.0</v>
      </c>
      <c r="AG73" s="165">
        <v>0.0</v>
      </c>
      <c r="AH73" s="165">
        <v>0.0</v>
      </c>
      <c r="AI73" s="165">
        <v>0.0</v>
      </c>
      <c r="AJ73" s="165">
        <v>1.0</v>
      </c>
      <c r="AK73" s="165">
        <v>0.0</v>
      </c>
      <c r="AL73" s="165">
        <v>0.0</v>
      </c>
      <c r="AM73" s="166">
        <f t="shared" si="98"/>
        <v>1</v>
      </c>
      <c r="AN73" s="167">
        <v>1.0</v>
      </c>
      <c r="AO73" s="165">
        <v>0.0</v>
      </c>
      <c r="AP73" s="165">
        <v>0.0</v>
      </c>
      <c r="AQ73" s="165">
        <v>0.0</v>
      </c>
      <c r="AR73" s="165">
        <v>1.0</v>
      </c>
      <c r="AS73" s="165">
        <v>0.0</v>
      </c>
      <c r="AT73" s="165">
        <v>0.0</v>
      </c>
      <c r="AU73" s="168">
        <f t="shared" si="7"/>
        <v>1</v>
      </c>
      <c r="AV73" s="169">
        <v>347.0</v>
      </c>
      <c r="AW73" s="204">
        <f t="shared" si="8"/>
        <v>1</v>
      </c>
      <c r="AX73" s="169">
        <v>0.0</v>
      </c>
      <c r="AY73" s="169">
        <v>0.0</v>
      </c>
      <c r="AZ73" s="169">
        <v>0.0</v>
      </c>
      <c r="BA73" s="169">
        <v>1.0</v>
      </c>
      <c r="BB73" s="169">
        <v>0.0</v>
      </c>
      <c r="BC73" s="169">
        <v>0.0</v>
      </c>
      <c r="BD73" s="169">
        <v>0.0</v>
      </c>
      <c r="BE73" s="169">
        <v>0.0</v>
      </c>
      <c r="BF73" s="169">
        <v>0.0</v>
      </c>
      <c r="BG73" s="169">
        <v>0.0</v>
      </c>
      <c r="BH73" s="169">
        <v>0.0</v>
      </c>
      <c r="BI73" s="169">
        <v>0.0</v>
      </c>
      <c r="BJ73" s="169">
        <v>0.0</v>
      </c>
      <c r="BK73" s="169">
        <v>0.0</v>
      </c>
      <c r="BL73" s="169">
        <v>0.0</v>
      </c>
      <c r="BM73" s="169">
        <v>0.0</v>
      </c>
      <c r="BN73" s="169">
        <v>0.0</v>
      </c>
      <c r="BO73" s="169">
        <v>0.0</v>
      </c>
      <c r="BP73" s="205">
        <f t="shared" si="131"/>
        <v>0</v>
      </c>
      <c r="BQ73" s="173">
        <v>321.0</v>
      </c>
      <c r="BR73" s="170">
        <f t="shared" si="10"/>
        <v>1</v>
      </c>
      <c r="BS73" s="173">
        <v>0.0</v>
      </c>
      <c r="BT73" s="173">
        <v>0.0</v>
      </c>
      <c r="BU73" s="173">
        <v>0.0</v>
      </c>
      <c r="BV73" s="173">
        <v>1.0</v>
      </c>
      <c r="BW73" s="173">
        <v>0.0</v>
      </c>
      <c r="BX73" s="173">
        <v>0.0</v>
      </c>
      <c r="BY73" s="173">
        <v>0.0</v>
      </c>
      <c r="BZ73" s="173">
        <v>0.0</v>
      </c>
      <c r="CA73" s="173">
        <v>0.0</v>
      </c>
      <c r="CB73" s="173">
        <v>0.0</v>
      </c>
      <c r="CC73" s="173">
        <v>0.0</v>
      </c>
      <c r="CD73" s="173">
        <v>0.0</v>
      </c>
      <c r="CE73" s="173">
        <v>0.0</v>
      </c>
      <c r="CF73" s="173">
        <v>0.0</v>
      </c>
      <c r="CG73" s="173">
        <v>0.0</v>
      </c>
      <c r="CH73" s="173">
        <v>0.0</v>
      </c>
      <c r="CI73" s="173">
        <v>0.0</v>
      </c>
      <c r="CJ73" s="173">
        <v>0.0</v>
      </c>
      <c r="CK73" s="172">
        <f t="shared" si="132"/>
        <v>0</v>
      </c>
      <c r="CL73" s="173">
        <v>331.0</v>
      </c>
      <c r="CM73" s="173">
        <v>62.0</v>
      </c>
      <c r="CN73" s="175">
        <f t="shared" si="12"/>
        <v>1</v>
      </c>
      <c r="CO73" s="173">
        <v>0.0</v>
      </c>
      <c r="CP73" s="173">
        <v>0.0</v>
      </c>
      <c r="CQ73" s="173">
        <v>0.0</v>
      </c>
      <c r="CR73" s="173">
        <v>1.0</v>
      </c>
      <c r="CS73" s="173">
        <v>0.0</v>
      </c>
      <c r="CT73" s="173">
        <v>0.0</v>
      </c>
      <c r="CU73" s="173">
        <v>0.0</v>
      </c>
      <c r="CV73" s="173">
        <v>0.0</v>
      </c>
      <c r="CW73" s="173">
        <v>0.0</v>
      </c>
      <c r="CX73" s="173">
        <v>0.0</v>
      </c>
      <c r="CY73" s="173">
        <v>0.0</v>
      </c>
      <c r="CZ73" s="173">
        <v>0.0</v>
      </c>
      <c r="DA73" s="173">
        <v>0.0</v>
      </c>
      <c r="DB73" s="173">
        <v>0.0</v>
      </c>
      <c r="DC73" s="173">
        <v>0.0</v>
      </c>
      <c r="DD73" s="173">
        <v>0.0</v>
      </c>
      <c r="DE73" s="173">
        <v>0.0</v>
      </c>
      <c r="DF73" s="173">
        <v>0.0</v>
      </c>
      <c r="DG73" s="176">
        <f t="shared" si="13"/>
        <v>0</v>
      </c>
      <c r="DH73" s="177">
        <v>331.0</v>
      </c>
      <c r="DI73" s="177">
        <v>62.0</v>
      </c>
      <c r="DJ73" s="177">
        <v>324.0</v>
      </c>
      <c r="DK73" s="177">
        <v>60.0</v>
      </c>
      <c r="DL73" s="179">
        <f t="shared" si="14"/>
        <v>1</v>
      </c>
      <c r="DM73" s="180">
        <f t="shared" si="15"/>
        <v>0</v>
      </c>
      <c r="DN73" s="180">
        <f t="shared" si="16"/>
        <v>1</v>
      </c>
      <c r="DO73" s="177">
        <v>0.0</v>
      </c>
      <c r="DP73" s="177">
        <v>0.0</v>
      </c>
      <c r="DQ73" s="177">
        <v>0.0</v>
      </c>
      <c r="DR73" s="177">
        <v>1.0</v>
      </c>
      <c r="DS73" s="177">
        <v>0.0</v>
      </c>
      <c r="DT73" s="177">
        <v>0.0</v>
      </c>
      <c r="DU73" s="177">
        <v>0.0</v>
      </c>
      <c r="DV73" s="177">
        <v>0.0</v>
      </c>
      <c r="DW73" s="177">
        <v>0.0</v>
      </c>
      <c r="DX73" s="177">
        <v>0.0</v>
      </c>
      <c r="DY73" s="177">
        <v>0.0</v>
      </c>
      <c r="DZ73" s="177">
        <v>0.0</v>
      </c>
      <c r="EA73" s="177">
        <v>0.0</v>
      </c>
      <c r="EB73" s="177">
        <v>0.0</v>
      </c>
      <c r="EC73" s="177">
        <v>0.0</v>
      </c>
      <c r="ED73" s="177">
        <v>0.0</v>
      </c>
      <c r="EE73" s="177">
        <v>0.0</v>
      </c>
      <c r="EF73" s="177">
        <v>0.0</v>
      </c>
      <c r="EG73" s="179">
        <f t="shared" si="17"/>
        <v>0</v>
      </c>
      <c r="EH73" s="179">
        <f t="shared" si="18"/>
        <v>0</v>
      </c>
      <c r="EI73" s="177">
        <v>315.0</v>
      </c>
      <c r="EJ73" s="177">
        <v>57.0</v>
      </c>
      <c r="EK73" s="177">
        <v>315.0</v>
      </c>
      <c r="EL73" s="177">
        <v>57.0</v>
      </c>
      <c r="EM73" s="185">
        <f t="shared" ref="EM73:EM100" si="196">SUM(EP73:EW73)</f>
        <v>1</v>
      </c>
      <c r="EN73" s="186">
        <f t="shared" si="89"/>
        <v>0</v>
      </c>
      <c r="EO73" s="186">
        <f t="shared" si="90"/>
        <v>1</v>
      </c>
      <c r="EP73" s="177">
        <v>0.0</v>
      </c>
      <c r="EQ73" s="177">
        <v>0.0</v>
      </c>
      <c r="ER73" s="177">
        <v>0.0</v>
      </c>
      <c r="ES73" s="177">
        <v>1.0</v>
      </c>
      <c r="ET73" s="177">
        <v>0.0</v>
      </c>
      <c r="EU73" s="177">
        <v>0.0</v>
      </c>
      <c r="EV73" s="177">
        <v>0.0</v>
      </c>
      <c r="EW73" s="177">
        <v>0.0</v>
      </c>
      <c r="EX73" s="177">
        <v>0.0</v>
      </c>
      <c r="EY73" s="177">
        <v>0.0</v>
      </c>
      <c r="EZ73" s="177">
        <v>0.0</v>
      </c>
      <c r="FA73" s="177">
        <v>0.0</v>
      </c>
      <c r="FB73" s="177">
        <v>0.0</v>
      </c>
      <c r="FC73" s="177">
        <v>0.0</v>
      </c>
      <c r="FD73" s="177">
        <v>0.0</v>
      </c>
      <c r="FE73" s="177">
        <v>0.0</v>
      </c>
      <c r="FF73" s="177">
        <v>0.0</v>
      </c>
      <c r="FG73" s="177">
        <v>0.0</v>
      </c>
      <c r="FH73" s="185">
        <f t="shared" si="22"/>
        <v>0</v>
      </c>
      <c r="FI73" s="185">
        <f t="shared" si="23"/>
        <v>0</v>
      </c>
      <c r="FJ73" s="177">
        <v>308.0</v>
      </c>
      <c r="FK73" s="177">
        <v>54.0</v>
      </c>
      <c r="FL73" s="177">
        <v>308.0</v>
      </c>
      <c r="FM73" s="177">
        <v>54.0</v>
      </c>
      <c r="FN73" s="180"/>
      <c r="FO73" s="180">
        <v>1.0</v>
      </c>
      <c r="FP73" s="188">
        <f t="shared" ref="FP73:FP100" si="197">SUM(FS73:FZ73)</f>
        <v>1</v>
      </c>
      <c r="FQ73" s="211">
        <v>0.0</v>
      </c>
      <c r="FR73" s="212">
        <v>1.0</v>
      </c>
      <c r="FS73" s="206">
        <v>0.0</v>
      </c>
      <c r="FT73" s="207">
        <v>0.0</v>
      </c>
      <c r="FU73" s="207">
        <v>0.0</v>
      </c>
      <c r="FV73" s="207">
        <v>1.0</v>
      </c>
      <c r="FW73" s="207">
        <v>0.0</v>
      </c>
      <c r="FX73" s="207">
        <v>0.0</v>
      </c>
      <c r="FY73" s="207">
        <v>0.0</v>
      </c>
      <c r="FZ73" s="207">
        <v>0.0</v>
      </c>
      <c r="GA73" s="207">
        <v>0.0</v>
      </c>
      <c r="GB73" s="207">
        <v>0.0</v>
      </c>
      <c r="GC73" s="207">
        <v>0.0</v>
      </c>
      <c r="GD73" s="207">
        <v>0.0</v>
      </c>
      <c r="GE73" s="207">
        <v>0.0</v>
      </c>
      <c r="GF73" s="207">
        <v>0.0</v>
      </c>
      <c r="GG73" s="207">
        <v>0.0</v>
      </c>
      <c r="GH73" s="207">
        <v>0.0</v>
      </c>
      <c r="GI73" s="207">
        <v>0.0</v>
      </c>
      <c r="GJ73" s="207">
        <v>0.0</v>
      </c>
      <c r="GK73" s="212">
        <v>0.0</v>
      </c>
      <c r="GL73" s="212">
        <v>0.0</v>
      </c>
      <c r="GM73" s="207">
        <v>300.0</v>
      </c>
      <c r="GN73" s="207">
        <v>48.0</v>
      </c>
      <c r="GO73" s="213">
        <v>300.0</v>
      </c>
      <c r="GP73" s="213">
        <v>48.0</v>
      </c>
      <c r="GQ73" s="207"/>
      <c r="GR73" s="213">
        <v>1.0</v>
      </c>
      <c r="GS73" s="193">
        <v>0.0</v>
      </c>
      <c r="GT73" s="194">
        <f t="shared" si="25"/>
        <v>1</v>
      </c>
      <c r="GU73" s="194">
        <f t="shared" si="26"/>
        <v>0</v>
      </c>
      <c r="GV73" s="194">
        <f t="shared" si="27"/>
        <v>1</v>
      </c>
      <c r="GW73" s="207">
        <v>0.0</v>
      </c>
      <c r="GX73" s="207">
        <v>0.0</v>
      </c>
      <c r="GY73" s="207">
        <v>0.0</v>
      </c>
      <c r="GZ73" s="207">
        <v>0.0</v>
      </c>
      <c r="HA73" s="207">
        <v>0.0</v>
      </c>
      <c r="HB73" s="207">
        <v>0.0</v>
      </c>
      <c r="HC73" s="207">
        <v>0.0</v>
      </c>
      <c r="HD73" s="207">
        <v>1.0</v>
      </c>
      <c r="HE73" s="207">
        <v>0.0</v>
      </c>
      <c r="HF73" s="207">
        <v>0.0</v>
      </c>
      <c r="HG73" s="207">
        <v>0.0</v>
      </c>
      <c r="HH73" s="207">
        <v>1.0</v>
      </c>
      <c r="HI73" s="207">
        <v>0.0</v>
      </c>
      <c r="HJ73" s="207">
        <v>0.0</v>
      </c>
      <c r="HK73" s="207">
        <v>0.0</v>
      </c>
      <c r="HL73" s="207">
        <v>0.0</v>
      </c>
      <c r="HM73" s="207">
        <v>0.0</v>
      </c>
      <c r="HN73" s="207">
        <v>0.0</v>
      </c>
      <c r="HO73" s="222">
        <v>1.0</v>
      </c>
      <c r="HP73" s="222">
        <v>0.0</v>
      </c>
      <c r="HQ73" s="308"/>
      <c r="HR73" s="169"/>
      <c r="HS73" s="197"/>
      <c r="HT73" s="198">
        <f t="shared" si="28"/>
        <v>0</v>
      </c>
      <c r="HU73" s="198">
        <f t="shared" si="29"/>
        <v>1</v>
      </c>
      <c r="HV73" s="198">
        <f t="shared" si="30"/>
        <v>1</v>
      </c>
      <c r="HW73" s="198">
        <f t="shared" si="99"/>
        <v>1</v>
      </c>
      <c r="HX73" s="198">
        <f t="shared" si="32"/>
        <v>1</v>
      </c>
      <c r="HY73" s="198">
        <f t="shared" si="33"/>
        <v>1</v>
      </c>
      <c r="HZ73" s="198">
        <f t="shared" si="34"/>
        <v>1</v>
      </c>
      <c r="IA73" s="198">
        <f t="shared" si="35"/>
        <v>1</v>
      </c>
      <c r="IB73" s="198">
        <f t="shared" si="36"/>
        <v>1</v>
      </c>
      <c r="IC73" s="198">
        <f t="shared" si="37"/>
        <v>1</v>
      </c>
      <c r="ID73" s="198">
        <f t="shared" si="38"/>
        <v>1</v>
      </c>
      <c r="IE73" s="198">
        <f t="shared" si="39"/>
        <v>1</v>
      </c>
      <c r="IF73" s="197"/>
      <c r="IG73" s="197"/>
      <c r="IH73" s="197"/>
      <c r="II73" s="197"/>
      <c r="IJ73" s="197"/>
      <c r="IK73" s="197"/>
      <c r="IL73" s="197"/>
      <c r="IM73" s="197"/>
      <c r="IN73" s="197"/>
      <c r="IO73" s="197"/>
      <c r="IP73" s="197"/>
      <c r="IQ73" s="197"/>
      <c r="IR73" s="197"/>
      <c r="IS73" s="197"/>
      <c r="IT73" s="197"/>
      <c r="IU73" s="197"/>
      <c r="IV73" s="197"/>
      <c r="IW73" s="197"/>
      <c r="IX73" s="197"/>
      <c r="IY73" s="197"/>
      <c r="IZ73" s="197"/>
      <c r="JA73" s="199"/>
      <c r="JB73" s="200">
        <f t="shared" si="40"/>
        <v>0</v>
      </c>
      <c r="JC73" s="200">
        <f t="shared" si="41"/>
        <v>1</v>
      </c>
      <c r="JD73" s="200">
        <f t="shared" si="42"/>
        <v>1</v>
      </c>
      <c r="JE73" s="200">
        <f t="shared" si="43"/>
        <v>1</v>
      </c>
      <c r="JF73" s="200">
        <f t="shared" si="44"/>
        <v>1</v>
      </c>
      <c r="JG73" s="200">
        <f t="shared" si="45"/>
        <v>1</v>
      </c>
      <c r="JH73" s="200">
        <f t="shared" si="46"/>
        <v>1</v>
      </c>
      <c r="JI73" s="200">
        <f t="shared" si="47"/>
        <v>1</v>
      </c>
      <c r="JJ73" s="200">
        <f t="shared" si="48"/>
        <v>1</v>
      </c>
      <c r="JK73" s="200">
        <f t="shared" si="49"/>
        <v>1</v>
      </c>
      <c r="JL73" s="200">
        <f t="shared" si="50"/>
        <v>1</v>
      </c>
      <c r="JM73" s="200">
        <f t="shared" si="51"/>
        <v>1</v>
      </c>
      <c r="JN73" s="199"/>
      <c r="JO73" s="200">
        <f t="shared" si="52"/>
        <v>0</v>
      </c>
      <c r="JP73" s="202">
        <v>1.0</v>
      </c>
      <c r="JQ73" s="202">
        <v>1.0</v>
      </c>
      <c r="JR73" s="202">
        <v>1.0</v>
      </c>
      <c r="JS73" s="202">
        <v>1.0</v>
      </c>
      <c r="JT73" s="199"/>
      <c r="JU73" s="199"/>
      <c r="JV73" s="200">
        <f t="shared" ref="JV73:JX73" si="194">IA73-JI73</f>
        <v>0</v>
      </c>
      <c r="JW73" s="200">
        <f t="shared" si="194"/>
        <v>0</v>
      </c>
      <c r="JX73" s="200">
        <f t="shared" si="194"/>
        <v>0</v>
      </c>
      <c r="JY73" s="199"/>
      <c r="JZ73" s="199"/>
      <c r="KA73" s="199"/>
      <c r="KB73" s="200">
        <f t="shared" ref="KB73:KM73" si="195">JB73-JO73</f>
        <v>0</v>
      </c>
      <c r="KC73" s="200">
        <f t="shared" si="195"/>
        <v>0</v>
      </c>
      <c r="KD73" s="200">
        <f t="shared" si="195"/>
        <v>0</v>
      </c>
      <c r="KE73" s="200">
        <f t="shared" si="195"/>
        <v>0</v>
      </c>
      <c r="KF73" s="200">
        <f t="shared" si="195"/>
        <v>0</v>
      </c>
      <c r="KG73" s="200">
        <f t="shared" si="195"/>
        <v>1</v>
      </c>
      <c r="KH73" s="200">
        <f t="shared" si="195"/>
        <v>1</v>
      </c>
      <c r="KI73" s="200">
        <f t="shared" si="195"/>
        <v>1</v>
      </c>
      <c r="KJ73" s="200">
        <f t="shared" si="195"/>
        <v>1</v>
      </c>
      <c r="KK73" s="200">
        <f t="shared" si="195"/>
        <v>1</v>
      </c>
      <c r="KL73" s="200">
        <f t="shared" si="195"/>
        <v>1</v>
      </c>
      <c r="KM73" s="200">
        <f t="shared" si="195"/>
        <v>1</v>
      </c>
      <c r="KN73" s="199"/>
      <c r="KO73" s="199"/>
      <c r="KP73" s="199"/>
      <c r="KQ73" s="199"/>
      <c r="KR73" s="199"/>
      <c r="KS73" s="199"/>
      <c r="KT73" s="199"/>
      <c r="KU73" s="199"/>
      <c r="KV73" s="199"/>
      <c r="KW73" s="199"/>
      <c r="KX73" s="199"/>
      <c r="KY73" s="199"/>
      <c r="KZ73" s="199"/>
      <c r="LA73" s="199"/>
      <c r="LB73" s="199"/>
      <c r="LC73" s="199"/>
      <c r="LD73" s="199"/>
      <c r="LE73" s="199"/>
      <c r="LF73" s="199"/>
      <c r="LG73" s="199"/>
    </row>
    <row r="74" ht="14.25" customHeight="1">
      <c r="A74" s="156">
        <v>67.0</v>
      </c>
      <c r="B74" s="157" t="s">
        <v>158</v>
      </c>
      <c r="C74" s="158">
        <v>3374050.0</v>
      </c>
      <c r="D74" s="158" t="s">
        <v>159</v>
      </c>
      <c r="E74" s="158" t="s">
        <v>160</v>
      </c>
      <c r="F74" s="160">
        <v>7.0</v>
      </c>
      <c r="G74" s="160">
        <v>381.0</v>
      </c>
      <c r="H74" s="160">
        <v>21.0</v>
      </c>
      <c r="I74" s="224">
        <v>1.0</v>
      </c>
      <c r="J74" s="224">
        <v>0.0</v>
      </c>
      <c r="K74" s="224">
        <v>7.0</v>
      </c>
      <c r="L74" s="224">
        <v>13.0</v>
      </c>
      <c r="M74" s="224">
        <v>6.0</v>
      </c>
      <c r="N74" s="224">
        <v>0.0</v>
      </c>
      <c r="O74" s="309">
        <v>15.0</v>
      </c>
      <c r="P74" s="203">
        <v>20.0</v>
      </c>
      <c r="Q74" s="248">
        <v>1.0</v>
      </c>
      <c r="R74" s="248">
        <v>0.0</v>
      </c>
      <c r="S74" s="248">
        <v>6.0</v>
      </c>
      <c r="T74" s="252">
        <v>13.0</v>
      </c>
      <c r="U74" s="252">
        <v>1.0</v>
      </c>
      <c r="V74" s="252">
        <v>6.0</v>
      </c>
      <c r="W74" s="166">
        <f t="shared" si="4"/>
        <v>13</v>
      </c>
      <c r="X74" s="203">
        <v>20.0</v>
      </c>
      <c r="Y74" s="252">
        <v>0.0</v>
      </c>
      <c r="Z74" s="252">
        <v>0.0</v>
      </c>
      <c r="AA74" s="252">
        <v>6.0</v>
      </c>
      <c r="AB74" s="252">
        <v>14.0</v>
      </c>
      <c r="AC74" s="252">
        <v>3.0</v>
      </c>
      <c r="AD74" s="252">
        <v>7.0</v>
      </c>
      <c r="AE74" s="310">
        <v>10.0</v>
      </c>
      <c r="AF74" s="311">
        <v>18.0</v>
      </c>
      <c r="AG74" s="252">
        <v>0.0</v>
      </c>
      <c r="AH74" s="252">
        <v>1.0</v>
      </c>
      <c r="AI74" s="252">
        <v>4.0</v>
      </c>
      <c r="AJ74" s="252">
        <v>13.0</v>
      </c>
      <c r="AK74" s="252">
        <v>2.0</v>
      </c>
      <c r="AL74" s="252">
        <v>8.0</v>
      </c>
      <c r="AM74" s="310">
        <v>8.0</v>
      </c>
      <c r="AN74" s="311">
        <v>18.0</v>
      </c>
      <c r="AO74" s="252">
        <v>0.0</v>
      </c>
      <c r="AP74" s="252">
        <v>0.0</v>
      </c>
      <c r="AQ74" s="252">
        <v>5.0</v>
      </c>
      <c r="AR74" s="252">
        <v>13.0</v>
      </c>
      <c r="AS74" s="252">
        <v>1.0</v>
      </c>
      <c r="AT74" s="252">
        <v>8.0</v>
      </c>
      <c r="AU74" s="312">
        <v>9.0</v>
      </c>
      <c r="AV74" s="313">
        <v>356.0</v>
      </c>
      <c r="AW74" s="204">
        <f t="shared" si="8"/>
        <v>17</v>
      </c>
      <c r="AX74" s="313">
        <v>0.0</v>
      </c>
      <c r="AY74" s="313">
        <v>0.0</v>
      </c>
      <c r="AZ74" s="313">
        <v>3.0</v>
      </c>
      <c r="BA74" s="313">
        <v>13.0</v>
      </c>
      <c r="BB74" s="313">
        <v>0.0</v>
      </c>
      <c r="BC74" s="313">
        <v>0.0</v>
      </c>
      <c r="BD74" s="313">
        <v>1.0</v>
      </c>
      <c r="BE74" s="313">
        <v>0.0</v>
      </c>
      <c r="BF74" s="313">
        <v>0.0</v>
      </c>
      <c r="BG74" s="313">
        <v>0.0</v>
      </c>
      <c r="BH74" s="313">
        <v>0.0</v>
      </c>
      <c r="BI74" s="313">
        <v>2.0</v>
      </c>
      <c r="BJ74" s="313">
        <v>0.0</v>
      </c>
      <c r="BK74" s="313">
        <v>0.0</v>
      </c>
      <c r="BL74" s="313">
        <v>0.0</v>
      </c>
      <c r="BM74" s="313">
        <v>0.0</v>
      </c>
      <c r="BN74" s="313">
        <v>0.0</v>
      </c>
      <c r="BO74" s="313">
        <v>0.0</v>
      </c>
      <c r="BP74" s="205">
        <f t="shared" si="131"/>
        <v>2</v>
      </c>
      <c r="BQ74" s="173">
        <v>347.0</v>
      </c>
      <c r="BR74" s="170">
        <f t="shared" si="10"/>
        <v>16</v>
      </c>
      <c r="BS74" s="173">
        <v>0.0</v>
      </c>
      <c r="BT74" s="173">
        <v>0.0</v>
      </c>
      <c r="BU74" s="173">
        <v>3.0</v>
      </c>
      <c r="BV74" s="173">
        <v>13.0</v>
      </c>
      <c r="BW74" s="173">
        <v>0.0</v>
      </c>
      <c r="BX74" s="173">
        <v>0.0</v>
      </c>
      <c r="BY74" s="173">
        <v>0.0</v>
      </c>
      <c r="BZ74" s="173">
        <v>0.0</v>
      </c>
      <c r="CA74" s="173">
        <v>0.0</v>
      </c>
      <c r="CB74" s="173">
        <v>0.0</v>
      </c>
      <c r="CC74" s="173">
        <v>0.0</v>
      </c>
      <c r="CD74" s="173">
        <v>0.0</v>
      </c>
      <c r="CE74" s="173">
        <v>0.0</v>
      </c>
      <c r="CF74" s="173">
        <v>0.0</v>
      </c>
      <c r="CG74" s="173">
        <v>0.0</v>
      </c>
      <c r="CH74" s="173">
        <v>0.0</v>
      </c>
      <c r="CI74" s="173">
        <v>1.0</v>
      </c>
      <c r="CJ74" s="173">
        <v>0.0</v>
      </c>
      <c r="CK74" s="172">
        <f t="shared" si="132"/>
        <v>1</v>
      </c>
      <c r="CL74" s="314">
        <v>325.0</v>
      </c>
      <c r="CM74" s="314">
        <v>111.0</v>
      </c>
      <c r="CN74" s="175">
        <f t="shared" si="12"/>
        <v>13</v>
      </c>
      <c r="CO74" s="315">
        <v>0.0</v>
      </c>
      <c r="CP74" s="315">
        <v>0.0</v>
      </c>
      <c r="CQ74" s="314">
        <v>3.0</v>
      </c>
      <c r="CR74" s="314">
        <v>9.0</v>
      </c>
      <c r="CS74" s="315">
        <v>0.0</v>
      </c>
      <c r="CT74" s="315">
        <v>0.0</v>
      </c>
      <c r="CU74" s="315">
        <v>0.0</v>
      </c>
      <c r="CV74" s="314">
        <v>1.0</v>
      </c>
      <c r="CW74" s="315">
        <v>0.0</v>
      </c>
      <c r="CX74" s="315">
        <v>0.0</v>
      </c>
      <c r="CY74" s="314">
        <v>1.0</v>
      </c>
      <c r="CZ74" s="314">
        <v>4.0</v>
      </c>
      <c r="DA74" s="315">
        <v>0.0</v>
      </c>
      <c r="DB74" s="315">
        <v>0.0</v>
      </c>
      <c r="DC74" s="315">
        <v>0.0</v>
      </c>
      <c r="DD74" s="315">
        <v>0.0</v>
      </c>
      <c r="DE74" s="315">
        <v>0.0</v>
      </c>
      <c r="DF74" s="315">
        <v>0.0</v>
      </c>
      <c r="DG74" s="176">
        <f t="shared" si="13"/>
        <v>5</v>
      </c>
      <c r="DH74" s="316">
        <v>333.0</v>
      </c>
      <c r="DI74" s="316">
        <v>108.0</v>
      </c>
      <c r="DJ74" s="317">
        <v>301.0</v>
      </c>
      <c r="DK74" s="317">
        <v>82.0</v>
      </c>
      <c r="DL74" s="179">
        <f t="shared" si="14"/>
        <v>12</v>
      </c>
      <c r="DM74" s="180">
        <f t="shared" si="15"/>
        <v>2</v>
      </c>
      <c r="DN74" s="180">
        <f t="shared" si="16"/>
        <v>10</v>
      </c>
      <c r="DO74" s="177">
        <v>0.0</v>
      </c>
      <c r="DP74" s="177">
        <v>0.0</v>
      </c>
      <c r="DQ74" s="177">
        <v>2.0</v>
      </c>
      <c r="DR74" s="177">
        <v>10.0</v>
      </c>
      <c r="DS74" s="177">
        <v>0.0</v>
      </c>
      <c r="DT74" s="177">
        <v>0.0</v>
      </c>
      <c r="DU74" s="177">
        <v>0.0</v>
      </c>
      <c r="DV74" s="177">
        <v>0.0</v>
      </c>
      <c r="DW74" s="177">
        <v>0.0</v>
      </c>
      <c r="DX74" s="177">
        <v>0.0</v>
      </c>
      <c r="DY74" s="177">
        <v>0.0</v>
      </c>
      <c r="DZ74" s="177">
        <v>1.0</v>
      </c>
      <c r="EA74" s="177">
        <v>0.0</v>
      </c>
      <c r="EB74" s="177">
        <v>0.0</v>
      </c>
      <c r="EC74" s="177">
        <v>0.0</v>
      </c>
      <c r="ED74" s="177">
        <v>0.0</v>
      </c>
      <c r="EE74" s="177">
        <v>0.0</v>
      </c>
      <c r="EF74" s="177">
        <v>0.0</v>
      </c>
      <c r="EG74" s="179">
        <f t="shared" si="17"/>
        <v>1</v>
      </c>
      <c r="EH74" s="179">
        <f t="shared" si="18"/>
        <v>0</v>
      </c>
      <c r="EI74" s="316">
        <v>340.0</v>
      </c>
      <c r="EJ74" s="316">
        <v>115.0</v>
      </c>
      <c r="EK74" s="316">
        <v>340.0</v>
      </c>
      <c r="EL74" s="316">
        <v>115.0</v>
      </c>
      <c r="EM74" s="185">
        <f t="shared" si="196"/>
        <v>12</v>
      </c>
      <c r="EN74" s="186">
        <f>EP74+EQ74+ER74+ET74+EU74+EV74</f>
        <v>3</v>
      </c>
      <c r="EO74" s="186">
        <f t="shared" si="90"/>
        <v>9</v>
      </c>
      <c r="EP74" s="177">
        <v>0.0</v>
      </c>
      <c r="EQ74" s="177">
        <v>0.0</v>
      </c>
      <c r="ER74" s="177">
        <v>2.0</v>
      </c>
      <c r="ES74" s="177">
        <v>9.0</v>
      </c>
      <c r="ET74" s="177">
        <v>1.0</v>
      </c>
      <c r="EU74" s="177">
        <v>0.0</v>
      </c>
      <c r="EV74" s="177">
        <v>0.0</v>
      </c>
      <c r="EW74" s="177">
        <v>0.0</v>
      </c>
      <c r="EX74" s="177">
        <v>0.0</v>
      </c>
      <c r="EY74" s="177">
        <v>0.0</v>
      </c>
      <c r="EZ74" s="177">
        <v>0.0</v>
      </c>
      <c r="FA74" s="177">
        <v>1.0</v>
      </c>
      <c r="FB74" s="177">
        <v>0.0</v>
      </c>
      <c r="FC74" s="177">
        <v>0.0</v>
      </c>
      <c r="FD74" s="177">
        <v>0.0</v>
      </c>
      <c r="FE74" s="177">
        <v>0.0</v>
      </c>
      <c r="FF74" s="177">
        <v>0.0</v>
      </c>
      <c r="FG74" s="177">
        <v>0.0</v>
      </c>
      <c r="FH74" s="185">
        <f t="shared" si="22"/>
        <v>1</v>
      </c>
      <c r="FI74" s="185">
        <f t="shared" si="23"/>
        <v>0</v>
      </c>
      <c r="FJ74" s="177">
        <v>334.0</v>
      </c>
      <c r="FK74" s="177">
        <v>122.0</v>
      </c>
      <c r="FL74" s="177">
        <v>334.0</v>
      </c>
      <c r="FM74" s="177">
        <v>122.0</v>
      </c>
      <c r="FN74" s="180"/>
      <c r="FO74" s="180">
        <v>12.0</v>
      </c>
      <c r="FP74" s="188">
        <f t="shared" si="197"/>
        <v>12</v>
      </c>
      <c r="FQ74" s="211">
        <v>3.0</v>
      </c>
      <c r="FR74" s="212">
        <v>9.0</v>
      </c>
      <c r="FS74" s="206">
        <v>1.0</v>
      </c>
      <c r="FT74" s="207">
        <v>0.0</v>
      </c>
      <c r="FU74" s="207">
        <v>1.0</v>
      </c>
      <c r="FV74" s="207">
        <v>9.0</v>
      </c>
      <c r="FW74" s="207">
        <v>0.0</v>
      </c>
      <c r="FX74" s="207">
        <v>1.0</v>
      </c>
      <c r="FY74" s="207">
        <v>0.0</v>
      </c>
      <c r="FZ74" s="207">
        <v>0.0</v>
      </c>
      <c r="GA74" s="207">
        <v>0.0</v>
      </c>
      <c r="GB74" s="207">
        <v>0.0</v>
      </c>
      <c r="GC74" s="207">
        <v>0.0</v>
      </c>
      <c r="GD74" s="207">
        <v>0.0</v>
      </c>
      <c r="GE74" s="207">
        <v>0.0</v>
      </c>
      <c r="GF74" s="207">
        <v>0.0</v>
      </c>
      <c r="GG74" s="207">
        <v>0.0</v>
      </c>
      <c r="GH74" s="207">
        <v>1.0</v>
      </c>
      <c r="GI74" s="207">
        <v>0.0</v>
      </c>
      <c r="GJ74" s="207">
        <v>0.0</v>
      </c>
      <c r="GK74" s="212">
        <v>1.0</v>
      </c>
      <c r="GL74" s="212">
        <v>0.0</v>
      </c>
      <c r="GM74" s="318">
        <v>334.0</v>
      </c>
      <c r="GN74" s="319">
        <v>119.0</v>
      </c>
      <c r="GO74" s="320">
        <v>334.0</v>
      </c>
      <c r="GP74" s="321">
        <v>119.0</v>
      </c>
      <c r="GQ74" s="207"/>
      <c r="GR74" s="213">
        <v>13.0</v>
      </c>
      <c r="GS74" s="193">
        <v>4.0</v>
      </c>
      <c r="GT74" s="194">
        <f t="shared" si="25"/>
        <v>13</v>
      </c>
      <c r="GU74" s="194">
        <f t="shared" si="26"/>
        <v>4</v>
      </c>
      <c r="GV74" s="194">
        <f t="shared" si="27"/>
        <v>9</v>
      </c>
      <c r="GW74" s="322">
        <v>1.0</v>
      </c>
      <c r="GX74" s="322">
        <v>1.0</v>
      </c>
      <c r="GY74" s="322">
        <v>1.0</v>
      </c>
      <c r="GZ74" s="322">
        <v>8.0</v>
      </c>
      <c r="HA74" s="323"/>
      <c r="HB74" s="322">
        <v>1.0</v>
      </c>
      <c r="HC74" s="323"/>
      <c r="HD74" s="322">
        <v>1.0</v>
      </c>
      <c r="HE74" s="323"/>
      <c r="HF74" s="323"/>
      <c r="HG74" s="323"/>
      <c r="HH74" s="322">
        <v>1.0</v>
      </c>
      <c r="HI74" s="323"/>
      <c r="HJ74" s="323"/>
      <c r="HK74" s="323"/>
      <c r="HL74" s="323"/>
      <c r="HM74" s="322">
        <v>1.0</v>
      </c>
      <c r="HN74" s="323"/>
      <c r="HO74" s="222">
        <v>1.0</v>
      </c>
      <c r="HP74" s="222">
        <v>0.0</v>
      </c>
      <c r="HQ74" s="214"/>
      <c r="HR74" s="197"/>
      <c r="HS74" s="197"/>
      <c r="HT74" s="198">
        <f t="shared" si="28"/>
        <v>21</v>
      </c>
      <c r="HU74" s="198">
        <f t="shared" si="29"/>
        <v>20</v>
      </c>
      <c r="HV74" s="198">
        <f t="shared" si="30"/>
        <v>20</v>
      </c>
      <c r="HW74" s="198">
        <f t="shared" si="99"/>
        <v>18</v>
      </c>
      <c r="HX74" s="198">
        <f t="shared" si="32"/>
        <v>18</v>
      </c>
      <c r="HY74" s="198">
        <f t="shared" si="33"/>
        <v>17</v>
      </c>
      <c r="HZ74" s="198">
        <f t="shared" si="34"/>
        <v>16</v>
      </c>
      <c r="IA74" s="198">
        <f t="shared" si="35"/>
        <v>13</v>
      </c>
      <c r="IB74" s="198">
        <f t="shared" si="36"/>
        <v>12</v>
      </c>
      <c r="IC74" s="198">
        <f t="shared" si="37"/>
        <v>12</v>
      </c>
      <c r="ID74" s="198">
        <f t="shared" si="38"/>
        <v>12</v>
      </c>
      <c r="IE74" s="198">
        <f t="shared" si="39"/>
        <v>13</v>
      </c>
      <c r="IF74" s="324"/>
      <c r="IG74" s="197"/>
      <c r="IH74" s="324"/>
      <c r="II74" s="324"/>
      <c r="IJ74" s="324"/>
      <c r="IK74" s="324"/>
      <c r="IL74" s="324"/>
      <c r="IM74" s="324"/>
      <c r="IN74" s="324"/>
      <c r="IO74" s="324"/>
      <c r="IP74" s="324"/>
      <c r="IQ74" s="324"/>
      <c r="IR74" s="324"/>
      <c r="IS74" s="324"/>
      <c r="IT74" s="324"/>
      <c r="IU74" s="324"/>
      <c r="IV74" s="324"/>
      <c r="IW74" s="324"/>
      <c r="IX74" s="324"/>
      <c r="IY74" s="324"/>
      <c r="IZ74" s="324"/>
      <c r="JA74" s="199"/>
      <c r="JB74" s="200">
        <f t="shared" si="40"/>
        <v>21</v>
      </c>
      <c r="JC74" s="200">
        <f t="shared" si="41"/>
        <v>20</v>
      </c>
      <c r="JD74" s="200">
        <f t="shared" si="42"/>
        <v>20</v>
      </c>
      <c r="JE74" s="200">
        <f t="shared" si="43"/>
        <v>18</v>
      </c>
      <c r="JF74" s="200">
        <f t="shared" si="44"/>
        <v>18</v>
      </c>
      <c r="JG74" s="200">
        <f t="shared" si="45"/>
        <v>17</v>
      </c>
      <c r="JH74" s="200">
        <f t="shared" si="46"/>
        <v>16</v>
      </c>
      <c r="JI74" s="200">
        <f t="shared" si="47"/>
        <v>13</v>
      </c>
      <c r="JJ74" s="200">
        <f t="shared" si="48"/>
        <v>12</v>
      </c>
      <c r="JK74" s="200">
        <f t="shared" si="49"/>
        <v>13</v>
      </c>
      <c r="JL74" s="200">
        <f t="shared" si="50"/>
        <v>12</v>
      </c>
      <c r="JM74" s="200">
        <f t="shared" si="51"/>
        <v>13</v>
      </c>
      <c r="JN74" s="199"/>
      <c r="JO74" s="200">
        <f t="shared" si="52"/>
        <v>21</v>
      </c>
      <c r="JP74" s="202">
        <v>20.0</v>
      </c>
      <c r="JQ74" s="202">
        <v>20.0</v>
      </c>
      <c r="JR74" s="202">
        <v>18.0</v>
      </c>
      <c r="JS74" s="202">
        <v>18.0</v>
      </c>
      <c r="JT74" s="199"/>
      <c r="JU74" s="199"/>
      <c r="JV74" s="200">
        <f t="shared" ref="JV74:JX74" si="198">IA74-JI74</f>
        <v>0</v>
      </c>
      <c r="JW74" s="200">
        <f t="shared" si="198"/>
        <v>0</v>
      </c>
      <c r="JX74" s="200">
        <f t="shared" si="198"/>
        <v>-1</v>
      </c>
      <c r="JY74" s="199"/>
      <c r="JZ74" s="199"/>
      <c r="KA74" s="199"/>
      <c r="KB74" s="200">
        <f t="shared" ref="KB74:KM74" si="199">JB74-JO74</f>
        <v>0</v>
      </c>
      <c r="KC74" s="200">
        <f t="shared" si="199"/>
        <v>0</v>
      </c>
      <c r="KD74" s="200">
        <f t="shared" si="199"/>
        <v>0</v>
      </c>
      <c r="KE74" s="200">
        <f t="shared" si="199"/>
        <v>0</v>
      </c>
      <c r="KF74" s="200">
        <f t="shared" si="199"/>
        <v>0</v>
      </c>
      <c r="KG74" s="200">
        <f t="shared" si="199"/>
        <v>17</v>
      </c>
      <c r="KH74" s="200">
        <f t="shared" si="199"/>
        <v>16</v>
      </c>
      <c r="KI74" s="200">
        <f t="shared" si="199"/>
        <v>13</v>
      </c>
      <c r="KJ74" s="200">
        <f t="shared" si="199"/>
        <v>12</v>
      </c>
      <c r="KK74" s="200">
        <f t="shared" si="199"/>
        <v>14</v>
      </c>
      <c r="KL74" s="200">
        <f t="shared" si="199"/>
        <v>12</v>
      </c>
      <c r="KM74" s="200">
        <f t="shared" si="199"/>
        <v>13</v>
      </c>
      <c r="KN74" s="199"/>
      <c r="KO74" s="199"/>
      <c r="KP74" s="199"/>
      <c r="KQ74" s="199"/>
      <c r="KR74" s="199"/>
      <c r="KS74" s="199"/>
      <c r="KT74" s="199"/>
      <c r="KU74" s="199"/>
      <c r="KV74" s="199"/>
      <c r="KW74" s="199"/>
      <c r="KX74" s="199"/>
      <c r="KY74" s="199"/>
      <c r="KZ74" s="199"/>
      <c r="LA74" s="199"/>
      <c r="LB74" s="199"/>
      <c r="LC74" s="199"/>
      <c r="LD74" s="199"/>
      <c r="LE74" s="199"/>
      <c r="LF74" s="199"/>
      <c r="LG74" s="199"/>
    </row>
    <row r="75" ht="14.25" customHeight="1">
      <c r="A75" s="156">
        <v>68.0</v>
      </c>
      <c r="B75" s="157" t="s">
        <v>158</v>
      </c>
      <c r="C75" s="158">
        <v>3374050.0</v>
      </c>
      <c r="D75" s="158" t="s">
        <v>159</v>
      </c>
      <c r="E75" s="158" t="s">
        <v>161</v>
      </c>
      <c r="F75" s="160">
        <v>4.0</v>
      </c>
      <c r="G75" s="160">
        <v>137.0</v>
      </c>
      <c r="H75" s="160">
        <v>14.0</v>
      </c>
      <c r="I75" s="224">
        <v>2.0</v>
      </c>
      <c r="J75" s="224">
        <v>1.0</v>
      </c>
      <c r="K75" s="224">
        <v>4.0</v>
      </c>
      <c r="L75" s="224">
        <v>7.0</v>
      </c>
      <c r="M75" s="224">
        <v>5.0</v>
      </c>
      <c r="N75" s="224">
        <v>0.0</v>
      </c>
      <c r="O75" s="309">
        <v>9.0</v>
      </c>
      <c r="P75" s="203">
        <v>9.0</v>
      </c>
      <c r="Q75" s="248">
        <v>1.0</v>
      </c>
      <c r="R75" s="248">
        <v>0.0</v>
      </c>
      <c r="S75" s="248">
        <v>4.0</v>
      </c>
      <c r="T75" s="252">
        <v>4.0</v>
      </c>
      <c r="U75" s="252">
        <v>2.0</v>
      </c>
      <c r="V75" s="325">
        <v>7.0</v>
      </c>
      <c r="W75" s="166">
        <f t="shared" si="4"/>
        <v>0</v>
      </c>
      <c r="X75" s="203">
        <v>11.0</v>
      </c>
      <c r="Y75" s="252">
        <v>0.0</v>
      </c>
      <c r="Z75" s="252">
        <v>0.0</v>
      </c>
      <c r="AA75" s="252">
        <v>5.0</v>
      </c>
      <c r="AB75" s="252">
        <v>6.0</v>
      </c>
      <c r="AC75" s="252">
        <v>3.0</v>
      </c>
      <c r="AD75" s="252">
        <v>6.0</v>
      </c>
      <c r="AE75" s="310">
        <v>2.0</v>
      </c>
      <c r="AF75" s="311">
        <v>9.0</v>
      </c>
      <c r="AG75" s="252">
        <v>1.0</v>
      </c>
      <c r="AH75" s="252">
        <v>0.0</v>
      </c>
      <c r="AI75" s="252">
        <v>4.0</v>
      </c>
      <c r="AJ75" s="252">
        <v>4.0</v>
      </c>
      <c r="AK75" s="252">
        <v>0.0</v>
      </c>
      <c r="AL75" s="252">
        <v>8.0</v>
      </c>
      <c r="AM75" s="310">
        <v>1.0</v>
      </c>
      <c r="AN75" s="311">
        <v>9.0</v>
      </c>
      <c r="AO75" s="252">
        <v>1.0</v>
      </c>
      <c r="AP75" s="252">
        <v>0.0</v>
      </c>
      <c r="AQ75" s="252">
        <v>3.0</v>
      </c>
      <c r="AR75" s="252">
        <v>5.0</v>
      </c>
      <c r="AS75" s="252">
        <v>2.0</v>
      </c>
      <c r="AT75" s="252">
        <v>6.0</v>
      </c>
      <c r="AU75" s="312">
        <v>1.0</v>
      </c>
      <c r="AV75" s="313">
        <v>129.0</v>
      </c>
      <c r="AW75" s="204">
        <f t="shared" si="8"/>
        <v>8</v>
      </c>
      <c r="AX75" s="313">
        <v>0.0</v>
      </c>
      <c r="AY75" s="313">
        <v>1.0</v>
      </c>
      <c r="AZ75" s="313">
        <v>3.0</v>
      </c>
      <c r="BA75" s="313">
        <v>4.0</v>
      </c>
      <c r="BB75" s="313">
        <v>0.0</v>
      </c>
      <c r="BC75" s="313">
        <v>0.0</v>
      </c>
      <c r="BD75" s="313">
        <v>0.0</v>
      </c>
      <c r="BE75" s="313">
        <v>0.0</v>
      </c>
      <c r="BF75" s="313">
        <v>0.0</v>
      </c>
      <c r="BG75" s="313">
        <v>0.0</v>
      </c>
      <c r="BH75" s="313">
        <v>1.0</v>
      </c>
      <c r="BI75" s="313">
        <v>1.0</v>
      </c>
      <c r="BJ75" s="313">
        <v>0.0</v>
      </c>
      <c r="BK75" s="313">
        <v>0.0</v>
      </c>
      <c r="BL75" s="313">
        <v>0.0</v>
      </c>
      <c r="BM75" s="313">
        <v>0.0</v>
      </c>
      <c r="BN75" s="313">
        <v>0.0</v>
      </c>
      <c r="BO75" s="313">
        <v>0.0</v>
      </c>
      <c r="BP75" s="205">
        <f t="shared" si="131"/>
        <v>2</v>
      </c>
      <c r="BQ75" s="173">
        <v>126.0</v>
      </c>
      <c r="BR75" s="170">
        <f t="shared" si="10"/>
        <v>7</v>
      </c>
      <c r="BS75" s="173">
        <v>0.0</v>
      </c>
      <c r="BT75" s="173">
        <v>1.0</v>
      </c>
      <c r="BU75" s="173">
        <v>1.0</v>
      </c>
      <c r="BV75" s="173">
        <v>5.0</v>
      </c>
      <c r="BW75" s="173">
        <v>0.0</v>
      </c>
      <c r="BX75" s="173">
        <v>0.0</v>
      </c>
      <c r="BY75" s="173">
        <v>0.0</v>
      </c>
      <c r="BZ75" s="173">
        <v>0.0</v>
      </c>
      <c r="CA75" s="173">
        <v>0.0</v>
      </c>
      <c r="CB75" s="173">
        <v>0.0</v>
      </c>
      <c r="CC75" s="173">
        <v>1.0</v>
      </c>
      <c r="CD75" s="173">
        <v>0.0</v>
      </c>
      <c r="CE75" s="173">
        <v>0.0</v>
      </c>
      <c r="CF75" s="173">
        <v>0.0</v>
      </c>
      <c r="CG75" s="173">
        <v>0.0</v>
      </c>
      <c r="CH75" s="173">
        <v>0.0</v>
      </c>
      <c r="CI75" s="173">
        <v>0.0</v>
      </c>
      <c r="CJ75" s="173">
        <v>0.0</v>
      </c>
      <c r="CK75" s="172">
        <f t="shared" si="132"/>
        <v>1</v>
      </c>
      <c r="CL75" s="314">
        <v>133.0</v>
      </c>
      <c r="CM75" s="314">
        <v>52.0</v>
      </c>
      <c r="CN75" s="175">
        <f t="shared" si="12"/>
        <v>6</v>
      </c>
      <c r="CO75" s="315">
        <v>0.0</v>
      </c>
      <c r="CP75" s="315">
        <v>0.0</v>
      </c>
      <c r="CQ75" s="314">
        <v>3.0</v>
      </c>
      <c r="CR75" s="314">
        <v>3.0</v>
      </c>
      <c r="CS75" s="315">
        <v>0.0</v>
      </c>
      <c r="CT75" s="315">
        <v>0.0</v>
      </c>
      <c r="CU75" s="315">
        <v>0.0</v>
      </c>
      <c r="CV75" s="315">
        <v>0.0</v>
      </c>
      <c r="CW75" s="315">
        <v>0.0</v>
      </c>
      <c r="CX75" s="314">
        <v>1.0</v>
      </c>
      <c r="CY75" s="314">
        <v>1.0</v>
      </c>
      <c r="CZ75" s="314">
        <v>1.0</v>
      </c>
      <c r="DA75" s="315">
        <v>0.0</v>
      </c>
      <c r="DB75" s="315">
        <v>0.0</v>
      </c>
      <c r="DC75" s="315">
        <v>0.0</v>
      </c>
      <c r="DD75" s="315">
        <v>0.0</v>
      </c>
      <c r="DE75" s="315">
        <v>0.0</v>
      </c>
      <c r="DF75" s="315">
        <v>0.0</v>
      </c>
      <c r="DG75" s="176">
        <f t="shared" si="13"/>
        <v>3</v>
      </c>
      <c r="DH75" s="316">
        <v>139.0</v>
      </c>
      <c r="DI75" s="316">
        <v>52.0</v>
      </c>
      <c r="DJ75" s="317">
        <v>139.0</v>
      </c>
      <c r="DK75" s="317">
        <v>52.0</v>
      </c>
      <c r="DL75" s="179">
        <f t="shared" si="14"/>
        <v>8</v>
      </c>
      <c r="DM75" s="180">
        <f t="shared" si="15"/>
        <v>3</v>
      </c>
      <c r="DN75" s="180">
        <f t="shared" si="16"/>
        <v>5</v>
      </c>
      <c r="DO75" s="177">
        <v>0.0</v>
      </c>
      <c r="DP75" s="177">
        <v>0.0</v>
      </c>
      <c r="DQ75" s="177">
        <v>1.0</v>
      </c>
      <c r="DR75" s="177">
        <v>4.0</v>
      </c>
      <c r="DS75" s="177">
        <v>0.0</v>
      </c>
      <c r="DT75" s="177">
        <v>0.0</v>
      </c>
      <c r="DU75" s="177">
        <v>2.0</v>
      </c>
      <c r="DV75" s="177">
        <v>1.0</v>
      </c>
      <c r="DW75" s="177">
        <v>0.0</v>
      </c>
      <c r="DX75" s="177">
        <v>0.0</v>
      </c>
      <c r="DY75" s="177">
        <v>0.0</v>
      </c>
      <c r="DZ75" s="177">
        <v>0.0</v>
      </c>
      <c r="EA75" s="177">
        <v>0.0</v>
      </c>
      <c r="EB75" s="177">
        <v>0.0</v>
      </c>
      <c r="EC75" s="177">
        <v>0.0</v>
      </c>
      <c r="ED75" s="177">
        <v>0.0</v>
      </c>
      <c r="EE75" s="177">
        <v>0.0</v>
      </c>
      <c r="EF75" s="177">
        <v>0.0</v>
      </c>
      <c r="EG75" s="179">
        <f t="shared" si="17"/>
        <v>0</v>
      </c>
      <c r="EH75" s="179">
        <f t="shared" si="18"/>
        <v>0</v>
      </c>
      <c r="EI75" s="316">
        <v>140.0</v>
      </c>
      <c r="EJ75" s="316">
        <v>49.0</v>
      </c>
      <c r="EK75" s="316">
        <v>140.0</v>
      </c>
      <c r="EL75" s="316">
        <v>49.0</v>
      </c>
      <c r="EM75" s="185">
        <f t="shared" si="196"/>
        <v>6</v>
      </c>
      <c r="EN75" s="186">
        <f t="shared" ref="EN75:EN181" si="202">(EP75+EQ75+ER75+ET75+EU75+EV75)</f>
        <v>1</v>
      </c>
      <c r="EO75" s="186">
        <f t="shared" si="90"/>
        <v>5</v>
      </c>
      <c r="EP75" s="177">
        <v>0.0</v>
      </c>
      <c r="EQ75" s="177">
        <v>0.0</v>
      </c>
      <c r="ER75" s="177">
        <v>1.0</v>
      </c>
      <c r="ES75" s="177">
        <v>5.0</v>
      </c>
      <c r="ET75" s="177">
        <v>0.0</v>
      </c>
      <c r="EU75" s="177">
        <v>0.0</v>
      </c>
      <c r="EV75" s="177">
        <v>0.0</v>
      </c>
      <c r="EW75" s="177">
        <v>0.0</v>
      </c>
      <c r="EX75" s="177">
        <v>0.0</v>
      </c>
      <c r="EY75" s="177">
        <v>0.0</v>
      </c>
      <c r="EZ75" s="177">
        <v>1.0</v>
      </c>
      <c r="FA75" s="177">
        <v>1.0</v>
      </c>
      <c r="FB75" s="177">
        <v>0.0</v>
      </c>
      <c r="FC75" s="177">
        <v>0.0</v>
      </c>
      <c r="FD75" s="177">
        <v>0.0</v>
      </c>
      <c r="FE75" s="177">
        <v>0.0</v>
      </c>
      <c r="FF75" s="177">
        <v>0.0</v>
      </c>
      <c r="FG75" s="177">
        <v>0.0</v>
      </c>
      <c r="FH75" s="185">
        <f t="shared" si="22"/>
        <v>2</v>
      </c>
      <c r="FI75" s="185">
        <f t="shared" si="23"/>
        <v>1</v>
      </c>
      <c r="FJ75" s="177">
        <v>142.0</v>
      </c>
      <c r="FK75" s="177">
        <v>53.0</v>
      </c>
      <c r="FL75" s="177">
        <v>142.0</v>
      </c>
      <c r="FM75" s="177">
        <v>53.0</v>
      </c>
      <c r="FN75" s="180"/>
      <c r="FO75" s="180">
        <v>6.0</v>
      </c>
      <c r="FP75" s="188">
        <f t="shared" si="197"/>
        <v>6</v>
      </c>
      <c r="FQ75" s="211">
        <v>1.0</v>
      </c>
      <c r="FR75" s="212">
        <v>5.0</v>
      </c>
      <c r="FS75" s="206">
        <v>0.0</v>
      </c>
      <c r="FT75" s="207">
        <v>0.0</v>
      </c>
      <c r="FU75" s="207">
        <v>1.0</v>
      </c>
      <c r="FV75" s="207">
        <v>5.0</v>
      </c>
      <c r="FW75" s="207">
        <v>0.0</v>
      </c>
      <c r="FX75" s="207">
        <v>0.0</v>
      </c>
      <c r="FY75" s="207">
        <v>0.0</v>
      </c>
      <c r="FZ75" s="207">
        <v>0.0</v>
      </c>
      <c r="GA75" s="207">
        <v>0.0</v>
      </c>
      <c r="GB75" s="207">
        <v>0.0</v>
      </c>
      <c r="GC75" s="207">
        <v>0.0</v>
      </c>
      <c r="GD75" s="207">
        <v>0.0</v>
      </c>
      <c r="GE75" s="207">
        <v>0.0</v>
      </c>
      <c r="GF75" s="207">
        <v>0.0</v>
      </c>
      <c r="GG75" s="207">
        <v>0.0</v>
      </c>
      <c r="GH75" s="207">
        <v>0.0</v>
      </c>
      <c r="GI75" s="207">
        <v>0.0</v>
      </c>
      <c r="GJ75" s="207">
        <v>0.0</v>
      </c>
      <c r="GK75" s="212">
        <v>0.0</v>
      </c>
      <c r="GL75" s="212">
        <v>0.0</v>
      </c>
      <c r="GM75" s="318">
        <v>144.0</v>
      </c>
      <c r="GN75" s="326">
        <v>52.0</v>
      </c>
      <c r="GO75" s="320">
        <v>144.0</v>
      </c>
      <c r="GP75" s="327">
        <v>52.0</v>
      </c>
      <c r="GQ75" s="207"/>
      <c r="GR75" s="213">
        <v>8.0</v>
      </c>
      <c r="GS75" s="193">
        <v>2.0</v>
      </c>
      <c r="GT75" s="194">
        <f t="shared" si="25"/>
        <v>8</v>
      </c>
      <c r="GU75" s="194">
        <f t="shared" si="26"/>
        <v>2</v>
      </c>
      <c r="GV75" s="194">
        <f t="shared" si="27"/>
        <v>6</v>
      </c>
      <c r="GW75" s="323"/>
      <c r="GX75" s="323"/>
      <c r="GY75" s="322">
        <v>1.0</v>
      </c>
      <c r="GZ75" s="322">
        <v>5.0</v>
      </c>
      <c r="HA75" s="322">
        <v>1.0</v>
      </c>
      <c r="HB75" s="323"/>
      <c r="HC75" s="323"/>
      <c r="HD75" s="322">
        <v>1.0</v>
      </c>
      <c r="HE75" s="323"/>
      <c r="HF75" s="323"/>
      <c r="HG75" s="323"/>
      <c r="HH75" s="323"/>
      <c r="HI75" s="323"/>
      <c r="HJ75" s="323"/>
      <c r="HK75" s="323"/>
      <c r="HL75" s="323"/>
      <c r="HM75" s="323"/>
      <c r="HN75" s="323"/>
      <c r="HO75" s="222">
        <v>1.0</v>
      </c>
      <c r="HP75" s="222">
        <v>0.0</v>
      </c>
      <c r="HQ75" s="214"/>
      <c r="HR75" s="197"/>
      <c r="HS75" s="197"/>
      <c r="HT75" s="198">
        <f t="shared" si="28"/>
        <v>14</v>
      </c>
      <c r="HU75" s="198">
        <f t="shared" si="29"/>
        <v>9</v>
      </c>
      <c r="HV75" s="198">
        <f t="shared" si="30"/>
        <v>11</v>
      </c>
      <c r="HW75" s="198">
        <f t="shared" si="99"/>
        <v>9</v>
      </c>
      <c r="HX75" s="198">
        <f t="shared" si="32"/>
        <v>9</v>
      </c>
      <c r="HY75" s="198">
        <f t="shared" si="33"/>
        <v>8</v>
      </c>
      <c r="HZ75" s="198">
        <f t="shared" si="34"/>
        <v>7</v>
      </c>
      <c r="IA75" s="198">
        <f t="shared" si="35"/>
        <v>6</v>
      </c>
      <c r="IB75" s="198">
        <f t="shared" si="36"/>
        <v>8</v>
      </c>
      <c r="IC75" s="198">
        <f t="shared" si="37"/>
        <v>6</v>
      </c>
      <c r="ID75" s="198">
        <f t="shared" si="38"/>
        <v>6</v>
      </c>
      <c r="IE75" s="198">
        <f t="shared" si="39"/>
        <v>8</v>
      </c>
      <c r="IF75" s="324"/>
      <c r="IG75" s="197"/>
      <c r="IH75" s="324"/>
      <c r="II75" s="324"/>
      <c r="IJ75" s="324"/>
      <c r="IK75" s="324"/>
      <c r="IL75" s="324"/>
      <c r="IM75" s="324"/>
      <c r="IN75" s="324"/>
      <c r="IO75" s="324"/>
      <c r="IP75" s="324"/>
      <c r="IQ75" s="324"/>
      <c r="IR75" s="324"/>
      <c r="IS75" s="324"/>
      <c r="IT75" s="324"/>
      <c r="IU75" s="324"/>
      <c r="IV75" s="324"/>
      <c r="IW75" s="324"/>
      <c r="IX75" s="324"/>
      <c r="IY75" s="324"/>
      <c r="IZ75" s="324"/>
      <c r="JA75" s="199"/>
      <c r="JB75" s="200">
        <f t="shared" si="40"/>
        <v>14</v>
      </c>
      <c r="JC75" s="200">
        <f t="shared" si="41"/>
        <v>9</v>
      </c>
      <c r="JD75" s="200">
        <f t="shared" si="42"/>
        <v>11</v>
      </c>
      <c r="JE75" s="200">
        <f t="shared" si="43"/>
        <v>9</v>
      </c>
      <c r="JF75" s="200">
        <f t="shared" si="44"/>
        <v>9</v>
      </c>
      <c r="JG75" s="200">
        <f t="shared" si="45"/>
        <v>8</v>
      </c>
      <c r="JH75" s="200">
        <f t="shared" si="46"/>
        <v>7</v>
      </c>
      <c r="JI75" s="200">
        <f t="shared" si="47"/>
        <v>6</v>
      </c>
      <c r="JJ75" s="200">
        <f t="shared" si="48"/>
        <v>8</v>
      </c>
      <c r="JK75" s="200">
        <f t="shared" si="49"/>
        <v>8</v>
      </c>
      <c r="JL75" s="200">
        <f t="shared" si="50"/>
        <v>6</v>
      </c>
      <c r="JM75" s="200">
        <f t="shared" si="51"/>
        <v>8</v>
      </c>
      <c r="JN75" s="199"/>
      <c r="JO75" s="200">
        <f t="shared" si="52"/>
        <v>14</v>
      </c>
      <c r="JP75" s="202">
        <v>9.0</v>
      </c>
      <c r="JQ75" s="202">
        <v>11.0</v>
      </c>
      <c r="JR75" s="202">
        <v>9.0</v>
      </c>
      <c r="JS75" s="202">
        <v>9.0</v>
      </c>
      <c r="JT75" s="199"/>
      <c r="JU75" s="199"/>
      <c r="JV75" s="200">
        <f t="shared" ref="JV75:JX75" si="200">IA75-JI75</f>
        <v>0</v>
      </c>
      <c r="JW75" s="200">
        <f t="shared" si="200"/>
        <v>0</v>
      </c>
      <c r="JX75" s="200">
        <f t="shared" si="200"/>
        <v>-2</v>
      </c>
      <c r="JY75" s="199"/>
      <c r="JZ75" s="199"/>
      <c r="KA75" s="199"/>
      <c r="KB75" s="200">
        <f t="shared" ref="KB75:KM75" si="201">JB75-JO75</f>
        <v>0</v>
      </c>
      <c r="KC75" s="200">
        <f t="shared" si="201"/>
        <v>0</v>
      </c>
      <c r="KD75" s="200">
        <f t="shared" si="201"/>
        <v>0</v>
      </c>
      <c r="KE75" s="200">
        <f t="shared" si="201"/>
        <v>0</v>
      </c>
      <c r="KF75" s="200">
        <f t="shared" si="201"/>
        <v>0</v>
      </c>
      <c r="KG75" s="200">
        <f t="shared" si="201"/>
        <v>8</v>
      </c>
      <c r="KH75" s="200">
        <f t="shared" si="201"/>
        <v>7</v>
      </c>
      <c r="KI75" s="200">
        <f t="shared" si="201"/>
        <v>6</v>
      </c>
      <c r="KJ75" s="200">
        <f t="shared" si="201"/>
        <v>8</v>
      </c>
      <c r="KK75" s="200">
        <f t="shared" si="201"/>
        <v>10</v>
      </c>
      <c r="KL75" s="200">
        <f t="shared" si="201"/>
        <v>6</v>
      </c>
      <c r="KM75" s="200">
        <f t="shared" si="201"/>
        <v>8</v>
      </c>
      <c r="KN75" s="199"/>
      <c r="KO75" s="199"/>
      <c r="KP75" s="199"/>
      <c r="KQ75" s="199"/>
      <c r="KR75" s="199"/>
      <c r="KS75" s="199"/>
      <c r="KT75" s="199"/>
      <c r="KU75" s="199"/>
      <c r="KV75" s="199"/>
      <c r="KW75" s="199"/>
      <c r="KX75" s="199"/>
      <c r="KY75" s="199"/>
      <c r="KZ75" s="199"/>
      <c r="LA75" s="199"/>
      <c r="LB75" s="199"/>
      <c r="LC75" s="199"/>
      <c r="LD75" s="199"/>
      <c r="LE75" s="199"/>
      <c r="LF75" s="199"/>
      <c r="LG75" s="199"/>
    </row>
    <row r="76" ht="14.25" customHeight="1">
      <c r="A76" s="156">
        <v>69.0</v>
      </c>
      <c r="B76" s="157" t="s">
        <v>158</v>
      </c>
      <c r="C76" s="158">
        <v>3374050.0</v>
      </c>
      <c r="D76" s="158" t="s">
        <v>159</v>
      </c>
      <c r="E76" s="158" t="s">
        <v>162</v>
      </c>
      <c r="F76" s="160">
        <v>7.0</v>
      </c>
      <c r="G76" s="160">
        <v>207.0</v>
      </c>
      <c r="H76" s="160">
        <v>6.0</v>
      </c>
      <c r="I76" s="224">
        <v>1.0</v>
      </c>
      <c r="J76" s="224">
        <v>0.0</v>
      </c>
      <c r="K76" s="224">
        <v>2.0</v>
      </c>
      <c r="L76" s="224">
        <v>3.0</v>
      </c>
      <c r="M76" s="224">
        <v>1.0</v>
      </c>
      <c r="N76" s="224">
        <v>0.0</v>
      </c>
      <c r="O76" s="309">
        <v>5.0</v>
      </c>
      <c r="P76" s="203">
        <v>4.0</v>
      </c>
      <c r="Q76" s="248">
        <v>0.0</v>
      </c>
      <c r="R76" s="248">
        <v>0.0</v>
      </c>
      <c r="S76" s="248">
        <v>2.0</v>
      </c>
      <c r="T76" s="252">
        <v>2.0</v>
      </c>
      <c r="U76" s="252"/>
      <c r="V76" s="252">
        <v>2.0</v>
      </c>
      <c r="W76" s="166">
        <f t="shared" si="4"/>
        <v>2</v>
      </c>
      <c r="X76" s="203">
        <v>5.0</v>
      </c>
      <c r="Y76" s="252">
        <v>0.0</v>
      </c>
      <c r="Z76" s="252">
        <v>0.0</v>
      </c>
      <c r="AA76" s="252">
        <v>2.0</v>
      </c>
      <c r="AB76" s="252">
        <v>3.0</v>
      </c>
      <c r="AC76" s="252">
        <v>1.0</v>
      </c>
      <c r="AD76" s="252">
        <v>2.0</v>
      </c>
      <c r="AE76" s="310">
        <v>2.0</v>
      </c>
      <c r="AF76" s="311">
        <v>5.0</v>
      </c>
      <c r="AG76" s="252">
        <v>0.0</v>
      </c>
      <c r="AH76" s="252">
        <v>0.0</v>
      </c>
      <c r="AI76" s="252">
        <v>1.0</v>
      </c>
      <c r="AJ76" s="252">
        <v>4.0</v>
      </c>
      <c r="AK76" s="252">
        <v>0.0</v>
      </c>
      <c r="AL76" s="252">
        <v>2.0</v>
      </c>
      <c r="AM76" s="310">
        <v>3.0</v>
      </c>
      <c r="AN76" s="311">
        <v>5.0</v>
      </c>
      <c r="AO76" s="252">
        <v>0.0</v>
      </c>
      <c r="AP76" s="252">
        <v>0.0</v>
      </c>
      <c r="AQ76" s="252">
        <v>1.0</v>
      </c>
      <c r="AR76" s="252">
        <v>4.0</v>
      </c>
      <c r="AS76" s="252"/>
      <c r="AT76" s="252">
        <v>2.0</v>
      </c>
      <c r="AU76" s="312">
        <v>3.0</v>
      </c>
      <c r="AV76" s="313">
        <v>191.0</v>
      </c>
      <c r="AW76" s="204">
        <f t="shared" si="8"/>
        <v>5</v>
      </c>
      <c r="AX76" s="313">
        <v>0.0</v>
      </c>
      <c r="AY76" s="313">
        <v>0.0</v>
      </c>
      <c r="AZ76" s="313">
        <v>1.0</v>
      </c>
      <c r="BA76" s="313">
        <v>4.0</v>
      </c>
      <c r="BB76" s="313">
        <v>0.0</v>
      </c>
      <c r="BC76" s="313">
        <v>0.0</v>
      </c>
      <c r="BD76" s="313">
        <v>0.0</v>
      </c>
      <c r="BE76" s="313">
        <v>0.0</v>
      </c>
      <c r="BF76" s="313">
        <v>0.0</v>
      </c>
      <c r="BG76" s="313">
        <v>0.0</v>
      </c>
      <c r="BH76" s="313">
        <v>0.0</v>
      </c>
      <c r="BI76" s="313">
        <v>0.0</v>
      </c>
      <c r="BJ76" s="313">
        <v>0.0</v>
      </c>
      <c r="BK76" s="313">
        <v>0.0</v>
      </c>
      <c r="BL76" s="313">
        <v>0.0</v>
      </c>
      <c r="BM76" s="313">
        <v>0.0</v>
      </c>
      <c r="BN76" s="313">
        <v>0.0</v>
      </c>
      <c r="BO76" s="313">
        <v>0.0</v>
      </c>
      <c r="BP76" s="205">
        <f t="shared" si="131"/>
        <v>0</v>
      </c>
      <c r="BQ76" s="173">
        <v>185.0</v>
      </c>
      <c r="BR76" s="170">
        <f t="shared" si="10"/>
        <v>5</v>
      </c>
      <c r="BS76" s="173">
        <v>0.0</v>
      </c>
      <c r="BT76" s="173">
        <v>0.0</v>
      </c>
      <c r="BU76" s="173">
        <v>1.0</v>
      </c>
      <c r="BV76" s="173">
        <v>3.0</v>
      </c>
      <c r="BW76" s="173">
        <v>0.0</v>
      </c>
      <c r="BX76" s="173">
        <v>0.0</v>
      </c>
      <c r="BY76" s="173">
        <v>0.0</v>
      </c>
      <c r="BZ76" s="173">
        <v>1.0</v>
      </c>
      <c r="CA76" s="173">
        <v>0.0</v>
      </c>
      <c r="CB76" s="173">
        <v>0.0</v>
      </c>
      <c r="CC76" s="173">
        <v>0.0</v>
      </c>
      <c r="CD76" s="173">
        <v>1.0</v>
      </c>
      <c r="CE76" s="173">
        <v>0.0</v>
      </c>
      <c r="CF76" s="173">
        <v>0.0</v>
      </c>
      <c r="CG76" s="173">
        <v>0.0</v>
      </c>
      <c r="CH76" s="173">
        <v>0.0</v>
      </c>
      <c r="CI76" s="173">
        <v>0.0</v>
      </c>
      <c r="CJ76" s="173">
        <v>0.0</v>
      </c>
      <c r="CK76" s="172">
        <f t="shared" si="132"/>
        <v>1</v>
      </c>
      <c r="CL76" s="314">
        <v>208.0</v>
      </c>
      <c r="CM76" s="314">
        <v>77.0</v>
      </c>
      <c r="CN76" s="175">
        <f t="shared" si="12"/>
        <v>6</v>
      </c>
      <c r="CO76" s="315">
        <v>0.0</v>
      </c>
      <c r="CP76" s="315">
        <v>0.0</v>
      </c>
      <c r="CQ76" s="315">
        <v>0.0</v>
      </c>
      <c r="CR76" s="314">
        <v>4.0</v>
      </c>
      <c r="CS76" s="315">
        <v>0.0</v>
      </c>
      <c r="CT76" s="315">
        <v>0.0</v>
      </c>
      <c r="CU76" s="314">
        <v>1.0</v>
      </c>
      <c r="CV76" s="314">
        <v>1.0</v>
      </c>
      <c r="CW76" s="315">
        <v>0.0</v>
      </c>
      <c r="CX76" s="315">
        <v>0.0</v>
      </c>
      <c r="CY76" s="314">
        <v>1.0</v>
      </c>
      <c r="CZ76" s="315">
        <v>0.0</v>
      </c>
      <c r="DA76" s="315">
        <v>0.0</v>
      </c>
      <c r="DB76" s="315">
        <v>0.0</v>
      </c>
      <c r="DC76" s="315">
        <v>0.0</v>
      </c>
      <c r="DD76" s="315">
        <v>0.0</v>
      </c>
      <c r="DE76" s="315">
        <v>0.0</v>
      </c>
      <c r="DF76" s="315">
        <v>0.0</v>
      </c>
      <c r="DG76" s="176">
        <f t="shared" si="13"/>
        <v>1</v>
      </c>
      <c r="DH76" s="316">
        <v>216.0</v>
      </c>
      <c r="DI76" s="316">
        <v>75.0</v>
      </c>
      <c r="DJ76" s="317">
        <v>216.0</v>
      </c>
      <c r="DK76" s="317">
        <v>75.0</v>
      </c>
      <c r="DL76" s="179">
        <f t="shared" si="14"/>
        <v>7</v>
      </c>
      <c r="DM76" s="180">
        <f t="shared" si="15"/>
        <v>1</v>
      </c>
      <c r="DN76" s="180">
        <f t="shared" si="16"/>
        <v>6</v>
      </c>
      <c r="DO76" s="177">
        <v>0.0</v>
      </c>
      <c r="DP76" s="177">
        <v>0.0</v>
      </c>
      <c r="DQ76" s="177">
        <v>1.0</v>
      </c>
      <c r="DR76" s="177">
        <v>5.0</v>
      </c>
      <c r="DS76" s="177">
        <v>0.0</v>
      </c>
      <c r="DT76" s="177">
        <v>0.0</v>
      </c>
      <c r="DU76" s="177">
        <v>0.0</v>
      </c>
      <c r="DV76" s="177">
        <v>1.0</v>
      </c>
      <c r="DW76" s="177">
        <v>0.0</v>
      </c>
      <c r="DX76" s="177">
        <v>0.0</v>
      </c>
      <c r="DY76" s="177">
        <v>0.0</v>
      </c>
      <c r="DZ76" s="177">
        <v>0.0</v>
      </c>
      <c r="EA76" s="177">
        <v>0.0</v>
      </c>
      <c r="EB76" s="177">
        <v>0.0</v>
      </c>
      <c r="EC76" s="177">
        <v>0.0</v>
      </c>
      <c r="ED76" s="177">
        <v>0.0</v>
      </c>
      <c r="EE76" s="177">
        <v>0.0</v>
      </c>
      <c r="EF76" s="177">
        <v>0.0</v>
      </c>
      <c r="EG76" s="179">
        <f t="shared" si="17"/>
        <v>0</v>
      </c>
      <c r="EH76" s="179">
        <f t="shared" si="18"/>
        <v>0</v>
      </c>
      <c r="EI76" s="316">
        <v>218.0</v>
      </c>
      <c r="EJ76" s="316">
        <v>76.0</v>
      </c>
      <c r="EK76" s="316">
        <v>218.0</v>
      </c>
      <c r="EL76" s="316">
        <v>76.0</v>
      </c>
      <c r="EM76" s="185">
        <f t="shared" si="196"/>
        <v>8</v>
      </c>
      <c r="EN76" s="186">
        <f t="shared" si="202"/>
        <v>2</v>
      </c>
      <c r="EO76" s="186">
        <f t="shared" si="90"/>
        <v>6</v>
      </c>
      <c r="EP76" s="177">
        <v>0.0</v>
      </c>
      <c r="EQ76" s="177">
        <v>0.0</v>
      </c>
      <c r="ER76" s="177">
        <v>1.0</v>
      </c>
      <c r="ES76" s="177">
        <v>6.0</v>
      </c>
      <c r="ET76" s="177">
        <v>0.0</v>
      </c>
      <c r="EU76" s="177">
        <v>0.0</v>
      </c>
      <c r="EV76" s="177">
        <v>1.0</v>
      </c>
      <c r="EW76" s="177">
        <v>0.0</v>
      </c>
      <c r="EX76" s="177">
        <v>0.0</v>
      </c>
      <c r="EY76" s="177">
        <v>0.0</v>
      </c>
      <c r="EZ76" s="177">
        <v>0.0</v>
      </c>
      <c r="FA76" s="177">
        <v>0.0</v>
      </c>
      <c r="FB76" s="177">
        <v>0.0</v>
      </c>
      <c r="FC76" s="177">
        <v>0.0</v>
      </c>
      <c r="FD76" s="177">
        <v>0.0</v>
      </c>
      <c r="FE76" s="177">
        <v>0.0</v>
      </c>
      <c r="FF76" s="177">
        <v>0.0</v>
      </c>
      <c r="FG76" s="177">
        <v>0.0</v>
      </c>
      <c r="FH76" s="185">
        <f t="shared" si="22"/>
        <v>0</v>
      </c>
      <c r="FI76" s="185">
        <f t="shared" si="23"/>
        <v>0</v>
      </c>
      <c r="FJ76" s="177">
        <v>216.0</v>
      </c>
      <c r="FK76" s="177">
        <v>71.0</v>
      </c>
      <c r="FL76" s="177">
        <v>216.0</v>
      </c>
      <c r="FM76" s="177">
        <v>71.0</v>
      </c>
      <c r="FN76" s="180"/>
      <c r="FO76" s="180">
        <v>7.0</v>
      </c>
      <c r="FP76" s="188">
        <f t="shared" si="197"/>
        <v>7</v>
      </c>
      <c r="FQ76" s="211">
        <v>2.0</v>
      </c>
      <c r="FR76" s="212">
        <v>5.0</v>
      </c>
      <c r="FS76" s="206">
        <v>0.0</v>
      </c>
      <c r="FT76" s="207">
        <v>0.0</v>
      </c>
      <c r="FU76" s="207">
        <v>2.0</v>
      </c>
      <c r="FV76" s="207">
        <v>5.0</v>
      </c>
      <c r="FW76" s="207">
        <v>0.0</v>
      </c>
      <c r="FX76" s="207">
        <v>0.0</v>
      </c>
      <c r="FY76" s="207">
        <v>0.0</v>
      </c>
      <c r="FZ76" s="207">
        <v>0.0</v>
      </c>
      <c r="GA76" s="207">
        <v>0.0</v>
      </c>
      <c r="GB76" s="207">
        <v>0.0</v>
      </c>
      <c r="GC76" s="207">
        <v>0.0</v>
      </c>
      <c r="GD76" s="207">
        <v>0.0</v>
      </c>
      <c r="GE76" s="207">
        <v>0.0</v>
      </c>
      <c r="GF76" s="207">
        <v>0.0</v>
      </c>
      <c r="GG76" s="207">
        <v>0.0</v>
      </c>
      <c r="GH76" s="207">
        <v>1.0</v>
      </c>
      <c r="GI76" s="207">
        <v>0.0</v>
      </c>
      <c r="GJ76" s="207">
        <v>0.0</v>
      </c>
      <c r="GK76" s="212">
        <v>1.0</v>
      </c>
      <c r="GL76" s="212">
        <v>0.0</v>
      </c>
      <c r="GM76" s="318">
        <v>214.0</v>
      </c>
      <c r="GN76" s="326">
        <v>68.0</v>
      </c>
      <c r="GO76" s="320">
        <v>214.0</v>
      </c>
      <c r="GP76" s="327">
        <v>68.0</v>
      </c>
      <c r="GQ76" s="207"/>
      <c r="GR76" s="213">
        <v>8.0</v>
      </c>
      <c r="GS76" s="193">
        <v>2.0</v>
      </c>
      <c r="GT76" s="194">
        <f t="shared" si="25"/>
        <v>8</v>
      </c>
      <c r="GU76" s="194">
        <f t="shared" si="26"/>
        <v>2</v>
      </c>
      <c r="GV76" s="194">
        <f t="shared" si="27"/>
        <v>6</v>
      </c>
      <c r="GW76" s="323"/>
      <c r="GX76" s="323"/>
      <c r="GY76" s="322">
        <v>1.0</v>
      </c>
      <c r="GZ76" s="322">
        <v>6.0</v>
      </c>
      <c r="HA76" s="322">
        <v>1.0</v>
      </c>
      <c r="HB76" s="323"/>
      <c r="HC76" s="323"/>
      <c r="HD76" s="323"/>
      <c r="HE76" s="323"/>
      <c r="HF76" s="323"/>
      <c r="HG76" s="323"/>
      <c r="HH76" s="323"/>
      <c r="HI76" s="323"/>
      <c r="HJ76" s="323"/>
      <c r="HK76" s="323"/>
      <c r="HL76" s="323"/>
      <c r="HM76" s="323"/>
      <c r="HN76" s="323"/>
      <c r="HO76" s="222">
        <v>0.0</v>
      </c>
      <c r="HP76" s="222">
        <v>0.0</v>
      </c>
      <c r="HQ76" s="214"/>
      <c r="HR76" s="197"/>
      <c r="HS76" s="197"/>
      <c r="HT76" s="198">
        <f t="shared" si="28"/>
        <v>6</v>
      </c>
      <c r="HU76" s="198">
        <f t="shared" si="29"/>
        <v>4</v>
      </c>
      <c r="HV76" s="198">
        <f t="shared" si="30"/>
        <v>5</v>
      </c>
      <c r="HW76" s="198">
        <f t="shared" si="99"/>
        <v>5</v>
      </c>
      <c r="HX76" s="198">
        <f t="shared" si="32"/>
        <v>5</v>
      </c>
      <c r="HY76" s="198">
        <f t="shared" si="33"/>
        <v>5</v>
      </c>
      <c r="HZ76" s="198">
        <f t="shared" si="34"/>
        <v>5</v>
      </c>
      <c r="IA76" s="198">
        <f t="shared" si="35"/>
        <v>6</v>
      </c>
      <c r="IB76" s="198">
        <f t="shared" si="36"/>
        <v>7</v>
      </c>
      <c r="IC76" s="198">
        <f t="shared" si="37"/>
        <v>8</v>
      </c>
      <c r="ID76" s="198">
        <f t="shared" si="38"/>
        <v>7</v>
      </c>
      <c r="IE76" s="198">
        <f t="shared" si="39"/>
        <v>8</v>
      </c>
      <c r="IF76" s="324"/>
      <c r="IG76" s="197"/>
      <c r="IH76" s="324"/>
      <c r="II76" s="324"/>
      <c r="IJ76" s="324"/>
      <c r="IK76" s="324"/>
      <c r="IL76" s="324"/>
      <c r="IM76" s="324"/>
      <c r="IN76" s="324"/>
      <c r="IO76" s="324"/>
      <c r="IP76" s="324"/>
      <c r="IQ76" s="324"/>
      <c r="IR76" s="324"/>
      <c r="IS76" s="324"/>
      <c r="IT76" s="324"/>
      <c r="IU76" s="324"/>
      <c r="IV76" s="324"/>
      <c r="IW76" s="324"/>
      <c r="IX76" s="324"/>
      <c r="IY76" s="324"/>
      <c r="IZ76" s="324"/>
      <c r="JA76" s="199"/>
      <c r="JB76" s="200">
        <f t="shared" si="40"/>
        <v>6</v>
      </c>
      <c r="JC76" s="200">
        <f t="shared" si="41"/>
        <v>4</v>
      </c>
      <c r="JD76" s="200">
        <f t="shared" si="42"/>
        <v>5</v>
      </c>
      <c r="JE76" s="200">
        <f t="shared" si="43"/>
        <v>5</v>
      </c>
      <c r="JF76" s="200">
        <f t="shared" si="44"/>
        <v>5</v>
      </c>
      <c r="JG76" s="200">
        <f t="shared" si="45"/>
        <v>5</v>
      </c>
      <c r="JH76" s="200">
        <f t="shared" si="46"/>
        <v>5</v>
      </c>
      <c r="JI76" s="200">
        <f t="shared" si="47"/>
        <v>6</v>
      </c>
      <c r="JJ76" s="200">
        <f t="shared" si="48"/>
        <v>7</v>
      </c>
      <c r="JK76" s="200">
        <f t="shared" si="49"/>
        <v>8</v>
      </c>
      <c r="JL76" s="200">
        <f t="shared" si="50"/>
        <v>7</v>
      </c>
      <c r="JM76" s="200">
        <f t="shared" si="51"/>
        <v>8</v>
      </c>
      <c r="JN76" s="199"/>
      <c r="JO76" s="200">
        <f t="shared" si="52"/>
        <v>6</v>
      </c>
      <c r="JP76" s="202">
        <v>4.0</v>
      </c>
      <c r="JQ76" s="202">
        <v>5.0</v>
      </c>
      <c r="JR76" s="202">
        <v>5.0</v>
      </c>
      <c r="JS76" s="202">
        <v>5.0</v>
      </c>
      <c r="JT76" s="199"/>
      <c r="JU76" s="199"/>
      <c r="JV76" s="200">
        <f t="shared" ref="JV76:JX76" si="203">IA76-JI76</f>
        <v>0</v>
      </c>
      <c r="JW76" s="200">
        <f t="shared" si="203"/>
        <v>0</v>
      </c>
      <c r="JX76" s="200">
        <f t="shared" si="203"/>
        <v>0</v>
      </c>
      <c r="JY76" s="199"/>
      <c r="JZ76" s="199"/>
      <c r="KA76" s="199"/>
      <c r="KB76" s="200">
        <f t="shared" ref="KB76:KM76" si="204">JB76-JO76</f>
        <v>0</v>
      </c>
      <c r="KC76" s="200">
        <f t="shared" si="204"/>
        <v>0</v>
      </c>
      <c r="KD76" s="200">
        <f t="shared" si="204"/>
        <v>0</v>
      </c>
      <c r="KE76" s="200">
        <f t="shared" si="204"/>
        <v>0</v>
      </c>
      <c r="KF76" s="200">
        <f t="shared" si="204"/>
        <v>0</v>
      </c>
      <c r="KG76" s="200">
        <f t="shared" si="204"/>
        <v>5</v>
      </c>
      <c r="KH76" s="200">
        <f t="shared" si="204"/>
        <v>5</v>
      </c>
      <c r="KI76" s="200">
        <f t="shared" si="204"/>
        <v>6</v>
      </c>
      <c r="KJ76" s="200">
        <f t="shared" si="204"/>
        <v>7</v>
      </c>
      <c r="KK76" s="200">
        <f t="shared" si="204"/>
        <v>8</v>
      </c>
      <c r="KL76" s="200">
        <f t="shared" si="204"/>
        <v>7</v>
      </c>
      <c r="KM76" s="200">
        <f t="shared" si="204"/>
        <v>8</v>
      </c>
      <c r="KN76" s="199"/>
      <c r="KO76" s="199"/>
      <c r="KP76" s="199"/>
      <c r="KQ76" s="199"/>
      <c r="KR76" s="199"/>
      <c r="KS76" s="199"/>
      <c r="KT76" s="199"/>
      <c r="KU76" s="199"/>
      <c r="KV76" s="199"/>
      <c r="KW76" s="199"/>
      <c r="KX76" s="199"/>
      <c r="KY76" s="199"/>
      <c r="KZ76" s="199"/>
      <c r="LA76" s="199"/>
      <c r="LB76" s="199"/>
      <c r="LC76" s="199"/>
      <c r="LD76" s="199"/>
      <c r="LE76" s="199"/>
      <c r="LF76" s="199"/>
      <c r="LG76" s="199"/>
    </row>
    <row r="77" ht="14.25" customHeight="1">
      <c r="A77" s="156">
        <v>70.0</v>
      </c>
      <c r="B77" s="157" t="s">
        <v>158</v>
      </c>
      <c r="C77" s="158">
        <v>3374050.0</v>
      </c>
      <c r="D77" s="158" t="s">
        <v>159</v>
      </c>
      <c r="E77" s="158" t="s">
        <v>163</v>
      </c>
      <c r="F77" s="160">
        <v>7.0</v>
      </c>
      <c r="G77" s="160">
        <v>241.0</v>
      </c>
      <c r="H77" s="160">
        <v>11.0</v>
      </c>
      <c r="I77" s="224">
        <v>0.0</v>
      </c>
      <c r="J77" s="224">
        <v>2.0</v>
      </c>
      <c r="K77" s="224">
        <v>2.0</v>
      </c>
      <c r="L77" s="224">
        <v>7.0</v>
      </c>
      <c r="M77" s="224">
        <v>2.0</v>
      </c>
      <c r="N77" s="224">
        <v>0.0</v>
      </c>
      <c r="O77" s="309">
        <v>9.0</v>
      </c>
      <c r="P77" s="203">
        <v>8.0</v>
      </c>
      <c r="Q77" s="248">
        <v>0.0</v>
      </c>
      <c r="R77" s="248">
        <v>0.0</v>
      </c>
      <c r="S77" s="248">
        <v>2.0</v>
      </c>
      <c r="T77" s="252">
        <v>6.0</v>
      </c>
      <c r="U77" s="252"/>
      <c r="V77" s="252">
        <v>2.0</v>
      </c>
      <c r="W77" s="166">
        <f t="shared" si="4"/>
        <v>6</v>
      </c>
      <c r="X77" s="203">
        <v>9.0</v>
      </c>
      <c r="Y77" s="252">
        <v>0.0</v>
      </c>
      <c r="Z77" s="252">
        <v>1.0</v>
      </c>
      <c r="AA77" s="252">
        <v>1.0</v>
      </c>
      <c r="AB77" s="252">
        <v>7.0</v>
      </c>
      <c r="AC77" s="252"/>
      <c r="AD77" s="252">
        <v>2.0</v>
      </c>
      <c r="AE77" s="310">
        <v>7.0</v>
      </c>
      <c r="AF77" s="311">
        <v>8.0</v>
      </c>
      <c r="AG77" s="252">
        <v>0.0</v>
      </c>
      <c r="AH77" s="252">
        <v>1.0</v>
      </c>
      <c r="AI77" s="252">
        <v>1.0</v>
      </c>
      <c r="AJ77" s="252">
        <v>6.0</v>
      </c>
      <c r="AK77" s="252">
        <v>0.0</v>
      </c>
      <c r="AL77" s="252">
        <v>2.0</v>
      </c>
      <c r="AM77" s="310">
        <v>6.0</v>
      </c>
      <c r="AN77" s="311">
        <v>9.0</v>
      </c>
      <c r="AO77" s="252">
        <v>0.0</v>
      </c>
      <c r="AP77" s="252">
        <v>1.0</v>
      </c>
      <c r="AQ77" s="252">
        <v>1.0</v>
      </c>
      <c r="AR77" s="252">
        <v>7.0</v>
      </c>
      <c r="AS77" s="252"/>
      <c r="AT77" s="252">
        <v>2.0</v>
      </c>
      <c r="AU77" s="312">
        <v>7.0</v>
      </c>
      <c r="AV77" s="313">
        <v>234.0</v>
      </c>
      <c r="AW77" s="204">
        <f t="shared" si="8"/>
        <v>7</v>
      </c>
      <c r="AX77" s="313">
        <v>0.0</v>
      </c>
      <c r="AY77" s="313">
        <v>0.0</v>
      </c>
      <c r="AZ77" s="313">
        <v>1.0</v>
      </c>
      <c r="BA77" s="313">
        <v>6.0</v>
      </c>
      <c r="BB77" s="313">
        <v>0.0</v>
      </c>
      <c r="BC77" s="313">
        <v>0.0</v>
      </c>
      <c r="BD77" s="313">
        <v>0.0</v>
      </c>
      <c r="BE77" s="313">
        <v>0.0</v>
      </c>
      <c r="BF77" s="313">
        <v>0.0</v>
      </c>
      <c r="BG77" s="313">
        <v>0.0</v>
      </c>
      <c r="BH77" s="313">
        <v>0.0</v>
      </c>
      <c r="BI77" s="313">
        <v>2.0</v>
      </c>
      <c r="BJ77" s="313">
        <v>0.0</v>
      </c>
      <c r="BK77" s="313">
        <v>0.0</v>
      </c>
      <c r="BL77" s="313">
        <v>0.0</v>
      </c>
      <c r="BM77" s="313">
        <v>0.0</v>
      </c>
      <c r="BN77" s="313">
        <v>0.0</v>
      </c>
      <c r="BO77" s="313">
        <v>0.0</v>
      </c>
      <c r="BP77" s="205">
        <f t="shared" si="131"/>
        <v>2</v>
      </c>
      <c r="BQ77" s="173">
        <v>231.0</v>
      </c>
      <c r="BR77" s="170">
        <f t="shared" si="10"/>
        <v>4</v>
      </c>
      <c r="BS77" s="173">
        <v>0.0</v>
      </c>
      <c r="BT77" s="173">
        <v>0.0</v>
      </c>
      <c r="BU77" s="173">
        <v>1.0</v>
      </c>
      <c r="BV77" s="173">
        <v>3.0</v>
      </c>
      <c r="BW77" s="173">
        <v>0.0</v>
      </c>
      <c r="BX77" s="173">
        <v>0.0</v>
      </c>
      <c r="BY77" s="173">
        <v>0.0</v>
      </c>
      <c r="BZ77" s="173">
        <v>0.0</v>
      </c>
      <c r="CA77" s="173">
        <v>0.0</v>
      </c>
      <c r="CB77" s="173">
        <v>0.0</v>
      </c>
      <c r="CC77" s="173">
        <v>0.0</v>
      </c>
      <c r="CD77" s="173">
        <v>2.0</v>
      </c>
      <c r="CE77" s="173">
        <v>0.0</v>
      </c>
      <c r="CF77" s="173">
        <v>0.0</v>
      </c>
      <c r="CG77" s="173">
        <v>0.0</v>
      </c>
      <c r="CH77" s="173">
        <v>0.0</v>
      </c>
      <c r="CI77" s="173">
        <v>1.0</v>
      </c>
      <c r="CJ77" s="173">
        <v>0.0</v>
      </c>
      <c r="CK77" s="172">
        <f t="shared" si="132"/>
        <v>3</v>
      </c>
      <c r="CL77" s="314">
        <v>246.0</v>
      </c>
      <c r="CM77" s="314">
        <v>78.0</v>
      </c>
      <c r="CN77" s="175">
        <f t="shared" si="12"/>
        <v>6</v>
      </c>
      <c r="CO77" s="315">
        <v>0.0</v>
      </c>
      <c r="CP77" s="315">
        <v>0.0</v>
      </c>
      <c r="CQ77" s="314">
        <v>1.0</v>
      </c>
      <c r="CR77" s="314">
        <v>3.0</v>
      </c>
      <c r="CS77" s="315">
        <v>0.0</v>
      </c>
      <c r="CT77" s="315">
        <v>0.0</v>
      </c>
      <c r="CU77" s="315">
        <v>0.0</v>
      </c>
      <c r="CV77" s="314">
        <v>2.0</v>
      </c>
      <c r="CW77" s="315">
        <v>0.0</v>
      </c>
      <c r="CX77" s="315">
        <v>0.0</v>
      </c>
      <c r="CY77" s="315">
        <v>0.0</v>
      </c>
      <c r="CZ77" s="315">
        <v>0.0</v>
      </c>
      <c r="DA77" s="315">
        <v>0.0</v>
      </c>
      <c r="DB77" s="315">
        <v>0.0</v>
      </c>
      <c r="DC77" s="315">
        <v>0.0</v>
      </c>
      <c r="DD77" s="315">
        <v>0.0</v>
      </c>
      <c r="DE77" s="315">
        <v>0.0</v>
      </c>
      <c r="DF77" s="315">
        <v>0.0</v>
      </c>
      <c r="DG77" s="176">
        <f t="shared" si="13"/>
        <v>0</v>
      </c>
      <c r="DH77" s="316">
        <v>248.0</v>
      </c>
      <c r="DI77" s="316">
        <v>76.0</v>
      </c>
      <c r="DJ77" s="317">
        <v>246.0</v>
      </c>
      <c r="DK77" s="317">
        <v>75.0</v>
      </c>
      <c r="DL77" s="179">
        <f t="shared" si="14"/>
        <v>6</v>
      </c>
      <c r="DM77" s="180">
        <f t="shared" si="15"/>
        <v>1</v>
      </c>
      <c r="DN77" s="180">
        <f t="shared" si="16"/>
        <v>5</v>
      </c>
      <c r="DO77" s="177">
        <v>0.0</v>
      </c>
      <c r="DP77" s="177">
        <v>0.0</v>
      </c>
      <c r="DQ77" s="177">
        <v>1.0</v>
      </c>
      <c r="DR77" s="177">
        <v>5.0</v>
      </c>
      <c r="DS77" s="177">
        <v>0.0</v>
      </c>
      <c r="DT77" s="177">
        <v>0.0</v>
      </c>
      <c r="DU77" s="177">
        <v>0.0</v>
      </c>
      <c r="DV77" s="177">
        <v>0.0</v>
      </c>
      <c r="DW77" s="177">
        <v>0.0</v>
      </c>
      <c r="DX77" s="177">
        <v>0.0</v>
      </c>
      <c r="DY77" s="177">
        <v>0.0</v>
      </c>
      <c r="DZ77" s="177">
        <v>0.0</v>
      </c>
      <c r="EA77" s="177">
        <v>0.0</v>
      </c>
      <c r="EB77" s="177">
        <v>0.0</v>
      </c>
      <c r="EC77" s="177">
        <v>0.0</v>
      </c>
      <c r="ED77" s="177">
        <v>0.0</v>
      </c>
      <c r="EE77" s="177">
        <v>0.0</v>
      </c>
      <c r="EF77" s="177">
        <v>0.0</v>
      </c>
      <c r="EG77" s="179">
        <f t="shared" si="17"/>
        <v>0</v>
      </c>
      <c r="EH77" s="179">
        <f t="shared" si="18"/>
        <v>0</v>
      </c>
      <c r="EI77" s="316">
        <v>225.0</v>
      </c>
      <c r="EJ77" s="316">
        <v>62.0</v>
      </c>
      <c r="EK77" s="316">
        <v>225.0</v>
      </c>
      <c r="EL77" s="316">
        <v>62.0</v>
      </c>
      <c r="EM77" s="185">
        <f t="shared" si="196"/>
        <v>6</v>
      </c>
      <c r="EN77" s="186">
        <f t="shared" si="202"/>
        <v>2</v>
      </c>
      <c r="EO77" s="186">
        <f t="shared" si="90"/>
        <v>4</v>
      </c>
      <c r="EP77" s="177">
        <v>0.0</v>
      </c>
      <c r="EQ77" s="177">
        <v>0.0</v>
      </c>
      <c r="ER77" s="177">
        <v>1.0</v>
      </c>
      <c r="ES77" s="177">
        <v>4.0</v>
      </c>
      <c r="ET77" s="177">
        <v>1.0</v>
      </c>
      <c r="EU77" s="177">
        <v>0.0</v>
      </c>
      <c r="EV77" s="177">
        <v>0.0</v>
      </c>
      <c r="EW77" s="177">
        <v>0.0</v>
      </c>
      <c r="EX77" s="177">
        <v>0.0</v>
      </c>
      <c r="EY77" s="177">
        <v>0.0</v>
      </c>
      <c r="EZ77" s="177">
        <v>0.0</v>
      </c>
      <c r="FA77" s="177">
        <v>1.0</v>
      </c>
      <c r="FB77" s="177">
        <v>0.0</v>
      </c>
      <c r="FC77" s="177">
        <v>0.0</v>
      </c>
      <c r="FD77" s="177">
        <v>0.0</v>
      </c>
      <c r="FE77" s="177">
        <v>0.0</v>
      </c>
      <c r="FF77" s="177">
        <v>0.0</v>
      </c>
      <c r="FG77" s="177">
        <v>0.0</v>
      </c>
      <c r="FH77" s="185">
        <f t="shared" si="22"/>
        <v>1</v>
      </c>
      <c r="FI77" s="185">
        <f t="shared" si="23"/>
        <v>0</v>
      </c>
      <c r="FJ77" s="177">
        <v>224.0</v>
      </c>
      <c r="FK77" s="177">
        <v>64.0</v>
      </c>
      <c r="FL77" s="177">
        <v>224.0</v>
      </c>
      <c r="FM77" s="177">
        <v>64.0</v>
      </c>
      <c r="FN77" s="180"/>
      <c r="FO77" s="180">
        <v>8.0</v>
      </c>
      <c r="FP77" s="188">
        <f t="shared" si="197"/>
        <v>8</v>
      </c>
      <c r="FQ77" s="211">
        <v>3.0</v>
      </c>
      <c r="FR77" s="212">
        <v>5.0</v>
      </c>
      <c r="FS77" s="206">
        <v>1.0</v>
      </c>
      <c r="FT77" s="207">
        <v>0.0</v>
      </c>
      <c r="FU77" s="207">
        <v>1.0</v>
      </c>
      <c r="FV77" s="207">
        <v>4.0</v>
      </c>
      <c r="FW77" s="207">
        <v>1.0</v>
      </c>
      <c r="FX77" s="207">
        <v>0.0</v>
      </c>
      <c r="FY77" s="207">
        <v>0.0</v>
      </c>
      <c r="FZ77" s="207">
        <v>1.0</v>
      </c>
      <c r="GA77" s="207">
        <v>0.0</v>
      </c>
      <c r="GB77" s="207">
        <v>0.0</v>
      </c>
      <c r="GC77" s="207">
        <v>0.0</v>
      </c>
      <c r="GD77" s="207">
        <v>0.0</v>
      </c>
      <c r="GE77" s="207">
        <v>0.0</v>
      </c>
      <c r="GF77" s="207">
        <v>0.0</v>
      </c>
      <c r="GG77" s="207">
        <v>0.0</v>
      </c>
      <c r="GH77" s="207">
        <v>0.0</v>
      </c>
      <c r="GI77" s="207">
        <v>0.0</v>
      </c>
      <c r="GJ77" s="207">
        <v>0.0</v>
      </c>
      <c r="GK77" s="212">
        <v>0.0</v>
      </c>
      <c r="GL77" s="212">
        <v>0.0</v>
      </c>
      <c r="GM77" s="318">
        <v>223.0</v>
      </c>
      <c r="GN77" s="326">
        <v>62.0</v>
      </c>
      <c r="GO77" s="320">
        <v>223.0</v>
      </c>
      <c r="GP77" s="327">
        <v>62.0</v>
      </c>
      <c r="GQ77" s="207"/>
      <c r="GR77" s="213">
        <v>9.0</v>
      </c>
      <c r="GS77" s="193">
        <v>4.0</v>
      </c>
      <c r="GT77" s="194">
        <f t="shared" si="25"/>
        <v>9</v>
      </c>
      <c r="GU77" s="194">
        <f t="shared" si="26"/>
        <v>4</v>
      </c>
      <c r="GV77" s="194">
        <f t="shared" si="27"/>
        <v>5</v>
      </c>
      <c r="GW77" s="322">
        <v>2.0</v>
      </c>
      <c r="GX77" s="323"/>
      <c r="GY77" s="322">
        <v>1.0</v>
      </c>
      <c r="GZ77" s="322">
        <v>5.0</v>
      </c>
      <c r="HA77" s="322">
        <v>1.0</v>
      </c>
      <c r="HB77" s="323"/>
      <c r="HC77" s="323"/>
      <c r="HD77" s="323"/>
      <c r="HE77" s="323"/>
      <c r="HF77" s="323"/>
      <c r="HG77" s="323"/>
      <c r="HH77" s="323"/>
      <c r="HI77" s="323"/>
      <c r="HJ77" s="323"/>
      <c r="HK77" s="323"/>
      <c r="HL77" s="323"/>
      <c r="HM77" s="323"/>
      <c r="HN77" s="323"/>
      <c r="HO77" s="222">
        <v>0.0</v>
      </c>
      <c r="HP77" s="222">
        <v>0.0</v>
      </c>
      <c r="HQ77" s="214"/>
      <c r="HR77" s="197"/>
      <c r="HS77" s="197"/>
      <c r="HT77" s="198">
        <f t="shared" si="28"/>
        <v>11</v>
      </c>
      <c r="HU77" s="198">
        <f t="shared" si="29"/>
        <v>8</v>
      </c>
      <c r="HV77" s="198">
        <f t="shared" si="30"/>
        <v>9</v>
      </c>
      <c r="HW77" s="198">
        <f t="shared" si="99"/>
        <v>8</v>
      </c>
      <c r="HX77" s="198">
        <f t="shared" si="32"/>
        <v>9</v>
      </c>
      <c r="HY77" s="198">
        <f t="shared" si="33"/>
        <v>7</v>
      </c>
      <c r="HZ77" s="198">
        <f t="shared" si="34"/>
        <v>4</v>
      </c>
      <c r="IA77" s="198">
        <f t="shared" si="35"/>
        <v>6</v>
      </c>
      <c r="IB77" s="198">
        <f t="shared" si="36"/>
        <v>6</v>
      </c>
      <c r="IC77" s="198">
        <f t="shared" si="37"/>
        <v>6</v>
      </c>
      <c r="ID77" s="198">
        <f t="shared" si="38"/>
        <v>8</v>
      </c>
      <c r="IE77" s="198">
        <f t="shared" si="39"/>
        <v>9</v>
      </c>
      <c r="IF77" s="324"/>
      <c r="IG77" s="197"/>
      <c r="IH77" s="324"/>
      <c r="II77" s="324"/>
      <c r="IJ77" s="324"/>
      <c r="IK77" s="324"/>
      <c r="IL77" s="324"/>
      <c r="IM77" s="324"/>
      <c r="IN77" s="324"/>
      <c r="IO77" s="324"/>
      <c r="IP77" s="324"/>
      <c r="IQ77" s="324"/>
      <c r="IR77" s="324"/>
      <c r="IS77" s="324"/>
      <c r="IT77" s="324"/>
      <c r="IU77" s="324"/>
      <c r="IV77" s="324"/>
      <c r="IW77" s="324"/>
      <c r="IX77" s="324"/>
      <c r="IY77" s="324"/>
      <c r="IZ77" s="324"/>
      <c r="JA77" s="199"/>
      <c r="JB77" s="200">
        <f t="shared" si="40"/>
        <v>11</v>
      </c>
      <c r="JC77" s="200">
        <f t="shared" si="41"/>
        <v>8</v>
      </c>
      <c r="JD77" s="200">
        <f t="shared" si="42"/>
        <v>9</v>
      </c>
      <c r="JE77" s="200">
        <f t="shared" si="43"/>
        <v>8</v>
      </c>
      <c r="JF77" s="200">
        <f t="shared" si="44"/>
        <v>9</v>
      </c>
      <c r="JG77" s="200">
        <f t="shared" si="45"/>
        <v>7</v>
      </c>
      <c r="JH77" s="200">
        <f t="shared" si="46"/>
        <v>4</v>
      </c>
      <c r="JI77" s="200">
        <f t="shared" si="47"/>
        <v>6</v>
      </c>
      <c r="JJ77" s="200">
        <f t="shared" si="48"/>
        <v>6</v>
      </c>
      <c r="JK77" s="200">
        <f t="shared" si="49"/>
        <v>7</v>
      </c>
      <c r="JL77" s="200">
        <f t="shared" si="50"/>
        <v>8</v>
      </c>
      <c r="JM77" s="200">
        <f t="shared" si="51"/>
        <v>9</v>
      </c>
      <c r="JN77" s="199"/>
      <c r="JO77" s="200">
        <f t="shared" si="52"/>
        <v>11</v>
      </c>
      <c r="JP77" s="202">
        <v>8.0</v>
      </c>
      <c r="JQ77" s="202">
        <v>9.0</v>
      </c>
      <c r="JR77" s="202">
        <v>8.0</v>
      </c>
      <c r="JS77" s="202">
        <v>9.0</v>
      </c>
      <c r="JT77" s="199"/>
      <c r="JU77" s="199"/>
      <c r="JV77" s="200">
        <f t="shared" ref="JV77:JX77" si="205">IA77-JI77</f>
        <v>0</v>
      </c>
      <c r="JW77" s="200">
        <f t="shared" si="205"/>
        <v>0</v>
      </c>
      <c r="JX77" s="200">
        <f t="shared" si="205"/>
        <v>-1</v>
      </c>
      <c r="JY77" s="199"/>
      <c r="JZ77" s="199"/>
      <c r="KA77" s="199"/>
      <c r="KB77" s="200">
        <f t="shared" ref="KB77:KM77" si="206">JB77-JO77</f>
        <v>0</v>
      </c>
      <c r="KC77" s="200">
        <f t="shared" si="206"/>
        <v>0</v>
      </c>
      <c r="KD77" s="200">
        <f t="shared" si="206"/>
        <v>0</v>
      </c>
      <c r="KE77" s="200">
        <f t="shared" si="206"/>
        <v>0</v>
      </c>
      <c r="KF77" s="200">
        <f t="shared" si="206"/>
        <v>0</v>
      </c>
      <c r="KG77" s="200">
        <f t="shared" si="206"/>
        <v>7</v>
      </c>
      <c r="KH77" s="200">
        <f t="shared" si="206"/>
        <v>4</v>
      </c>
      <c r="KI77" s="200">
        <f t="shared" si="206"/>
        <v>6</v>
      </c>
      <c r="KJ77" s="200">
        <f t="shared" si="206"/>
        <v>6</v>
      </c>
      <c r="KK77" s="200">
        <f t="shared" si="206"/>
        <v>8</v>
      </c>
      <c r="KL77" s="200">
        <f t="shared" si="206"/>
        <v>8</v>
      </c>
      <c r="KM77" s="200">
        <f t="shared" si="206"/>
        <v>9</v>
      </c>
      <c r="KN77" s="199"/>
      <c r="KO77" s="199"/>
      <c r="KP77" s="199"/>
      <c r="KQ77" s="199"/>
      <c r="KR77" s="199"/>
      <c r="KS77" s="199"/>
      <c r="KT77" s="199"/>
      <c r="KU77" s="199"/>
      <c r="KV77" s="199"/>
      <c r="KW77" s="199"/>
      <c r="KX77" s="199"/>
      <c r="KY77" s="199"/>
      <c r="KZ77" s="199"/>
      <c r="LA77" s="199"/>
      <c r="LB77" s="199"/>
      <c r="LC77" s="199"/>
      <c r="LD77" s="199"/>
      <c r="LE77" s="199"/>
      <c r="LF77" s="199"/>
      <c r="LG77" s="199"/>
    </row>
    <row r="78" ht="14.25" customHeight="1">
      <c r="A78" s="156">
        <v>71.0</v>
      </c>
      <c r="B78" s="157" t="s">
        <v>158</v>
      </c>
      <c r="C78" s="158">
        <v>3374050.0</v>
      </c>
      <c r="D78" s="158" t="s">
        <v>159</v>
      </c>
      <c r="E78" s="158" t="s">
        <v>164</v>
      </c>
      <c r="F78" s="160">
        <v>3.0</v>
      </c>
      <c r="G78" s="160">
        <v>85.0</v>
      </c>
      <c r="H78" s="160">
        <v>7.0</v>
      </c>
      <c r="I78" s="224">
        <v>0.0</v>
      </c>
      <c r="J78" s="224">
        <v>0.0</v>
      </c>
      <c r="K78" s="224">
        <v>1.0</v>
      </c>
      <c r="L78" s="224">
        <v>6.0</v>
      </c>
      <c r="M78" s="224">
        <v>0.0</v>
      </c>
      <c r="N78" s="224">
        <v>0.0</v>
      </c>
      <c r="O78" s="309">
        <v>7.0</v>
      </c>
      <c r="P78" s="203">
        <v>8.0</v>
      </c>
      <c r="Q78" s="248">
        <v>0.0</v>
      </c>
      <c r="R78" s="248">
        <v>0.0</v>
      </c>
      <c r="S78" s="248">
        <v>1.0</v>
      </c>
      <c r="T78" s="252">
        <v>7.0</v>
      </c>
      <c r="U78" s="252"/>
      <c r="V78" s="325">
        <v>2.0</v>
      </c>
      <c r="W78" s="166">
        <f t="shared" si="4"/>
        <v>6</v>
      </c>
      <c r="X78" s="203">
        <v>5.0</v>
      </c>
      <c r="Y78" s="252">
        <v>0.0</v>
      </c>
      <c r="Z78" s="252">
        <v>0.0</v>
      </c>
      <c r="AA78" s="252">
        <v>1.0</v>
      </c>
      <c r="AB78" s="252">
        <v>4.0</v>
      </c>
      <c r="AC78" s="252"/>
      <c r="AD78" s="252">
        <v>1.0</v>
      </c>
      <c r="AE78" s="310">
        <v>4.0</v>
      </c>
      <c r="AF78" s="311">
        <v>4.0</v>
      </c>
      <c r="AG78" s="252">
        <v>0.0</v>
      </c>
      <c r="AH78" s="252">
        <v>0.0</v>
      </c>
      <c r="AI78" s="252">
        <v>0.0</v>
      </c>
      <c r="AJ78" s="252">
        <v>4.0</v>
      </c>
      <c r="AK78" s="252">
        <v>1.0</v>
      </c>
      <c r="AL78" s="252">
        <v>2.0</v>
      </c>
      <c r="AM78" s="310">
        <v>1.0</v>
      </c>
      <c r="AN78" s="311">
        <v>4.0</v>
      </c>
      <c r="AO78" s="252">
        <v>0.0</v>
      </c>
      <c r="AP78" s="252">
        <v>0.0</v>
      </c>
      <c r="AQ78" s="252">
        <v>0.0</v>
      </c>
      <c r="AR78" s="252">
        <v>4.0</v>
      </c>
      <c r="AS78" s="252"/>
      <c r="AT78" s="252">
        <v>2.0</v>
      </c>
      <c r="AU78" s="312">
        <v>2.0</v>
      </c>
      <c r="AV78" s="313">
        <v>79.0</v>
      </c>
      <c r="AW78" s="204">
        <f t="shared" si="8"/>
        <v>4</v>
      </c>
      <c r="AX78" s="313">
        <v>0.0</v>
      </c>
      <c r="AY78" s="313">
        <v>0.0</v>
      </c>
      <c r="AZ78" s="313">
        <v>0.0</v>
      </c>
      <c r="BA78" s="313">
        <v>4.0</v>
      </c>
      <c r="BB78" s="313">
        <v>0.0</v>
      </c>
      <c r="BC78" s="313">
        <v>0.0</v>
      </c>
      <c r="BD78" s="313">
        <v>0.0</v>
      </c>
      <c r="BE78" s="313">
        <v>0.0</v>
      </c>
      <c r="BF78" s="313">
        <v>0.0</v>
      </c>
      <c r="BG78" s="313">
        <v>0.0</v>
      </c>
      <c r="BH78" s="313">
        <v>0.0</v>
      </c>
      <c r="BI78" s="313">
        <v>0.0</v>
      </c>
      <c r="BJ78" s="313">
        <v>0.0</v>
      </c>
      <c r="BK78" s="313">
        <v>0.0</v>
      </c>
      <c r="BL78" s="313">
        <v>0.0</v>
      </c>
      <c r="BM78" s="313">
        <v>0.0</v>
      </c>
      <c r="BN78" s="313">
        <v>1.0</v>
      </c>
      <c r="BO78" s="313">
        <v>0.0</v>
      </c>
      <c r="BP78" s="205">
        <f t="shared" si="131"/>
        <v>1</v>
      </c>
      <c r="BQ78" s="173">
        <v>77.0</v>
      </c>
      <c r="BR78" s="170">
        <f t="shared" si="10"/>
        <v>4</v>
      </c>
      <c r="BS78" s="173">
        <v>0.0</v>
      </c>
      <c r="BT78" s="173">
        <v>0.0</v>
      </c>
      <c r="BU78" s="173">
        <v>0.0</v>
      </c>
      <c r="BV78" s="173">
        <v>4.0</v>
      </c>
      <c r="BW78" s="173">
        <v>0.0</v>
      </c>
      <c r="BX78" s="173">
        <v>0.0</v>
      </c>
      <c r="BY78" s="173">
        <v>0.0</v>
      </c>
      <c r="BZ78" s="173">
        <v>0.0</v>
      </c>
      <c r="CA78" s="173">
        <v>0.0</v>
      </c>
      <c r="CB78" s="173">
        <v>0.0</v>
      </c>
      <c r="CC78" s="173">
        <v>0.0</v>
      </c>
      <c r="CD78" s="173">
        <v>0.0</v>
      </c>
      <c r="CE78" s="173">
        <v>0.0</v>
      </c>
      <c r="CF78" s="173">
        <v>0.0</v>
      </c>
      <c r="CG78" s="173">
        <v>0.0</v>
      </c>
      <c r="CH78" s="173">
        <v>0.0</v>
      </c>
      <c r="CI78" s="173">
        <v>0.0</v>
      </c>
      <c r="CJ78" s="173">
        <v>0.0</v>
      </c>
      <c r="CK78" s="172">
        <f t="shared" si="132"/>
        <v>0</v>
      </c>
      <c r="CL78" s="314">
        <v>82.0</v>
      </c>
      <c r="CM78" s="314">
        <v>35.0</v>
      </c>
      <c r="CN78" s="175">
        <f t="shared" si="12"/>
        <v>5</v>
      </c>
      <c r="CO78" s="315">
        <v>0.0</v>
      </c>
      <c r="CP78" s="315">
        <v>0.0</v>
      </c>
      <c r="CQ78" s="315">
        <v>0.0</v>
      </c>
      <c r="CR78" s="314">
        <v>4.0</v>
      </c>
      <c r="CS78" s="315">
        <v>0.0</v>
      </c>
      <c r="CT78" s="315">
        <v>0.0</v>
      </c>
      <c r="CU78" s="314">
        <v>1.0</v>
      </c>
      <c r="CV78" s="315">
        <v>0.0</v>
      </c>
      <c r="CW78" s="315">
        <v>0.0</v>
      </c>
      <c r="CX78" s="315">
        <v>0.0</v>
      </c>
      <c r="CY78" s="315">
        <v>0.0</v>
      </c>
      <c r="CZ78" s="315">
        <v>0.0</v>
      </c>
      <c r="DA78" s="315">
        <v>0.0</v>
      </c>
      <c r="DB78" s="315">
        <v>0.0</v>
      </c>
      <c r="DC78" s="315">
        <v>0.0</v>
      </c>
      <c r="DD78" s="315">
        <v>0.0</v>
      </c>
      <c r="DE78" s="315">
        <v>0.0</v>
      </c>
      <c r="DF78" s="315">
        <v>0.0</v>
      </c>
      <c r="DG78" s="176">
        <f t="shared" si="13"/>
        <v>0</v>
      </c>
      <c r="DH78" s="316">
        <v>81.0</v>
      </c>
      <c r="DI78" s="316">
        <v>33.0</v>
      </c>
      <c r="DJ78" s="317">
        <v>81.0</v>
      </c>
      <c r="DK78" s="317">
        <v>33.0</v>
      </c>
      <c r="DL78" s="179">
        <f t="shared" si="14"/>
        <v>5</v>
      </c>
      <c r="DM78" s="180">
        <f t="shared" si="15"/>
        <v>1</v>
      </c>
      <c r="DN78" s="180">
        <f t="shared" si="16"/>
        <v>4</v>
      </c>
      <c r="DO78" s="177">
        <v>0.0</v>
      </c>
      <c r="DP78" s="177">
        <v>0.0</v>
      </c>
      <c r="DQ78" s="177">
        <v>1.0</v>
      </c>
      <c r="DR78" s="177">
        <v>4.0</v>
      </c>
      <c r="DS78" s="177">
        <v>0.0</v>
      </c>
      <c r="DT78" s="177">
        <v>0.0</v>
      </c>
      <c r="DU78" s="177">
        <v>0.0</v>
      </c>
      <c r="DV78" s="177">
        <v>0.0</v>
      </c>
      <c r="DW78" s="177">
        <v>0.0</v>
      </c>
      <c r="DX78" s="177">
        <v>0.0</v>
      </c>
      <c r="DY78" s="177">
        <v>0.0</v>
      </c>
      <c r="DZ78" s="177">
        <v>0.0</v>
      </c>
      <c r="EA78" s="177">
        <v>0.0</v>
      </c>
      <c r="EB78" s="177">
        <v>0.0</v>
      </c>
      <c r="EC78" s="177">
        <v>0.0</v>
      </c>
      <c r="ED78" s="177">
        <v>0.0</v>
      </c>
      <c r="EE78" s="177">
        <v>0.0</v>
      </c>
      <c r="EF78" s="177">
        <v>0.0</v>
      </c>
      <c r="EG78" s="179">
        <f t="shared" si="17"/>
        <v>0</v>
      </c>
      <c r="EH78" s="179">
        <f t="shared" si="18"/>
        <v>0</v>
      </c>
      <c r="EI78" s="316">
        <v>80.0</v>
      </c>
      <c r="EJ78" s="316">
        <v>35.0</v>
      </c>
      <c r="EK78" s="316">
        <v>80.0</v>
      </c>
      <c r="EL78" s="316">
        <v>35.0</v>
      </c>
      <c r="EM78" s="185">
        <f t="shared" si="196"/>
        <v>5</v>
      </c>
      <c r="EN78" s="186">
        <f t="shared" si="202"/>
        <v>1</v>
      </c>
      <c r="EO78" s="186">
        <f t="shared" si="90"/>
        <v>4</v>
      </c>
      <c r="EP78" s="177">
        <v>0.0</v>
      </c>
      <c r="EQ78" s="177">
        <v>0.0</v>
      </c>
      <c r="ER78" s="177">
        <v>1.0</v>
      </c>
      <c r="ES78" s="177">
        <v>4.0</v>
      </c>
      <c r="ET78" s="177">
        <v>0.0</v>
      </c>
      <c r="EU78" s="177">
        <v>0.0</v>
      </c>
      <c r="EV78" s="177">
        <v>0.0</v>
      </c>
      <c r="EW78" s="177">
        <v>0.0</v>
      </c>
      <c r="EX78" s="177">
        <v>0.0</v>
      </c>
      <c r="EY78" s="177">
        <v>0.0</v>
      </c>
      <c r="EZ78" s="177">
        <v>0.0</v>
      </c>
      <c r="FA78" s="177">
        <v>0.0</v>
      </c>
      <c r="FB78" s="177">
        <v>0.0</v>
      </c>
      <c r="FC78" s="177">
        <v>0.0</v>
      </c>
      <c r="FD78" s="177">
        <v>0.0</v>
      </c>
      <c r="FE78" s="177">
        <v>0.0</v>
      </c>
      <c r="FF78" s="177">
        <v>0.0</v>
      </c>
      <c r="FG78" s="177">
        <v>0.0</v>
      </c>
      <c r="FH78" s="185">
        <f t="shared" si="22"/>
        <v>0</v>
      </c>
      <c r="FI78" s="185">
        <f t="shared" si="23"/>
        <v>0</v>
      </c>
      <c r="FJ78" s="177">
        <v>80.0</v>
      </c>
      <c r="FK78" s="177">
        <v>36.0</v>
      </c>
      <c r="FL78" s="177">
        <v>80.0</v>
      </c>
      <c r="FM78" s="177">
        <v>36.0</v>
      </c>
      <c r="FN78" s="180"/>
      <c r="FO78" s="180">
        <v>5.0</v>
      </c>
      <c r="FP78" s="188">
        <f t="shared" si="197"/>
        <v>5</v>
      </c>
      <c r="FQ78" s="211">
        <v>1.0</v>
      </c>
      <c r="FR78" s="212">
        <v>4.0</v>
      </c>
      <c r="FS78" s="206">
        <v>0.0</v>
      </c>
      <c r="FT78" s="207">
        <v>0.0</v>
      </c>
      <c r="FU78" s="207">
        <v>1.0</v>
      </c>
      <c r="FV78" s="207">
        <v>4.0</v>
      </c>
      <c r="FW78" s="207">
        <v>0.0</v>
      </c>
      <c r="FX78" s="207">
        <v>0.0</v>
      </c>
      <c r="FY78" s="207">
        <v>0.0</v>
      </c>
      <c r="FZ78" s="207">
        <v>0.0</v>
      </c>
      <c r="GA78" s="207">
        <v>0.0</v>
      </c>
      <c r="GB78" s="207">
        <v>0.0</v>
      </c>
      <c r="GC78" s="207">
        <v>0.0</v>
      </c>
      <c r="GD78" s="207">
        <v>0.0</v>
      </c>
      <c r="GE78" s="207">
        <v>0.0</v>
      </c>
      <c r="GF78" s="207">
        <v>0.0</v>
      </c>
      <c r="GG78" s="207">
        <v>0.0</v>
      </c>
      <c r="GH78" s="207">
        <v>0.0</v>
      </c>
      <c r="GI78" s="207">
        <v>0.0</v>
      </c>
      <c r="GJ78" s="207">
        <v>0.0</v>
      </c>
      <c r="GK78" s="212">
        <v>0.0</v>
      </c>
      <c r="GL78" s="212">
        <v>0.0</v>
      </c>
      <c r="GM78" s="318">
        <v>81.0</v>
      </c>
      <c r="GN78" s="326">
        <v>33.0</v>
      </c>
      <c r="GO78" s="320">
        <v>81.0</v>
      </c>
      <c r="GP78" s="327">
        <v>33.0</v>
      </c>
      <c r="GQ78" s="207"/>
      <c r="GR78" s="213">
        <v>5.0</v>
      </c>
      <c r="GS78" s="193">
        <v>1.0</v>
      </c>
      <c r="GT78" s="194">
        <f t="shared" si="25"/>
        <v>5</v>
      </c>
      <c r="GU78" s="194">
        <f t="shared" si="26"/>
        <v>1</v>
      </c>
      <c r="GV78" s="194">
        <f t="shared" si="27"/>
        <v>4</v>
      </c>
      <c r="GW78" s="323"/>
      <c r="GX78" s="323"/>
      <c r="GY78" s="322">
        <v>1.0</v>
      </c>
      <c r="GZ78" s="322">
        <v>4.0</v>
      </c>
      <c r="HA78" s="323"/>
      <c r="HB78" s="323"/>
      <c r="HC78" s="323"/>
      <c r="HD78" s="323"/>
      <c r="HE78" s="323"/>
      <c r="HF78" s="323"/>
      <c r="HG78" s="323"/>
      <c r="HH78" s="323"/>
      <c r="HI78" s="323"/>
      <c r="HJ78" s="323"/>
      <c r="HK78" s="323"/>
      <c r="HL78" s="323"/>
      <c r="HM78" s="323"/>
      <c r="HN78" s="323"/>
      <c r="HO78" s="222">
        <v>0.0</v>
      </c>
      <c r="HP78" s="222">
        <v>0.0</v>
      </c>
      <c r="HQ78" s="214"/>
      <c r="HR78" s="197"/>
      <c r="HS78" s="197"/>
      <c r="HT78" s="198">
        <f t="shared" si="28"/>
        <v>7</v>
      </c>
      <c r="HU78" s="198">
        <f t="shared" si="29"/>
        <v>8</v>
      </c>
      <c r="HV78" s="198">
        <f t="shared" si="30"/>
        <v>5</v>
      </c>
      <c r="HW78" s="198">
        <f t="shared" si="99"/>
        <v>4</v>
      </c>
      <c r="HX78" s="198">
        <f t="shared" si="32"/>
        <v>4</v>
      </c>
      <c r="HY78" s="198">
        <f t="shared" si="33"/>
        <v>4</v>
      </c>
      <c r="HZ78" s="198">
        <f t="shared" si="34"/>
        <v>4</v>
      </c>
      <c r="IA78" s="198">
        <f t="shared" si="35"/>
        <v>5</v>
      </c>
      <c r="IB78" s="198">
        <f t="shared" si="36"/>
        <v>5</v>
      </c>
      <c r="IC78" s="198">
        <f t="shared" si="37"/>
        <v>5</v>
      </c>
      <c r="ID78" s="198">
        <f t="shared" si="38"/>
        <v>5</v>
      </c>
      <c r="IE78" s="198">
        <f t="shared" si="39"/>
        <v>5</v>
      </c>
      <c r="IF78" s="324"/>
      <c r="IG78" s="197"/>
      <c r="IH78" s="324"/>
      <c r="II78" s="324"/>
      <c r="IJ78" s="324"/>
      <c r="IK78" s="324"/>
      <c r="IL78" s="324"/>
      <c r="IM78" s="324"/>
      <c r="IN78" s="324"/>
      <c r="IO78" s="324"/>
      <c r="IP78" s="324"/>
      <c r="IQ78" s="324"/>
      <c r="IR78" s="324"/>
      <c r="IS78" s="324"/>
      <c r="IT78" s="324"/>
      <c r="IU78" s="324"/>
      <c r="IV78" s="324"/>
      <c r="IW78" s="324"/>
      <c r="IX78" s="324"/>
      <c r="IY78" s="324"/>
      <c r="IZ78" s="324"/>
      <c r="JA78" s="199"/>
      <c r="JB78" s="200">
        <f t="shared" si="40"/>
        <v>7</v>
      </c>
      <c r="JC78" s="200">
        <f t="shared" si="41"/>
        <v>8</v>
      </c>
      <c r="JD78" s="200">
        <f t="shared" si="42"/>
        <v>5</v>
      </c>
      <c r="JE78" s="200">
        <f t="shared" si="43"/>
        <v>4</v>
      </c>
      <c r="JF78" s="200">
        <f t="shared" si="44"/>
        <v>4</v>
      </c>
      <c r="JG78" s="200">
        <f t="shared" si="45"/>
        <v>4</v>
      </c>
      <c r="JH78" s="200">
        <f t="shared" si="46"/>
        <v>4</v>
      </c>
      <c r="JI78" s="200">
        <f t="shared" si="47"/>
        <v>5</v>
      </c>
      <c r="JJ78" s="200">
        <f t="shared" si="48"/>
        <v>5</v>
      </c>
      <c r="JK78" s="200">
        <f t="shared" si="49"/>
        <v>5</v>
      </c>
      <c r="JL78" s="200">
        <f t="shared" si="50"/>
        <v>5</v>
      </c>
      <c r="JM78" s="200">
        <f t="shared" si="51"/>
        <v>5</v>
      </c>
      <c r="JN78" s="199"/>
      <c r="JO78" s="200">
        <f t="shared" si="52"/>
        <v>7</v>
      </c>
      <c r="JP78" s="202">
        <v>8.0</v>
      </c>
      <c r="JQ78" s="202">
        <v>5.0</v>
      </c>
      <c r="JR78" s="202">
        <v>4.0</v>
      </c>
      <c r="JS78" s="202">
        <v>4.0</v>
      </c>
      <c r="JT78" s="199"/>
      <c r="JU78" s="199"/>
      <c r="JV78" s="200">
        <f t="shared" ref="JV78:JX78" si="207">IA78-JI78</f>
        <v>0</v>
      </c>
      <c r="JW78" s="200">
        <f t="shared" si="207"/>
        <v>0</v>
      </c>
      <c r="JX78" s="200">
        <f t="shared" si="207"/>
        <v>0</v>
      </c>
      <c r="JY78" s="199"/>
      <c r="JZ78" s="199"/>
      <c r="KA78" s="199"/>
      <c r="KB78" s="200">
        <f t="shared" ref="KB78:KM78" si="208">JB78-JO78</f>
        <v>0</v>
      </c>
      <c r="KC78" s="200">
        <f t="shared" si="208"/>
        <v>0</v>
      </c>
      <c r="KD78" s="200">
        <f t="shared" si="208"/>
        <v>0</v>
      </c>
      <c r="KE78" s="200">
        <f t="shared" si="208"/>
        <v>0</v>
      </c>
      <c r="KF78" s="200">
        <f t="shared" si="208"/>
        <v>0</v>
      </c>
      <c r="KG78" s="200">
        <f t="shared" si="208"/>
        <v>4</v>
      </c>
      <c r="KH78" s="200">
        <f t="shared" si="208"/>
        <v>4</v>
      </c>
      <c r="KI78" s="200">
        <f t="shared" si="208"/>
        <v>5</v>
      </c>
      <c r="KJ78" s="200">
        <f t="shared" si="208"/>
        <v>5</v>
      </c>
      <c r="KK78" s="200">
        <f t="shared" si="208"/>
        <v>5</v>
      </c>
      <c r="KL78" s="200">
        <f t="shared" si="208"/>
        <v>5</v>
      </c>
      <c r="KM78" s="200">
        <f t="shared" si="208"/>
        <v>5</v>
      </c>
      <c r="KN78" s="199"/>
      <c r="KO78" s="199"/>
      <c r="KP78" s="199"/>
      <c r="KQ78" s="199"/>
      <c r="KR78" s="199"/>
      <c r="KS78" s="199"/>
      <c r="KT78" s="199"/>
      <c r="KU78" s="199"/>
      <c r="KV78" s="199"/>
      <c r="KW78" s="199"/>
      <c r="KX78" s="199"/>
      <c r="KY78" s="199"/>
      <c r="KZ78" s="199"/>
      <c r="LA78" s="199"/>
      <c r="LB78" s="199"/>
      <c r="LC78" s="199"/>
      <c r="LD78" s="199"/>
      <c r="LE78" s="199"/>
      <c r="LF78" s="199"/>
      <c r="LG78" s="199"/>
    </row>
    <row r="79" ht="14.25" customHeight="1">
      <c r="A79" s="156">
        <v>72.0</v>
      </c>
      <c r="B79" s="157" t="s">
        <v>158</v>
      </c>
      <c r="C79" s="158">
        <v>3374050.0</v>
      </c>
      <c r="D79" s="158" t="s">
        <v>159</v>
      </c>
      <c r="E79" s="158" t="s">
        <v>165</v>
      </c>
      <c r="F79" s="160">
        <v>11.0</v>
      </c>
      <c r="G79" s="160">
        <v>400.0</v>
      </c>
      <c r="H79" s="160">
        <v>27.0</v>
      </c>
      <c r="I79" s="224">
        <v>1.0</v>
      </c>
      <c r="J79" s="224">
        <v>3.0</v>
      </c>
      <c r="K79" s="224">
        <v>6.0</v>
      </c>
      <c r="L79" s="224">
        <v>17.0</v>
      </c>
      <c r="M79" s="224">
        <v>5.0</v>
      </c>
      <c r="N79" s="224">
        <v>0.0</v>
      </c>
      <c r="O79" s="309">
        <v>22.0</v>
      </c>
      <c r="P79" s="203">
        <v>20.0</v>
      </c>
      <c r="Q79" s="248">
        <v>0.0</v>
      </c>
      <c r="R79" s="248">
        <v>0.0</v>
      </c>
      <c r="S79" s="248">
        <v>5.0</v>
      </c>
      <c r="T79" s="252">
        <v>15.0</v>
      </c>
      <c r="U79" s="252"/>
      <c r="V79" s="252">
        <v>8.0</v>
      </c>
      <c r="W79" s="166">
        <f t="shared" si="4"/>
        <v>12</v>
      </c>
      <c r="X79" s="203">
        <v>20.0</v>
      </c>
      <c r="Y79" s="252">
        <v>1.0</v>
      </c>
      <c r="Z79" s="252">
        <v>0.0</v>
      </c>
      <c r="AA79" s="252">
        <v>4.0</v>
      </c>
      <c r="AB79" s="252">
        <v>15.0</v>
      </c>
      <c r="AC79" s="252"/>
      <c r="AD79" s="252"/>
      <c r="AE79" s="310">
        <v>9.0</v>
      </c>
      <c r="AF79" s="311">
        <v>17.0</v>
      </c>
      <c r="AG79" s="252">
        <v>0.0</v>
      </c>
      <c r="AH79" s="252">
        <v>0.0</v>
      </c>
      <c r="AI79" s="252">
        <v>2.0</v>
      </c>
      <c r="AJ79" s="252">
        <v>15.0</v>
      </c>
      <c r="AK79" s="252">
        <v>1.0</v>
      </c>
      <c r="AL79" s="252">
        <v>8.0</v>
      </c>
      <c r="AM79" s="310">
        <v>8.0</v>
      </c>
      <c r="AN79" s="311">
        <v>18.0</v>
      </c>
      <c r="AO79" s="252">
        <v>0.0</v>
      </c>
      <c r="AP79" s="252">
        <v>0.0</v>
      </c>
      <c r="AQ79" s="252">
        <v>5.0</v>
      </c>
      <c r="AR79" s="252">
        <v>13.0</v>
      </c>
      <c r="AS79" s="252">
        <v>3.0</v>
      </c>
      <c r="AT79" s="252">
        <v>8.0</v>
      </c>
      <c r="AU79" s="312">
        <v>7.0</v>
      </c>
      <c r="AV79" s="313">
        <v>368.0</v>
      </c>
      <c r="AW79" s="204">
        <f t="shared" si="8"/>
        <v>13</v>
      </c>
      <c r="AX79" s="313">
        <v>0.0</v>
      </c>
      <c r="AY79" s="313">
        <v>0.0</v>
      </c>
      <c r="AZ79" s="313">
        <v>3.0</v>
      </c>
      <c r="BA79" s="313">
        <v>10.0</v>
      </c>
      <c r="BB79" s="313">
        <v>0.0</v>
      </c>
      <c r="BC79" s="313">
        <v>0.0</v>
      </c>
      <c r="BD79" s="313">
        <v>0.0</v>
      </c>
      <c r="BE79" s="313">
        <v>0.0</v>
      </c>
      <c r="BF79" s="313">
        <v>0.0</v>
      </c>
      <c r="BG79" s="313">
        <v>0.0</v>
      </c>
      <c r="BH79" s="313">
        <v>1.0</v>
      </c>
      <c r="BI79" s="313">
        <v>4.0</v>
      </c>
      <c r="BJ79" s="313">
        <v>0.0</v>
      </c>
      <c r="BK79" s="313">
        <v>0.0</v>
      </c>
      <c r="BL79" s="313">
        <v>0.0</v>
      </c>
      <c r="BM79" s="313">
        <v>0.0</v>
      </c>
      <c r="BN79" s="313">
        <v>0.0</v>
      </c>
      <c r="BO79" s="313">
        <v>0.0</v>
      </c>
      <c r="BP79" s="205">
        <f t="shared" si="131"/>
        <v>5</v>
      </c>
      <c r="BQ79" s="173">
        <v>354.0</v>
      </c>
      <c r="BR79" s="170">
        <f t="shared" si="10"/>
        <v>13</v>
      </c>
      <c r="BS79" s="173">
        <v>0.0</v>
      </c>
      <c r="BT79" s="173">
        <v>0.0</v>
      </c>
      <c r="BU79" s="173">
        <v>3.0</v>
      </c>
      <c r="BV79" s="173">
        <v>10.0</v>
      </c>
      <c r="BW79" s="173">
        <v>0.0</v>
      </c>
      <c r="BX79" s="173">
        <v>0.0</v>
      </c>
      <c r="BY79" s="173">
        <v>0.0</v>
      </c>
      <c r="BZ79" s="173">
        <v>0.0</v>
      </c>
      <c r="CA79" s="173">
        <v>0.0</v>
      </c>
      <c r="CB79" s="173">
        <v>0.0</v>
      </c>
      <c r="CC79" s="173">
        <v>0.0</v>
      </c>
      <c r="CD79" s="173">
        <v>1.0</v>
      </c>
      <c r="CE79" s="173">
        <v>0.0</v>
      </c>
      <c r="CF79" s="173">
        <v>0.0</v>
      </c>
      <c r="CG79" s="173">
        <v>0.0</v>
      </c>
      <c r="CH79" s="173">
        <v>0.0</v>
      </c>
      <c r="CI79" s="173">
        <v>0.0</v>
      </c>
      <c r="CJ79" s="173">
        <v>0.0</v>
      </c>
      <c r="CK79" s="172">
        <f t="shared" si="132"/>
        <v>1</v>
      </c>
      <c r="CL79" s="314">
        <v>344.0</v>
      </c>
      <c r="CM79" s="314">
        <v>107.0</v>
      </c>
      <c r="CN79" s="175">
        <f t="shared" si="12"/>
        <v>11</v>
      </c>
      <c r="CO79" s="315">
        <v>0.0</v>
      </c>
      <c r="CP79" s="315">
        <v>0.0</v>
      </c>
      <c r="CQ79" s="314">
        <v>3.0</v>
      </c>
      <c r="CR79" s="314">
        <v>7.0</v>
      </c>
      <c r="CS79" s="315">
        <v>0.0</v>
      </c>
      <c r="CT79" s="315">
        <v>0.0</v>
      </c>
      <c r="CU79" s="315">
        <v>0.0</v>
      </c>
      <c r="CV79" s="314">
        <v>1.0</v>
      </c>
      <c r="CW79" s="315">
        <v>0.0</v>
      </c>
      <c r="CX79" s="315">
        <v>0.0</v>
      </c>
      <c r="CY79" s="315">
        <v>0.0</v>
      </c>
      <c r="CZ79" s="314">
        <v>5.0</v>
      </c>
      <c r="DA79" s="315">
        <v>0.0</v>
      </c>
      <c r="DB79" s="315">
        <v>0.0</v>
      </c>
      <c r="DC79" s="315">
        <v>0.0</v>
      </c>
      <c r="DD79" s="315">
        <v>0.0</v>
      </c>
      <c r="DE79" s="315">
        <v>0.0</v>
      </c>
      <c r="DF79" s="315">
        <v>0.0</v>
      </c>
      <c r="DG79" s="176">
        <f t="shared" si="13"/>
        <v>5</v>
      </c>
      <c r="DH79" s="316">
        <v>343.0</v>
      </c>
      <c r="DI79" s="316">
        <v>102.0</v>
      </c>
      <c r="DJ79" s="317">
        <v>322.0</v>
      </c>
      <c r="DK79" s="317">
        <v>96.0</v>
      </c>
      <c r="DL79" s="179">
        <f t="shared" si="14"/>
        <v>11</v>
      </c>
      <c r="DM79" s="180">
        <f t="shared" si="15"/>
        <v>2</v>
      </c>
      <c r="DN79" s="180">
        <f t="shared" si="16"/>
        <v>9</v>
      </c>
      <c r="DO79" s="177">
        <v>0.0</v>
      </c>
      <c r="DP79" s="177">
        <v>0.0</v>
      </c>
      <c r="DQ79" s="177">
        <v>2.0</v>
      </c>
      <c r="DR79" s="177">
        <v>9.0</v>
      </c>
      <c r="DS79" s="177">
        <v>0.0</v>
      </c>
      <c r="DT79" s="177">
        <v>0.0</v>
      </c>
      <c r="DU79" s="177">
        <v>0.0</v>
      </c>
      <c r="DV79" s="177">
        <v>0.0</v>
      </c>
      <c r="DW79" s="177">
        <v>0.0</v>
      </c>
      <c r="DX79" s="177">
        <v>0.0</v>
      </c>
      <c r="DY79" s="177">
        <v>0.0</v>
      </c>
      <c r="DZ79" s="177">
        <v>0.0</v>
      </c>
      <c r="EA79" s="177">
        <v>0.0</v>
      </c>
      <c r="EB79" s="177">
        <v>0.0</v>
      </c>
      <c r="EC79" s="177">
        <v>0.0</v>
      </c>
      <c r="ED79" s="177">
        <v>0.0</v>
      </c>
      <c r="EE79" s="177">
        <v>0.0</v>
      </c>
      <c r="EF79" s="177">
        <v>0.0</v>
      </c>
      <c r="EG79" s="179">
        <f t="shared" si="17"/>
        <v>0</v>
      </c>
      <c r="EH79" s="179">
        <f t="shared" si="18"/>
        <v>0</v>
      </c>
      <c r="EI79" s="316">
        <v>332.0</v>
      </c>
      <c r="EJ79" s="316">
        <v>94.0</v>
      </c>
      <c r="EK79" s="316">
        <v>332.0</v>
      </c>
      <c r="EL79" s="316">
        <v>94.0</v>
      </c>
      <c r="EM79" s="185">
        <f t="shared" si="196"/>
        <v>10</v>
      </c>
      <c r="EN79" s="186">
        <f t="shared" si="202"/>
        <v>2</v>
      </c>
      <c r="EO79" s="186">
        <f t="shared" si="90"/>
        <v>8</v>
      </c>
      <c r="EP79" s="177">
        <v>0.0</v>
      </c>
      <c r="EQ79" s="177">
        <v>0.0</v>
      </c>
      <c r="ER79" s="177">
        <v>2.0</v>
      </c>
      <c r="ES79" s="177">
        <v>8.0</v>
      </c>
      <c r="ET79" s="177">
        <v>0.0</v>
      </c>
      <c r="EU79" s="177">
        <v>0.0</v>
      </c>
      <c r="EV79" s="177">
        <v>0.0</v>
      </c>
      <c r="EW79" s="177">
        <v>0.0</v>
      </c>
      <c r="EX79" s="177">
        <v>0.0</v>
      </c>
      <c r="EY79" s="177">
        <v>0.0</v>
      </c>
      <c r="EZ79" s="177">
        <v>0.0</v>
      </c>
      <c r="FA79" s="177">
        <v>1.0</v>
      </c>
      <c r="FB79" s="177">
        <v>0.0</v>
      </c>
      <c r="FC79" s="177">
        <v>0.0</v>
      </c>
      <c r="FD79" s="177">
        <v>0.0</v>
      </c>
      <c r="FE79" s="177">
        <v>0.0</v>
      </c>
      <c r="FF79" s="177">
        <v>0.0</v>
      </c>
      <c r="FG79" s="177">
        <v>0.0</v>
      </c>
      <c r="FH79" s="185">
        <f t="shared" si="22"/>
        <v>1</v>
      </c>
      <c r="FI79" s="185">
        <f t="shared" si="23"/>
        <v>0</v>
      </c>
      <c r="FJ79" s="177">
        <v>299.0</v>
      </c>
      <c r="FK79" s="177">
        <v>83.0</v>
      </c>
      <c r="FL79" s="177">
        <v>299.0</v>
      </c>
      <c r="FM79" s="177">
        <v>83.0</v>
      </c>
      <c r="FN79" s="180"/>
      <c r="FO79" s="180">
        <v>13.0</v>
      </c>
      <c r="FP79" s="188">
        <f t="shared" si="197"/>
        <v>13</v>
      </c>
      <c r="FQ79" s="211">
        <v>2.0</v>
      </c>
      <c r="FR79" s="212">
        <v>11.0</v>
      </c>
      <c r="FS79" s="206">
        <v>0.0</v>
      </c>
      <c r="FT79" s="207">
        <v>0.0</v>
      </c>
      <c r="FU79" s="207">
        <v>2.0</v>
      </c>
      <c r="FV79" s="207">
        <v>8.0</v>
      </c>
      <c r="FW79" s="207">
        <v>0.0</v>
      </c>
      <c r="FX79" s="207">
        <v>0.0</v>
      </c>
      <c r="FY79" s="207">
        <v>0.0</v>
      </c>
      <c r="FZ79" s="207">
        <v>3.0</v>
      </c>
      <c r="GA79" s="207">
        <v>0.0</v>
      </c>
      <c r="GB79" s="207">
        <v>0.0</v>
      </c>
      <c r="GC79" s="207">
        <v>0.0</v>
      </c>
      <c r="GD79" s="207">
        <v>0.0</v>
      </c>
      <c r="GE79" s="207">
        <v>0.0</v>
      </c>
      <c r="GF79" s="207">
        <v>0.0</v>
      </c>
      <c r="GG79" s="207">
        <v>0.0</v>
      </c>
      <c r="GH79" s="207">
        <v>0.0</v>
      </c>
      <c r="GI79" s="207">
        <v>0.0</v>
      </c>
      <c r="GJ79" s="207">
        <v>0.0</v>
      </c>
      <c r="GK79" s="212">
        <v>0.0</v>
      </c>
      <c r="GL79" s="212">
        <v>0.0</v>
      </c>
      <c r="GM79" s="318">
        <v>299.0</v>
      </c>
      <c r="GN79" s="326">
        <v>76.0</v>
      </c>
      <c r="GO79" s="320">
        <v>299.0</v>
      </c>
      <c r="GP79" s="327">
        <v>76.0</v>
      </c>
      <c r="GQ79" s="207"/>
      <c r="GR79" s="213">
        <v>12.0</v>
      </c>
      <c r="GS79" s="193">
        <v>1.0</v>
      </c>
      <c r="GT79" s="194">
        <f t="shared" si="25"/>
        <v>12</v>
      </c>
      <c r="GU79" s="194">
        <f t="shared" si="26"/>
        <v>1</v>
      </c>
      <c r="GV79" s="194">
        <f t="shared" si="27"/>
        <v>11</v>
      </c>
      <c r="GW79" s="323"/>
      <c r="GX79" s="323"/>
      <c r="GY79" s="322">
        <v>1.0</v>
      </c>
      <c r="GZ79" s="322">
        <v>11.0</v>
      </c>
      <c r="HA79" s="323"/>
      <c r="HB79" s="323"/>
      <c r="HC79" s="323"/>
      <c r="HD79" s="323"/>
      <c r="HE79" s="323"/>
      <c r="HF79" s="323"/>
      <c r="HG79" s="323"/>
      <c r="HH79" s="323"/>
      <c r="HI79" s="323"/>
      <c r="HJ79" s="323"/>
      <c r="HK79" s="323"/>
      <c r="HL79" s="323"/>
      <c r="HM79" s="323"/>
      <c r="HN79" s="323"/>
      <c r="HO79" s="222">
        <v>0.0</v>
      </c>
      <c r="HP79" s="222">
        <v>0.0</v>
      </c>
      <c r="HQ79" s="214"/>
      <c r="HR79" s="197"/>
      <c r="HS79" s="197"/>
      <c r="HT79" s="198">
        <f t="shared" si="28"/>
        <v>27</v>
      </c>
      <c r="HU79" s="198">
        <f t="shared" si="29"/>
        <v>20</v>
      </c>
      <c r="HV79" s="198">
        <f t="shared" si="30"/>
        <v>20</v>
      </c>
      <c r="HW79" s="198">
        <f t="shared" si="99"/>
        <v>17</v>
      </c>
      <c r="HX79" s="198">
        <f t="shared" si="32"/>
        <v>18</v>
      </c>
      <c r="HY79" s="198">
        <f t="shared" si="33"/>
        <v>13</v>
      </c>
      <c r="HZ79" s="198">
        <f t="shared" si="34"/>
        <v>13</v>
      </c>
      <c r="IA79" s="198">
        <f t="shared" si="35"/>
        <v>11</v>
      </c>
      <c r="IB79" s="198">
        <f t="shared" si="36"/>
        <v>11</v>
      </c>
      <c r="IC79" s="198">
        <f t="shared" si="37"/>
        <v>10</v>
      </c>
      <c r="ID79" s="198">
        <f t="shared" si="38"/>
        <v>13</v>
      </c>
      <c r="IE79" s="198">
        <f t="shared" si="39"/>
        <v>12</v>
      </c>
      <c r="IF79" s="324"/>
      <c r="IG79" s="197"/>
      <c r="IH79" s="324"/>
      <c r="II79" s="324"/>
      <c r="IJ79" s="324"/>
      <c r="IK79" s="324"/>
      <c r="IL79" s="324"/>
      <c r="IM79" s="324"/>
      <c r="IN79" s="324"/>
      <c r="IO79" s="324"/>
      <c r="IP79" s="324"/>
      <c r="IQ79" s="324"/>
      <c r="IR79" s="324"/>
      <c r="IS79" s="324"/>
      <c r="IT79" s="324"/>
      <c r="IU79" s="324"/>
      <c r="IV79" s="324"/>
      <c r="IW79" s="324"/>
      <c r="IX79" s="324"/>
      <c r="IY79" s="324"/>
      <c r="IZ79" s="324"/>
      <c r="JA79" s="199"/>
      <c r="JB79" s="200">
        <f t="shared" si="40"/>
        <v>27</v>
      </c>
      <c r="JC79" s="200">
        <f t="shared" si="41"/>
        <v>20</v>
      </c>
      <c r="JD79" s="200">
        <f t="shared" si="42"/>
        <v>20</v>
      </c>
      <c r="JE79" s="200">
        <f t="shared" si="43"/>
        <v>17</v>
      </c>
      <c r="JF79" s="200">
        <f t="shared" si="44"/>
        <v>18</v>
      </c>
      <c r="JG79" s="200">
        <f t="shared" si="45"/>
        <v>13</v>
      </c>
      <c r="JH79" s="200">
        <f t="shared" si="46"/>
        <v>13</v>
      </c>
      <c r="JI79" s="200">
        <f t="shared" si="47"/>
        <v>11</v>
      </c>
      <c r="JJ79" s="200">
        <f t="shared" si="48"/>
        <v>11</v>
      </c>
      <c r="JK79" s="200">
        <f t="shared" si="49"/>
        <v>11</v>
      </c>
      <c r="JL79" s="200">
        <f t="shared" si="50"/>
        <v>13</v>
      </c>
      <c r="JM79" s="200">
        <f t="shared" si="51"/>
        <v>12</v>
      </c>
      <c r="JN79" s="199"/>
      <c r="JO79" s="200">
        <f t="shared" si="52"/>
        <v>27</v>
      </c>
      <c r="JP79" s="202">
        <v>20.0</v>
      </c>
      <c r="JQ79" s="202">
        <v>20.0</v>
      </c>
      <c r="JR79" s="202">
        <v>17.0</v>
      </c>
      <c r="JS79" s="202">
        <v>18.0</v>
      </c>
      <c r="JT79" s="199"/>
      <c r="JU79" s="199"/>
      <c r="JV79" s="200">
        <f t="shared" ref="JV79:JX79" si="209">IA79-JI79</f>
        <v>0</v>
      </c>
      <c r="JW79" s="200">
        <f t="shared" si="209"/>
        <v>0</v>
      </c>
      <c r="JX79" s="200">
        <f t="shared" si="209"/>
        <v>-1</v>
      </c>
      <c r="JY79" s="199"/>
      <c r="JZ79" s="199"/>
      <c r="KA79" s="199"/>
      <c r="KB79" s="200">
        <f t="shared" ref="KB79:KM79" si="210">JB79-JO79</f>
        <v>0</v>
      </c>
      <c r="KC79" s="200">
        <f t="shared" si="210"/>
        <v>0</v>
      </c>
      <c r="KD79" s="200">
        <f t="shared" si="210"/>
        <v>0</v>
      </c>
      <c r="KE79" s="200">
        <f t="shared" si="210"/>
        <v>0</v>
      </c>
      <c r="KF79" s="200">
        <f t="shared" si="210"/>
        <v>0</v>
      </c>
      <c r="KG79" s="200">
        <f t="shared" si="210"/>
        <v>13</v>
      </c>
      <c r="KH79" s="200">
        <f t="shared" si="210"/>
        <v>13</v>
      </c>
      <c r="KI79" s="200">
        <f t="shared" si="210"/>
        <v>11</v>
      </c>
      <c r="KJ79" s="200">
        <f t="shared" si="210"/>
        <v>11</v>
      </c>
      <c r="KK79" s="200">
        <f t="shared" si="210"/>
        <v>12</v>
      </c>
      <c r="KL79" s="200">
        <f t="shared" si="210"/>
        <v>13</v>
      </c>
      <c r="KM79" s="200">
        <f t="shared" si="210"/>
        <v>12</v>
      </c>
      <c r="KN79" s="199"/>
      <c r="KO79" s="199"/>
      <c r="KP79" s="199"/>
      <c r="KQ79" s="199"/>
      <c r="KR79" s="199"/>
      <c r="KS79" s="199"/>
      <c r="KT79" s="199"/>
      <c r="KU79" s="199"/>
      <c r="KV79" s="199"/>
      <c r="KW79" s="199"/>
      <c r="KX79" s="199"/>
      <c r="KY79" s="199"/>
      <c r="KZ79" s="199"/>
      <c r="LA79" s="199"/>
      <c r="LB79" s="199"/>
      <c r="LC79" s="199"/>
      <c r="LD79" s="199"/>
      <c r="LE79" s="199"/>
      <c r="LF79" s="199"/>
      <c r="LG79" s="199"/>
    </row>
    <row r="80" ht="14.25" customHeight="1">
      <c r="A80" s="156">
        <v>73.0</v>
      </c>
      <c r="B80" s="157" t="s">
        <v>158</v>
      </c>
      <c r="C80" s="158">
        <v>3374050.0</v>
      </c>
      <c r="D80" s="158" t="s">
        <v>166</v>
      </c>
      <c r="E80" s="158" t="s">
        <v>167</v>
      </c>
      <c r="F80" s="159">
        <v>8.0</v>
      </c>
      <c r="G80" s="328">
        <v>264.0</v>
      </c>
      <c r="H80" s="160">
        <v>24.0</v>
      </c>
      <c r="I80" s="161">
        <v>0.0</v>
      </c>
      <c r="J80" s="161">
        <v>2.0</v>
      </c>
      <c r="K80" s="161">
        <v>4.0</v>
      </c>
      <c r="L80" s="161">
        <v>18.0</v>
      </c>
      <c r="M80" s="161">
        <v>0.0</v>
      </c>
      <c r="N80" s="161">
        <v>0.0</v>
      </c>
      <c r="O80" s="162">
        <f t="shared" ref="O80:O134" si="213">H80-(M80+N80)</f>
        <v>24</v>
      </c>
      <c r="P80" s="203">
        <v>28.0</v>
      </c>
      <c r="Q80" s="164">
        <v>2.0</v>
      </c>
      <c r="R80" s="164">
        <v>0.0</v>
      </c>
      <c r="S80" s="164">
        <v>5.0</v>
      </c>
      <c r="T80" s="165">
        <v>21.0</v>
      </c>
      <c r="U80" s="165">
        <v>1.0</v>
      </c>
      <c r="V80" s="165">
        <v>0.0</v>
      </c>
      <c r="W80" s="166">
        <v>21.0</v>
      </c>
      <c r="X80" s="203">
        <v>22.0</v>
      </c>
      <c r="Y80" s="165">
        <v>1.0</v>
      </c>
      <c r="Z80" s="165">
        <v>0.0</v>
      </c>
      <c r="AA80" s="165">
        <v>5.0</v>
      </c>
      <c r="AB80" s="165">
        <v>16.0</v>
      </c>
      <c r="AC80" s="165">
        <v>0.0</v>
      </c>
      <c r="AD80" s="165">
        <v>7.0</v>
      </c>
      <c r="AE80" s="166">
        <f t="shared" ref="AE80:AE184" si="214">X80-(AC80+AD80)</f>
        <v>15</v>
      </c>
      <c r="AF80" s="167">
        <v>19.0</v>
      </c>
      <c r="AG80" s="165">
        <v>2.0</v>
      </c>
      <c r="AH80" s="165">
        <v>0.0</v>
      </c>
      <c r="AI80" s="165">
        <v>4.0</v>
      </c>
      <c r="AJ80" s="165">
        <v>13.0</v>
      </c>
      <c r="AK80" s="165">
        <v>0.0</v>
      </c>
      <c r="AL80" s="165">
        <v>2.0</v>
      </c>
      <c r="AM80" s="166">
        <f t="shared" ref="AM80:AM146" si="215">AF80-(AK80+AL80)</f>
        <v>17</v>
      </c>
      <c r="AN80" s="167">
        <v>15.0</v>
      </c>
      <c r="AO80" s="165">
        <v>0.0</v>
      </c>
      <c r="AP80" s="165">
        <v>0.0</v>
      </c>
      <c r="AQ80" s="165">
        <v>4.0</v>
      </c>
      <c r="AR80" s="165">
        <v>11.0</v>
      </c>
      <c r="AS80" s="165">
        <v>0.0</v>
      </c>
      <c r="AT80" s="165">
        <v>4.0</v>
      </c>
      <c r="AU80" s="168">
        <f t="shared" ref="AU80:AU148" si="216">AN80-(AS80+AT80)</f>
        <v>11</v>
      </c>
      <c r="AV80" s="169">
        <v>288.0</v>
      </c>
      <c r="AW80" s="204">
        <f t="shared" si="8"/>
        <v>15</v>
      </c>
      <c r="AX80" s="169">
        <v>0.0</v>
      </c>
      <c r="AY80" s="169">
        <v>0.0</v>
      </c>
      <c r="AZ80" s="169">
        <v>3.0</v>
      </c>
      <c r="BA80" s="169">
        <v>12.0</v>
      </c>
      <c r="BB80" s="169">
        <v>0.0</v>
      </c>
      <c r="BC80" s="169">
        <v>0.0</v>
      </c>
      <c r="BD80" s="169">
        <v>0.0</v>
      </c>
      <c r="BE80" s="169">
        <v>0.0</v>
      </c>
      <c r="BF80" s="169">
        <v>0.0</v>
      </c>
      <c r="BG80" s="169">
        <v>0.0</v>
      </c>
      <c r="BH80" s="169">
        <v>0.0</v>
      </c>
      <c r="BI80" s="169">
        <v>0.0</v>
      </c>
      <c r="BJ80" s="169">
        <v>0.0</v>
      </c>
      <c r="BK80" s="169">
        <v>0.0</v>
      </c>
      <c r="BL80" s="169">
        <v>0.0</v>
      </c>
      <c r="BM80" s="169">
        <v>0.0</v>
      </c>
      <c r="BN80" s="169">
        <v>0.0</v>
      </c>
      <c r="BO80" s="169">
        <v>0.0</v>
      </c>
      <c r="BP80" s="205">
        <f t="shared" si="131"/>
        <v>0</v>
      </c>
      <c r="BQ80" s="173">
        <v>264.0</v>
      </c>
      <c r="BR80" s="170">
        <f t="shared" si="10"/>
        <v>13</v>
      </c>
      <c r="BS80" s="173">
        <v>0.0</v>
      </c>
      <c r="BT80" s="173">
        <v>0.0</v>
      </c>
      <c r="BU80" s="173">
        <v>2.0</v>
      </c>
      <c r="BV80" s="173">
        <v>11.0</v>
      </c>
      <c r="BW80" s="173">
        <v>0.0</v>
      </c>
      <c r="BX80" s="173">
        <v>0.0</v>
      </c>
      <c r="BY80" s="173">
        <v>0.0</v>
      </c>
      <c r="BZ80" s="173">
        <v>0.0</v>
      </c>
      <c r="CA80" s="173">
        <v>0.0</v>
      </c>
      <c r="CB80" s="173">
        <v>0.0</v>
      </c>
      <c r="CC80" s="173">
        <v>1.0</v>
      </c>
      <c r="CD80" s="173">
        <v>1.0</v>
      </c>
      <c r="CE80" s="173">
        <v>0.0</v>
      </c>
      <c r="CF80" s="173">
        <v>0.0</v>
      </c>
      <c r="CG80" s="173">
        <v>0.0</v>
      </c>
      <c r="CH80" s="173">
        <v>0.0</v>
      </c>
      <c r="CI80" s="173">
        <v>0.0</v>
      </c>
      <c r="CJ80" s="173">
        <v>0.0</v>
      </c>
      <c r="CK80" s="172">
        <f t="shared" si="132"/>
        <v>2</v>
      </c>
      <c r="CL80" s="173">
        <v>264.0</v>
      </c>
      <c r="CM80" s="173">
        <v>88.0</v>
      </c>
      <c r="CN80" s="175">
        <f t="shared" si="12"/>
        <v>15</v>
      </c>
      <c r="CO80" s="173">
        <v>0.0</v>
      </c>
      <c r="CP80" s="173">
        <v>0.0</v>
      </c>
      <c r="CQ80" s="173">
        <v>2.0</v>
      </c>
      <c r="CR80" s="173">
        <v>11.0</v>
      </c>
      <c r="CS80" s="173">
        <v>0.0</v>
      </c>
      <c r="CT80" s="173">
        <v>0.0</v>
      </c>
      <c r="CU80" s="173">
        <v>1.0</v>
      </c>
      <c r="CV80" s="173">
        <v>1.0</v>
      </c>
      <c r="CW80" s="173">
        <v>0.0</v>
      </c>
      <c r="CX80" s="173">
        <v>0.0</v>
      </c>
      <c r="CY80" s="173">
        <v>0.0</v>
      </c>
      <c r="CZ80" s="173">
        <v>0.0</v>
      </c>
      <c r="DA80" s="173">
        <v>0.0</v>
      </c>
      <c r="DB80" s="173">
        <v>0.0</v>
      </c>
      <c r="DC80" s="173">
        <v>0.0</v>
      </c>
      <c r="DD80" s="173">
        <v>0.0</v>
      </c>
      <c r="DE80" s="173">
        <v>0.0</v>
      </c>
      <c r="DF80" s="173">
        <v>0.0</v>
      </c>
      <c r="DG80" s="176">
        <f t="shared" si="13"/>
        <v>0</v>
      </c>
      <c r="DH80" s="177">
        <v>260.0</v>
      </c>
      <c r="DI80" s="177">
        <v>86.0</v>
      </c>
      <c r="DJ80" s="178">
        <v>254.0</v>
      </c>
      <c r="DK80" s="178">
        <v>83.0</v>
      </c>
      <c r="DL80" s="179">
        <f t="shared" si="14"/>
        <v>11</v>
      </c>
      <c r="DM80" s="180">
        <f t="shared" si="15"/>
        <v>0</v>
      </c>
      <c r="DN80" s="180">
        <f t="shared" si="16"/>
        <v>11</v>
      </c>
      <c r="DO80" s="177">
        <v>0.0</v>
      </c>
      <c r="DP80" s="177">
        <v>0.0</v>
      </c>
      <c r="DQ80" s="177">
        <v>0.0</v>
      </c>
      <c r="DR80" s="177">
        <v>11.0</v>
      </c>
      <c r="DS80" s="177">
        <v>0.0</v>
      </c>
      <c r="DT80" s="177">
        <v>0.0</v>
      </c>
      <c r="DU80" s="177">
        <v>0.0</v>
      </c>
      <c r="DV80" s="177">
        <v>0.0</v>
      </c>
      <c r="DW80" s="177">
        <v>0.0</v>
      </c>
      <c r="DX80" s="177">
        <v>0.0</v>
      </c>
      <c r="DY80" s="177">
        <v>2.0</v>
      </c>
      <c r="DZ80" s="177">
        <v>0.0</v>
      </c>
      <c r="EA80" s="177">
        <v>0.0</v>
      </c>
      <c r="EB80" s="177">
        <v>0.0</v>
      </c>
      <c r="EC80" s="177">
        <v>1.0</v>
      </c>
      <c r="ED80" s="177">
        <v>1.0</v>
      </c>
      <c r="EE80" s="177">
        <v>0.0</v>
      </c>
      <c r="EF80" s="177">
        <v>0.0</v>
      </c>
      <c r="EG80" s="179">
        <f t="shared" si="17"/>
        <v>4</v>
      </c>
      <c r="EH80" s="179">
        <f t="shared" si="18"/>
        <v>3</v>
      </c>
      <c r="EI80" s="177">
        <v>257.0</v>
      </c>
      <c r="EJ80" s="177">
        <v>98.0</v>
      </c>
      <c r="EK80" s="178">
        <v>257.0</v>
      </c>
      <c r="EL80" s="178">
        <v>98.0</v>
      </c>
      <c r="EM80" s="185">
        <f t="shared" si="196"/>
        <v>9</v>
      </c>
      <c r="EN80" s="186">
        <f t="shared" si="202"/>
        <v>0</v>
      </c>
      <c r="EO80" s="186">
        <f t="shared" si="90"/>
        <v>9</v>
      </c>
      <c r="EP80" s="177">
        <v>0.0</v>
      </c>
      <c r="EQ80" s="177">
        <v>0.0</v>
      </c>
      <c r="ER80" s="177">
        <v>0.0</v>
      </c>
      <c r="ES80" s="177">
        <v>9.0</v>
      </c>
      <c r="ET80" s="177">
        <v>0.0</v>
      </c>
      <c r="EU80" s="177">
        <v>0.0</v>
      </c>
      <c r="EV80" s="177">
        <v>0.0</v>
      </c>
      <c r="EW80" s="177">
        <v>0.0</v>
      </c>
      <c r="EX80" s="177">
        <v>0.0</v>
      </c>
      <c r="EY80" s="177">
        <v>0.0</v>
      </c>
      <c r="EZ80" s="177">
        <v>0.0</v>
      </c>
      <c r="FA80" s="177">
        <v>2.0</v>
      </c>
      <c r="FB80" s="177">
        <v>0.0</v>
      </c>
      <c r="FC80" s="177">
        <v>0.0</v>
      </c>
      <c r="FD80" s="177">
        <v>0.0</v>
      </c>
      <c r="FE80" s="177">
        <v>0.0</v>
      </c>
      <c r="FF80" s="177">
        <v>0.0</v>
      </c>
      <c r="FG80" s="177">
        <v>0.0</v>
      </c>
      <c r="FH80" s="185">
        <f t="shared" si="22"/>
        <v>2</v>
      </c>
      <c r="FI80" s="185">
        <f t="shared" si="23"/>
        <v>0</v>
      </c>
      <c r="FJ80" s="177">
        <v>268.0</v>
      </c>
      <c r="FK80" s="177">
        <v>31.0</v>
      </c>
      <c r="FL80" s="177">
        <v>261.0</v>
      </c>
      <c r="FM80" s="177">
        <v>25.0</v>
      </c>
      <c r="FN80" s="210"/>
      <c r="FO80" s="210">
        <v>9.0</v>
      </c>
      <c r="FP80" s="188">
        <f t="shared" si="197"/>
        <v>9</v>
      </c>
      <c r="FQ80" s="211">
        <v>0.0</v>
      </c>
      <c r="FR80" s="212">
        <v>9.0</v>
      </c>
      <c r="FS80" s="206">
        <v>0.0</v>
      </c>
      <c r="FT80" s="207">
        <v>0.0</v>
      </c>
      <c r="FU80" s="207">
        <v>0.0</v>
      </c>
      <c r="FV80" s="207">
        <v>9.0</v>
      </c>
      <c r="FW80" s="207">
        <v>0.0</v>
      </c>
      <c r="FX80" s="207">
        <v>0.0</v>
      </c>
      <c r="FY80" s="207">
        <v>0.0</v>
      </c>
      <c r="FZ80" s="207">
        <v>0.0</v>
      </c>
      <c r="GA80" s="207">
        <v>0.0</v>
      </c>
      <c r="GB80" s="207">
        <v>0.0</v>
      </c>
      <c r="GC80" s="207">
        <v>0.0</v>
      </c>
      <c r="GD80" s="207">
        <v>0.0</v>
      </c>
      <c r="GE80" s="207">
        <v>0.0</v>
      </c>
      <c r="GF80" s="207">
        <v>0.0</v>
      </c>
      <c r="GG80" s="207">
        <v>0.0</v>
      </c>
      <c r="GH80" s="207">
        <v>0.0</v>
      </c>
      <c r="GI80" s="207">
        <v>0.0</v>
      </c>
      <c r="GJ80" s="207">
        <v>0.0</v>
      </c>
      <c r="GK80" s="212">
        <v>0.0</v>
      </c>
      <c r="GL80" s="212">
        <v>0.0</v>
      </c>
      <c r="GM80" s="207">
        <v>254.0</v>
      </c>
      <c r="GN80" s="329">
        <v>84.0</v>
      </c>
      <c r="GO80" s="213">
        <v>243.0</v>
      </c>
      <c r="GP80" s="213">
        <v>84.0</v>
      </c>
      <c r="GQ80" s="207"/>
      <c r="GR80" s="213">
        <v>7.0</v>
      </c>
      <c r="GS80" s="193">
        <v>0.0</v>
      </c>
      <c r="GT80" s="194">
        <f t="shared" si="25"/>
        <v>7</v>
      </c>
      <c r="GU80" s="194">
        <f t="shared" si="26"/>
        <v>0</v>
      </c>
      <c r="GV80" s="194">
        <f t="shared" si="27"/>
        <v>7</v>
      </c>
      <c r="GW80" s="206">
        <v>0.0</v>
      </c>
      <c r="GX80" s="207">
        <v>0.0</v>
      </c>
      <c r="GY80" s="207">
        <v>0.0</v>
      </c>
      <c r="GZ80" s="207">
        <v>7.0</v>
      </c>
      <c r="HA80" s="207">
        <v>0.0</v>
      </c>
      <c r="HB80" s="207">
        <v>0.0</v>
      </c>
      <c r="HC80" s="207">
        <v>0.0</v>
      </c>
      <c r="HD80" s="207">
        <v>0.0</v>
      </c>
      <c r="HE80" s="207">
        <v>0.0</v>
      </c>
      <c r="HF80" s="207">
        <v>0.0</v>
      </c>
      <c r="HG80" s="207">
        <v>0.0</v>
      </c>
      <c r="HH80" s="207">
        <v>2.0</v>
      </c>
      <c r="HI80" s="207">
        <v>0.0</v>
      </c>
      <c r="HJ80" s="207">
        <v>0.0</v>
      </c>
      <c r="HK80" s="207">
        <v>0.0</v>
      </c>
      <c r="HL80" s="207">
        <v>0.0</v>
      </c>
      <c r="HM80" s="207">
        <v>0.0</v>
      </c>
      <c r="HN80" s="207">
        <v>0.0</v>
      </c>
      <c r="HO80" s="222">
        <v>2.0</v>
      </c>
      <c r="HP80" s="222">
        <v>0.0</v>
      </c>
      <c r="HQ80" s="214"/>
      <c r="HR80" s="197"/>
      <c r="HS80" s="197"/>
      <c r="HT80" s="198">
        <f t="shared" si="28"/>
        <v>24</v>
      </c>
      <c r="HU80" s="198">
        <f t="shared" si="29"/>
        <v>28</v>
      </c>
      <c r="HV80" s="198">
        <f t="shared" si="30"/>
        <v>22</v>
      </c>
      <c r="HW80" s="198">
        <f t="shared" si="99"/>
        <v>19</v>
      </c>
      <c r="HX80" s="198">
        <f t="shared" si="32"/>
        <v>15</v>
      </c>
      <c r="HY80" s="198">
        <f t="shared" si="33"/>
        <v>15</v>
      </c>
      <c r="HZ80" s="198">
        <f t="shared" si="34"/>
        <v>13</v>
      </c>
      <c r="IA80" s="198">
        <f t="shared" si="35"/>
        <v>15</v>
      </c>
      <c r="IB80" s="198">
        <f t="shared" si="36"/>
        <v>11</v>
      </c>
      <c r="IC80" s="198">
        <f t="shared" si="37"/>
        <v>9</v>
      </c>
      <c r="ID80" s="198">
        <f t="shared" si="38"/>
        <v>9</v>
      </c>
      <c r="IE80" s="198">
        <f t="shared" si="39"/>
        <v>7</v>
      </c>
      <c r="IF80" s="197"/>
      <c r="IG80" s="197"/>
      <c r="IH80" s="197"/>
      <c r="II80" s="197"/>
      <c r="IJ80" s="197"/>
      <c r="IK80" s="197"/>
      <c r="IL80" s="197"/>
      <c r="IM80" s="197"/>
      <c r="IN80" s="197"/>
      <c r="IO80" s="197"/>
      <c r="IP80" s="197"/>
      <c r="IQ80" s="197"/>
      <c r="IR80" s="197"/>
      <c r="IS80" s="197"/>
      <c r="IT80" s="197"/>
      <c r="IU80" s="197"/>
      <c r="IV80" s="197"/>
      <c r="IW80" s="197"/>
      <c r="IX80" s="197"/>
      <c r="IY80" s="197"/>
      <c r="IZ80" s="197"/>
      <c r="JA80" s="199"/>
      <c r="JB80" s="200">
        <f t="shared" si="40"/>
        <v>24</v>
      </c>
      <c r="JC80" s="200">
        <f t="shared" si="41"/>
        <v>28</v>
      </c>
      <c r="JD80" s="200">
        <f t="shared" si="42"/>
        <v>22</v>
      </c>
      <c r="JE80" s="200">
        <f t="shared" si="43"/>
        <v>19</v>
      </c>
      <c r="JF80" s="200">
        <f t="shared" si="44"/>
        <v>15</v>
      </c>
      <c r="JG80" s="200">
        <f t="shared" si="45"/>
        <v>15</v>
      </c>
      <c r="JH80" s="200">
        <f t="shared" si="46"/>
        <v>13</v>
      </c>
      <c r="JI80" s="200">
        <f t="shared" si="47"/>
        <v>15</v>
      </c>
      <c r="JJ80" s="200">
        <f t="shared" si="48"/>
        <v>11</v>
      </c>
      <c r="JK80" s="200">
        <f t="shared" si="49"/>
        <v>11</v>
      </c>
      <c r="JL80" s="200">
        <f t="shared" si="50"/>
        <v>9</v>
      </c>
      <c r="JM80" s="200">
        <f t="shared" si="51"/>
        <v>7</v>
      </c>
      <c r="JN80" s="199"/>
      <c r="JO80" s="200">
        <f t="shared" si="52"/>
        <v>24</v>
      </c>
      <c r="JP80" s="202">
        <v>28.0</v>
      </c>
      <c r="JQ80" s="202">
        <v>22.0</v>
      </c>
      <c r="JR80" s="202">
        <v>19.0</v>
      </c>
      <c r="JS80" s="202">
        <v>15.0</v>
      </c>
      <c r="JT80" s="199"/>
      <c r="JU80" s="199"/>
      <c r="JV80" s="200">
        <f t="shared" ref="JV80:JX80" si="211">IA80-JI80</f>
        <v>0</v>
      </c>
      <c r="JW80" s="200">
        <f t="shared" si="211"/>
        <v>0</v>
      </c>
      <c r="JX80" s="200">
        <f t="shared" si="211"/>
        <v>-2</v>
      </c>
      <c r="JY80" s="199"/>
      <c r="JZ80" s="199"/>
      <c r="KA80" s="199"/>
      <c r="KB80" s="200">
        <f t="shared" ref="KB80:KM80" si="212">JB80-JO80</f>
        <v>0</v>
      </c>
      <c r="KC80" s="200">
        <f t="shared" si="212"/>
        <v>0</v>
      </c>
      <c r="KD80" s="200">
        <f t="shared" si="212"/>
        <v>0</v>
      </c>
      <c r="KE80" s="200">
        <f t="shared" si="212"/>
        <v>0</v>
      </c>
      <c r="KF80" s="200">
        <f t="shared" si="212"/>
        <v>0</v>
      </c>
      <c r="KG80" s="200">
        <f t="shared" si="212"/>
        <v>15</v>
      </c>
      <c r="KH80" s="200">
        <f t="shared" si="212"/>
        <v>13</v>
      </c>
      <c r="KI80" s="200">
        <f t="shared" si="212"/>
        <v>15</v>
      </c>
      <c r="KJ80" s="200">
        <f t="shared" si="212"/>
        <v>11</v>
      </c>
      <c r="KK80" s="200">
        <f t="shared" si="212"/>
        <v>13</v>
      </c>
      <c r="KL80" s="200">
        <f t="shared" si="212"/>
        <v>9</v>
      </c>
      <c r="KM80" s="200">
        <f t="shared" si="212"/>
        <v>7</v>
      </c>
      <c r="KN80" s="199"/>
      <c r="KO80" s="199"/>
      <c r="KP80" s="199"/>
      <c r="KQ80" s="199"/>
      <c r="KR80" s="199"/>
      <c r="KS80" s="199"/>
      <c r="KT80" s="199"/>
      <c r="KU80" s="199"/>
      <c r="KV80" s="199"/>
      <c r="KW80" s="199"/>
      <c r="KX80" s="199"/>
      <c r="KY80" s="199"/>
      <c r="KZ80" s="199"/>
      <c r="LA80" s="199"/>
      <c r="LB80" s="199"/>
      <c r="LC80" s="199"/>
      <c r="LD80" s="199"/>
      <c r="LE80" s="199"/>
      <c r="LF80" s="199"/>
      <c r="LG80" s="199"/>
    </row>
    <row r="81" ht="14.25" customHeight="1">
      <c r="A81" s="156">
        <v>74.0</v>
      </c>
      <c r="B81" s="157" t="s">
        <v>158</v>
      </c>
      <c r="C81" s="158">
        <v>3374050.0</v>
      </c>
      <c r="D81" s="158" t="s">
        <v>166</v>
      </c>
      <c r="E81" s="158" t="s">
        <v>168</v>
      </c>
      <c r="F81" s="159">
        <v>5.0</v>
      </c>
      <c r="G81" s="328">
        <v>214.0</v>
      </c>
      <c r="H81" s="160">
        <v>7.0</v>
      </c>
      <c r="I81" s="161">
        <v>0.0</v>
      </c>
      <c r="J81" s="161">
        <v>0.0</v>
      </c>
      <c r="K81" s="161">
        <v>0.0</v>
      </c>
      <c r="L81" s="161">
        <v>7.0</v>
      </c>
      <c r="M81" s="161">
        <v>0.0</v>
      </c>
      <c r="N81" s="161">
        <v>0.0</v>
      </c>
      <c r="O81" s="162">
        <f t="shared" si="213"/>
        <v>7</v>
      </c>
      <c r="P81" s="203">
        <v>14.0</v>
      </c>
      <c r="Q81" s="164">
        <v>0.0</v>
      </c>
      <c r="R81" s="164">
        <v>0.0</v>
      </c>
      <c r="S81" s="164">
        <v>1.0</v>
      </c>
      <c r="T81" s="165">
        <v>13.0</v>
      </c>
      <c r="U81" s="165">
        <v>6.0</v>
      </c>
      <c r="V81" s="165">
        <v>0.0</v>
      </c>
      <c r="W81" s="166">
        <v>7.0</v>
      </c>
      <c r="X81" s="203">
        <v>11.0</v>
      </c>
      <c r="Y81" s="165">
        <v>0.0</v>
      </c>
      <c r="Z81" s="165">
        <v>0.0</v>
      </c>
      <c r="AA81" s="165">
        <v>1.0</v>
      </c>
      <c r="AB81" s="165">
        <v>10.0</v>
      </c>
      <c r="AC81" s="165">
        <v>0.0</v>
      </c>
      <c r="AD81" s="165">
        <v>3.0</v>
      </c>
      <c r="AE81" s="166">
        <f t="shared" si="214"/>
        <v>8</v>
      </c>
      <c r="AF81" s="167">
        <v>10.0</v>
      </c>
      <c r="AG81" s="165">
        <v>0.0</v>
      </c>
      <c r="AH81" s="165">
        <v>0.0</v>
      </c>
      <c r="AI81" s="165">
        <v>1.0</v>
      </c>
      <c r="AJ81" s="165">
        <v>9.0</v>
      </c>
      <c r="AK81" s="165">
        <v>0.0</v>
      </c>
      <c r="AL81" s="165">
        <v>1.0</v>
      </c>
      <c r="AM81" s="166">
        <f t="shared" si="215"/>
        <v>9</v>
      </c>
      <c r="AN81" s="167">
        <v>10.0</v>
      </c>
      <c r="AO81" s="165">
        <v>1.0</v>
      </c>
      <c r="AP81" s="165">
        <v>0.0</v>
      </c>
      <c r="AQ81" s="165">
        <v>1.0</v>
      </c>
      <c r="AR81" s="165">
        <v>8.0</v>
      </c>
      <c r="AS81" s="165">
        <v>0.0</v>
      </c>
      <c r="AT81" s="165">
        <v>2.0</v>
      </c>
      <c r="AU81" s="168">
        <f t="shared" si="216"/>
        <v>8</v>
      </c>
      <c r="AV81" s="169">
        <v>240.0</v>
      </c>
      <c r="AW81" s="204">
        <f t="shared" si="8"/>
        <v>8</v>
      </c>
      <c r="AX81" s="169">
        <v>0.0</v>
      </c>
      <c r="AY81" s="169">
        <v>1.0</v>
      </c>
      <c r="AZ81" s="169">
        <v>0.0</v>
      </c>
      <c r="BA81" s="169">
        <v>7.0</v>
      </c>
      <c r="BB81" s="169">
        <v>0.0</v>
      </c>
      <c r="BC81" s="169">
        <v>0.0</v>
      </c>
      <c r="BD81" s="169">
        <v>0.0</v>
      </c>
      <c r="BE81" s="169">
        <v>0.0</v>
      </c>
      <c r="BF81" s="169">
        <v>0.0</v>
      </c>
      <c r="BG81" s="169">
        <v>0.0</v>
      </c>
      <c r="BH81" s="169">
        <v>0.0</v>
      </c>
      <c r="BI81" s="169">
        <v>2.0</v>
      </c>
      <c r="BJ81" s="169">
        <v>0.0</v>
      </c>
      <c r="BK81" s="169">
        <v>0.0</v>
      </c>
      <c r="BL81" s="169">
        <v>0.0</v>
      </c>
      <c r="BM81" s="169">
        <v>0.0</v>
      </c>
      <c r="BN81" s="169">
        <v>0.0</v>
      </c>
      <c r="BO81" s="169">
        <v>0.0</v>
      </c>
      <c r="BP81" s="205">
        <f t="shared" si="131"/>
        <v>2</v>
      </c>
      <c r="BQ81" s="173">
        <v>214.0</v>
      </c>
      <c r="BR81" s="170">
        <f t="shared" si="10"/>
        <v>8</v>
      </c>
      <c r="BS81" s="173">
        <v>0.0</v>
      </c>
      <c r="BT81" s="173">
        <v>0.0</v>
      </c>
      <c r="BU81" s="173">
        <v>0.0</v>
      </c>
      <c r="BV81" s="173">
        <v>8.0</v>
      </c>
      <c r="BW81" s="173">
        <v>0.0</v>
      </c>
      <c r="BX81" s="173">
        <v>0.0</v>
      </c>
      <c r="BY81" s="173">
        <v>0.0</v>
      </c>
      <c r="BZ81" s="173">
        <v>0.0</v>
      </c>
      <c r="CA81" s="173">
        <v>0.0</v>
      </c>
      <c r="CB81" s="173">
        <v>0.0</v>
      </c>
      <c r="CC81" s="173">
        <v>0.0</v>
      </c>
      <c r="CD81" s="173">
        <v>0.0</v>
      </c>
      <c r="CE81" s="173">
        <v>0.0</v>
      </c>
      <c r="CF81" s="173">
        <v>0.0</v>
      </c>
      <c r="CG81" s="173">
        <v>0.0</v>
      </c>
      <c r="CH81" s="173">
        <v>0.0</v>
      </c>
      <c r="CI81" s="173">
        <v>0.0</v>
      </c>
      <c r="CJ81" s="173">
        <v>0.0</v>
      </c>
      <c r="CK81" s="172">
        <f t="shared" si="132"/>
        <v>0</v>
      </c>
      <c r="CL81" s="173">
        <v>214.0</v>
      </c>
      <c r="CM81" s="173">
        <v>79.0</v>
      </c>
      <c r="CN81" s="175">
        <f t="shared" si="12"/>
        <v>8</v>
      </c>
      <c r="CO81" s="173">
        <v>0.0</v>
      </c>
      <c r="CP81" s="173">
        <v>0.0</v>
      </c>
      <c r="CQ81" s="173">
        <v>0.0</v>
      </c>
      <c r="CR81" s="173">
        <v>8.0</v>
      </c>
      <c r="CS81" s="173">
        <v>0.0</v>
      </c>
      <c r="CT81" s="173">
        <v>0.0</v>
      </c>
      <c r="CU81" s="173">
        <v>0.0</v>
      </c>
      <c r="CV81" s="173">
        <v>0.0</v>
      </c>
      <c r="CW81" s="173">
        <v>0.0</v>
      </c>
      <c r="CX81" s="173">
        <v>0.0</v>
      </c>
      <c r="CY81" s="173">
        <v>0.0</v>
      </c>
      <c r="CZ81" s="173">
        <v>0.0</v>
      </c>
      <c r="DA81" s="173">
        <v>0.0</v>
      </c>
      <c r="DB81" s="173">
        <v>0.0</v>
      </c>
      <c r="DC81" s="173">
        <v>0.0</v>
      </c>
      <c r="DD81" s="173">
        <v>0.0</v>
      </c>
      <c r="DE81" s="173">
        <v>0.0</v>
      </c>
      <c r="DF81" s="173">
        <v>0.0</v>
      </c>
      <c r="DG81" s="176">
        <f t="shared" si="13"/>
        <v>0</v>
      </c>
      <c r="DH81" s="177">
        <v>214.0</v>
      </c>
      <c r="DI81" s="177">
        <v>79.0</v>
      </c>
      <c r="DJ81" s="178">
        <v>209.0</v>
      </c>
      <c r="DK81" s="178">
        <v>75.0</v>
      </c>
      <c r="DL81" s="179">
        <f t="shared" si="14"/>
        <v>7</v>
      </c>
      <c r="DM81" s="180">
        <f t="shared" si="15"/>
        <v>0</v>
      </c>
      <c r="DN81" s="180">
        <f t="shared" si="16"/>
        <v>7</v>
      </c>
      <c r="DO81" s="177">
        <v>0.0</v>
      </c>
      <c r="DP81" s="177">
        <v>0.0</v>
      </c>
      <c r="DQ81" s="177">
        <v>0.0</v>
      </c>
      <c r="DR81" s="177">
        <v>7.0</v>
      </c>
      <c r="DS81" s="177">
        <v>0.0</v>
      </c>
      <c r="DT81" s="177">
        <v>0.0</v>
      </c>
      <c r="DU81" s="177">
        <v>0.0</v>
      </c>
      <c r="DV81" s="177">
        <v>0.0</v>
      </c>
      <c r="DW81" s="177">
        <v>0.0</v>
      </c>
      <c r="DX81" s="177">
        <v>0.0</v>
      </c>
      <c r="DY81" s="177">
        <v>0.0</v>
      </c>
      <c r="DZ81" s="177">
        <v>1.0</v>
      </c>
      <c r="EA81" s="177">
        <v>0.0</v>
      </c>
      <c r="EB81" s="177">
        <v>0.0</v>
      </c>
      <c r="EC81" s="177">
        <v>0.0</v>
      </c>
      <c r="ED81" s="177">
        <v>0.0</v>
      </c>
      <c r="EE81" s="177">
        <v>0.0</v>
      </c>
      <c r="EF81" s="177">
        <v>0.0</v>
      </c>
      <c r="EG81" s="179">
        <f t="shared" si="17"/>
        <v>1</v>
      </c>
      <c r="EH81" s="179">
        <f t="shared" si="18"/>
        <v>0</v>
      </c>
      <c r="EI81" s="177">
        <v>200.0</v>
      </c>
      <c r="EJ81" s="177">
        <v>55.0</v>
      </c>
      <c r="EK81" s="178">
        <v>200.0</v>
      </c>
      <c r="EL81" s="178">
        <v>55.0</v>
      </c>
      <c r="EM81" s="185">
        <f t="shared" si="196"/>
        <v>8</v>
      </c>
      <c r="EN81" s="186">
        <f t="shared" si="202"/>
        <v>1</v>
      </c>
      <c r="EO81" s="186">
        <f t="shared" si="90"/>
        <v>7</v>
      </c>
      <c r="EP81" s="177">
        <v>0.0</v>
      </c>
      <c r="EQ81" s="177">
        <v>0.0</v>
      </c>
      <c r="ER81" s="177">
        <v>0.0</v>
      </c>
      <c r="ES81" s="177">
        <v>7.0</v>
      </c>
      <c r="ET81" s="177">
        <v>0.0</v>
      </c>
      <c r="EU81" s="177">
        <v>0.0</v>
      </c>
      <c r="EV81" s="177">
        <v>1.0</v>
      </c>
      <c r="EW81" s="177">
        <v>0.0</v>
      </c>
      <c r="EX81" s="177">
        <v>0.0</v>
      </c>
      <c r="EY81" s="177">
        <v>0.0</v>
      </c>
      <c r="EZ81" s="177">
        <v>0.0</v>
      </c>
      <c r="FA81" s="177">
        <v>0.0</v>
      </c>
      <c r="FB81" s="177">
        <v>0.0</v>
      </c>
      <c r="FC81" s="177">
        <v>0.0</v>
      </c>
      <c r="FD81" s="177">
        <v>0.0</v>
      </c>
      <c r="FE81" s="177">
        <v>0.0</v>
      </c>
      <c r="FF81" s="177">
        <v>0.0</v>
      </c>
      <c r="FG81" s="177">
        <v>0.0</v>
      </c>
      <c r="FH81" s="185">
        <f t="shared" si="22"/>
        <v>0</v>
      </c>
      <c r="FI81" s="185">
        <f t="shared" si="23"/>
        <v>0</v>
      </c>
      <c r="FJ81" s="177">
        <v>212.0</v>
      </c>
      <c r="FK81" s="177">
        <v>31.0</v>
      </c>
      <c r="FL81" s="177">
        <v>210.0</v>
      </c>
      <c r="FM81" s="177">
        <v>30.0</v>
      </c>
      <c r="FN81" s="210"/>
      <c r="FO81" s="210">
        <v>7.0</v>
      </c>
      <c r="FP81" s="188">
        <f t="shared" si="197"/>
        <v>7</v>
      </c>
      <c r="FQ81" s="211">
        <v>1.0</v>
      </c>
      <c r="FR81" s="212">
        <v>6.0</v>
      </c>
      <c r="FS81" s="206">
        <v>0.0</v>
      </c>
      <c r="FT81" s="207">
        <v>0.0</v>
      </c>
      <c r="FU81" s="207">
        <v>1.0</v>
      </c>
      <c r="FV81" s="207">
        <v>6.0</v>
      </c>
      <c r="FW81" s="207">
        <v>0.0</v>
      </c>
      <c r="FX81" s="207">
        <v>0.0</v>
      </c>
      <c r="FY81" s="207">
        <v>0.0</v>
      </c>
      <c r="FZ81" s="207">
        <v>0.0</v>
      </c>
      <c r="GA81" s="207">
        <v>0.0</v>
      </c>
      <c r="GB81" s="207">
        <v>0.0</v>
      </c>
      <c r="GC81" s="207">
        <v>0.0</v>
      </c>
      <c r="GD81" s="207">
        <v>1.0</v>
      </c>
      <c r="GE81" s="207">
        <v>0.0</v>
      </c>
      <c r="GF81" s="207">
        <v>0.0</v>
      </c>
      <c r="GG81" s="207">
        <v>0.0</v>
      </c>
      <c r="GH81" s="207">
        <v>0.0</v>
      </c>
      <c r="GI81" s="207">
        <v>0.0</v>
      </c>
      <c r="GJ81" s="207">
        <v>0.0</v>
      </c>
      <c r="GK81" s="212">
        <v>1.0</v>
      </c>
      <c r="GL81" s="212">
        <v>0.0</v>
      </c>
      <c r="GM81" s="207">
        <v>210.0</v>
      </c>
      <c r="GN81" s="207">
        <v>59.0</v>
      </c>
      <c r="GO81" s="213">
        <v>205.0</v>
      </c>
      <c r="GP81" s="213">
        <v>56.0</v>
      </c>
      <c r="GQ81" s="207"/>
      <c r="GR81" s="213">
        <v>8.0</v>
      </c>
      <c r="GS81" s="193">
        <v>1.0</v>
      </c>
      <c r="GT81" s="194">
        <f t="shared" si="25"/>
        <v>8</v>
      </c>
      <c r="GU81" s="194">
        <f t="shared" si="26"/>
        <v>1</v>
      </c>
      <c r="GV81" s="194">
        <f t="shared" si="27"/>
        <v>7</v>
      </c>
      <c r="GW81" s="206">
        <v>0.0</v>
      </c>
      <c r="GX81" s="207">
        <v>0.0</v>
      </c>
      <c r="GY81" s="207">
        <v>1.0</v>
      </c>
      <c r="GZ81" s="207">
        <v>6.0</v>
      </c>
      <c r="HA81" s="207">
        <v>0.0</v>
      </c>
      <c r="HB81" s="207">
        <v>0.0</v>
      </c>
      <c r="HC81" s="207">
        <v>0.0</v>
      </c>
      <c r="HD81" s="207">
        <v>1.0</v>
      </c>
      <c r="HE81" s="207">
        <v>0.0</v>
      </c>
      <c r="HF81" s="207">
        <v>0.0</v>
      </c>
      <c r="HG81" s="207">
        <v>0.0</v>
      </c>
      <c r="HH81" s="207">
        <v>0.0</v>
      </c>
      <c r="HI81" s="207">
        <v>0.0</v>
      </c>
      <c r="HJ81" s="207">
        <v>0.0</v>
      </c>
      <c r="HK81" s="207">
        <v>0.0</v>
      </c>
      <c r="HL81" s="207">
        <v>0.0</v>
      </c>
      <c r="HM81" s="207">
        <v>0.0</v>
      </c>
      <c r="HN81" s="207">
        <v>0.0</v>
      </c>
      <c r="HO81" s="222">
        <v>0.0</v>
      </c>
      <c r="HP81" s="222">
        <v>0.0</v>
      </c>
      <c r="HQ81" s="214"/>
      <c r="HR81" s="197"/>
      <c r="HS81" s="197"/>
      <c r="HT81" s="198">
        <f t="shared" si="28"/>
        <v>7</v>
      </c>
      <c r="HU81" s="198">
        <f t="shared" si="29"/>
        <v>14</v>
      </c>
      <c r="HV81" s="198">
        <f t="shared" si="30"/>
        <v>11</v>
      </c>
      <c r="HW81" s="198">
        <f t="shared" si="99"/>
        <v>10</v>
      </c>
      <c r="HX81" s="198">
        <f t="shared" si="32"/>
        <v>10</v>
      </c>
      <c r="HY81" s="198">
        <f t="shared" si="33"/>
        <v>8</v>
      </c>
      <c r="HZ81" s="198">
        <f t="shared" si="34"/>
        <v>8</v>
      </c>
      <c r="IA81" s="198">
        <f t="shared" si="35"/>
        <v>8</v>
      </c>
      <c r="IB81" s="198">
        <f t="shared" si="36"/>
        <v>7</v>
      </c>
      <c r="IC81" s="198">
        <f t="shared" si="37"/>
        <v>8</v>
      </c>
      <c r="ID81" s="198">
        <f t="shared" si="38"/>
        <v>7</v>
      </c>
      <c r="IE81" s="198">
        <f t="shared" si="39"/>
        <v>8</v>
      </c>
      <c r="IF81" s="197"/>
      <c r="IG81" s="197"/>
      <c r="IH81" s="197"/>
      <c r="II81" s="197"/>
      <c r="IJ81" s="197"/>
      <c r="IK81" s="197"/>
      <c r="IL81" s="197"/>
      <c r="IM81" s="197"/>
      <c r="IN81" s="197"/>
      <c r="IO81" s="197"/>
      <c r="IP81" s="197"/>
      <c r="IQ81" s="197"/>
      <c r="IR81" s="197"/>
      <c r="IS81" s="197"/>
      <c r="IT81" s="197"/>
      <c r="IU81" s="197"/>
      <c r="IV81" s="197"/>
      <c r="IW81" s="197"/>
      <c r="IX81" s="197"/>
      <c r="IY81" s="197"/>
      <c r="IZ81" s="197"/>
      <c r="JA81" s="199"/>
      <c r="JB81" s="200">
        <f t="shared" si="40"/>
        <v>7</v>
      </c>
      <c r="JC81" s="200">
        <f t="shared" si="41"/>
        <v>14</v>
      </c>
      <c r="JD81" s="200">
        <f t="shared" si="42"/>
        <v>11</v>
      </c>
      <c r="JE81" s="200">
        <f t="shared" si="43"/>
        <v>10</v>
      </c>
      <c r="JF81" s="200">
        <f t="shared" si="44"/>
        <v>10</v>
      </c>
      <c r="JG81" s="200">
        <f t="shared" si="45"/>
        <v>8</v>
      </c>
      <c r="JH81" s="200">
        <f t="shared" si="46"/>
        <v>8</v>
      </c>
      <c r="JI81" s="200">
        <f t="shared" si="47"/>
        <v>8</v>
      </c>
      <c r="JJ81" s="200">
        <f t="shared" si="48"/>
        <v>7</v>
      </c>
      <c r="JK81" s="200">
        <f t="shared" si="49"/>
        <v>8</v>
      </c>
      <c r="JL81" s="200">
        <f t="shared" si="50"/>
        <v>7</v>
      </c>
      <c r="JM81" s="200">
        <f t="shared" si="51"/>
        <v>8</v>
      </c>
      <c r="JN81" s="199"/>
      <c r="JO81" s="200">
        <f t="shared" si="52"/>
        <v>7</v>
      </c>
      <c r="JP81" s="202">
        <v>14.0</v>
      </c>
      <c r="JQ81" s="202">
        <v>11.0</v>
      </c>
      <c r="JR81" s="202">
        <v>10.0</v>
      </c>
      <c r="JS81" s="202">
        <v>10.0</v>
      </c>
      <c r="JT81" s="199"/>
      <c r="JU81" s="199"/>
      <c r="JV81" s="200">
        <f t="shared" ref="JV81:JX81" si="217">IA81-JI81</f>
        <v>0</v>
      </c>
      <c r="JW81" s="200">
        <f t="shared" si="217"/>
        <v>0</v>
      </c>
      <c r="JX81" s="200">
        <f t="shared" si="217"/>
        <v>0</v>
      </c>
      <c r="JY81" s="199"/>
      <c r="JZ81" s="199"/>
      <c r="KA81" s="199"/>
      <c r="KB81" s="200">
        <f t="shared" ref="KB81:KM81" si="218">JB81-JO81</f>
        <v>0</v>
      </c>
      <c r="KC81" s="200">
        <f t="shared" si="218"/>
        <v>0</v>
      </c>
      <c r="KD81" s="200">
        <f t="shared" si="218"/>
        <v>0</v>
      </c>
      <c r="KE81" s="200">
        <f t="shared" si="218"/>
        <v>0</v>
      </c>
      <c r="KF81" s="200">
        <f t="shared" si="218"/>
        <v>0</v>
      </c>
      <c r="KG81" s="200">
        <f t="shared" si="218"/>
        <v>8</v>
      </c>
      <c r="KH81" s="200">
        <f t="shared" si="218"/>
        <v>8</v>
      </c>
      <c r="KI81" s="200">
        <f t="shared" si="218"/>
        <v>8</v>
      </c>
      <c r="KJ81" s="200">
        <f t="shared" si="218"/>
        <v>7</v>
      </c>
      <c r="KK81" s="200">
        <f t="shared" si="218"/>
        <v>8</v>
      </c>
      <c r="KL81" s="200">
        <f t="shared" si="218"/>
        <v>7</v>
      </c>
      <c r="KM81" s="200">
        <f t="shared" si="218"/>
        <v>8</v>
      </c>
      <c r="KN81" s="199"/>
      <c r="KO81" s="199"/>
      <c r="KP81" s="199"/>
      <c r="KQ81" s="199"/>
      <c r="KR81" s="199"/>
      <c r="KS81" s="199"/>
      <c r="KT81" s="199"/>
      <c r="KU81" s="199"/>
      <c r="KV81" s="199"/>
      <c r="KW81" s="199"/>
      <c r="KX81" s="199"/>
      <c r="KY81" s="199"/>
      <c r="KZ81" s="199"/>
      <c r="LA81" s="199"/>
      <c r="LB81" s="199"/>
      <c r="LC81" s="199"/>
      <c r="LD81" s="199"/>
      <c r="LE81" s="199"/>
      <c r="LF81" s="199"/>
      <c r="LG81" s="199"/>
    </row>
    <row r="82" ht="14.25" customHeight="1">
      <c r="A82" s="156">
        <v>75.0</v>
      </c>
      <c r="B82" s="157" t="s">
        <v>158</v>
      </c>
      <c r="C82" s="158">
        <v>3374050.0</v>
      </c>
      <c r="D82" s="158" t="s">
        <v>166</v>
      </c>
      <c r="E82" s="158" t="s">
        <v>169</v>
      </c>
      <c r="F82" s="159">
        <v>6.0</v>
      </c>
      <c r="G82" s="328">
        <v>110.0</v>
      </c>
      <c r="H82" s="160">
        <v>8.0</v>
      </c>
      <c r="I82" s="161">
        <v>0.0</v>
      </c>
      <c r="J82" s="161">
        <v>0.0</v>
      </c>
      <c r="K82" s="161">
        <v>0.0</v>
      </c>
      <c r="L82" s="161">
        <v>8.0</v>
      </c>
      <c r="M82" s="161">
        <v>0.0</v>
      </c>
      <c r="N82" s="161">
        <v>0.0</v>
      </c>
      <c r="O82" s="162">
        <f t="shared" si="213"/>
        <v>8</v>
      </c>
      <c r="P82" s="203">
        <v>9.0</v>
      </c>
      <c r="Q82" s="164">
        <v>0.0</v>
      </c>
      <c r="R82" s="164">
        <v>0.0</v>
      </c>
      <c r="S82" s="164">
        <v>4.0</v>
      </c>
      <c r="T82" s="165">
        <v>5.0</v>
      </c>
      <c r="U82" s="165">
        <v>1.0</v>
      </c>
      <c r="V82" s="165">
        <v>0.0</v>
      </c>
      <c r="W82" s="166">
        <f>P82-(U82+V82)</f>
        <v>8</v>
      </c>
      <c r="X82" s="203">
        <v>3.0</v>
      </c>
      <c r="Y82" s="165">
        <v>0.0</v>
      </c>
      <c r="Z82" s="165">
        <v>0.0</v>
      </c>
      <c r="AA82" s="165">
        <v>0.0</v>
      </c>
      <c r="AB82" s="165">
        <v>3.0</v>
      </c>
      <c r="AC82" s="165">
        <v>0.0</v>
      </c>
      <c r="AD82" s="165">
        <v>6.0</v>
      </c>
      <c r="AE82" s="166">
        <f t="shared" si="214"/>
        <v>-3</v>
      </c>
      <c r="AF82" s="167">
        <v>8.0</v>
      </c>
      <c r="AG82" s="165">
        <v>0.0</v>
      </c>
      <c r="AH82" s="165">
        <v>1.0</v>
      </c>
      <c r="AI82" s="165">
        <v>2.0</v>
      </c>
      <c r="AJ82" s="165">
        <v>5.0</v>
      </c>
      <c r="AK82" s="165">
        <v>5.0</v>
      </c>
      <c r="AL82" s="165">
        <v>0.0</v>
      </c>
      <c r="AM82" s="166">
        <f t="shared" si="215"/>
        <v>3</v>
      </c>
      <c r="AN82" s="167">
        <v>10.0</v>
      </c>
      <c r="AO82" s="165">
        <v>2.0</v>
      </c>
      <c r="AP82" s="165">
        <v>1.0</v>
      </c>
      <c r="AQ82" s="165">
        <v>2.0</v>
      </c>
      <c r="AR82" s="165">
        <v>5.0</v>
      </c>
      <c r="AS82" s="165">
        <v>2.0</v>
      </c>
      <c r="AT82" s="165">
        <v>0.0</v>
      </c>
      <c r="AU82" s="168">
        <f t="shared" si="216"/>
        <v>8</v>
      </c>
      <c r="AV82" s="169">
        <v>113.0</v>
      </c>
      <c r="AW82" s="204">
        <f t="shared" si="8"/>
        <v>4</v>
      </c>
      <c r="AX82" s="169">
        <v>0.0</v>
      </c>
      <c r="AY82" s="169">
        <v>0.0</v>
      </c>
      <c r="AZ82" s="169">
        <v>1.0</v>
      </c>
      <c r="BA82" s="169">
        <v>3.0</v>
      </c>
      <c r="BB82" s="169">
        <v>0.0</v>
      </c>
      <c r="BC82" s="169">
        <v>0.0</v>
      </c>
      <c r="BD82" s="169">
        <v>0.0</v>
      </c>
      <c r="BE82" s="169">
        <v>0.0</v>
      </c>
      <c r="BF82" s="169">
        <v>1.0</v>
      </c>
      <c r="BG82" s="169">
        <v>0.0</v>
      </c>
      <c r="BH82" s="169">
        <v>0.0</v>
      </c>
      <c r="BI82" s="169">
        <v>5.0</v>
      </c>
      <c r="BJ82" s="169">
        <v>0.0</v>
      </c>
      <c r="BK82" s="169">
        <v>0.0</v>
      </c>
      <c r="BL82" s="169">
        <v>0.0</v>
      </c>
      <c r="BM82" s="169">
        <v>0.0</v>
      </c>
      <c r="BN82" s="169">
        <v>0.0</v>
      </c>
      <c r="BO82" s="169">
        <v>0.0</v>
      </c>
      <c r="BP82" s="205">
        <f t="shared" si="131"/>
        <v>6</v>
      </c>
      <c r="BQ82" s="173">
        <v>110.0</v>
      </c>
      <c r="BR82" s="170">
        <f t="shared" si="10"/>
        <v>4</v>
      </c>
      <c r="BS82" s="173">
        <v>0.0</v>
      </c>
      <c r="BT82" s="173">
        <v>0.0</v>
      </c>
      <c r="BU82" s="173">
        <v>0.0</v>
      </c>
      <c r="BV82" s="173">
        <v>4.0</v>
      </c>
      <c r="BW82" s="173">
        <v>0.0</v>
      </c>
      <c r="BX82" s="173">
        <v>0.0</v>
      </c>
      <c r="BY82" s="173">
        <v>0.0</v>
      </c>
      <c r="BZ82" s="173">
        <v>0.0</v>
      </c>
      <c r="CA82" s="173">
        <v>0.0</v>
      </c>
      <c r="CB82" s="173">
        <v>0.0</v>
      </c>
      <c r="CC82" s="173">
        <v>0.0</v>
      </c>
      <c r="CD82" s="173">
        <v>0.0</v>
      </c>
      <c r="CE82" s="173">
        <v>0.0</v>
      </c>
      <c r="CF82" s="173">
        <v>0.0</v>
      </c>
      <c r="CG82" s="173">
        <v>0.0</v>
      </c>
      <c r="CH82" s="173">
        <v>0.0</v>
      </c>
      <c r="CI82" s="173">
        <v>0.0</v>
      </c>
      <c r="CJ82" s="173">
        <v>0.0</v>
      </c>
      <c r="CK82" s="172">
        <f t="shared" si="132"/>
        <v>0</v>
      </c>
      <c r="CL82" s="173">
        <v>110.0</v>
      </c>
      <c r="CM82" s="173">
        <v>51.0</v>
      </c>
      <c r="CN82" s="175">
        <f t="shared" si="12"/>
        <v>4</v>
      </c>
      <c r="CO82" s="173">
        <v>0.0</v>
      </c>
      <c r="CP82" s="173">
        <v>0.0</v>
      </c>
      <c r="CQ82" s="173">
        <v>0.0</v>
      </c>
      <c r="CR82" s="173">
        <v>4.0</v>
      </c>
      <c r="CS82" s="173">
        <v>0.0</v>
      </c>
      <c r="CT82" s="173">
        <v>0.0</v>
      </c>
      <c r="CU82" s="173">
        <v>0.0</v>
      </c>
      <c r="CV82" s="173">
        <v>0.0</v>
      </c>
      <c r="CW82" s="173">
        <v>0.0</v>
      </c>
      <c r="CX82" s="173">
        <v>0.0</v>
      </c>
      <c r="CY82" s="173">
        <v>0.0</v>
      </c>
      <c r="CZ82" s="173">
        <v>0.0</v>
      </c>
      <c r="DA82" s="173">
        <v>0.0</v>
      </c>
      <c r="DB82" s="173">
        <v>0.0</v>
      </c>
      <c r="DC82" s="173">
        <v>0.0</v>
      </c>
      <c r="DD82" s="173">
        <v>0.0</v>
      </c>
      <c r="DE82" s="173">
        <v>0.0</v>
      </c>
      <c r="DF82" s="173">
        <v>0.0</v>
      </c>
      <c r="DG82" s="176">
        <f t="shared" si="13"/>
        <v>0</v>
      </c>
      <c r="DH82" s="177">
        <v>96.0</v>
      </c>
      <c r="DI82" s="177">
        <v>43.0</v>
      </c>
      <c r="DJ82" s="178">
        <v>95.0</v>
      </c>
      <c r="DK82" s="178">
        <v>40.0</v>
      </c>
      <c r="DL82" s="179">
        <f t="shared" si="14"/>
        <v>4</v>
      </c>
      <c r="DM82" s="180">
        <f t="shared" si="15"/>
        <v>0</v>
      </c>
      <c r="DN82" s="180">
        <f t="shared" si="16"/>
        <v>4</v>
      </c>
      <c r="DO82" s="177">
        <v>0.0</v>
      </c>
      <c r="DP82" s="177">
        <v>0.0</v>
      </c>
      <c r="DQ82" s="177">
        <v>0.0</v>
      </c>
      <c r="DR82" s="177">
        <v>4.0</v>
      </c>
      <c r="DS82" s="177">
        <v>0.0</v>
      </c>
      <c r="DT82" s="177">
        <v>0.0</v>
      </c>
      <c r="DU82" s="177">
        <v>0.0</v>
      </c>
      <c r="DV82" s="177">
        <v>0.0</v>
      </c>
      <c r="DW82" s="177">
        <v>0.0</v>
      </c>
      <c r="DX82" s="177">
        <v>0.0</v>
      </c>
      <c r="DY82" s="177">
        <v>0.0</v>
      </c>
      <c r="DZ82" s="177">
        <v>0.0</v>
      </c>
      <c r="EA82" s="177">
        <v>0.0</v>
      </c>
      <c r="EB82" s="177">
        <v>0.0</v>
      </c>
      <c r="EC82" s="177">
        <v>0.0</v>
      </c>
      <c r="ED82" s="177">
        <v>0.0</v>
      </c>
      <c r="EE82" s="177">
        <v>0.0</v>
      </c>
      <c r="EF82" s="177">
        <v>0.0</v>
      </c>
      <c r="EG82" s="179">
        <f t="shared" si="17"/>
        <v>0</v>
      </c>
      <c r="EH82" s="179">
        <f t="shared" si="18"/>
        <v>0</v>
      </c>
      <c r="EI82" s="177">
        <v>143.0</v>
      </c>
      <c r="EJ82" s="177">
        <v>33.0</v>
      </c>
      <c r="EK82" s="178">
        <v>142.0</v>
      </c>
      <c r="EL82" s="178">
        <v>33.0</v>
      </c>
      <c r="EM82" s="185">
        <f t="shared" si="196"/>
        <v>4</v>
      </c>
      <c r="EN82" s="186">
        <f t="shared" si="202"/>
        <v>0</v>
      </c>
      <c r="EO82" s="186">
        <f t="shared" si="90"/>
        <v>4</v>
      </c>
      <c r="EP82" s="177">
        <v>0.0</v>
      </c>
      <c r="EQ82" s="177">
        <v>0.0</v>
      </c>
      <c r="ER82" s="177">
        <v>0.0</v>
      </c>
      <c r="ES82" s="177">
        <v>4.0</v>
      </c>
      <c r="ET82" s="177">
        <v>0.0</v>
      </c>
      <c r="EU82" s="177">
        <v>0.0</v>
      </c>
      <c r="EV82" s="177">
        <v>0.0</v>
      </c>
      <c r="EW82" s="177">
        <v>0.0</v>
      </c>
      <c r="EX82" s="177">
        <v>0.0</v>
      </c>
      <c r="EY82" s="177">
        <v>0.0</v>
      </c>
      <c r="EZ82" s="177">
        <v>0.0</v>
      </c>
      <c r="FA82" s="177">
        <v>0.0</v>
      </c>
      <c r="FB82" s="177">
        <v>0.0</v>
      </c>
      <c r="FC82" s="177">
        <v>0.0</v>
      </c>
      <c r="FD82" s="177">
        <v>0.0</v>
      </c>
      <c r="FE82" s="177">
        <v>0.0</v>
      </c>
      <c r="FF82" s="177">
        <v>0.0</v>
      </c>
      <c r="FG82" s="177">
        <v>0.0</v>
      </c>
      <c r="FH82" s="185">
        <f t="shared" si="22"/>
        <v>0</v>
      </c>
      <c r="FI82" s="185">
        <f t="shared" si="23"/>
        <v>0</v>
      </c>
      <c r="FJ82" s="177">
        <v>108.0</v>
      </c>
      <c r="FK82" s="177">
        <v>23.0</v>
      </c>
      <c r="FL82" s="177">
        <v>104.0</v>
      </c>
      <c r="FM82" s="177">
        <v>21.0</v>
      </c>
      <c r="FN82" s="210"/>
      <c r="FO82" s="210">
        <v>4.0</v>
      </c>
      <c r="FP82" s="188">
        <f t="shared" si="197"/>
        <v>4</v>
      </c>
      <c r="FQ82" s="211">
        <v>0.0</v>
      </c>
      <c r="FR82" s="212">
        <v>4.0</v>
      </c>
      <c r="FS82" s="206">
        <v>0.0</v>
      </c>
      <c r="FT82" s="207">
        <v>0.0</v>
      </c>
      <c r="FU82" s="207">
        <v>0.0</v>
      </c>
      <c r="FV82" s="207">
        <v>4.0</v>
      </c>
      <c r="FW82" s="207">
        <v>0.0</v>
      </c>
      <c r="FX82" s="207">
        <v>0.0</v>
      </c>
      <c r="FY82" s="207">
        <v>0.0</v>
      </c>
      <c r="FZ82" s="207">
        <v>0.0</v>
      </c>
      <c r="GA82" s="207">
        <v>0.0</v>
      </c>
      <c r="GB82" s="207">
        <v>0.0</v>
      </c>
      <c r="GC82" s="207">
        <v>0.0</v>
      </c>
      <c r="GD82" s="207">
        <v>0.0</v>
      </c>
      <c r="GE82" s="207">
        <v>0.0</v>
      </c>
      <c r="GF82" s="207">
        <v>0.0</v>
      </c>
      <c r="GG82" s="207">
        <v>0.0</v>
      </c>
      <c r="GH82" s="207">
        <v>0.0</v>
      </c>
      <c r="GI82" s="207">
        <v>0.0</v>
      </c>
      <c r="GJ82" s="207">
        <v>0.0</v>
      </c>
      <c r="GK82" s="212">
        <v>0.0</v>
      </c>
      <c r="GL82" s="212">
        <v>0.0</v>
      </c>
      <c r="GM82" s="329">
        <v>141.0</v>
      </c>
      <c r="GN82" s="207">
        <v>34.0</v>
      </c>
      <c r="GO82" s="213">
        <v>132.0</v>
      </c>
      <c r="GP82" s="213">
        <v>32.0</v>
      </c>
      <c r="GQ82" s="207"/>
      <c r="GR82" s="213">
        <v>4.0</v>
      </c>
      <c r="GS82" s="193">
        <v>0.0</v>
      </c>
      <c r="GT82" s="194">
        <f t="shared" si="25"/>
        <v>4</v>
      </c>
      <c r="GU82" s="194">
        <f t="shared" si="26"/>
        <v>0</v>
      </c>
      <c r="GV82" s="194">
        <f t="shared" si="27"/>
        <v>4</v>
      </c>
      <c r="GW82" s="206">
        <v>0.0</v>
      </c>
      <c r="GX82" s="207">
        <v>0.0</v>
      </c>
      <c r="GY82" s="207">
        <v>0.0</v>
      </c>
      <c r="GZ82" s="207">
        <v>4.0</v>
      </c>
      <c r="HA82" s="207">
        <v>0.0</v>
      </c>
      <c r="HB82" s="207">
        <v>0.0</v>
      </c>
      <c r="HC82" s="207">
        <v>0.0</v>
      </c>
      <c r="HD82" s="207">
        <v>0.0</v>
      </c>
      <c r="HE82" s="207">
        <v>0.0</v>
      </c>
      <c r="HF82" s="207">
        <v>0.0</v>
      </c>
      <c r="HG82" s="207">
        <v>0.0</v>
      </c>
      <c r="HH82" s="207">
        <v>0.0</v>
      </c>
      <c r="HI82" s="207">
        <v>0.0</v>
      </c>
      <c r="HJ82" s="207">
        <v>0.0</v>
      </c>
      <c r="HK82" s="207">
        <v>0.0</v>
      </c>
      <c r="HL82" s="207">
        <v>0.0</v>
      </c>
      <c r="HM82" s="207">
        <v>0.0</v>
      </c>
      <c r="HN82" s="207">
        <v>0.0</v>
      </c>
      <c r="HO82" s="222">
        <v>0.0</v>
      </c>
      <c r="HP82" s="222">
        <v>0.0</v>
      </c>
      <c r="HQ82" s="214"/>
      <c r="HR82" s="197"/>
      <c r="HS82" s="197"/>
      <c r="HT82" s="198">
        <f t="shared" si="28"/>
        <v>8</v>
      </c>
      <c r="HU82" s="198">
        <f t="shared" si="29"/>
        <v>9</v>
      </c>
      <c r="HV82" s="198">
        <f t="shared" si="30"/>
        <v>3</v>
      </c>
      <c r="HW82" s="198">
        <f t="shared" si="99"/>
        <v>8</v>
      </c>
      <c r="HX82" s="198">
        <f t="shared" si="32"/>
        <v>10</v>
      </c>
      <c r="HY82" s="198">
        <f t="shared" si="33"/>
        <v>4</v>
      </c>
      <c r="HZ82" s="198">
        <f t="shared" si="34"/>
        <v>4</v>
      </c>
      <c r="IA82" s="198">
        <f t="shared" si="35"/>
        <v>4</v>
      </c>
      <c r="IB82" s="198">
        <f t="shared" si="36"/>
        <v>4</v>
      </c>
      <c r="IC82" s="198">
        <f t="shared" si="37"/>
        <v>4</v>
      </c>
      <c r="ID82" s="198">
        <f t="shared" si="38"/>
        <v>4</v>
      </c>
      <c r="IE82" s="198">
        <f t="shared" si="39"/>
        <v>4</v>
      </c>
      <c r="IF82" s="197"/>
      <c r="IG82" s="197"/>
      <c r="IH82" s="197"/>
      <c r="II82" s="197"/>
      <c r="IJ82" s="197"/>
      <c r="IK82" s="197"/>
      <c r="IL82" s="197"/>
      <c r="IM82" s="197"/>
      <c r="IN82" s="197"/>
      <c r="IO82" s="197"/>
      <c r="IP82" s="197"/>
      <c r="IQ82" s="197"/>
      <c r="IR82" s="197"/>
      <c r="IS82" s="197"/>
      <c r="IT82" s="197"/>
      <c r="IU82" s="197"/>
      <c r="IV82" s="197"/>
      <c r="IW82" s="197"/>
      <c r="IX82" s="197"/>
      <c r="IY82" s="197"/>
      <c r="IZ82" s="197"/>
      <c r="JA82" s="199"/>
      <c r="JB82" s="200">
        <f t="shared" si="40"/>
        <v>8</v>
      </c>
      <c r="JC82" s="200">
        <f t="shared" si="41"/>
        <v>9</v>
      </c>
      <c r="JD82" s="200">
        <f t="shared" si="42"/>
        <v>3</v>
      </c>
      <c r="JE82" s="200">
        <f t="shared" si="43"/>
        <v>8</v>
      </c>
      <c r="JF82" s="200">
        <f t="shared" si="44"/>
        <v>10</v>
      </c>
      <c r="JG82" s="200">
        <f t="shared" si="45"/>
        <v>4</v>
      </c>
      <c r="JH82" s="200">
        <f t="shared" si="46"/>
        <v>4</v>
      </c>
      <c r="JI82" s="200">
        <f t="shared" si="47"/>
        <v>4</v>
      </c>
      <c r="JJ82" s="200">
        <f t="shared" si="48"/>
        <v>4</v>
      </c>
      <c r="JK82" s="200">
        <f t="shared" si="49"/>
        <v>4</v>
      </c>
      <c r="JL82" s="200">
        <f t="shared" si="50"/>
        <v>4</v>
      </c>
      <c r="JM82" s="200">
        <f t="shared" si="51"/>
        <v>4</v>
      </c>
      <c r="JN82" s="199"/>
      <c r="JO82" s="200">
        <f t="shared" si="52"/>
        <v>8</v>
      </c>
      <c r="JP82" s="202">
        <v>9.0</v>
      </c>
      <c r="JQ82" s="202">
        <v>3.0</v>
      </c>
      <c r="JR82" s="202">
        <v>8.0</v>
      </c>
      <c r="JS82" s="202">
        <v>10.0</v>
      </c>
      <c r="JT82" s="199"/>
      <c r="JU82" s="199"/>
      <c r="JV82" s="200">
        <f t="shared" ref="JV82:JX82" si="219">IA82-JI82</f>
        <v>0</v>
      </c>
      <c r="JW82" s="200">
        <f t="shared" si="219"/>
        <v>0</v>
      </c>
      <c r="JX82" s="200">
        <f t="shared" si="219"/>
        <v>0</v>
      </c>
      <c r="JY82" s="199"/>
      <c r="JZ82" s="199"/>
      <c r="KA82" s="199"/>
      <c r="KB82" s="200">
        <f t="shared" ref="KB82:KM82" si="220">JB82-JO82</f>
        <v>0</v>
      </c>
      <c r="KC82" s="200">
        <f t="shared" si="220"/>
        <v>0</v>
      </c>
      <c r="KD82" s="200">
        <f t="shared" si="220"/>
        <v>0</v>
      </c>
      <c r="KE82" s="200">
        <f t="shared" si="220"/>
        <v>0</v>
      </c>
      <c r="KF82" s="200">
        <f t="shared" si="220"/>
        <v>0</v>
      </c>
      <c r="KG82" s="200">
        <f t="shared" si="220"/>
        <v>4</v>
      </c>
      <c r="KH82" s="200">
        <f t="shared" si="220"/>
        <v>4</v>
      </c>
      <c r="KI82" s="200">
        <f t="shared" si="220"/>
        <v>4</v>
      </c>
      <c r="KJ82" s="200">
        <f t="shared" si="220"/>
        <v>4</v>
      </c>
      <c r="KK82" s="200">
        <f t="shared" si="220"/>
        <v>4</v>
      </c>
      <c r="KL82" s="200">
        <f t="shared" si="220"/>
        <v>4</v>
      </c>
      <c r="KM82" s="200">
        <f t="shared" si="220"/>
        <v>4</v>
      </c>
      <c r="KN82" s="199"/>
      <c r="KO82" s="199"/>
      <c r="KP82" s="199"/>
      <c r="KQ82" s="199"/>
      <c r="KR82" s="199"/>
      <c r="KS82" s="199"/>
      <c r="KT82" s="199"/>
      <c r="KU82" s="199"/>
      <c r="KV82" s="199"/>
      <c r="KW82" s="199"/>
      <c r="KX82" s="199"/>
      <c r="KY82" s="199"/>
      <c r="KZ82" s="199"/>
      <c r="LA82" s="199"/>
      <c r="LB82" s="199"/>
      <c r="LC82" s="199"/>
      <c r="LD82" s="199"/>
      <c r="LE82" s="199"/>
      <c r="LF82" s="199"/>
      <c r="LG82" s="199"/>
    </row>
    <row r="83" ht="14.25" customHeight="1">
      <c r="A83" s="156">
        <v>76.0</v>
      </c>
      <c r="B83" s="157" t="s">
        <v>158</v>
      </c>
      <c r="C83" s="158">
        <v>3374050.0</v>
      </c>
      <c r="D83" s="158" t="s">
        <v>166</v>
      </c>
      <c r="E83" s="158" t="s">
        <v>170</v>
      </c>
      <c r="F83" s="159">
        <v>8.0</v>
      </c>
      <c r="G83" s="328">
        <v>600.0</v>
      </c>
      <c r="H83" s="160">
        <v>21.0</v>
      </c>
      <c r="I83" s="161">
        <v>0.0</v>
      </c>
      <c r="J83" s="161">
        <v>0.0</v>
      </c>
      <c r="K83" s="161">
        <v>6.0</v>
      </c>
      <c r="L83" s="161">
        <v>15.0</v>
      </c>
      <c r="M83" s="161">
        <v>0.0</v>
      </c>
      <c r="N83" s="161">
        <v>0.0</v>
      </c>
      <c r="O83" s="162">
        <f t="shared" si="213"/>
        <v>21</v>
      </c>
      <c r="P83" s="203">
        <v>36.0</v>
      </c>
      <c r="Q83" s="164">
        <v>1.0</v>
      </c>
      <c r="R83" s="164">
        <v>0.0</v>
      </c>
      <c r="S83" s="164">
        <v>11.0</v>
      </c>
      <c r="T83" s="165">
        <v>24.0</v>
      </c>
      <c r="U83" s="165">
        <v>14.0</v>
      </c>
      <c r="V83" s="165">
        <v>0.0</v>
      </c>
      <c r="W83" s="166">
        <v>24.0</v>
      </c>
      <c r="X83" s="203">
        <v>31.0</v>
      </c>
      <c r="Y83" s="165">
        <v>2.0</v>
      </c>
      <c r="Z83" s="165">
        <v>1.0</v>
      </c>
      <c r="AA83" s="165">
        <v>8.0</v>
      </c>
      <c r="AB83" s="165">
        <v>20.0</v>
      </c>
      <c r="AC83" s="165">
        <v>0.0</v>
      </c>
      <c r="AD83" s="165">
        <v>5.0</v>
      </c>
      <c r="AE83" s="166">
        <f t="shared" si="214"/>
        <v>26</v>
      </c>
      <c r="AF83" s="167">
        <v>28.0</v>
      </c>
      <c r="AG83" s="165">
        <v>0.0</v>
      </c>
      <c r="AH83" s="165">
        <v>1.0</v>
      </c>
      <c r="AI83" s="165">
        <v>8.0</v>
      </c>
      <c r="AJ83" s="165">
        <v>19.0</v>
      </c>
      <c r="AK83" s="165">
        <v>0.0</v>
      </c>
      <c r="AL83" s="165">
        <v>3.0</v>
      </c>
      <c r="AM83" s="166">
        <f t="shared" si="215"/>
        <v>25</v>
      </c>
      <c r="AN83" s="167">
        <v>30.0</v>
      </c>
      <c r="AO83" s="165">
        <v>1.0</v>
      </c>
      <c r="AP83" s="165">
        <v>1.0</v>
      </c>
      <c r="AQ83" s="165">
        <v>8.0</v>
      </c>
      <c r="AR83" s="165">
        <v>20.0</v>
      </c>
      <c r="AS83" s="165">
        <v>2.0</v>
      </c>
      <c r="AT83" s="165">
        <v>0.0</v>
      </c>
      <c r="AU83" s="168">
        <f t="shared" si="216"/>
        <v>28</v>
      </c>
      <c r="AV83" s="169">
        <v>630.0</v>
      </c>
      <c r="AW83" s="204">
        <f t="shared" si="8"/>
        <v>29</v>
      </c>
      <c r="AX83" s="169">
        <v>0.0</v>
      </c>
      <c r="AY83" s="169">
        <v>0.0</v>
      </c>
      <c r="AZ83" s="169">
        <v>13.0</v>
      </c>
      <c r="BA83" s="169">
        <v>16.0</v>
      </c>
      <c r="BB83" s="169">
        <v>0.0</v>
      </c>
      <c r="BC83" s="169">
        <v>0.0</v>
      </c>
      <c r="BD83" s="169">
        <v>0.0</v>
      </c>
      <c r="BE83" s="169">
        <v>0.0</v>
      </c>
      <c r="BF83" s="169">
        <v>0.0</v>
      </c>
      <c r="BG83" s="169">
        <v>0.0</v>
      </c>
      <c r="BH83" s="169">
        <v>0.0</v>
      </c>
      <c r="BI83" s="169">
        <v>1.0</v>
      </c>
      <c r="BJ83" s="169">
        <v>0.0</v>
      </c>
      <c r="BK83" s="169">
        <v>0.0</v>
      </c>
      <c r="BL83" s="169">
        <v>0.0</v>
      </c>
      <c r="BM83" s="169">
        <v>0.0</v>
      </c>
      <c r="BN83" s="169">
        <v>0.0</v>
      </c>
      <c r="BO83" s="169">
        <v>0.0</v>
      </c>
      <c r="BP83" s="205">
        <f t="shared" si="131"/>
        <v>1</v>
      </c>
      <c r="BQ83" s="173">
        <v>600.0</v>
      </c>
      <c r="BR83" s="170">
        <f t="shared" si="10"/>
        <v>24</v>
      </c>
      <c r="BS83" s="173">
        <v>0.0</v>
      </c>
      <c r="BT83" s="173">
        <v>0.0</v>
      </c>
      <c r="BU83" s="173">
        <v>9.0</v>
      </c>
      <c r="BV83" s="173">
        <v>15.0</v>
      </c>
      <c r="BW83" s="173">
        <v>0.0</v>
      </c>
      <c r="BX83" s="173">
        <v>0.0</v>
      </c>
      <c r="BY83" s="173">
        <v>0.0</v>
      </c>
      <c r="BZ83" s="173">
        <v>0.0</v>
      </c>
      <c r="CA83" s="173">
        <v>0.0</v>
      </c>
      <c r="CB83" s="173">
        <v>0.0</v>
      </c>
      <c r="CC83" s="173">
        <v>4.0</v>
      </c>
      <c r="CD83" s="173">
        <v>1.0</v>
      </c>
      <c r="CE83" s="173">
        <v>0.0</v>
      </c>
      <c r="CF83" s="173">
        <v>0.0</v>
      </c>
      <c r="CG83" s="173">
        <v>0.0</v>
      </c>
      <c r="CH83" s="173">
        <v>0.0</v>
      </c>
      <c r="CI83" s="173">
        <v>0.0</v>
      </c>
      <c r="CJ83" s="173">
        <v>0.0</v>
      </c>
      <c r="CK83" s="172">
        <f t="shared" si="132"/>
        <v>5</v>
      </c>
      <c r="CL83" s="173">
        <v>600.0</v>
      </c>
      <c r="CM83" s="173">
        <v>247.0</v>
      </c>
      <c r="CN83" s="175">
        <f t="shared" si="12"/>
        <v>21</v>
      </c>
      <c r="CO83" s="173">
        <v>0.0</v>
      </c>
      <c r="CP83" s="173">
        <v>0.0</v>
      </c>
      <c r="CQ83" s="173">
        <v>6.0</v>
      </c>
      <c r="CR83" s="173">
        <v>15.0</v>
      </c>
      <c r="CS83" s="173">
        <v>0.0</v>
      </c>
      <c r="CT83" s="173">
        <v>0.0</v>
      </c>
      <c r="CU83" s="173">
        <v>0.0</v>
      </c>
      <c r="CV83" s="173">
        <v>0.0</v>
      </c>
      <c r="CW83" s="173">
        <v>0.0</v>
      </c>
      <c r="CX83" s="173">
        <v>0.0</v>
      </c>
      <c r="CY83" s="173">
        <v>3.0</v>
      </c>
      <c r="CZ83" s="173">
        <v>0.0</v>
      </c>
      <c r="DA83" s="173">
        <v>0.0</v>
      </c>
      <c r="DB83" s="173">
        <v>0.0</v>
      </c>
      <c r="DC83" s="173">
        <v>0.0</v>
      </c>
      <c r="DD83" s="173">
        <v>0.0</v>
      </c>
      <c r="DE83" s="173">
        <v>0.0</v>
      </c>
      <c r="DF83" s="173">
        <v>0.0</v>
      </c>
      <c r="DG83" s="176">
        <f t="shared" si="13"/>
        <v>3</v>
      </c>
      <c r="DH83" s="177">
        <v>562.0</v>
      </c>
      <c r="DI83" s="177">
        <v>242.0</v>
      </c>
      <c r="DJ83" s="178">
        <v>550.0</v>
      </c>
      <c r="DK83" s="178">
        <v>233.0</v>
      </c>
      <c r="DL83" s="179">
        <f t="shared" si="14"/>
        <v>22</v>
      </c>
      <c r="DM83" s="180">
        <f t="shared" si="15"/>
        <v>6</v>
      </c>
      <c r="DN83" s="180">
        <f t="shared" si="16"/>
        <v>16</v>
      </c>
      <c r="DO83" s="177">
        <v>0.0</v>
      </c>
      <c r="DP83" s="177">
        <v>0.0</v>
      </c>
      <c r="DQ83" s="177">
        <v>6.0</v>
      </c>
      <c r="DR83" s="177">
        <v>15.0</v>
      </c>
      <c r="DS83" s="177">
        <v>0.0</v>
      </c>
      <c r="DT83" s="177">
        <v>0.0</v>
      </c>
      <c r="DU83" s="177">
        <v>0.0</v>
      </c>
      <c r="DV83" s="177">
        <v>1.0</v>
      </c>
      <c r="DW83" s="177">
        <v>0.0</v>
      </c>
      <c r="DX83" s="177">
        <v>0.0</v>
      </c>
      <c r="DY83" s="177">
        <v>0.0</v>
      </c>
      <c r="DZ83" s="177">
        <v>0.0</v>
      </c>
      <c r="EA83" s="177">
        <v>0.0</v>
      </c>
      <c r="EB83" s="177">
        <v>0.0</v>
      </c>
      <c r="EC83" s="177">
        <v>0.0</v>
      </c>
      <c r="ED83" s="177">
        <v>0.0</v>
      </c>
      <c r="EE83" s="177">
        <v>0.0</v>
      </c>
      <c r="EF83" s="177">
        <v>0.0</v>
      </c>
      <c r="EG83" s="179">
        <f t="shared" si="17"/>
        <v>0</v>
      </c>
      <c r="EH83" s="179">
        <f t="shared" si="18"/>
        <v>0</v>
      </c>
      <c r="EI83" s="177">
        <v>570.0</v>
      </c>
      <c r="EJ83" s="177">
        <v>209.0</v>
      </c>
      <c r="EK83" s="178">
        <v>570.0</v>
      </c>
      <c r="EL83" s="178">
        <v>209.0</v>
      </c>
      <c r="EM83" s="185">
        <f t="shared" si="196"/>
        <v>21</v>
      </c>
      <c r="EN83" s="186">
        <f t="shared" si="202"/>
        <v>5</v>
      </c>
      <c r="EO83" s="186">
        <f t="shared" si="90"/>
        <v>16</v>
      </c>
      <c r="EP83" s="177">
        <v>0.0</v>
      </c>
      <c r="EQ83" s="177">
        <v>0.0</v>
      </c>
      <c r="ER83" s="177">
        <v>5.0</v>
      </c>
      <c r="ES83" s="177">
        <v>16.0</v>
      </c>
      <c r="ET83" s="177">
        <v>0.0</v>
      </c>
      <c r="EU83" s="177">
        <v>0.0</v>
      </c>
      <c r="EV83" s="177">
        <v>0.0</v>
      </c>
      <c r="EW83" s="177">
        <v>0.0</v>
      </c>
      <c r="EX83" s="177">
        <v>0.0</v>
      </c>
      <c r="EY83" s="177">
        <v>0.0</v>
      </c>
      <c r="EZ83" s="177">
        <v>1.0</v>
      </c>
      <c r="FA83" s="177">
        <v>0.0</v>
      </c>
      <c r="FB83" s="177">
        <v>0.0</v>
      </c>
      <c r="FC83" s="177">
        <v>0.0</v>
      </c>
      <c r="FD83" s="177">
        <v>0.0</v>
      </c>
      <c r="FE83" s="177">
        <v>0.0</v>
      </c>
      <c r="FF83" s="177">
        <v>0.0</v>
      </c>
      <c r="FG83" s="177">
        <v>0.0</v>
      </c>
      <c r="FH83" s="185">
        <f t="shared" si="22"/>
        <v>1</v>
      </c>
      <c r="FI83" s="185">
        <f t="shared" si="23"/>
        <v>1</v>
      </c>
      <c r="FJ83" s="177">
        <v>575.0</v>
      </c>
      <c r="FK83" s="177">
        <v>78.0</v>
      </c>
      <c r="FL83" s="177">
        <v>568.0</v>
      </c>
      <c r="FM83" s="177">
        <v>73.0</v>
      </c>
      <c r="FN83" s="210"/>
      <c r="FO83" s="210">
        <v>22.0</v>
      </c>
      <c r="FP83" s="188">
        <f t="shared" si="197"/>
        <v>22</v>
      </c>
      <c r="FQ83" s="211">
        <v>5.0</v>
      </c>
      <c r="FR83" s="212">
        <v>17.0</v>
      </c>
      <c r="FS83" s="206">
        <v>0.0</v>
      </c>
      <c r="FT83" s="207">
        <v>0.0</v>
      </c>
      <c r="FU83" s="207">
        <v>5.0</v>
      </c>
      <c r="FV83" s="207">
        <v>17.0</v>
      </c>
      <c r="FW83" s="207">
        <v>0.0</v>
      </c>
      <c r="FX83" s="207">
        <v>0.0</v>
      </c>
      <c r="FY83" s="207">
        <v>0.0</v>
      </c>
      <c r="FZ83" s="207">
        <v>0.0</v>
      </c>
      <c r="GA83" s="207">
        <v>0.0</v>
      </c>
      <c r="GB83" s="207">
        <v>0.0</v>
      </c>
      <c r="GC83" s="207">
        <v>0.0</v>
      </c>
      <c r="GD83" s="207">
        <v>0.0</v>
      </c>
      <c r="GE83" s="207">
        <v>0.0</v>
      </c>
      <c r="GF83" s="207">
        <v>0.0</v>
      </c>
      <c r="GG83" s="207">
        <v>0.0</v>
      </c>
      <c r="GH83" s="207">
        <v>0.0</v>
      </c>
      <c r="GI83" s="207">
        <v>0.0</v>
      </c>
      <c r="GJ83" s="207">
        <v>0.0</v>
      </c>
      <c r="GK83" s="212">
        <v>0.0</v>
      </c>
      <c r="GL83" s="212">
        <v>0.0</v>
      </c>
      <c r="GM83" s="207">
        <v>565.0</v>
      </c>
      <c r="GN83" s="207">
        <v>182.0</v>
      </c>
      <c r="GO83" s="213">
        <v>541.0</v>
      </c>
      <c r="GP83" s="213">
        <v>177.0</v>
      </c>
      <c r="GQ83" s="207"/>
      <c r="GR83" s="213">
        <v>19.0</v>
      </c>
      <c r="GS83" s="193">
        <v>3.0</v>
      </c>
      <c r="GT83" s="194">
        <f t="shared" si="25"/>
        <v>19</v>
      </c>
      <c r="GU83" s="194">
        <f t="shared" si="26"/>
        <v>3</v>
      </c>
      <c r="GV83" s="194">
        <f t="shared" si="27"/>
        <v>16</v>
      </c>
      <c r="GW83" s="206">
        <v>0.0</v>
      </c>
      <c r="GX83" s="207">
        <v>0.0</v>
      </c>
      <c r="GY83" s="207">
        <v>3.0</v>
      </c>
      <c r="GZ83" s="207">
        <v>16.0</v>
      </c>
      <c r="HA83" s="207">
        <v>0.0</v>
      </c>
      <c r="HB83" s="207">
        <v>0.0</v>
      </c>
      <c r="HC83" s="207">
        <v>0.0</v>
      </c>
      <c r="HD83" s="207">
        <v>0.0</v>
      </c>
      <c r="HE83" s="207">
        <v>0.0</v>
      </c>
      <c r="HF83" s="207">
        <v>0.0</v>
      </c>
      <c r="HG83" s="207">
        <v>2.0</v>
      </c>
      <c r="HH83" s="207">
        <v>1.0</v>
      </c>
      <c r="HI83" s="207">
        <v>0.0</v>
      </c>
      <c r="HJ83" s="207">
        <v>0.0</v>
      </c>
      <c r="HK83" s="207">
        <v>0.0</v>
      </c>
      <c r="HL83" s="207">
        <v>0.0</v>
      </c>
      <c r="HM83" s="207">
        <v>0.0</v>
      </c>
      <c r="HN83" s="207">
        <v>0.0</v>
      </c>
      <c r="HO83" s="222">
        <v>3.0</v>
      </c>
      <c r="HP83" s="222">
        <v>2.0</v>
      </c>
      <c r="HQ83" s="214"/>
      <c r="HR83" s="197"/>
      <c r="HS83" s="197"/>
      <c r="HT83" s="198">
        <f t="shared" si="28"/>
        <v>21</v>
      </c>
      <c r="HU83" s="198">
        <f t="shared" si="29"/>
        <v>36</v>
      </c>
      <c r="HV83" s="198">
        <f t="shared" si="30"/>
        <v>31</v>
      </c>
      <c r="HW83" s="198">
        <f t="shared" si="99"/>
        <v>28</v>
      </c>
      <c r="HX83" s="198">
        <f t="shared" si="32"/>
        <v>30</v>
      </c>
      <c r="HY83" s="198">
        <f t="shared" si="33"/>
        <v>29</v>
      </c>
      <c r="HZ83" s="198">
        <f t="shared" si="34"/>
        <v>24</v>
      </c>
      <c r="IA83" s="198">
        <f t="shared" si="35"/>
        <v>21</v>
      </c>
      <c r="IB83" s="198">
        <f t="shared" si="36"/>
        <v>22</v>
      </c>
      <c r="IC83" s="198">
        <f t="shared" si="37"/>
        <v>21</v>
      </c>
      <c r="ID83" s="198">
        <f t="shared" si="38"/>
        <v>22</v>
      </c>
      <c r="IE83" s="198">
        <f t="shared" si="39"/>
        <v>19</v>
      </c>
      <c r="IF83" s="197"/>
      <c r="IG83" s="197"/>
      <c r="IH83" s="197"/>
      <c r="II83" s="197"/>
      <c r="IJ83" s="197"/>
      <c r="IK83" s="197"/>
      <c r="IL83" s="197"/>
      <c r="IM83" s="197"/>
      <c r="IN83" s="197"/>
      <c r="IO83" s="197"/>
      <c r="IP83" s="197"/>
      <c r="IQ83" s="197"/>
      <c r="IR83" s="197"/>
      <c r="IS83" s="197"/>
      <c r="IT83" s="197"/>
      <c r="IU83" s="197"/>
      <c r="IV83" s="197"/>
      <c r="IW83" s="197"/>
      <c r="IX83" s="197"/>
      <c r="IY83" s="197"/>
      <c r="IZ83" s="197"/>
      <c r="JA83" s="199"/>
      <c r="JB83" s="200">
        <f t="shared" si="40"/>
        <v>21</v>
      </c>
      <c r="JC83" s="200">
        <f t="shared" si="41"/>
        <v>36</v>
      </c>
      <c r="JD83" s="200">
        <f t="shared" si="42"/>
        <v>31</v>
      </c>
      <c r="JE83" s="200">
        <f t="shared" si="43"/>
        <v>28</v>
      </c>
      <c r="JF83" s="200">
        <f t="shared" si="44"/>
        <v>30</v>
      </c>
      <c r="JG83" s="200">
        <f t="shared" si="45"/>
        <v>29</v>
      </c>
      <c r="JH83" s="200">
        <f t="shared" si="46"/>
        <v>24</v>
      </c>
      <c r="JI83" s="200">
        <f t="shared" si="47"/>
        <v>21</v>
      </c>
      <c r="JJ83" s="200">
        <f t="shared" si="48"/>
        <v>22</v>
      </c>
      <c r="JK83" s="200">
        <f t="shared" si="49"/>
        <v>22</v>
      </c>
      <c r="JL83" s="200">
        <f t="shared" si="50"/>
        <v>22</v>
      </c>
      <c r="JM83" s="200">
        <f t="shared" si="51"/>
        <v>19</v>
      </c>
      <c r="JN83" s="199"/>
      <c r="JO83" s="200">
        <f t="shared" si="52"/>
        <v>21</v>
      </c>
      <c r="JP83" s="202">
        <v>36.0</v>
      </c>
      <c r="JQ83" s="202">
        <v>31.0</v>
      </c>
      <c r="JR83" s="202">
        <v>28.0</v>
      </c>
      <c r="JS83" s="202">
        <v>30.0</v>
      </c>
      <c r="JT83" s="199"/>
      <c r="JU83" s="199"/>
      <c r="JV83" s="200">
        <f t="shared" ref="JV83:JX83" si="221">IA83-JI83</f>
        <v>0</v>
      </c>
      <c r="JW83" s="200">
        <f t="shared" si="221"/>
        <v>0</v>
      </c>
      <c r="JX83" s="200">
        <f t="shared" si="221"/>
        <v>-1</v>
      </c>
      <c r="JY83" s="199"/>
      <c r="JZ83" s="199"/>
      <c r="KA83" s="199"/>
      <c r="KB83" s="200">
        <f t="shared" ref="KB83:KM83" si="222">JB83-JO83</f>
        <v>0</v>
      </c>
      <c r="KC83" s="200">
        <f t="shared" si="222"/>
        <v>0</v>
      </c>
      <c r="KD83" s="200">
        <f t="shared" si="222"/>
        <v>0</v>
      </c>
      <c r="KE83" s="200">
        <f t="shared" si="222"/>
        <v>0</v>
      </c>
      <c r="KF83" s="200">
        <f t="shared" si="222"/>
        <v>0</v>
      </c>
      <c r="KG83" s="200">
        <f t="shared" si="222"/>
        <v>29</v>
      </c>
      <c r="KH83" s="200">
        <f t="shared" si="222"/>
        <v>24</v>
      </c>
      <c r="KI83" s="200">
        <f t="shared" si="222"/>
        <v>21</v>
      </c>
      <c r="KJ83" s="200">
        <f t="shared" si="222"/>
        <v>22</v>
      </c>
      <c r="KK83" s="200">
        <f t="shared" si="222"/>
        <v>23</v>
      </c>
      <c r="KL83" s="200">
        <f t="shared" si="222"/>
        <v>22</v>
      </c>
      <c r="KM83" s="200">
        <f t="shared" si="222"/>
        <v>19</v>
      </c>
      <c r="KN83" s="199"/>
      <c r="KO83" s="199"/>
      <c r="KP83" s="199"/>
      <c r="KQ83" s="199"/>
      <c r="KR83" s="199"/>
      <c r="KS83" s="199"/>
      <c r="KT83" s="199"/>
      <c r="KU83" s="199"/>
      <c r="KV83" s="199"/>
      <c r="KW83" s="199"/>
      <c r="KX83" s="199"/>
      <c r="KY83" s="199"/>
      <c r="KZ83" s="199"/>
      <c r="LA83" s="199"/>
      <c r="LB83" s="199"/>
      <c r="LC83" s="199"/>
      <c r="LD83" s="199"/>
      <c r="LE83" s="199"/>
      <c r="LF83" s="199"/>
      <c r="LG83" s="199"/>
    </row>
    <row r="84" ht="14.25" customHeight="1">
      <c r="A84" s="156">
        <v>77.0</v>
      </c>
      <c r="B84" s="157" t="s">
        <v>171</v>
      </c>
      <c r="C84" s="158">
        <v>3374060.0</v>
      </c>
      <c r="D84" s="158" t="s">
        <v>172</v>
      </c>
      <c r="E84" s="158" t="s">
        <v>173</v>
      </c>
      <c r="F84" s="159">
        <v>11.0</v>
      </c>
      <c r="G84" s="328"/>
      <c r="H84" s="160">
        <v>1.0</v>
      </c>
      <c r="I84" s="161">
        <v>0.0</v>
      </c>
      <c r="J84" s="161">
        <v>0.0</v>
      </c>
      <c r="K84" s="161">
        <v>0.0</v>
      </c>
      <c r="L84" s="161">
        <v>1.0</v>
      </c>
      <c r="M84" s="161">
        <v>0.0</v>
      </c>
      <c r="N84" s="161">
        <v>0.0</v>
      </c>
      <c r="O84" s="162">
        <f t="shared" si="213"/>
        <v>1</v>
      </c>
      <c r="P84" s="203">
        <v>2.0</v>
      </c>
      <c r="Q84" s="164">
        <v>0.0</v>
      </c>
      <c r="R84" s="164">
        <v>0.0</v>
      </c>
      <c r="S84" s="164">
        <v>0.0</v>
      </c>
      <c r="T84" s="165">
        <v>2.0</v>
      </c>
      <c r="U84" s="165">
        <v>1.0</v>
      </c>
      <c r="V84" s="165">
        <v>0.0</v>
      </c>
      <c r="W84" s="166">
        <f t="shared" ref="W84:W184" si="225">P84-(U84+V84)</f>
        <v>1</v>
      </c>
      <c r="X84" s="203">
        <v>2.0</v>
      </c>
      <c r="Y84" s="165">
        <v>0.0</v>
      </c>
      <c r="Z84" s="165">
        <v>0.0</v>
      </c>
      <c r="AA84" s="165">
        <v>0.0</v>
      </c>
      <c r="AB84" s="165">
        <v>2.0</v>
      </c>
      <c r="AC84" s="165">
        <v>0.0</v>
      </c>
      <c r="AD84" s="165">
        <v>0.0</v>
      </c>
      <c r="AE84" s="166">
        <f t="shared" si="214"/>
        <v>2</v>
      </c>
      <c r="AF84" s="167">
        <v>2.0</v>
      </c>
      <c r="AG84" s="165">
        <v>0.0</v>
      </c>
      <c r="AH84" s="165">
        <v>0.0</v>
      </c>
      <c r="AI84" s="165">
        <v>0.0</v>
      </c>
      <c r="AJ84" s="165">
        <v>2.0</v>
      </c>
      <c r="AK84" s="165">
        <v>0.0</v>
      </c>
      <c r="AL84" s="165">
        <v>0.0</v>
      </c>
      <c r="AM84" s="166">
        <f t="shared" si="215"/>
        <v>2</v>
      </c>
      <c r="AN84" s="167">
        <v>2.0</v>
      </c>
      <c r="AO84" s="165">
        <v>0.0</v>
      </c>
      <c r="AP84" s="165">
        <v>0.0</v>
      </c>
      <c r="AQ84" s="165">
        <v>0.0</v>
      </c>
      <c r="AR84" s="165">
        <v>2.0</v>
      </c>
      <c r="AS84" s="165">
        <v>0.0</v>
      </c>
      <c r="AT84" s="165">
        <v>0.0</v>
      </c>
      <c r="AU84" s="168">
        <f t="shared" si="216"/>
        <v>2</v>
      </c>
      <c r="AV84" s="169">
        <v>567.0</v>
      </c>
      <c r="AW84" s="204">
        <f t="shared" si="8"/>
        <v>1</v>
      </c>
      <c r="AX84" s="169">
        <v>0.0</v>
      </c>
      <c r="AY84" s="169">
        <v>0.0</v>
      </c>
      <c r="AZ84" s="169">
        <v>0.0</v>
      </c>
      <c r="BA84" s="169">
        <v>1.0</v>
      </c>
      <c r="BB84" s="169">
        <v>0.0</v>
      </c>
      <c r="BC84" s="169">
        <v>0.0</v>
      </c>
      <c r="BD84" s="169">
        <v>0.0</v>
      </c>
      <c r="BE84" s="169">
        <v>0.0</v>
      </c>
      <c r="BF84" s="169">
        <v>0.0</v>
      </c>
      <c r="BG84" s="169">
        <v>0.0</v>
      </c>
      <c r="BH84" s="169">
        <v>0.0</v>
      </c>
      <c r="BI84" s="169">
        <v>1.0</v>
      </c>
      <c r="BJ84" s="169">
        <v>0.0</v>
      </c>
      <c r="BK84" s="169">
        <v>0.0</v>
      </c>
      <c r="BL84" s="169">
        <v>0.0</v>
      </c>
      <c r="BM84" s="169">
        <v>0.0</v>
      </c>
      <c r="BN84" s="169">
        <v>0.0</v>
      </c>
      <c r="BO84" s="169">
        <v>0.0</v>
      </c>
      <c r="BP84" s="205">
        <f t="shared" si="131"/>
        <v>1</v>
      </c>
      <c r="BQ84" s="173">
        <v>549.0</v>
      </c>
      <c r="BR84" s="170">
        <f t="shared" si="10"/>
        <v>1</v>
      </c>
      <c r="BS84" s="173">
        <v>0.0</v>
      </c>
      <c r="BT84" s="173">
        <v>0.0</v>
      </c>
      <c r="BU84" s="173">
        <v>0.0</v>
      </c>
      <c r="BV84" s="173">
        <v>1.0</v>
      </c>
      <c r="BW84" s="173">
        <v>0.0</v>
      </c>
      <c r="BX84" s="173">
        <v>0.0</v>
      </c>
      <c r="BY84" s="173">
        <v>0.0</v>
      </c>
      <c r="BZ84" s="173">
        <v>0.0</v>
      </c>
      <c r="CA84" s="173">
        <v>0.0</v>
      </c>
      <c r="CB84" s="173">
        <v>0.0</v>
      </c>
      <c r="CC84" s="173">
        <v>0.0</v>
      </c>
      <c r="CD84" s="173">
        <v>0.0</v>
      </c>
      <c r="CE84" s="173">
        <v>0.0</v>
      </c>
      <c r="CF84" s="173">
        <v>0.0</v>
      </c>
      <c r="CG84" s="173">
        <v>0.0</v>
      </c>
      <c r="CH84" s="173">
        <v>0.0</v>
      </c>
      <c r="CI84" s="173">
        <v>0.0</v>
      </c>
      <c r="CJ84" s="173">
        <v>0.0</v>
      </c>
      <c r="CK84" s="172">
        <f t="shared" si="132"/>
        <v>0</v>
      </c>
      <c r="CL84" s="173">
        <v>518.0</v>
      </c>
      <c r="CM84" s="173">
        <v>220.0</v>
      </c>
      <c r="CN84" s="175">
        <f t="shared" si="12"/>
        <v>0</v>
      </c>
      <c r="CO84" s="173">
        <v>0.0</v>
      </c>
      <c r="CP84" s="173">
        <v>0.0</v>
      </c>
      <c r="CQ84" s="173">
        <v>0.0</v>
      </c>
      <c r="CR84" s="173">
        <v>0.0</v>
      </c>
      <c r="CS84" s="173">
        <v>0.0</v>
      </c>
      <c r="CT84" s="173">
        <v>0.0</v>
      </c>
      <c r="CU84" s="173">
        <v>0.0</v>
      </c>
      <c r="CV84" s="173">
        <v>0.0</v>
      </c>
      <c r="CW84" s="173">
        <v>0.0</v>
      </c>
      <c r="CX84" s="173">
        <v>0.0</v>
      </c>
      <c r="CY84" s="173">
        <v>0.0</v>
      </c>
      <c r="CZ84" s="173">
        <v>0.0</v>
      </c>
      <c r="DA84" s="173">
        <v>0.0</v>
      </c>
      <c r="DB84" s="173">
        <v>0.0</v>
      </c>
      <c r="DC84" s="173">
        <v>0.0</v>
      </c>
      <c r="DD84" s="173">
        <v>1.0</v>
      </c>
      <c r="DE84" s="173">
        <v>0.0</v>
      </c>
      <c r="DF84" s="173">
        <v>0.0</v>
      </c>
      <c r="DG84" s="176">
        <f t="shared" si="13"/>
        <v>1</v>
      </c>
      <c r="DH84" s="177">
        <v>490.0</v>
      </c>
      <c r="DI84" s="177">
        <v>180.0</v>
      </c>
      <c r="DJ84" s="177">
        <v>490.0</v>
      </c>
      <c r="DK84" s="178">
        <v>200.0</v>
      </c>
      <c r="DL84" s="179">
        <f t="shared" si="14"/>
        <v>0</v>
      </c>
      <c r="DM84" s="180">
        <f t="shared" si="15"/>
        <v>0</v>
      </c>
      <c r="DN84" s="180">
        <f t="shared" si="16"/>
        <v>0</v>
      </c>
      <c r="DO84" s="177">
        <v>0.0</v>
      </c>
      <c r="DP84" s="177">
        <v>0.0</v>
      </c>
      <c r="DQ84" s="177">
        <v>0.0</v>
      </c>
      <c r="DR84" s="177">
        <v>0.0</v>
      </c>
      <c r="DS84" s="177">
        <v>0.0</v>
      </c>
      <c r="DT84" s="177">
        <v>0.0</v>
      </c>
      <c r="DU84" s="177">
        <v>0.0</v>
      </c>
      <c r="DV84" s="177">
        <v>0.0</v>
      </c>
      <c r="DW84" s="177">
        <v>0.0</v>
      </c>
      <c r="DX84" s="177">
        <v>0.0</v>
      </c>
      <c r="DY84" s="177">
        <v>0.0</v>
      </c>
      <c r="DZ84" s="177">
        <v>0.0</v>
      </c>
      <c r="EA84" s="177">
        <v>0.0</v>
      </c>
      <c r="EB84" s="177">
        <v>0.0</v>
      </c>
      <c r="EC84" s="177">
        <v>0.0</v>
      </c>
      <c r="ED84" s="177">
        <v>0.0</v>
      </c>
      <c r="EE84" s="177">
        <v>0.0</v>
      </c>
      <c r="EF84" s="177">
        <v>0.0</v>
      </c>
      <c r="EG84" s="179">
        <f t="shared" si="17"/>
        <v>0</v>
      </c>
      <c r="EH84" s="179">
        <f t="shared" si="18"/>
        <v>0</v>
      </c>
      <c r="EI84" s="177">
        <v>490.0</v>
      </c>
      <c r="EJ84" s="177">
        <v>180.0</v>
      </c>
      <c r="EK84" s="178">
        <v>490.0</v>
      </c>
      <c r="EL84" s="178">
        <v>180.0</v>
      </c>
      <c r="EM84" s="185">
        <f t="shared" si="196"/>
        <v>0</v>
      </c>
      <c r="EN84" s="186">
        <f t="shared" si="202"/>
        <v>0</v>
      </c>
      <c r="EO84" s="186">
        <f t="shared" si="90"/>
        <v>0</v>
      </c>
      <c r="EP84" s="177">
        <v>0.0</v>
      </c>
      <c r="EQ84" s="177">
        <v>0.0</v>
      </c>
      <c r="ER84" s="177">
        <v>0.0</v>
      </c>
      <c r="ES84" s="177">
        <v>0.0</v>
      </c>
      <c r="ET84" s="177">
        <v>0.0</v>
      </c>
      <c r="EU84" s="177">
        <v>0.0</v>
      </c>
      <c r="EV84" s="177">
        <v>0.0</v>
      </c>
      <c r="EW84" s="177">
        <v>0.0</v>
      </c>
      <c r="EX84" s="177">
        <v>0.0</v>
      </c>
      <c r="EY84" s="177">
        <v>0.0</v>
      </c>
      <c r="EZ84" s="177">
        <v>0.0</v>
      </c>
      <c r="FA84" s="177">
        <v>0.0</v>
      </c>
      <c r="FB84" s="177">
        <v>0.0</v>
      </c>
      <c r="FC84" s="177">
        <v>0.0</v>
      </c>
      <c r="FD84" s="177">
        <v>0.0</v>
      </c>
      <c r="FE84" s="177">
        <v>0.0</v>
      </c>
      <c r="FF84" s="177">
        <v>0.0</v>
      </c>
      <c r="FG84" s="177">
        <v>0.0</v>
      </c>
      <c r="FH84" s="185">
        <f t="shared" si="22"/>
        <v>0</v>
      </c>
      <c r="FI84" s="185">
        <f t="shared" si="23"/>
        <v>0</v>
      </c>
      <c r="FJ84" s="177">
        <v>496.0</v>
      </c>
      <c r="FK84" s="177">
        <v>185.0</v>
      </c>
      <c r="FL84" s="177">
        <v>495.0</v>
      </c>
      <c r="FM84" s="177">
        <v>185.0</v>
      </c>
      <c r="FN84" s="180"/>
      <c r="FO84" s="180">
        <v>0.0</v>
      </c>
      <c r="FP84" s="188">
        <f t="shared" si="197"/>
        <v>0</v>
      </c>
      <c r="FQ84" s="211">
        <v>0.0</v>
      </c>
      <c r="FR84" s="212">
        <v>0.0</v>
      </c>
      <c r="FS84" s="206">
        <v>0.0</v>
      </c>
      <c r="FT84" s="207">
        <v>0.0</v>
      </c>
      <c r="FU84" s="207">
        <v>0.0</v>
      </c>
      <c r="FV84" s="207">
        <v>0.0</v>
      </c>
      <c r="FW84" s="207">
        <v>0.0</v>
      </c>
      <c r="FX84" s="207">
        <v>0.0</v>
      </c>
      <c r="FY84" s="207">
        <v>0.0</v>
      </c>
      <c r="FZ84" s="207">
        <v>0.0</v>
      </c>
      <c r="GA84" s="207">
        <v>0.0</v>
      </c>
      <c r="GB84" s="207">
        <v>0.0</v>
      </c>
      <c r="GC84" s="207">
        <v>0.0</v>
      </c>
      <c r="GD84" s="207">
        <v>0.0</v>
      </c>
      <c r="GE84" s="207">
        <v>0.0</v>
      </c>
      <c r="GF84" s="207">
        <v>0.0</v>
      </c>
      <c r="GG84" s="207">
        <v>0.0</v>
      </c>
      <c r="GH84" s="207">
        <v>0.0</v>
      </c>
      <c r="GI84" s="207">
        <v>0.0</v>
      </c>
      <c r="GJ84" s="207">
        <v>0.0</v>
      </c>
      <c r="GK84" s="212">
        <v>0.0</v>
      </c>
      <c r="GL84" s="212">
        <v>0.0</v>
      </c>
      <c r="GM84" s="207">
        <v>445.0</v>
      </c>
      <c r="GN84" s="207">
        <v>105.0</v>
      </c>
      <c r="GO84" s="213">
        <v>445.0</v>
      </c>
      <c r="GP84" s="213">
        <v>105.0</v>
      </c>
      <c r="GQ84" s="207"/>
      <c r="GR84" s="213">
        <v>1.0</v>
      </c>
      <c r="GS84" s="193">
        <v>0.0</v>
      </c>
      <c r="GT84" s="194">
        <f t="shared" si="25"/>
        <v>1</v>
      </c>
      <c r="GU84" s="194">
        <f t="shared" si="26"/>
        <v>0</v>
      </c>
      <c r="GV84" s="194">
        <f t="shared" si="27"/>
        <v>1</v>
      </c>
      <c r="GW84" s="207">
        <v>0.0</v>
      </c>
      <c r="GX84" s="207">
        <v>0.0</v>
      </c>
      <c r="GY84" s="207">
        <v>0.0</v>
      </c>
      <c r="GZ84" s="207">
        <v>0.0</v>
      </c>
      <c r="HA84" s="207">
        <v>0.0</v>
      </c>
      <c r="HB84" s="207">
        <v>0.0</v>
      </c>
      <c r="HC84" s="207">
        <v>0.0</v>
      </c>
      <c r="HD84" s="207">
        <v>1.0</v>
      </c>
      <c r="HE84" s="207">
        <v>0.0</v>
      </c>
      <c r="HF84" s="207">
        <v>0.0</v>
      </c>
      <c r="HG84" s="207">
        <v>0.0</v>
      </c>
      <c r="HH84" s="207">
        <v>0.0</v>
      </c>
      <c r="HI84" s="207">
        <v>0.0</v>
      </c>
      <c r="HJ84" s="207">
        <v>0.0</v>
      </c>
      <c r="HK84" s="207">
        <v>0.0</v>
      </c>
      <c r="HL84" s="207">
        <v>0.0</v>
      </c>
      <c r="HM84" s="207">
        <v>0.0</v>
      </c>
      <c r="HN84" s="207">
        <v>0.0</v>
      </c>
      <c r="HO84" s="222">
        <v>0.0</v>
      </c>
      <c r="HP84" s="222">
        <v>0.0</v>
      </c>
      <c r="HQ84" s="214"/>
      <c r="HR84" s="197"/>
      <c r="HS84" s="197"/>
      <c r="HT84" s="198">
        <f t="shared" si="28"/>
        <v>1</v>
      </c>
      <c r="HU84" s="198">
        <f t="shared" si="29"/>
        <v>2</v>
      </c>
      <c r="HV84" s="198">
        <f t="shared" si="30"/>
        <v>2</v>
      </c>
      <c r="HW84" s="198">
        <f t="shared" si="99"/>
        <v>2</v>
      </c>
      <c r="HX84" s="198">
        <f t="shared" si="32"/>
        <v>2</v>
      </c>
      <c r="HY84" s="198">
        <f t="shared" si="33"/>
        <v>1</v>
      </c>
      <c r="HZ84" s="198">
        <f t="shared" si="34"/>
        <v>1</v>
      </c>
      <c r="IA84" s="198">
        <f t="shared" si="35"/>
        <v>0</v>
      </c>
      <c r="IB84" s="198">
        <f t="shared" si="36"/>
        <v>0</v>
      </c>
      <c r="IC84" s="198">
        <f t="shared" si="37"/>
        <v>0</v>
      </c>
      <c r="ID84" s="198">
        <f t="shared" si="38"/>
        <v>0</v>
      </c>
      <c r="IE84" s="198">
        <f t="shared" si="39"/>
        <v>1</v>
      </c>
      <c r="IF84" s="197"/>
      <c r="IG84" s="197"/>
      <c r="IH84" s="197"/>
      <c r="II84" s="197"/>
      <c r="IJ84" s="197"/>
      <c r="IK84" s="197"/>
      <c r="IL84" s="197"/>
      <c r="IM84" s="197"/>
      <c r="IN84" s="197"/>
      <c r="IO84" s="197"/>
      <c r="IP84" s="197"/>
      <c r="IQ84" s="197"/>
      <c r="IR84" s="197"/>
      <c r="IS84" s="197"/>
      <c r="IT84" s="197"/>
      <c r="IU84" s="197"/>
      <c r="IV84" s="197"/>
      <c r="IW84" s="197"/>
      <c r="IX84" s="197"/>
      <c r="IY84" s="197"/>
      <c r="IZ84" s="197"/>
      <c r="JA84" s="199"/>
      <c r="JB84" s="200">
        <f t="shared" si="40"/>
        <v>1</v>
      </c>
      <c r="JC84" s="200">
        <f t="shared" si="41"/>
        <v>2</v>
      </c>
      <c r="JD84" s="200">
        <f t="shared" si="42"/>
        <v>2</v>
      </c>
      <c r="JE84" s="200">
        <f t="shared" si="43"/>
        <v>2</v>
      </c>
      <c r="JF84" s="200">
        <f t="shared" si="44"/>
        <v>2</v>
      </c>
      <c r="JG84" s="200">
        <f t="shared" si="45"/>
        <v>1</v>
      </c>
      <c r="JH84" s="200">
        <f t="shared" si="46"/>
        <v>1</v>
      </c>
      <c r="JI84" s="200">
        <f t="shared" si="47"/>
        <v>0</v>
      </c>
      <c r="JJ84" s="200">
        <f t="shared" si="48"/>
        <v>0</v>
      </c>
      <c r="JK84" s="200">
        <f t="shared" si="49"/>
        <v>0</v>
      </c>
      <c r="JL84" s="200">
        <f t="shared" si="50"/>
        <v>0</v>
      </c>
      <c r="JM84" s="200">
        <f t="shared" si="51"/>
        <v>1</v>
      </c>
      <c r="JN84" s="199"/>
      <c r="JO84" s="200">
        <f t="shared" si="52"/>
        <v>1</v>
      </c>
      <c r="JP84" s="202">
        <v>2.0</v>
      </c>
      <c r="JQ84" s="202">
        <v>2.0</v>
      </c>
      <c r="JR84" s="202">
        <v>2.0</v>
      </c>
      <c r="JS84" s="202">
        <v>2.0</v>
      </c>
      <c r="JT84" s="199"/>
      <c r="JU84" s="199"/>
      <c r="JV84" s="200">
        <f t="shared" ref="JV84:JX84" si="223">IA84-JI84</f>
        <v>0</v>
      </c>
      <c r="JW84" s="200">
        <f t="shared" si="223"/>
        <v>0</v>
      </c>
      <c r="JX84" s="200">
        <f t="shared" si="223"/>
        <v>0</v>
      </c>
      <c r="JY84" s="199"/>
      <c r="JZ84" s="199"/>
      <c r="KA84" s="199"/>
      <c r="KB84" s="200">
        <f t="shared" ref="KB84:KM84" si="224">JB84-JO84</f>
        <v>0</v>
      </c>
      <c r="KC84" s="200">
        <f t="shared" si="224"/>
        <v>0</v>
      </c>
      <c r="KD84" s="200">
        <f t="shared" si="224"/>
        <v>0</v>
      </c>
      <c r="KE84" s="200">
        <f t="shared" si="224"/>
        <v>0</v>
      </c>
      <c r="KF84" s="200">
        <f t="shared" si="224"/>
        <v>0</v>
      </c>
      <c r="KG84" s="200">
        <f t="shared" si="224"/>
        <v>1</v>
      </c>
      <c r="KH84" s="200">
        <f t="shared" si="224"/>
        <v>1</v>
      </c>
      <c r="KI84" s="200">
        <f t="shared" si="224"/>
        <v>0</v>
      </c>
      <c r="KJ84" s="200">
        <f t="shared" si="224"/>
        <v>0</v>
      </c>
      <c r="KK84" s="200">
        <f t="shared" si="224"/>
        <v>0</v>
      </c>
      <c r="KL84" s="200">
        <f t="shared" si="224"/>
        <v>0</v>
      </c>
      <c r="KM84" s="200">
        <f t="shared" si="224"/>
        <v>1</v>
      </c>
      <c r="KN84" s="199"/>
      <c r="KO84" s="199"/>
      <c r="KP84" s="199"/>
      <c r="KQ84" s="199"/>
      <c r="KR84" s="199"/>
      <c r="KS84" s="199"/>
      <c r="KT84" s="199"/>
      <c r="KU84" s="199"/>
      <c r="KV84" s="199"/>
      <c r="KW84" s="199"/>
      <c r="KX84" s="199"/>
      <c r="KY84" s="199"/>
      <c r="KZ84" s="199"/>
      <c r="LA84" s="199"/>
      <c r="LB84" s="199"/>
      <c r="LC84" s="199"/>
      <c r="LD84" s="199"/>
      <c r="LE84" s="199"/>
      <c r="LF84" s="199"/>
      <c r="LG84" s="199"/>
    </row>
    <row r="85" ht="14.25" customHeight="1">
      <c r="A85" s="156">
        <v>78.0</v>
      </c>
      <c r="B85" s="157" t="s">
        <v>171</v>
      </c>
      <c r="C85" s="158">
        <v>3374060.0</v>
      </c>
      <c r="D85" s="158" t="s">
        <v>174</v>
      </c>
      <c r="E85" s="158" t="s">
        <v>175</v>
      </c>
      <c r="F85" s="159">
        <v>10.0</v>
      </c>
      <c r="G85" s="285"/>
      <c r="H85" s="160">
        <v>5.0</v>
      </c>
      <c r="I85" s="161">
        <v>0.0</v>
      </c>
      <c r="J85" s="161">
        <v>0.0</v>
      </c>
      <c r="K85" s="161">
        <v>1.0</v>
      </c>
      <c r="L85" s="161">
        <v>4.0</v>
      </c>
      <c r="M85" s="161">
        <v>0.0</v>
      </c>
      <c r="N85" s="161">
        <v>0.0</v>
      </c>
      <c r="O85" s="162">
        <f t="shared" si="213"/>
        <v>5</v>
      </c>
      <c r="P85" s="203">
        <v>5.0</v>
      </c>
      <c r="Q85" s="164">
        <v>0.0</v>
      </c>
      <c r="R85" s="164">
        <v>0.0</v>
      </c>
      <c r="S85" s="164">
        <v>1.0</v>
      </c>
      <c r="T85" s="165">
        <v>4.0</v>
      </c>
      <c r="U85" s="165">
        <v>0.0</v>
      </c>
      <c r="V85" s="165">
        <v>0.0</v>
      </c>
      <c r="W85" s="166">
        <f t="shared" si="225"/>
        <v>5</v>
      </c>
      <c r="X85" s="203">
        <v>5.0</v>
      </c>
      <c r="Y85" s="165">
        <v>0.0</v>
      </c>
      <c r="Z85" s="165">
        <v>0.0</v>
      </c>
      <c r="AA85" s="165">
        <v>1.0</v>
      </c>
      <c r="AB85" s="165">
        <v>4.0</v>
      </c>
      <c r="AC85" s="165">
        <v>0.0</v>
      </c>
      <c r="AD85" s="165">
        <v>0.0</v>
      </c>
      <c r="AE85" s="166">
        <f t="shared" si="214"/>
        <v>5</v>
      </c>
      <c r="AF85" s="167">
        <v>5.0</v>
      </c>
      <c r="AG85" s="165">
        <v>0.0</v>
      </c>
      <c r="AH85" s="165">
        <v>0.0</v>
      </c>
      <c r="AI85" s="165">
        <v>1.0</v>
      </c>
      <c r="AJ85" s="165">
        <v>4.0</v>
      </c>
      <c r="AK85" s="165">
        <v>0.0</v>
      </c>
      <c r="AL85" s="165">
        <v>0.0</v>
      </c>
      <c r="AM85" s="166">
        <f t="shared" si="215"/>
        <v>5</v>
      </c>
      <c r="AN85" s="167">
        <v>5.0</v>
      </c>
      <c r="AO85" s="165">
        <v>0.0</v>
      </c>
      <c r="AP85" s="165">
        <v>0.0</v>
      </c>
      <c r="AQ85" s="165">
        <v>1.0</v>
      </c>
      <c r="AR85" s="165">
        <v>4.0</v>
      </c>
      <c r="AS85" s="165">
        <v>1.0</v>
      </c>
      <c r="AT85" s="165">
        <v>1.0</v>
      </c>
      <c r="AU85" s="168">
        <f t="shared" si="216"/>
        <v>3</v>
      </c>
      <c r="AV85" s="169">
        <v>622.0</v>
      </c>
      <c r="AW85" s="204">
        <f t="shared" si="8"/>
        <v>6</v>
      </c>
      <c r="AX85" s="169">
        <v>0.0</v>
      </c>
      <c r="AY85" s="169">
        <v>0.0</v>
      </c>
      <c r="AZ85" s="169">
        <v>2.0</v>
      </c>
      <c r="BA85" s="169">
        <v>3.0</v>
      </c>
      <c r="BB85" s="169">
        <v>0.0</v>
      </c>
      <c r="BC85" s="169">
        <v>0.0</v>
      </c>
      <c r="BD85" s="169">
        <v>1.0</v>
      </c>
      <c r="BE85" s="169">
        <v>0.0</v>
      </c>
      <c r="BF85" s="169">
        <v>0.0</v>
      </c>
      <c r="BG85" s="169">
        <v>0.0</v>
      </c>
      <c r="BH85" s="169">
        <v>0.0</v>
      </c>
      <c r="BI85" s="169">
        <v>0.0</v>
      </c>
      <c r="BJ85" s="169">
        <v>0.0</v>
      </c>
      <c r="BK85" s="169">
        <v>0.0</v>
      </c>
      <c r="BL85" s="169">
        <v>0.0</v>
      </c>
      <c r="BM85" s="169">
        <v>0.0</v>
      </c>
      <c r="BN85" s="169">
        <v>0.0</v>
      </c>
      <c r="BO85" s="169">
        <v>0.0</v>
      </c>
      <c r="BP85" s="205">
        <f t="shared" si="131"/>
        <v>0</v>
      </c>
      <c r="BQ85" s="173">
        <v>612.0</v>
      </c>
      <c r="BR85" s="170">
        <f t="shared" si="10"/>
        <v>6</v>
      </c>
      <c r="BS85" s="173">
        <v>0.0</v>
      </c>
      <c r="BT85" s="6"/>
      <c r="BU85" s="173">
        <v>3.0</v>
      </c>
      <c r="BV85" s="173">
        <v>3.0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172">
        <f t="shared" si="132"/>
        <v>0</v>
      </c>
      <c r="CL85" s="173">
        <v>634.0</v>
      </c>
      <c r="CM85" s="173">
        <v>185.0</v>
      </c>
      <c r="CN85" s="175">
        <f t="shared" si="12"/>
        <v>6</v>
      </c>
      <c r="CO85" s="173">
        <v>0.0</v>
      </c>
      <c r="CP85" s="173">
        <v>0.0</v>
      </c>
      <c r="CQ85" s="173">
        <v>3.0</v>
      </c>
      <c r="CR85" s="173">
        <v>3.0</v>
      </c>
      <c r="CS85" s="173">
        <v>0.0</v>
      </c>
      <c r="CT85" s="173">
        <v>0.0</v>
      </c>
      <c r="CU85" s="173">
        <v>0.0</v>
      </c>
      <c r="CV85" s="173">
        <v>0.0</v>
      </c>
      <c r="CW85" s="173">
        <v>0.0</v>
      </c>
      <c r="CX85" s="173">
        <v>0.0</v>
      </c>
      <c r="CY85" s="173">
        <v>0.0</v>
      </c>
      <c r="CZ85" s="173">
        <v>0.0</v>
      </c>
      <c r="DA85" s="173">
        <v>0.0</v>
      </c>
      <c r="DB85" s="173">
        <v>0.0</v>
      </c>
      <c r="DC85" s="173">
        <v>0.0</v>
      </c>
      <c r="DD85" s="173">
        <v>0.0</v>
      </c>
      <c r="DE85" s="173">
        <v>0.0</v>
      </c>
      <c r="DF85" s="173">
        <v>0.0</v>
      </c>
      <c r="DG85" s="176">
        <f t="shared" si="13"/>
        <v>0</v>
      </c>
      <c r="DH85" s="177">
        <v>649.0</v>
      </c>
      <c r="DI85" s="177">
        <v>205.0</v>
      </c>
      <c r="DJ85" s="178">
        <v>582.0</v>
      </c>
      <c r="DK85" s="178">
        <v>189.0</v>
      </c>
      <c r="DL85" s="179">
        <f t="shared" si="14"/>
        <v>7</v>
      </c>
      <c r="DM85" s="180">
        <f t="shared" si="15"/>
        <v>3</v>
      </c>
      <c r="DN85" s="180">
        <f t="shared" si="16"/>
        <v>4</v>
      </c>
      <c r="DO85" s="177">
        <v>0.0</v>
      </c>
      <c r="DP85" s="177">
        <v>0.0</v>
      </c>
      <c r="DQ85" s="177">
        <v>3.0</v>
      </c>
      <c r="DR85" s="177">
        <v>3.0</v>
      </c>
      <c r="DS85" s="177">
        <v>0.0</v>
      </c>
      <c r="DT85" s="177">
        <v>0.0</v>
      </c>
      <c r="DU85" s="177">
        <v>0.0</v>
      </c>
      <c r="DV85" s="177">
        <v>1.0</v>
      </c>
      <c r="DW85" s="177">
        <v>0.0</v>
      </c>
      <c r="DX85" s="177">
        <v>0.0</v>
      </c>
      <c r="DY85" s="177">
        <v>0.0</v>
      </c>
      <c r="DZ85" s="177">
        <v>0.0</v>
      </c>
      <c r="EA85" s="177">
        <v>0.0</v>
      </c>
      <c r="EB85" s="177">
        <v>0.0</v>
      </c>
      <c r="EC85" s="177">
        <v>0.0</v>
      </c>
      <c r="ED85" s="177">
        <v>0.0</v>
      </c>
      <c r="EE85" s="177">
        <v>0.0</v>
      </c>
      <c r="EF85" s="177">
        <v>0.0</v>
      </c>
      <c r="EG85" s="179">
        <f t="shared" si="17"/>
        <v>0</v>
      </c>
      <c r="EH85" s="179">
        <f t="shared" si="18"/>
        <v>0</v>
      </c>
      <c r="EI85" s="177">
        <v>643.0</v>
      </c>
      <c r="EJ85" s="177">
        <v>210.0</v>
      </c>
      <c r="EK85" s="178">
        <v>595.0</v>
      </c>
      <c r="EL85" s="178">
        <v>204.0</v>
      </c>
      <c r="EM85" s="185">
        <f t="shared" si="196"/>
        <v>6</v>
      </c>
      <c r="EN85" s="186">
        <f t="shared" si="202"/>
        <v>3</v>
      </c>
      <c r="EO85" s="186">
        <f t="shared" si="90"/>
        <v>3</v>
      </c>
      <c r="EP85" s="177">
        <v>0.0</v>
      </c>
      <c r="EQ85" s="177">
        <v>0.0</v>
      </c>
      <c r="ER85" s="177">
        <v>2.0</v>
      </c>
      <c r="ES85" s="177">
        <v>3.0</v>
      </c>
      <c r="ET85" s="177">
        <v>0.0</v>
      </c>
      <c r="EU85" s="177">
        <v>1.0</v>
      </c>
      <c r="EV85" s="177">
        <v>0.0</v>
      </c>
      <c r="EW85" s="177">
        <v>0.0</v>
      </c>
      <c r="EX85" s="177">
        <v>0.0</v>
      </c>
      <c r="EY85" s="177">
        <v>0.0</v>
      </c>
      <c r="EZ85" s="177">
        <v>0.0</v>
      </c>
      <c r="FA85" s="177">
        <v>1.0</v>
      </c>
      <c r="FB85" s="177">
        <v>0.0</v>
      </c>
      <c r="FC85" s="177">
        <v>0.0</v>
      </c>
      <c r="FD85" s="177">
        <v>0.0</v>
      </c>
      <c r="FE85" s="177">
        <v>0.0</v>
      </c>
      <c r="FF85" s="177">
        <v>0.0</v>
      </c>
      <c r="FG85" s="177">
        <v>0.0</v>
      </c>
      <c r="FH85" s="185">
        <f t="shared" si="22"/>
        <v>1</v>
      </c>
      <c r="FI85" s="185">
        <f t="shared" si="23"/>
        <v>0</v>
      </c>
      <c r="FJ85" s="177">
        <v>609.0</v>
      </c>
      <c r="FK85" s="177">
        <v>198.0</v>
      </c>
      <c r="FL85" s="177">
        <v>575.0</v>
      </c>
      <c r="FM85" s="177">
        <v>195.0</v>
      </c>
      <c r="FN85" s="180"/>
      <c r="FO85" s="180">
        <v>6.0</v>
      </c>
      <c r="FP85" s="188">
        <f t="shared" si="197"/>
        <v>6</v>
      </c>
      <c r="FQ85" s="211">
        <v>3.0</v>
      </c>
      <c r="FR85" s="212">
        <v>3.0</v>
      </c>
      <c r="FS85" s="206">
        <v>0.0</v>
      </c>
      <c r="FT85" s="207">
        <v>0.0</v>
      </c>
      <c r="FU85" s="207">
        <v>3.0</v>
      </c>
      <c r="FV85" s="207">
        <v>3.0</v>
      </c>
      <c r="FW85" s="207">
        <v>0.0</v>
      </c>
      <c r="FX85" s="207">
        <v>0.0</v>
      </c>
      <c r="FY85" s="207">
        <v>0.0</v>
      </c>
      <c r="FZ85" s="207">
        <v>0.0</v>
      </c>
      <c r="GA85" s="207">
        <v>0.0</v>
      </c>
      <c r="GB85" s="207">
        <v>0.0</v>
      </c>
      <c r="GC85" s="207">
        <v>0.0</v>
      </c>
      <c r="GD85" s="207">
        <v>0.0</v>
      </c>
      <c r="GE85" s="207">
        <v>0.0</v>
      </c>
      <c r="GF85" s="207">
        <v>0.0</v>
      </c>
      <c r="GG85" s="207">
        <v>0.0</v>
      </c>
      <c r="GH85" s="207">
        <v>0.0</v>
      </c>
      <c r="GI85" s="207">
        <v>0.0</v>
      </c>
      <c r="GJ85" s="207">
        <v>0.0</v>
      </c>
      <c r="GK85" s="212">
        <v>0.0</v>
      </c>
      <c r="GL85" s="212">
        <v>0.0</v>
      </c>
      <c r="GM85" s="207">
        <v>598.0</v>
      </c>
      <c r="GN85" s="207">
        <v>210.0</v>
      </c>
      <c r="GO85" s="213">
        <v>563.0</v>
      </c>
      <c r="GP85" s="213">
        <v>190.0</v>
      </c>
      <c r="GQ85" s="207"/>
      <c r="GR85" s="213">
        <v>5.0</v>
      </c>
      <c r="GS85" s="193">
        <v>3.0</v>
      </c>
      <c r="GT85" s="194">
        <f t="shared" si="25"/>
        <v>5</v>
      </c>
      <c r="GU85" s="194">
        <f t="shared" si="26"/>
        <v>3</v>
      </c>
      <c r="GV85" s="194">
        <f t="shared" si="27"/>
        <v>2</v>
      </c>
      <c r="GW85" s="207">
        <v>0.0</v>
      </c>
      <c r="GX85" s="207">
        <v>1.0</v>
      </c>
      <c r="GY85" s="207">
        <v>2.0</v>
      </c>
      <c r="GZ85" s="207">
        <v>2.0</v>
      </c>
      <c r="HA85" s="207">
        <v>0.0</v>
      </c>
      <c r="HB85" s="207">
        <v>0.0</v>
      </c>
      <c r="HC85" s="207">
        <v>0.0</v>
      </c>
      <c r="HD85" s="207">
        <v>0.0</v>
      </c>
      <c r="HE85" s="207">
        <v>0.0</v>
      </c>
      <c r="HF85" s="207">
        <v>0.0</v>
      </c>
      <c r="HG85" s="207">
        <v>0.0</v>
      </c>
      <c r="HH85" s="207">
        <v>1.0</v>
      </c>
      <c r="HI85" s="207">
        <v>0.0</v>
      </c>
      <c r="HJ85" s="207">
        <v>0.0</v>
      </c>
      <c r="HK85" s="207">
        <v>0.0</v>
      </c>
      <c r="HL85" s="207">
        <v>0.0</v>
      </c>
      <c r="HM85" s="207">
        <v>0.0</v>
      </c>
      <c r="HN85" s="207">
        <v>0.0</v>
      </c>
      <c r="HO85" s="222">
        <v>1.0</v>
      </c>
      <c r="HP85" s="222">
        <v>0.0</v>
      </c>
      <c r="HQ85" s="214"/>
      <c r="HR85" s="197"/>
      <c r="HS85" s="197"/>
      <c r="HT85" s="198">
        <f t="shared" si="28"/>
        <v>5</v>
      </c>
      <c r="HU85" s="198">
        <f t="shared" si="29"/>
        <v>5</v>
      </c>
      <c r="HV85" s="198">
        <f t="shared" si="30"/>
        <v>5</v>
      </c>
      <c r="HW85" s="198">
        <f t="shared" si="99"/>
        <v>5</v>
      </c>
      <c r="HX85" s="198">
        <f t="shared" si="32"/>
        <v>5</v>
      </c>
      <c r="HY85" s="198">
        <f t="shared" si="33"/>
        <v>6</v>
      </c>
      <c r="HZ85" s="198">
        <f t="shared" si="34"/>
        <v>6</v>
      </c>
      <c r="IA85" s="198">
        <f t="shared" si="35"/>
        <v>6</v>
      </c>
      <c r="IB85" s="198">
        <f t="shared" si="36"/>
        <v>7</v>
      </c>
      <c r="IC85" s="198">
        <f t="shared" si="37"/>
        <v>6</v>
      </c>
      <c r="ID85" s="198">
        <f t="shared" si="38"/>
        <v>6</v>
      </c>
      <c r="IE85" s="198">
        <f t="shared" si="39"/>
        <v>5</v>
      </c>
      <c r="IF85" s="197"/>
      <c r="IG85" s="197"/>
      <c r="IH85" s="197"/>
      <c r="II85" s="197"/>
      <c r="IJ85" s="197"/>
      <c r="IK85" s="197"/>
      <c r="IL85" s="197"/>
      <c r="IM85" s="197"/>
      <c r="IN85" s="197"/>
      <c r="IO85" s="197"/>
      <c r="IP85" s="197"/>
      <c r="IQ85" s="197"/>
      <c r="IR85" s="197"/>
      <c r="IS85" s="197"/>
      <c r="IT85" s="197"/>
      <c r="IU85" s="197"/>
      <c r="IV85" s="197"/>
      <c r="IW85" s="197"/>
      <c r="IX85" s="197"/>
      <c r="IY85" s="197"/>
      <c r="IZ85" s="197"/>
      <c r="JA85" s="199"/>
      <c r="JB85" s="200">
        <f t="shared" si="40"/>
        <v>5</v>
      </c>
      <c r="JC85" s="200">
        <f t="shared" si="41"/>
        <v>5</v>
      </c>
      <c r="JD85" s="200">
        <f t="shared" si="42"/>
        <v>5</v>
      </c>
      <c r="JE85" s="200">
        <f t="shared" si="43"/>
        <v>5</v>
      </c>
      <c r="JF85" s="200">
        <f t="shared" si="44"/>
        <v>5</v>
      </c>
      <c r="JG85" s="200">
        <f t="shared" si="45"/>
        <v>6</v>
      </c>
      <c r="JH85" s="200">
        <f t="shared" si="46"/>
        <v>6</v>
      </c>
      <c r="JI85" s="200">
        <f t="shared" si="47"/>
        <v>6</v>
      </c>
      <c r="JJ85" s="200">
        <f t="shared" si="48"/>
        <v>7</v>
      </c>
      <c r="JK85" s="200">
        <f t="shared" si="49"/>
        <v>7</v>
      </c>
      <c r="JL85" s="200">
        <f t="shared" si="50"/>
        <v>6</v>
      </c>
      <c r="JM85" s="200">
        <f t="shared" si="51"/>
        <v>5</v>
      </c>
      <c r="JN85" s="199"/>
      <c r="JO85" s="200">
        <f t="shared" si="52"/>
        <v>5</v>
      </c>
      <c r="JP85" s="202">
        <v>5.0</v>
      </c>
      <c r="JQ85" s="202">
        <v>5.0</v>
      </c>
      <c r="JR85" s="202">
        <v>5.0</v>
      </c>
      <c r="JS85" s="202">
        <v>5.0</v>
      </c>
      <c r="JT85" s="199"/>
      <c r="JU85" s="199"/>
      <c r="JV85" s="200">
        <f t="shared" ref="JV85:JX85" si="226">IA85-JI85</f>
        <v>0</v>
      </c>
      <c r="JW85" s="200">
        <f t="shared" si="226"/>
        <v>0</v>
      </c>
      <c r="JX85" s="200">
        <f t="shared" si="226"/>
        <v>-1</v>
      </c>
      <c r="JY85" s="199"/>
      <c r="JZ85" s="199"/>
      <c r="KA85" s="199"/>
      <c r="KB85" s="200">
        <f t="shared" ref="KB85:KM85" si="227">JB85-JO85</f>
        <v>0</v>
      </c>
      <c r="KC85" s="200">
        <f t="shared" si="227"/>
        <v>0</v>
      </c>
      <c r="KD85" s="200">
        <f t="shared" si="227"/>
        <v>0</v>
      </c>
      <c r="KE85" s="200">
        <f t="shared" si="227"/>
        <v>0</v>
      </c>
      <c r="KF85" s="200">
        <f t="shared" si="227"/>
        <v>0</v>
      </c>
      <c r="KG85" s="200">
        <f t="shared" si="227"/>
        <v>6</v>
      </c>
      <c r="KH85" s="200">
        <f t="shared" si="227"/>
        <v>6</v>
      </c>
      <c r="KI85" s="200">
        <f t="shared" si="227"/>
        <v>6</v>
      </c>
      <c r="KJ85" s="200">
        <f t="shared" si="227"/>
        <v>7</v>
      </c>
      <c r="KK85" s="200">
        <f t="shared" si="227"/>
        <v>8</v>
      </c>
      <c r="KL85" s="200">
        <f t="shared" si="227"/>
        <v>6</v>
      </c>
      <c r="KM85" s="200">
        <f t="shared" si="227"/>
        <v>5</v>
      </c>
      <c r="KN85" s="199"/>
      <c r="KO85" s="199"/>
      <c r="KP85" s="199"/>
      <c r="KQ85" s="199"/>
      <c r="KR85" s="199"/>
      <c r="KS85" s="199"/>
      <c r="KT85" s="199"/>
      <c r="KU85" s="199"/>
      <c r="KV85" s="199"/>
      <c r="KW85" s="199"/>
      <c r="KX85" s="199"/>
      <c r="KY85" s="199"/>
      <c r="KZ85" s="199"/>
      <c r="LA85" s="199"/>
      <c r="LB85" s="199"/>
      <c r="LC85" s="199"/>
      <c r="LD85" s="199"/>
      <c r="LE85" s="199"/>
      <c r="LF85" s="199"/>
      <c r="LG85" s="199"/>
    </row>
    <row r="86" ht="14.25" customHeight="1">
      <c r="A86" s="156">
        <v>79.0</v>
      </c>
      <c r="B86" s="157" t="s">
        <v>171</v>
      </c>
      <c r="C86" s="158">
        <v>3374060.0</v>
      </c>
      <c r="D86" s="158" t="s">
        <v>172</v>
      </c>
      <c r="E86" s="158" t="s">
        <v>176</v>
      </c>
      <c r="F86" s="159">
        <v>4.0</v>
      </c>
      <c r="G86" s="328"/>
      <c r="H86" s="160">
        <v>0.0</v>
      </c>
      <c r="I86" s="161">
        <v>0.0</v>
      </c>
      <c r="J86" s="161">
        <v>0.0</v>
      </c>
      <c r="K86" s="161">
        <v>0.0</v>
      </c>
      <c r="L86" s="161">
        <v>0.0</v>
      </c>
      <c r="M86" s="161">
        <v>0.0</v>
      </c>
      <c r="N86" s="161">
        <v>0.0</v>
      </c>
      <c r="O86" s="162">
        <f t="shared" si="213"/>
        <v>0</v>
      </c>
      <c r="P86" s="203">
        <v>0.0</v>
      </c>
      <c r="Q86" s="164">
        <v>0.0</v>
      </c>
      <c r="R86" s="164">
        <v>0.0</v>
      </c>
      <c r="S86" s="164">
        <v>0.0</v>
      </c>
      <c r="T86" s="165">
        <v>0.0</v>
      </c>
      <c r="U86" s="165">
        <v>0.0</v>
      </c>
      <c r="V86" s="165">
        <v>0.0</v>
      </c>
      <c r="W86" s="166">
        <f t="shared" si="225"/>
        <v>0</v>
      </c>
      <c r="X86" s="203">
        <v>0.0</v>
      </c>
      <c r="Y86" s="165">
        <v>0.0</v>
      </c>
      <c r="Z86" s="165">
        <v>0.0</v>
      </c>
      <c r="AA86" s="165">
        <v>0.0</v>
      </c>
      <c r="AB86" s="165">
        <v>0.0</v>
      </c>
      <c r="AC86" s="165">
        <v>0.0</v>
      </c>
      <c r="AD86" s="165">
        <v>0.0</v>
      </c>
      <c r="AE86" s="166">
        <f t="shared" si="214"/>
        <v>0</v>
      </c>
      <c r="AF86" s="167">
        <v>0.0</v>
      </c>
      <c r="AG86" s="165">
        <v>0.0</v>
      </c>
      <c r="AH86" s="165">
        <v>0.0</v>
      </c>
      <c r="AI86" s="165">
        <v>0.0</v>
      </c>
      <c r="AJ86" s="165">
        <v>0.0</v>
      </c>
      <c r="AK86" s="165">
        <v>0.0</v>
      </c>
      <c r="AL86" s="165">
        <v>0.0</v>
      </c>
      <c r="AM86" s="166">
        <f t="shared" si="215"/>
        <v>0</v>
      </c>
      <c r="AN86" s="167">
        <v>0.0</v>
      </c>
      <c r="AO86" s="165">
        <v>0.0</v>
      </c>
      <c r="AP86" s="165">
        <v>0.0</v>
      </c>
      <c r="AQ86" s="165">
        <v>0.0</v>
      </c>
      <c r="AR86" s="165">
        <v>0.0</v>
      </c>
      <c r="AS86" s="165">
        <v>0.0</v>
      </c>
      <c r="AT86" s="165">
        <v>0.0</v>
      </c>
      <c r="AU86" s="168">
        <f t="shared" si="216"/>
        <v>0</v>
      </c>
      <c r="AV86" s="169">
        <v>128.0</v>
      </c>
      <c r="AW86" s="204">
        <f t="shared" si="8"/>
        <v>0</v>
      </c>
      <c r="AX86" s="169">
        <v>0.0</v>
      </c>
      <c r="AY86" s="169">
        <v>0.0</v>
      </c>
      <c r="AZ86" s="169">
        <v>0.0</v>
      </c>
      <c r="BA86" s="169">
        <v>0.0</v>
      </c>
      <c r="BB86" s="169">
        <v>0.0</v>
      </c>
      <c r="BC86" s="169">
        <v>0.0</v>
      </c>
      <c r="BD86" s="169">
        <v>0.0</v>
      </c>
      <c r="BE86" s="169">
        <v>0.0</v>
      </c>
      <c r="BF86" s="169">
        <v>0.0</v>
      </c>
      <c r="BG86" s="169">
        <v>0.0</v>
      </c>
      <c r="BH86" s="169">
        <v>0.0</v>
      </c>
      <c r="BI86" s="169">
        <v>0.0</v>
      </c>
      <c r="BJ86" s="169">
        <v>0.0</v>
      </c>
      <c r="BK86" s="169">
        <v>0.0</v>
      </c>
      <c r="BL86" s="169">
        <v>0.0</v>
      </c>
      <c r="BM86" s="169">
        <v>0.0</v>
      </c>
      <c r="BN86" s="169">
        <v>0.0</v>
      </c>
      <c r="BO86" s="169">
        <v>0.0</v>
      </c>
      <c r="BP86" s="205">
        <f t="shared" si="131"/>
        <v>0</v>
      </c>
      <c r="BQ86" s="173">
        <v>126.0</v>
      </c>
      <c r="BR86" s="170">
        <f t="shared" si="10"/>
        <v>0</v>
      </c>
      <c r="BS86" s="173">
        <v>0.0</v>
      </c>
      <c r="BT86" s="173">
        <v>0.0</v>
      </c>
      <c r="BU86" s="173">
        <v>0.0</v>
      </c>
      <c r="BV86" s="173">
        <v>0.0</v>
      </c>
      <c r="BW86" s="173">
        <v>0.0</v>
      </c>
      <c r="BX86" s="173">
        <v>0.0</v>
      </c>
      <c r="BY86" s="173">
        <v>0.0</v>
      </c>
      <c r="BZ86" s="173">
        <v>0.0</v>
      </c>
      <c r="CA86" s="173">
        <v>0.0</v>
      </c>
      <c r="CB86" s="173">
        <v>0.0</v>
      </c>
      <c r="CC86" s="173">
        <v>0.0</v>
      </c>
      <c r="CD86" s="173">
        <v>0.0</v>
      </c>
      <c r="CE86" s="173">
        <v>0.0</v>
      </c>
      <c r="CF86" s="173">
        <v>0.0</v>
      </c>
      <c r="CG86" s="173">
        <v>0.0</v>
      </c>
      <c r="CH86" s="173">
        <v>0.0</v>
      </c>
      <c r="CI86" s="173">
        <v>0.0</v>
      </c>
      <c r="CJ86" s="173">
        <v>0.0</v>
      </c>
      <c r="CK86" s="172">
        <f t="shared" si="132"/>
        <v>0</v>
      </c>
      <c r="CL86" s="173">
        <v>141.0</v>
      </c>
      <c r="CM86" s="173">
        <v>26.0</v>
      </c>
      <c r="CN86" s="175">
        <f t="shared" si="12"/>
        <v>0</v>
      </c>
      <c r="CO86" s="173">
        <v>0.0</v>
      </c>
      <c r="CP86" s="173">
        <v>0.0</v>
      </c>
      <c r="CQ86" s="173">
        <v>0.0</v>
      </c>
      <c r="CR86" s="173">
        <v>0.0</v>
      </c>
      <c r="CS86" s="173">
        <v>0.0</v>
      </c>
      <c r="CT86" s="173">
        <v>0.0</v>
      </c>
      <c r="CU86" s="173">
        <v>0.0</v>
      </c>
      <c r="CV86" s="173">
        <v>0.0</v>
      </c>
      <c r="CW86" s="173">
        <v>0.0</v>
      </c>
      <c r="CX86" s="173">
        <v>0.0</v>
      </c>
      <c r="CY86" s="173">
        <v>0.0</v>
      </c>
      <c r="CZ86" s="173">
        <v>0.0</v>
      </c>
      <c r="DA86" s="173">
        <v>0.0</v>
      </c>
      <c r="DB86" s="173">
        <v>0.0</v>
      </c>
      <c r="DC86" s="173">
        <v>0.0</v>
      </c>
      <c r="DD86" s="173">
        <v>0.0</v>
      </c>
      <c r="DE86" s="173">
        <v>0.0</v>
      </c>
      <c r="DF86" s="173">
        <v>0.0</v>
      </c>
      <c r="DG86" s="176">
        <f t="shared" si="13"/>
        <v>0</v>
      </c>
      <c r="DH86" s="177">
        <v>133.0</v>
      </c>
      <c r="DI86" s="177">
        <v>31.0</v>
      </c>
      <c r="DJ86" s="177">
        <v>133.0</v>
      </c>
      <c r="DK86" s="178">
        <v>26.0</v>
      </c>
      <c r="DL86" s="179">
        <f t="shared" si="14"/>
        <v>1</v>
      </c>
      <c r="DM86" s="180">
        <f t="shared" si="15"/>
        <v>0</v>
      </c>
      <c r="DN86" s="180">
        <f t="shared" si="16"/>
        <v>1</v>
      </c>
      <c r="DO86" s="177">
        <v>0.0</v>
      </c>
      <c r="DP86" s="177">
        <v>0.0</v>
      </c>
      <c r="DQ86" s="177">
        <v>0.0</v>
      </c>
      <c r="DR86" s="177">
        <v>0.0</v>
      </c>
      <c r="DS86" s="177">
        <v>0.0</v>
      </c>
      <c r="DT86" s="177">
        <v>0.0</v>
      </c>
      <c r="DU86" s="177">
        <v>0.0</v>
      </c>
      <c r="DV86" s="177">
        <v>1.0</v>
      </c>
      <c r="DW86" s="177">
        <v>0.0</v>
      </c>
      <c r="DX86" s="177">
        <v>0.0</v>
      </c>
      <c r="DY86" s="177">
        <v>0.0</v>
      </c>
      <c r="DZ86" s="177">
        <v>0.0</v>
      </c>
      <c r="EA86" s="177">
        <v>0.0</v>
      </c>
      <c r="EB86" s="177">
        <v>0.0</v>
      </c>
      <c r="EC86" s="177">
        <v>0.0</v>
      </c>
      <c r="ED86" s="177">
        <v>0.0</v>
      </c>
      <c r="EE86" s="177">
        <v>0.0</v>
      </c>
      <c r="EF86" s="177">
        <v>0.0</v>
      </c>
      <c r="EG86" s="179">
        <f t="shared" si="17"/>
        <v>0</v>
      </c>
      <c r="EH86" s="179">
        <f t="shared" si="18"/>
        <v>0</v>
      </c>
      <c r="EI86" s="177">
        <v>133.0</v>
      </c>
      <c r="EJ86" s="177">
        <v>31.0</v>
      </c>
      <c r="EK86" s="178">
        <v>131.0</v>
      </c>
      <c r="EL86" s="178">
        <v>31.0</v>
      </c>
      <c r="EM86" s="185">
        <f t="shared" si="196"/>
        <v>3</v>
      </c>
      <c r="EN86" s="186">
        <f t="shared" si="202"/>
        <v>1</v>
      </c>
      <c r="EO86" s="186">
        <f t="shared" si="90"/>
        <v>2</v>
      </c>
      <c r="EP86" s="177">
        <v>0.0</v>
      </c>
      <c r="EQ86" s="177">
        <v>0.0</v>
      </c>
      <c r="ER86" s="177">
        <v>0.0</v>
      </c>
      <c r="ES86" s="177">
        <v>1.0</v>
      </c>
      <c r="ET86" s="177">
        <v>0.0</v>
      </c>
      <c r="EU86" s="177">
        <v>0.0</v>
      </c>
      <c r="EV86" s="177">
        <v>1.0</v>
      </c>
      <c r="EW86" s="177">
        <v>1.0</v>
      </c>
      <c r="EX86" s="177">
        <v>0.0</v>
      </c>
      <c r="EY86" s="177">
        <v>0.0</v>
      </c>
      <c r="EZ86" s="177">
        <v>0.0</v>
      </c>
      <c r="FA86" s="177">
        <v>0.0</v>
      </c>
      <c r="FB86" s="177">
        <v>0.0</v>
      </c>
      <c r="FC86" s="177">
        <v>0.0</v>
      </c>
      <c r="FD86" s="177">
        <v>0.0</v>
      </c>
      <c r="FE86" s="177">
        <v>0.0</v>
      </c>
      <c r="FF86" s="177">
        <v>0.0</v>
      </c>
      <c r="FG86" s="177">
        <v>0.0</v>
      </c>
      <c r="FH86" s="185">
        <f t="shared" si="22"/>
        <v>0</v>
      </c>
      <c r="FI86" s="185">
        <f t="shared" si="23"/>
        <v>0</v>
      </c>
      <c r="FJ86" s="177">
        <v>136.0</v>
      </c>
      <c r="FK86" s="177">
        <v>39.0</v>
      </c>
      <c r="FL86" s="177">
        <v>134.0</v>
      </c>
      <c r="FM86" s="177">
        <v>39.0</v>
      </c>
      <c r="FN86" s="180"/>
      <c r="FO86" s="180">
        <v>3.0</v>
      </c>
      <c r="FP86" s="188">
        <f t="shared" si="197"/>
        <v>3</v>
      </c>
      <c r="FQ86" s="211">
        <v>1.0</v>
      </c>
      <c r="FR86" s="212">
        <v>2.0</v>
      </c>
      <c r="FS86" s="206">
        <v>0.0</v>
      </c>
      <c r="FT86" s="207">
        <v>0.0</v>
      </c>
      <c r="FU86" s="207">
        <v>1.0</v>
      </c>
      <c r="FV86" s="207">
        <v>2.0</v>
      </c>
      <c r="FW86" s="207">
        <v>0.0</v>
      </c>
      <c r="FX86" s="207">
        <v>0.0</v>
      </c>
      <c r="FY86" s="207">
        <v>0.0</v>
      </c>
      <c r="FZ86" s="207">
        <v>0.0</v>
      </c>
      <c r="GA86" s="207">
        <v>0.0</v>
      </c>
      <c r="GB86" s="207">
        <v>0.0</v>
      </c>
      <c r="GC86" s="207">
        <v>0.0</v>
      </c>
      <c r="GD86" s="207">
        <v>0.0</v>
      </c>
      <c r="GE86" s="207">
        <v>0.0</v>
      </c>
      <c r="GF86" s="207">
        <v>0.0</v>
      </c>
      <c r="GG86" s="207">
        <v>0.0</v>
      </c>
      <c r="GH86" s="207">
        <v>0.0</v>
      </c>
      <c r="GI86" s="207">
        <v>0.0</v>
      </c>
      <c r="GJ86" s="207">
        <v>0.0</v>
      </c>
      <c r="GK86" s="212">
        <v>0.0</v>
      </c>
      <c r="GL86" s="212">
        <v>0.0</v>
      </c>
      <c r="GM86" s="207">
        <v>141.0</v>
      </c>
      <c r="GN86" s="207">
        <v>41.0</v>
      </c>
      <c r="GO86" s="213">
        <v>140.0</v>
      </c>
      <c r="GP86" s="213">
        <v>41.0</v>
      </c>
      <c r="GQ86" s="207"/>
      <c r="GR86" s="213">
        <v>3.0</v>
      </c>
      <c r="GS86" s="193">
        <v>1.0</v>
      </c>
      <c r="GT86" s="194">
        <f t="shared" si="25"/>
        <v>3</v>
      </c>
      <c r="GU86" s="194">
        <f t="shared" si="26"/>
        <v>1</v>
      </c>
      <c r="GV86" s="194">
        <f t="shared" si="27"/>
        <v>2</v>
      </c>
      <c r="GW86" s="207">
        <v>0.0</v>
      </c>
      <c r="GX86" s="207">
        <v>0.0</v>
      </c>
      <c r="GY86" s="207">
        <v>1.0</v>
      </c>
      <c r="GZ86" s="207">
        <v>2.0</v>
      </c>
      <c r="HA86" s="207">
        <v>0.0</v>
      </c>
      <c r="HB86" s="207">
        <v>0.0</v>
      </c>
      <c r="HC86" s="207">
        <v>0.0</v>
      </c>
      <c r="HD86" s="207">
        <v>0.0</v>
      </c>
      <c r="HE86" s="207">
        <v>0.0</v>
      </c>
      <c r="HF86" s="207">
        <v>0.0</v>
      </c>
      <c r="HG86" s="207">
        <v>0.0</v>
      </c>
      <c r="HH86" s="207">
        <v>0.0</v>
      </c>
      <c r="HI86" s="207">
        <v>0.0</v>
      </c>
      <c r="HJ86" s="207">
        <v>0.0</v>
      </c>
      <c r="HK86" s="207">
        <v>0.0</v>
      </c>
      <c r="HL86" s="207">
        <v>0.0</v>
      </c>
      <c r="HM86" s="207">
        <v>0.0</v>
      </c>
      <c r="HN86" s="207">
        <v>0.0</v>
      </c>
      <c r="HO86" s="222">
        <v>0.0</v>
      </c>
      <c r="HP86" s="222">
        <v>0.0</v>
      </c>
      <c r="HQ86" s="214"/>
      <c r="HR86" s="197"/>
      <c r="HS86" s="197"/>
      <c r="HT86" s="198">
        <f t="shared" si="28"/>
        <v>0</v>
      </c>
      <c r="HU86" s="198">
        <f t="shared" si="29"/>
        <v>0</v>
      </c>
      <c r="HV86" s="198">
        <f t="shared" si="30"/>
        <v>0</v>
      </c>
      <c r="HW86" s="198">
        <f t="shared" si="99"/>
        <v>0</v>
      </c>
      <c r="HX86" s="198">
        <f t="shared" si="32"/>
        <v>0</v>
      </c>
      <c r="HY86" s="198">
        <f t="shared" si="33"/>
        <v>0</v>
      </c>
      <c r="HZ86" s="198">
        <f t="shared" si="34"/>
        <v>0</v>
      </c>
      <c r="IA86" s="198">
        <f t="shared" si="35"/>
        <v>0</v>
      </c>
      <c r="IB86" s="198">
        <f t="shared" si="36"/>
        <v>1</v>
      </c>
      <c r="IC86" s="198">
        <f t="shared" si="37"/>
        <v>3</v>
      </c>
      <c r="ID86" s="198">
        <f t="shared" si="38"/>
        <v>3</v>
      </c>
      <c r="IE86" s="198">
        <f t="shared" si="39"/>
        <v>3</v>
      </c>
      <c r="IF86" s="197"/>
      <c r="IG86" s="197"/>
      <c r="IH86" s="197"/>
      <c r="II86" s="197"/>
      <c r="IJ86" s="197"/>
      <c r="IK86" s="197"/>
      <c r="IL86" s="197"/>
      <c r="IM86" s="197"/>
      <c r="IN86" s="197"/>
      <c r="IO86" s="197"/>
      <c r="IP86" s="197"/>
      <c r="IQ86" s="197"/>
      <c r="IR86" s="197"/>
      <c r="IS86" s="197"/>
      <c r="IT86" s="197"/>
      <c r="IU86" s="197"/>
      <c r="IV86" s="197"/>
      <c r="IW86" s="197"/>
      <c r="IX86" s="197"/>
      <c r="IY86" s="197"/>
      <c r="IZ86" s="197"/>
      <c r="JA86" s="199"/>
      <c r="JB86" s="200">
        <f t="shared" si="40"/>
        <v>0</v>
      </c>
      <c r="JC86" s="200">
        <f t="shared" si="41"/>
        <v>0</v>
      </c>
      <c r="JD86" s="200">
        <f t="shared" si="42"/>
        <v>0</v>
      </c>
      <c r="JE86" s="200">
        <f t="shared" si="43"/>
        <v>0</v>
      </c>
      <c r="JF86" s="200">
        <f t="shared" si="44"/>
        <v>0</v>
      </c>
      <c r="JG86" s="200">
        <f t="shared" si="45"/>
        <v>0</v>
      </c>
      <c r="JH86" s="200">
        <f t="shared" si="46"/>
        <v>0</v>
      </c>
      <c r="JI86" s="200">
        <f t="shared" si="47"/>
        <v>0</v>
      </c>
      <c r="JJ86" s="200">
        <f t="shared" si="48"/>
        <v>1</v>
      </c>
      <c r="JK86" s="200">
        <f t="shared" si="49"/>
        <v>3</v>
      </c>
      <c r="JL86" s="200">
        <f t="shared" si="50"/>
        <v>3</v>
      </c>
      <c r="JM86" s="200">
        <f t="shared" si="51"/>
        <v>3</v>
      </c>
      <c r="JN86" s="199"/>
      <c r="JO86" s="200">
        <f t="shared" si="52"/>
        <v>0</v>
      </c>
      <c r="JP86" s="202">
        <v>0.0</v>
      </c>
      <c r="JQ86" s="202">
        <v>0.0</v>
      </c>
      <c r="JR86" s="202">
        <v>0.0</v>
      </c>
      <c r="JS86" s="202">
        <v>0.0</v>
      </c>
      <c r="JT86" s="199"/>
      <c r="JU86" s="199"/>
      <c r="JV86" s="200">
        <f t="shared" ref="JV86:JX86" si="228">IA86-JI86</f>
        <v>0</v>
      </c>
      <c r="JW86" s="200">
        <f t="shared" si="228"/>
        <v>0</v>
      </c>
      <c r="JX86" s="200">
        <f t="shared" si="228"/>
        <v>0</v>
      </c>
      <c r="JY86" s="199"/>
      <c r="JZ86" s="199"/>
      <c r="KA86" s="199"/>
      <c r="KB86" s="200">
        <f t="shared" ref="KB86:KM86" si="229">JB86-JO86</f>
        <v>0</v>
      </c>
      <c r="KC86" s="200">
        <f t="shared" si="229"/>
        <v>0</v>
      </c>
      <c r="KD86" s="200">
        <f t="shared" si="229"/>
        <v>0</v>
      </c>
      <c r="KE86" s="200">
        <f t="shared" si="229"/>
        <v>0</v>
      </c>
      <c r="KF86" s="200">
        <f t="shared" si="229"/>
        <v>0</v>
      </c>
      <c r="KG86" s="200">
        <f t="shared" si="229"/>
        <v>0</v>
      </c>
      <c r="KH86" s="200">
        <f t="shared" si="229"/>
        <v>0</v>
      </c>
      <c r="KI86" s="200">
        <f t="shared" si="229"/>
        <v>0</v>
      </c>
      <c r="KJ86" s="200">
        <f t="shared" si="229"/>
        <v>1</v>
      </c>
      <c r="KK86" s="200">
        <f t="shared" si="229"/>
        <v>3</v>
      </c>
      <c r="KL86" s="200">
        <f t="shared" si="229"/>
        <v>3</v>
      </c>
      <c r="KM86" s="200">
        <f t="shared" si="229"/>
        <v>3</v>
      </c>
      <c r="KN86" s="199"/>
      <c r="KO86" s="199"/>
      <c r="KP86" s="199"/>
      <c r="KQ86" s="199"/>
      <c r="KR86" s="199"/>
      <c r="KS86" s="199"/>
      <c r="KT86" s="199"/>
      <c r="KU86" s="199"/>
      <c r="KV86" s="199"/>
      <c r="KW86" s="199"/>
      <c r="KX86" s="199"/>
      <c r="KY86" s="199"/>
      <c r="KZ86" s="199"/>
      <c r="LA86" s="199"/>
      <c r="LB86" s="199"/>
      <c r="LC86" s="199"/>
      <c r="LD86" s="199"/>
      <c r="LE86" s="199"/>
      <c r="LF86" s="199"/>
      <c r="LG86" s="199"/>
    </row>
    <row r="87" ht="14.25" customHeight="1">
      <c r="A87" s="156">
        <v>80.0</v>
      </c>
      <c r="B87" s="157" t="s">
        <v>171</v>
      </c>
      <c r="C87" s="158">
        <v>3374060.0</v>
      </c>
      <c r="D87" s="158" t="s">
        <v>174</v>
      </c>
      <c r="E87" s="158" t="s">
        <v>177</v>
      </c>
      <c r="F87" s="159">
        <v>16.0</v>
      </c>
      <c r="G87" s="285"/>
      <c r="H87" s="160">
        <v>20.0</v>
      </c>
      <c r="I87" s="161">
        <v>0.0</v>
      </c>
      <c r="J87" s="161">
        <v>0.0</v>
      </c>
      <c r="K87" s="161">
        <v>5.0</v>
      </c>
      <c r="L87" s="161">
        <v>15.0</v>
      </c>
      <c r="M87" s="161">
        <v>0.0</v>
      </c>
      <c r="N87" s="161">
        <v>0.0</v>
      </c>
      <c r="O87" s="162">
        <f t="shared" si="213"/>
        <v>20</v>
      </c>
      <c r="P87" s="203">
        <v>26.0</v>
      </c>
      <c r="Q87" s="164">
        <v>0.0</v>
      </c>
      <c r="R87" s="164">
        <v>0.0</v>
      </c>
      <c r="S87" s="164">
        <v>5.0</v>
      </c>
      <c r="T87" s="165">
        <v>21.0</v>
      </c>
      <c r="U87" s="165">
        <v>6.0</v>
      </c>
      <c r="V87" s="165">
        <v>0.0</v>
      </c>
      <c r="W87" s="166">
        <f t="shared" si="225"/>
        <v>20</v>
      </c>
      <c r="X87" s="203">
        <v>27.0</v>
      </c>
      <c r="Y87" s="165">
        <v>0.0</v>
      </c>
      <c r="Z87" s="165">
        <v>0.0</v>
      </c>
      <c r="AA87" s="165">
        <v>5.0</v>
      </c>
      <c r="AB87" s="165">
        <v>22.0</v>
      </c>
      <c r="AC87" s="165">
        <v>1.0</v>
      </c>
      <c r="AD87" s="165">
        <v>0.0</v>
      </c>
      <c r="AE87" s="166">
        <f t="shared" si="214"/>
        <v>26</v>
      </c>
      <c r="AF87" s="167">
        <v>29.0</v>
      </c>
      <c r="AG87" s="165">
        <v>0.0</v>
      </c>
      <c r="AH87" s="165">
        <v>0.0</v>
      </c>
      <c r="AI87" s="165">
        <v>6.0</v>
      </c>
      <c r="AJ87" s="165">
        <v>23.0</v>
      </c>
      <c r="AK87" s="165">
        <v>2.0</v>
      </c>
      <c r="AL87" s="165">
        <v>0.0</v>
      </c>
      <c r="AM87" s="166">
        <f t="shared" si="215"/>
        <v>27</v>
      </c>
      <c r="AN87" s="167">
        <v>26.0</v>
      </c>
      <c r="AO87" s="165">
        <v>0.0</v>
      </c>
      <c r="AP87" s="165">
        <v>0.0</v>
      </c>
      <c r="AQ87" s="165">
        <v>6.0</v>
      </c>
      <c r="AR87" s="165">
        <v>20.0</v>
      </c>
      <c r="AS87" s="165">
        <v>1.0</v>
      </c>
      <c r="AT87" s="165">
        <v>1.0</v>
      </c>
      <c r="AU87" s="168">
        <f t="shared" si="216"/>
        <v>24</v>
      </c>
      <c r="AV87" s="169">
        <v>1268.0</v>
      </c>
      <c r="AW87" s="204">
        <f t="shared" si="8"/>
        <v>26</v>
      </c>
      <c r="AX87" s="169">
        <v>0.0</v>
      </c>
      <c r="AY87" s="197"/>
      <c r="AZ87" s="169">
        <v>5.0</v>
      </c>
      <c r="BA87" s="169">
        <v>21.0</v>
      </c>
      <c r="BB87" s="169">
        <v>0.0</v>
      </c>
      <c r="BC87" s="169">
        <v>0.0</v>
      </c>
      <c r="BD87" s="169">
        <v>0.0</v>
      </c>
      <c r="BE87" s="169">
        <v>0.0</v>
      </c>
      <c r="BF87" s="169">
        <v>0.0</v>
      </c>
      <c r="BG87" s="169">
        <v>0.0</v>
      </c>
      <c r="BH87" s="169">
        <v>0.0</v>
      </c>
      <c r="BI87" s="169">
        <v>0.0</v>
      </c>
      <c r="BJ87" s="169">
        <v>0.0</v>
      </c>
      <c r="BK87" s="169">
        <v>0.0</v>
      </c>
      <c r="BL87" s="169">
        <v>0.0</v>
      </c>
      <c r="BM87" s="169">
        <v>0.0</v>
      </c>
      <c r="BN87" s="169">
        <v>0.0</v>
      </c>
      <c r="BO87" s="169">
        <v>0.0</v>
      </c>
      <c r="BP87" s="205">
        <f t="shared" si="131"/>
        <v>0</v>
      </c>
      <c r="BQ87" s="173">
        <v>1251.0</v>
      </c>
      <c r="BR87" s="170">
        <f t="shared" si="10"/>
        <v>26</v>
      </c>
      <c r="BS87" s="173">
        <v>0.0</v>
      </c>
      <c r="BT87" s="6"/>
      <c r="BU87" s="173">
        <v>6.0</v>
      </c>
      <c r="BV87" s="173">
        <v>20.0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172">
        <f t="shared" si="132"/>
        <v>0</v>
      </c>
      <c r="CL87" s="173">
        <v>1242.0</v>
      </c>
      <c r="CM87" s="173">
        <v>322.0</v>
      </c>
      <c r="CN87" s="175">
        <f t="shared" si="12"/>
        <v>26</v>
      </c>
      <c r="CO87" s="173">
        <v>0.0</v>
      </c>
      <c r="CP87" s="173">
        <v>0.0</v>
      </c>
      <c r="CQ87" s="173">
        <v>6.0</v>
      </c>
      <c r="CR87" s="173">
        <v>19.0</v>
      </c>
      <c r="CS87" s="173">
        <v>0.0</v>
      </c>
      <c r="CT87" s="173">
        <v>0.0</v>
      </c>
      <c r="CU87" s="173">
        <v>1.0</v>
      </c>
      <c r="CV87" s="173">
        <v>0.0</v>
      </c>
      <c r="CW87" s="173">
        <v>0.0</v>
      </c>
      <c r="CX87" s="173">
        <v>0.0</v>
      </c>
      <c r="CY87" s="173">
        <v>0.0</v>
      </c>
      <c r="CZ87" s="173">
        <v>0.0</v>
      </c>
      <c r="DA87" s="173">
        <v>0.0</v>
      </c>
      <c r="DB87" s="173">
        <v>0.0</v>
      </c>
      <c r="DC87" s="173">
        <v>0.0</v>
      </c>
      <c r="DD87" s="173">
        <v>1.0</v>
      </c>
      <c r="DE87" s="173">
        <v>0.0</v>
      </c>
      <c r="DF87" s="173">
        <v>0.0</v>
      </c>
      <c r="DG87" s="176">
        <f t="shared" si="13"/>
        <v>1</v>
      </c>
      <c r="DH87" s="177">
        <v>1104.0</v>
      </c>
      <c r="DI87" s="177">
        <v>363.0</v>
      </c>
      <c r="DJ87" s="178">
        <v>962.0</v>
      </c>
      <c r="DK87" s="178">
        <v>322.0</v>
      </c>
      <c r="DL87" s="179">
        <f t="shared" si="14"/>
        <v>25</v>
      </c>
      <c r="DM87" s="180">
        <f t="shared" si="15"/>
        <v>1</v>
      </c>
      <c r="DN87" s="180">
        <f t="shared" si="16"/>
        <v>24</v>
      </c>
      <c r="DO87" s="177">
        <v>0.0</v>
      </c>
      <c r="DP87" s="177">
        <v>0.0</v>
      </c>
      <c r="DQ87" s="177">
        <v>1.0</v>
      </c>
      <c r="DR87" s="177">
        <v>24.0</v>
      </c>
      <c r="DS87" s="177">
        <v>0.0</v>
      </c>
      <c r="DT87" s="177">
        <v>0.0</v>
      </c>
      <c r="DU87" s="177">
        <v>0.0</v>
      </c>
      <c r="DV87" s="177">
        <v>0.0</v>
      </c>
      <c r="DW87" s="177">
        <v>0.0</v>
      </c>
      <c r="DX87" s="177">
        <v>0.0</v>
      </c>
      <c r="DY87" s="177">
        <v>0.0</v>
      </c>
      <c r="DZ87" s="177">
        <v>0.0</v>
      </c>
      <c r="EA87" s="177">
        <v>0.0</v>
      </c>
      <c r="EB87" s="177">
        <v>0.0</v>
      </c>
      <c r="EC87" s="177">
        <v>0.0</v>
      </c>
      <c r="ED87" s="177">
        <v>0.0</v>
      </c>
      <c r="EE87" s="177">
        <v>0.0</v>
      </c>
      <c r="EF87" s="177">
        <v>0.0</v>
      </c>
      <c r="EG87" s="179">
        <f t="shared" si="17"/>
        <v>0</v>
      </c>
      <c r="EH87" s="179">
        <f t="shared" si="18"/>
        <v>0</v>
      </c>
      <c r="EI87" s="177">
        <v>1066.0</v>
      </c>
      <c r="EJ87" s="177">
        <v>375.0</v>
      </c>
      <c r="EK87" s="178">
        <v>999.0</v>
      </c>
      <c r="EL87" s="178">
        <v>347.0</v>
      </c>
      <c r="EM87" s="185">
        <f t="shared" si="196"/>
        <v>22</v>
      </c>
      <c r="EN87" s="186">
        <f t="shared" si="202"/>
        <v>1</v>
      </c>
      <c r="EO87" s="186">
        <f t="shared" si="90"/>
        <v>21</v>
      </c>
      <c r="EP87" s="177">
        <v>0.0</v>
      </c>
      <c r="EQ87" s="177">
        <v>0.0</v>
      </c>
      <c r="ER87" s="177">
        <v>1.0</v>
      </c>
      <c r="ES87" s="177">
        <v>20.0</v>
      </c>
      <c r="ET87" s="177">
        <v>0.0</v>
      </c>
      <c r="EU87" s="177">
        <v>0.0</v>
      </c>
      <c r="EV87" s="177">
        <v>0.0</v>
      </c>
      <c r="EW87" s="177">
        <v>1.0</v>
      </c>
      <c r="EX87" s="177">
        <v>0.0</v>
      </c>
      <c r="EY87" s="177">
        <v>0.0</v>
      </c>
      <c r="EZ87" s="177">
        <v>0.0</v>
      </c>
      <c r="FA87" s="177">
        <v>3.0</v>
      </c>
      <c r="FB87" s="177">
        <v>0.0</v>
      </c>
      <c r="FC87" s="177">
        <v>0.0</v>
      </c>
      <c r="FD87" s="177">
        <v>0.0</v>
      </c>
      <c r="FE87" s="177">
        <v>0.0</v>
      </c>
      <c r="FF87" s="177">
        <v>1.0</v>
      </c>
      <c r="FG87" s="177">
        <v>0.0</v>
      </c>
      <c r="FH87" s="185">
        <f t="shared" si="22"/>
        <v>4</v>
      </c>
      <c r="FI87" s="185">
        <f t="shared" si="23"/>
        <v>0</v>
      </c>
      <c r="FJ87" s="177">
        <v>1050.0</v>
      </c>
      <c r="FK87" s="177">
        <v>351.0</v>
      </c>
      <c r="FL87" s="177">
        <v>969.0</v>
      </c>
      <c r="FM87" s="177">
        <v>328.0</v>
      </c>
      <c r="FN87" s="180"/>
      <c r="FO87" s="180">
        <v>20.0</v>
      </c>
      <c r="FP87" s="188">
        <f t="shared" si="197"/>
        <v>20</v>
      </c>
      <c r="FQ87" s="211">
        <v>1.0</v>
      </c>
      <c r="FR87" s="212">
        <v>19.0</v>
      </c>
      <c r="FS87" s="206">
        <v>0.0</v>
      </c>
      <c r="FT87" s="207">
        <v>0.0</v>
      </c>
      <c r="FU87" s="207">
        <v>1.0</v>
      </c>
      <c r="FV87" s="207">
        <v>19.0</v>
      </c>
      <c r="FW87" s="207">
        <v>0.0</v>
      </c>
      <c r="FX87" s="207">
        <v>0.0</v>
      </c>
      <c r="FY87" s="207">
        <v>0.0</v>
      </c>
      <c r="FZ87" s="207">
        <v>0.0</v>
      </c>
      <c r="GA87" s="207">
        <v>0.0</v>
      </c>
      <c r="GB87" s="207">
        <v>0.0</v>
      </c>
      <c r="GC87" s="207">
        <v>0.0</v>
      </c>
      <c r="GD87" s="207">
        <v>1.0</v>
      </c>
      <c r="GE87" s="207">
        <v>0.0</v>
      </c>
      <c r="GF87" s="207">
        <v>0.0</v>
      </c>
      <c r="GG87" s="207">
        <v>0.0</v>
      </c>
      <c r="GH87" s="207">
        <v>0.0</v>
      </c>
      <c r="GI87" s="207">
        <v>1.0</v>
      </c>
      <c r="GJ87" s="207">
        <v>0.0</v>
      </c>
      <c r="GK87" s="212">
        <v>2.0</v>
      </c>
      <c r="GL87" s="212">
        <v>0.0</v>
      </c>
      <c r="GM87" s="207">
        <v>1042.0</v>
      </c>
      <c r="GN87" s="207">
        <v>397.0</v>
      </c>
      <c r="GO87" s="213">
        <v>954.0</v>
      </c>
      <c r="GP87" s="213">
        <v>322.0</v>
      </c>
      <c r="GQ87" s="207"/>
      <c r="GR87" s="213">
        <v>19.0</v>
      </c>
      <c r="GS87" s="193">
        <v>0.0</v>
      </c>
      <c r="GT87" s="194">
        <f t="shared" si="25"/>
        <v>19</v>
      </c>
      <c r="GU87" s="194">
        <f t="shared" si="26"/>
        <v>0</v>
      </c>
      <c r="GV87" s="194">
        <f t="shared" si="27"/>
        <v>19</v>
      </c>
      <c r="GW87" s="207">
        <v>0.0</v>
      </c>
      <c r="GX87" s="207">
        <v>0.0</v>
      </c>
      <c r="GY87" s="207">
        <v>0.0</v>
      </c>
      <c r="GZ87" s="207">
        <v>19.0</v>
      </c>
      <c r="HA87" s="207">
        <v>0.0</v>
      </c>
      <c r="HB87" s="207">
        <v>0.0</v>
      </c>
      <c r="HC87" s="207">
        <v>0.0</v>
      </c>
      <c r="HD87" s="207">
        <v>0.0</v>
      </c>
      <c r="HE87" s="207">
        <v>0.0</v>
      </c>
      <c r="HF87" s="207">
        <v>0.0</v>
      </c>
      <c r="HG87" s="207">
        <v>0.0</v>
      </c>
      <c r="HH87" s="207">
        <v>0.0</v>
      </c>
      <c r="HI87" s="207">
        <v>0.0</v>
      </c>
      <c r="HJ87" s="207">
        <v>0.0</v>
      </c>
      <c r="HK87" s="207">
        <v>0.0</v>
      </c>
      <c r="HL87" s="207">
        <v>0.0</v>
      </c>
      <c r="HM87" s="207">
        <v>1.0</v>
      </c>
      <c r="HN87" s="207">
        <v>0.0</v>
      </c>
      <c r="HO87" s="222">
        <v>1.0</v>
      </c>
      <c r="HP87" s="222">
        <v>0.0</v>
      </c>
      <c r="HQ87" s="214"/>
      <c r="HR87" s="197"/>
      <c r="HS87" s="197"/>
      <c r="HT87" s="198">
        <f t="shared" si="28"/>
        <v>20</v>
      </c>
      <c r="HU87" s="198">
        <f t="shared" si="29"/>
        <v>26</v>
      </c>
      <c r="HV87" s="198">
        <f t="shared" si="30"/>
        <v>27</v>
      </c>
      <c r="HW87" s="198">
        <f t="shared" si="99"/>
        <v>29</v>
      </c>
      <c r="HX87" s="198">
        <f t="shared" si="32"/>
        <v>26</v>
      </c>
      <c r="HY87" s="198">
        <f t="shared" si="33"/>
        <v>26</v>
      </c>
      <c r="HZ87" s="198">
        <f t="shared" si="34"/>
        <v>26</v>
      </c>
      <c r="IA87" s="198">
        <f t="shared" si="35"/>
        <v>26</v>
      </c>
      <c r="IB87" s="198">
        <f t="shared" si="36"/>
        <v>25</v>
      </c>
      <c r="IC87" s="198">
        <f t="shared" si="37"/>
        <v>22</v>
      </c>
      <c r="ID87" s="198">
        <f t="shared" si="38"/>
        <v>20</v>
      </c>
      <c r="IE87" s="198">
        <f t="shared" si="39"/>
        <v>19</v>
      </c>
      <c r="IF87" s="197"/>
      <c r="IG87" s="197"/>
      <c r="IH87" s="197"/>
      <c r="II87" s="197"/>
      <c r="IJ87" s="197"/>
      <c r="IK87" s="197"/>
      <c r="IL87" s="197"/>
      <c r="IM87" s="197"/>
      <c r="IN87" s="197"/>
      <c r="IO87" s="197"/>
      <c r="IP87" s="197"/>
      <c r="IQ87" s="197"/>
      <c r="IR87" s="197"/>
      <c r="IS87" s="197"/>
      <c r="IT87" s="197"/>
      <c r="IU87" s="197"/>
      <c r="IV87" s="197"/>
      <c r="IW87" s="197"/>
      <c r="IX87" s="197"/>
      <c r="IY87" s="197"/>
      <c r="IZ87" s="197"/>
      <c r="JA87" s="199"/>
      <c r="JB87" s="200">
        <f t="shared" si="40"/>
        <v>20</v>
      </c>
      <c r="JC87" s="200">
        <f t="shared" si="41"/>
        <v>26</v>
      </c>
      <c r="JD87" s="200">
        <f t="shared" si="42"/>
        <v>27</v>
      </c>
      <c r="JE87" s="200">
        <f t="shared" si="43"/>
        <v>29</v>
      </c>
      <c r="JF87" s="200">
        <f t="shared" si="44"/>
        <v>26</v>
      </c>
      <c r="JG87" s="200">
        <f t="shared" si="45"/>
        <v>26</v>
      </c>
      <c r="JH87" s="200">
        <f t="shared" si="46"/>
        <v>26</v>
      </c>
      <c r="JI87" s="200">
        <f t="shared" si="47"/>
        <v>26</v>
      </c>
      <c r="JJ87" s="200">
        <f t="shared" si="48"/>
        <v>25</v>
      </c>
      <c r="JK87" s="200">
        <f t="shared" si="49"/>
        <v>25</v>
      </c>
      <c r="JL87" s="200">
        <f t="shared" si="50"/>
        <v>20</v>
      </c>
      <c r="JM87" s="200">
        <f t="shared" si="51"/>
        <v>19</v>
      </c>
      <c r="JN87" s="199"/>
      <c r="JO87" s="200">
        <f t="shared" si="52"/>
        <v>20</v>
      </c>
      <c r="JP87" s="202">
        <v>26.0</v>
      </c>
      <c r="JQ87" s="202">
        <v>27.0</v>
      </c>
      <c r="JR87" s="202">
        <v>29.0</v>
      </c>
      <c r="JS87" s="202">
        <v>26.0</v>
      </c>
      <c r="JT87" s="199"/>
      <c r="JU87" s="199"/>
      <c r="JV87" s="200">
        <f t="shared" ref="JV87:JX87" si="230">IA87-JI87</f>
        <v>0</v>
      </c>
      <c r="JW87" s="200">
        <f t="shared" si="230"/>
        <v>0</v>
      </c>
      <c r="JX87" s="200">
        <f t="shared" si="230"/>
        <v>-3</v>
      </c>
      <c r="JY87" s="199"/>
      <c r="JZ87" s="199"/>
      <c r="KA87" s="199"/>
      <c r="KB87" s="200">
        <f t="shared" ref="KB87:KM87" si="231">JB87-JO87</f>
        <v>0</v>
      </c>
      <c r="KC87" s="200">
        <f t="shared" si="231"/>
        <v>0</v>
      </c>
      <c r="KD87" s="200">
        <f t="shared" si="231"/>
        <v>0</v>
      </c>
      <c r="KE87" s="200">
        <f t="shared" si="231"/>
        <v>0</v>
      </c>
      <c r="KF87" s="200">
        <f t="shared" si="231"/>
        <v>0</v>
      </c>
      <c r="KG87" s="200">
        <f t="shared" si="231"/>
        <v>26</v>
      </c>
      <c r="KH87" s="200">
        <f t="shared" si="231"/>
        <v>26</v>
      </c>
      <c r="KI87" s="200">
        <f t="shared" si="231"/>
        <v>26</v>
      </c>
      <c r="KJ87" s="200">
        <f t="shared" si="231"/>
        <v>25</v>
      </c>
      <c r="KK87" s="200">
        <f t="shared" si="231"/>
        <v>28</v>
      </c>
      <c r="KL87" s="200">
        <f t="shared" si="231"/>
        <v>20</v>
      </c>
      <c r="KM87" s="200">
        <f t="shared" si="231"/>
        <v>19</v>
      </c>
      <c r="KN87" s="199"/>
      <c r="KO87" s="199"/>
      <c r="KP87" s="199"/>
      <c r="KQ87" s="199"/>
      <c r="KR87" s="199"/>
      <c r="KS87" s="199"/>
      <c r="KT87" s="199"/>
      <c r="KU87" s="199"/>
      <c r="KV87" s="199"/>
      <c r="KW87" s="199"/>
      <c r="KX87" s="199"/>
      <c r="KY87" s="199"/>
      <c r="KZ87" s="199"/>
      <c r="LA87" s="199"/>
      <c r="LB87" s="199"/>
      <c r="LC87" s="199"/>
      <c r="LD87" s="199"/>
      <c r="LE87" s="199"/>
      <c r="LF87" s="199"/>
      <c r="LG87" s="199"/>
    </row>
    <row r="88" ht="14.25" customHeight="1">
      <c r="A88" s="156">
        <v>81.0</v>
      </c>
      <c r="B88" s="157" t="s">
        <v>171</v>
      </c>
      <c r="C88" s="158">
        <v>3374060.0</v>
      </c>
      <c r="D88" s="158" t="s">
        <v>174</v>
      </c>
      <c r="E88" s="158" t="s">
        <v>178</v>
      </c>
      <c r="F88" s="159">
        <v>6.0</v>
      </c>
      <c r="G88" s="285"/>
      <c r="H88" s="160">
        <v>4.0</v>
      </c>
      <c r="I88" s="161">
        <v>0.0</v>
      </c>
      <c r="J88" s="161">
        <v>0.0</v>
      </c>
      <c r="K88" s="161">
        <v>1.0</v>
      </c>
      <c r="L88" s="161">
        <v>3.0</v>
      </c>
      <c r="M88" s="161">
        <v>0.0</v>
      </c>
      <c r="N88" s="161">
        <v>0.0</v>
      </c>
      <c r="O88" s="162">
        <f t="shared" si="213"/>
        <v>4</v>
      </c>
      <c r="P88" s="203">
        <v>4.0</v>
      </c>
      <c r="Q88" s="164">
        <v>0.0</v>
      </c>
      <c r="R88" s="164">
        <v>0.0</v>
      </c>
      <c r="S88" s="164">
        <v>1.0</v>
      </c>
      <c r="T88" s="165">
        <v>3.0</v>
      </c>
      <c r="U88" s="165">
        <v>0.0</v>
      </c>
      <c r="V88" s="165">
        <v>0.0</v>
      </c>
      <c r="W88" s="166">
        <f t="shared" si="225"/>
        <v>4</v>
      </c>
      <c r="X88" s="203">
        <v>4.0</v>
      </c>
      <c r="Y88" s="165">
        <v>0.0</v>
      </c>
      <c r="Z88" s="165">
        <v>0.0</v>
      </c>
      <c r="AA88" s="165">
        <v>1.0</v>
      </c>
      <c r="AB88" s="165">
        <v>3.0</v>
      </c>
      <c r="AC88" s="165">
        <v>0.0</v>
      </c>
      <c r="AD88" s="165">
        <v>0.0</v>
      </c>
      <c r="AE88" s="166">
        <f t="shared" si="214"/>
        <v>4</v>
      </c>
      <c r="AF88" s="167">
        <v>4.0</v>
      </c>
      <c r="AG88" s="165">
        <v>0.0</v>
      </c>
      <c r="AH88" s="165">
        <v>0.0</v>
      </c>
      <c r="AI88" s="165">
        <v>1.0</v>
      </c>
      <c r="AJ88" s="165">
        <v>3.0</v>
      </c>
      <c r="AK88" s="165">
        <v>0.0</v>
      </c>
      <c r="AL88" s="165">
        <v>0.0</v>
      </c>
      <c r="AM88" s="166">
        <f t="shared" si="215"/>
        <v>4</v>
      </c>
      <c r="AN88" s="167">
        <v>4.0</v>
      </c>
      <c r="AO88" s="165">
        <v>0.0</v>
      </c>
      <c r="AP88" s="165">
        <v>0.0</v>
      </c>
      <c r="AQ88" s="165">
        <v>1.0</v>
      </c>
      <c r="AR88" s="165">
        <v>3.0</v>
      </c>
      <c r="AS88" s="165">
        <v>1.0</v>
      </c>
      <c r="AT88" s="165">
        <v>2.0</v>
      </c>
      <c r="AU88" s="168">
        <f t="shared" si="216"/>
        <v>1</v>
      </c>
      <c r="AV88" s="169">
        <v>628.0</v>
      </c>
      <c r="AW88" s="204">
        <f t="shared" si="8"/>
        <v>4</v>
      </c>
      <c r="AX88" s="169">
        <v>0.0</v>
      </c>
      <c r="AY88" s="197"/>
      <c r="AZ88" s="169">
        <v>1.0</v>
      </c>
      <c r="BA88" s="169">
        <v>3.0</v>
      </c>
      <c r="BB88" s="169">
        <v>0.0</v>
      </c>
      <c r="BC88" s="169">
        <v>0.0</v>
      </c>
      <c r="BD88" s="169">
        <v>0.0</v>
      </c>
      <c r="BE88" s="169">
        <v>0.0</v>
      </c>
      <c r="BF88" s="169">
        <v>0.0</v>
      </c>
      <c r="BG88" s="169">
        <v>0.0</v>
      </c>
      <c r="BH88" s="169">
        <v>0.0</v>
      </c>
      <c r="BI88" s="169">
        <v>0.0</v>
      </c>
      <c r="BJ88" s="169">
        <v>0.0</v>
      </c>
      <c r="BK88" s="169">
        <v>0.0</v>
      </c>
      <c r="BL88" s="169">
        <v>0.0</v>
      </c>
      <c r="BM88" s="169">
        <v>0.0</v>
      </c>
      <c r="BN88" s="169">
        <v>0.0</v>
      </c>
      <c r="BO88" s="169">
        <v>0.0</v>
      </c>
      <c r="BP88" s="205">
        <f t="shared" si="131"/>
        <v>0</v>
      </c>
      <c r="BQ88" s="173">
        <v>654.0</v>
      </c>
      <c r="BR88" s="170">
        <f t="shared" si="10"/>
        <v>4</v>
      </c>
      <c r="BS88" s="173">
        <v>0.0</v>
      </c>
      <c r="BT88" s="173"/>
      <c r="BU88" s="173">
        <v>1.0</v>
      </c>
      <c r="BV88" s="173">
        <v>3.0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172">
        <f t="shared" si="132"/>
        <v>0</v>
      </c>
      <c r="CL88" s="173">
        <v>657.0</v>
      </c>
      <c r="CM88" s="173">
        <v>185.0</v>
      </c>
      <c r="CN88" s="175">
        <f t="shared" si="12"/>
        <v>4</v>
      </c>
      <c r="CO88" s="173">
        <v>0.0</v>
      </c>
      <c r="CP88" s="173">
        <v>0.0</v>
      </c>
      <c r="CQ88" s="173">
        <v>1.0</v>
      </c>
      <c r="CR88" s="173">
        <v>2.0</v>
      </c>
      <c r="CS88" s="173">
        <v>0.0</v>
      </c>
      <c r="CT88" s="173">
        <v>1.0</v>
      </c>
      <c r="CU88" s="173">
        <v>0.0</v>
      </c>
      <c r="CV88" s="173">
        <v>0.0</v>
      </c>
      <c r="CW88" s="173">
        <v>0.0</v>
      </c>
      <c r="CX88" s="173">
        <v>0.0</v>
      </c>
      <c r="CY88" s="173">
        <v>0.0</v>
      </c>
      <c r="CZ88" s="173">
        <v>0.0</v>
      </c>
      <c r="DA88" s="6"/>
      <c r="DB88" s="173">
        <v>0.0</v>
      </c>
      <c r="DC88" s="173">
        <v>1.0</v>
      </c>
      <c r="DD88" s="173">
        <v>0.0</v>
      </c>
      <c r="DE88" s="173">
        <v>0.0</v>
      </c>
      <c r="DF88" s="173">
        <v>0.0</v>
      </c>
      <c r="DG88" s="176">
        <f t="shared" si="13"/>
        <v>1</v>
      </c>
      <c r="DH88" s="177">
        <v>637.0</v>
      </c>
      <c r="DI88" s="177">
        <v>183.0</v>
      </c>
      <c r="DJ88" s="178">
        <v>575.0</v>
      </c>
      <c r="DK88" s="178">
        <v>170.0</v>
      </c>
      <c r="DL88" s="179">
        <f t="shared" si="14"/>
        <v>4</v>
      </c>
      <c r="DM88" s="180">
        <f t="shared" si="15"/>
        <v>2</v>
      </c>
      <c r="DN88" s="180">
        <f t="shared" si="16"/>
        <v>2</v>
      </c>
      <c r="DO88" s="177">
        <v>0.0</v>
      </c>
      <c r="DP88" s="177">
        <v>0.0</v>
      </c>
      <c r="DQ88" s="177">
        <v>2.0</v>
      </c>
      <c r="DR88" s="177">
        <v>2.0</v>
      </c>
      <c r="DS88" s="177">
        <v>0.0</v>
      </c>
      <c r="DT88" s="177">
        <v>0.0</v>
      </c>
      <c r="DU88" s="177">
        <v>0.0</v>
      </c>
      <c r="DV88" s="177">
        <v>0.0</v>
      </c>
      <c r="DW88" s="177">
        <v>0.0</v>
      </c>
      <c r="DX88" s="177">
        <v>0.0</v>
      </c>
      <c r="DY88" s="177">
        <v>0.0</v>
      </c>
      <c r="DZ88" s="177">
        <v>0.0</v>
      </c>
      <c r="EA88" s="177">
        <v>0.0</v>
      </c>
      <c r="EB88" s="177">
        <v>0.0</v>
      </c>
      <c r="EC88" s="177">
        <v>0.0</v>
      </c>
      <c r="ED88" s="177">
        <v>0.0</v>
      </c>
      <c r="EE88" s="177">
        <v>0.0</v>
      </c>
      <c r="EF88" s="177">
        <v>0.0</v>
      </c>
      <c r="EG88" s="179">
        <f t="shared" si="17"/>
        <v>0</v>
      </c>
      <c r="EH88" s="179">
        <f t="shared" si="18"/>
        <v>0</v>
      </c>
      <c r="EI88" s="177">
        <v>624.0</v>
      </c>
      <c r="EJ88" s="177">
        <v>168.0</v>
      </c>
      <c r="EK88" s="178">
        <v>547.0</v>
      </c>
      <c r="EL88" s="178">
        <v>153.0</v>
      </c>
      <c r="EM88" s="185">
        <f t="shared" si="196"/>
        <v>4</v>
      </c>
      <c r="EN88" s="186">
        <f t="shared" si="202"/>
        <v>2</v>
      </c>
      <c r="EO88" s="186">
        <f t="shared" si="90"/>
        <v>2</v>
      </c>
      <c r="EP88" s="177">
        <v>0.0</v>
      </c>
      <c r="EQ88" s="177">
        <v>0.0</v>
      </c>
      <c r="ER88" s="177">
        <v>2.0</v>
      </c>
      <c r="ES88" s="177">
        <v>2.0</v>
      </c>
      <c r="ET88" s="177">
        <v>0.0</v>
      </c>
      <c r="EU88" s="177">
        <v>0.0</v>
      </c>
      <c r="EV88" s="177">
        <v>0.0</v>
      </c>
      <c r="EW88" s="177">
        <v>0.0</v>
      </c>
      <c r="EX88" s="177">
        <v>0.0</v>
      </c>
      <c r="EY88" s="177">
        <v>0.0</v>
      </c>
      <c r="EZ88" s="177">
        <v>0.0</v>
      </c>
      <c r="FA88" s="177">
        <v>0.0</v>
      </c>
      <c r="FB88" s="177">
        <v>0.0</v>
      </c>
      <c r="FC88" s="177">
        <v>0.0</v>
      </c>
      <c r="FD88" s="177">
        <v>0.0</v>
      </c>
      <c r="FE88" s="177">
        <v>0.0</v>
      </c>
      <c r="FF88" s="177">
        <v>0.0</v>
      </c>
      <c r="FG88" s="177">
        <v>0.0</v>
      </c>
      <c r="FH88" s="185">
        <f t="shared" si="22"/>
        <v>0</v>
      </c>
      <c r="FI88" s="185">
        <f t="shared" si="23"/>
        <v>0</v>
      </c>
      <c r="FJ88" s="177">
        <v>605.0</v>
      </c>
      <c r="FK88" s="177">
        <v>170.0</v>
      </c>
      <c r="FL88" s="177">
        <v>536.0</v>
      </c>
      <c r="FM88" s="177">
        <v>149.0</v>
      </c>
      <c r="FN88" s="180"/>
      <c r="FO88" s="180">
        <v>4.0</v>
      </c>
      <c r="FP88" s="188">
        <f t="shared" si="197"/>
        <v>4</v>
      </c>
      <c r="FQ88" s="211">
        <v>2.0</v>
      </c>
      <c r="FR88" s="212">
        <v>2.0</v>
      </c>
      <c r="FS88" s="206">
        <v>0.0</v>
      </c>
      <c r="FT88" s="207">
        <v>0.0</v>
      </c>
      <c r="FU88" s="207">
        <v>2.0</v>
      </c>
      <c r="FV88" s="207">
        <v>2.0</v>
      </c>
      <c r="FW88" s="207">
        <v>0.0</v>
      </c>
      <c r="FX88" s="207">
        <v>0.0</v>
      </c>
      <c r="FY88" s="207">
        <v>0.0</v>
      </c>
      <c r="FZ88" s="207">
        <v>0.0</v>
      </c>
      <c r="GA88" s="207">
        <v>0.0</v>
      </c>
      <c r="GB88" s="207">
        <v>0.0</v>
      </c>
      <c r="GC88" s="207">
        <v>0.0</v>
      </c>
      <c r="GD88" s="207">
        <v>0.0</v>
      </c>
      <c r="GE88" s="207">
        <v>0.0</v>
      </c>
      <c r="GF88" s="207">
        <v>0.0</v>
      </c>
      <c r="GG88" s="207">
        <v>0.0</v>
      </c>
      <c r="GH88" s="207">
        <v>0.0</v>
      </c>
      <c r="GI88" s="207">
        <v>0.0</v>
      </c>
      <c r="GJ88" s="207">
        <v>0.0</v>
      </c>
      <c r="GK88" s="212">
        <v>0.0</v>
      </c>
      <c r="GL88" s="212">
        <v>0.0</v>
      </c>
      <c r="GM88" s="207">
        <v>613.0</v>
      </c>
      <c r="GN88" s="207">
        <v>206.0</v>
      </c>
      <c r="GO88" s="213">
        <v>538.0</v>
      </c>
      <c r="GP88" s="213">
        <v>149.0</v>
      </c>
      <c r="GQ88" s="207"/>
      <c r="GR88" s="213">
        <v>4.0</v>
      </c>
      <c r="GS88" s="193">
        <v>1.0</v>
      </c>
      <c r="GT88" s="194">
        <f t="shared" si="25"/>
        <v>4</v>
      </c>
      <c r="GU88" s="194">
        <f t="shared" si="26"/>
        <v>1</v>
      </c>
      <c r="GV88" s="194">
        <f t="shared" si="27"/>
        <v>3</v>
      </c>
      <c r="GW88" s="207">
        <v>0.0</v>
      </c>
      <c r="GX88" s="207">
        <v>0.0</v>
      </c>
      <c r="GY88" s="207">
        <v>1.0</v>
      </c>
      <c r="GZ88" s="207">
        <v>3.0</v>
      </c>
      <c r="HA88" s="207">
        <v>0.0</v>
      </c>
      <c r="HB88" s="207">
        <v>0.0</v>
      </c>
      <c r="HC88" s="207">
        <v>0.0</v>
      </c>
      <c r="HD88" s="207">
        <v>0.0</v>
      </c>
      <c r="HE88" s="207">
        <v>0.0</v>
      </c>
      <c r="HF88" s="207">
        <v>0.0</v>
      </c>
      <c r="HG88" s="207">
        <v>0.0</v>
      </c>
      <c r="HH88" s="207">
        <v>0.0</v>
      </c>
      <c r="HI88" s="207">
        <v>0.0</v>
      </c>
      <c r="HJ88" s="207">
        <v>0.0</v>
      </c>
      <c r="HK88" s="207">
        <v>0.0</v>
      </c>
      <c r="HL88" s="207">
        <v>0.0</v>
      </c>
      <c r="HM88" s="207">
        <v>0.0</v>
      </c>
      <c r="HN88" s="207">
        <v>0.0</v>
      </c>
      <c r="HO88" s="222">
        <v>0.0</v>
      </c>
      <c r="HP88" s="222">
        <v>0.0</v>
      </c>
      <c r="HQ88" s="214"/>
      <c r="HR88" s="197"/>
      <c r="HS88" s="197"/>
      <c r="HT88" s="198">
        <f t="shared" si="28"/>
        <v>4</v>
      </c>
      <c r="HU88" s="198">
        <f t="shared" si="29"/>
        <v>4</v>
      </c>
      <c r="HV88" s="198">
        <f t="shared" si="30"/>
        <v>4</v>
      </c>
      <c r="HW88" s="198">
        <f t="shared" si="99"/>
        <v>4</v>
      </c>
      <c r="HX88" s="198">
        <f t="shared" si="32"/>
        <v>4</v>
      </c>
      <c r="HY88" s="198">
        <f t="shared" si="33"/>
        <v>4</v>
      </c>
      <c r="HZ88" s="198">
        <f t="shared" si="34"/>
        <v>4</v>
      </c>
      <c r="IA88" s="198">
        <f t="shared" si="35"/>
        <v>4</v>
      </c>
      <c r="IB88" s="198">
        <f t="shared" si="36"/>
        <v>4</v>
      </c>
      <c r="IC88" s="198">
        <f t="shared" si="37"/>
        <v>4</v>
      </c>
      <c r="ID88" s="198">
        <f t="shared" si="38"/>
        <v>4</v>
      </c>
      <c r="IE88" s="198">
        <f t="shared" si="39"/>
        <v>4</v>
      </c>
      <c r="IF88" s="197"/>
      <c r="IG88" s="197"/>
      <c r="IH88" s="197"/>
      <c r="II88" s="197"/>
      <c r="IJ88" s="197"/>
      <c r="IK88" s="197"/>
      <c r="IL88" s="197"/>
      <c r="IM88" s="197"/>
      <c r="IN88" s="197"/>
      <c r="IO88" s="197"/>
      <c r="IP88" s="197"/>
      <c r="IQ88" s="197"/>
      <c r="IR88" s="197"/>
      <c r="IS88" s="197"/>
      <c r="IT88" s="197"/>
      <c r="IU88" s="197"/>
      <c r="IV88" s="197"/>
      <c r="IW88" s="197"/>
      <c r="IX88" s="197"/>
      <c r="IY88" s="197"/>
      <c r="IZ88" s="197"/>
      <c r="JA88" s="199"/>
      <c r="JB88" s="200">
        <f t="shared" si="40"/>
        <v>4</v>
      </c>
      <c r="JC88" s="200">
        <f t="shared" si="41"/>
        <v>4</v>
      </c>
      <c r="JD88" s="200">
        <f t="shared" si="42"/>
        <v>4</v>
      </c>
      <c r="JE88" s="200">
        <f t="shared" si="43"/>
        <v>4</v>
      </c>
      <c r="JF88" s="200">
        <f t="shared" si="44"/>
        <v>4</v>
      </c>
      <c r="JG88" s="200">
        <f t="shared" si="45"/>
        <v>4</v>
      </c>
      <c r="JH88" s="200">
        <f t="shared" si="46"/>
        <v>4</v>
      </c>
      <c r="JI88" s="200">
        <f t="shared" si="47"/>
        <v>4</v>
      </c>
      <c r="JJ88" s="200">
        <f t="shared" si="48"/>
        <v>4</v>
      </c>
      <c r="JK88" s="200">
        <f t="shared" si="49"/>
        <v>4</v>
      </c>
      <c r="JL88" s="200">
        <f t="shared" si="50"/>
        <v>4</v>
      </c>
      <c r="JM88" s="200">
        <f t="shared" si="51"/>
        <v>4</v>
      </c>
      <c r="JN88" s="199"/>
      <c r="JO88" s="200">
        <f t="shared" si="52"/>
        <v>4</v>
      </c>
      <c r="JP88" s="202">
        <v>4.0</v>
      </c>
      <c r="JQ88" s="202">
        <v>4.0</v>
      </c>
      <c r="JR88" s="202">
        <v>4.0</v>
      </c>
      <c r="JS88" s="202">
        <v>4.0</v>
      </c>
      <c r="JT88" s="199"/>
      <c r="JU88" s="199"/>
      <c r="JV88" s="200">
        <f t="shared" ref="JV88:JX88" si="232">IA88-JI88</f>
        <v>0</v>
      </c>
      <c r="JW88" s="200">
        <f t="shared" si="232"/>
        <v>0</v>
      </c>
      <c r="JX88" s="200">
        <f t="shared" si="232"/>
        <v>0</v>
      </c>
      <c r="JY88" s="199"/>
      <c r="JZ88" s="199"/>
      <c r="KA88" s="199"/>
      <c r="KB88" s="200">
        <f t="shared" ref="KB88:KM88" si="233">JB88-JO88</f>
        <v>0</v>
      </c>
      <c r="KC88" s="200">
        <f t="shared" si="233"/>
        <v>0</v>
      </c>
      <c r="KD88" s="200">
        <f t="shared" si="233"/>
        <v>0</v>
      </c>
      <c r="KE88" s="200">
        <f t="shared" si="233"/>
        <v>0</v>
      </c>
      <c r="KF88" s="200">
        <f t="shared" si="233"/>
        <v>0</v>
      </c>
      <c r="KG88" s="200">
        <f t="shared" si="233"/>
        <v>4</v>
      </c>
      <c r="KH88" s="200">
        <f t="shared" si="233"/>
        <v>4</v>
      </c>
      <c r="KI88" s="200">
        <f t="shared" si="233"/>
        <v>4</v>
      </c>
      <c r="KJ88" s="200">
        <f t="shared" si="233"/>
        <v>4</v>
      </c>
      <c r="KK88" s="200">
        <f t="shared" si="233"/>
        <v>4</v>
      </c>
      <c r="KL88" s="200">
        <f t="shared" si="233"/>
        <v>4</v>
      </c>
      <c r="KM88" s="200">
        <f t="shared" si="233"/>
        <v>4</v>
      </c>
      <c r="KN88" s="199"/>
      <c r="KO88" s="199"/>
      <c r="KP88" s="199"/>
      <c r="KQ88" s="199"/>
      <c r="KR88" s="199"/>
      <c r="KS88" s="199"/>
      <c r="KT88" s="199"/>
      <c r="KU88" s="199"/>
      <c r="KV88" s="199"/>
      <c r="KW88" s="199"/>
      <c r="KX88" s="199"/>
      <c r="KY88" s="199"/>
      <c r="KZ88" s="199"/>
      <c r="LA88" s="199"/>
      <c r="LB88" s="199"/>
      <c r="LC88" s="199"/>
      <c r="LD88" s="199"/>
      <c r="LE88" s="199"/>
      <c r="LF88" s="199"/>
      <c r="LG88" s="199"/>
    </row>
    <row r="89" ht="14.25" customHeight="1">
      <c r="A89" s="156">
        <v>82.0</v>
      </c>
      <c r="B89" s="157" t="s">
        <v>171</v>
      </c>
      <c r="C89" s="158">
        <v>3374060.0</v>
      </c>
      <c r="D89" s="158" t="s">
        <v>172</v>
      </c>
      <c r="E89" s="158" t="s">
        <v>179</v>
      </c>
      <c r="F89" s="159">
        <v>12.0</v>
      </c>
      <c r="G89" s="328"/>
      <c r="H89" s="160">
        <v>5.0</v>
      </c>
      <c r="I89" s="161">
        <v>1.0</v>
      </c>
      <c r="J89" s="330">
        <v>0.0</v>
      </c>
      <c r="K89" s="161">
        <v>2.0</v>
      </c>
      <c r="L89" s="161">
        <v>2.0</v>
      </c>
      <c r="M89" s="161">
        <v>0.0</v>
      </c>
      <c r="N89" s="161">
        <v>1.0</v>
      </c>
      <c r="O89" s="162">
        <f t="shared" si="213"/>
        <v>4</v>
      </c>
      <c r="P89" s="203">
        <v>4.0</v>
      </c>
      <c r="Q89" s="164">
        <v>0.0</v>
      </c>
      <c r="R89" s="164">
        <v>0.0</v>
      </c>
      <c r="S89" s="164">
        <v>2.0</v>
      </c>
      <c r="T89" s="165">
        <v>2.0</v>
      </c>
      <c r="U89" s="165">
        <v>0.0</v>
      </c>
      <c r="V89" s="165">
        <v>3.0</v>
      </c>
      <c r="W89" s="166">
        <f t="shared" si="225"/>
        <v>1</v>
      </c>
      <c r="X89" s="331">
        <v>1.0</v>
      </c>
      <c r="Y89" s="165">
        <v>0.0</v>
      </c>
      <c r="Z89" s="165">
        <v>0.0</v>
      </c>
      <c r="AA89" s="165">
        <v>1.0</v>
      </c>
      <c r="AB89" s="165">
        <v>0.0</v>
      </c>
      <c r="AC89" s="165">
        <v>0.0</v>
      </c>
      <c r="AD89" s="165">
        <v>0.0</v>
      </c>
      <c r="AE89" s="166">
        <f t="shared" si="214"/>
        <v>1</v>
      </c>
      <c r="AF89" s="167">
        <v>2.0</v>
      </c>
      <c r="AG89" s="165">
        <v>0.0</v>
      </c>
      <c r="AH89" s="165">
        <v>0.0</v>
      </c>
      <c r="AI89" s="165">
        <v>1.0</v>
      </c>
      <c r="AJ89" s="165">
        <v>1.0</v>
      </c>
      <c r="AK89" s="165">
        <v>0.0</v>
      </c>
      <c r="AL89" s="165">
        <v>1.0</v>
      </c>
      <c r="AM89" s="166">
        <f t="shared" si="215"/>
        <v>1</v>
      </c>
      <c r="AN89" s="167">
        <v>1.0</v>
      </c>
      <c r="AO89" s="165">
        <v>0.0</v>
      </c>
      <c r="AP89" s="165">
        <v>0.0</v>
      </c>
      <c r="AQ89" s="165">
        <v>1.0</v>
      </c>
      <c r="AR89" s="165">
        <v>0.0</v>
      </c>
      <c r="AS89" s="165">
        <v>0.0</v>
      </c>
      <c r="AT89" s="165">
        <v>0.0</v>
      </c>
      <c r="AU89" s="168">
        <f t="shared" si="216"/>
        <v>1</v>
      </c>
      <c r="AV89" s="169">
        <v>614.0</v>
      </c>
      <c r="AW89" s="204">
        <f t="shared" si="8"/>
        <v>1</v>
      </c>
      <c r="AX89" s="169">
        <v>0.0</v>
      </c>
      <c r="AY89" s="169">
        <v>0.0</v>
      </c>
      <c r="AZ89" s="169">
        <v>1.0</v>
      </c>
      <c r="BA89" s="169">
        <v>0.0</v>
      </c>
      <c r="BB89" s="169">
        <v>0.0</v>
      </c>
      <c r="BC89" s="169">
        <v>0.0</v>
      </c>
      <c r="BD89" s="169">
        <v>0.0</v>
      </c>
      <c r="BE89" s="169">
        <v>0.0</v>
      </c>
      <c r="BF89" s="169">
        <v>0.0</v>
      </c>
      <c r="BG89" s="169">
        <v>0.0</v>
      </c>
      <c r="BH89" s="169">
        <v>0.0</v>
      </c>
      <c r="BI89" s="169">
        <v>0.0</v>
      </c>
      <c r="BJ89" s="169">
        <v>0.0</v>
      </c>
      <c r="BK89" s="169">
        <v>0.0</v>
      </c>
      <c r="BL89" s="169">
        <v>0.0</v>
      </c>
      <c r="BM89" s="169">
        <v>0.0</v>
      </c>
      <c r="BN89" s="169">
        <v>0.0</v>
      </c>
      <c r="BO89" s="169">
        <v>0.0</v>
      </c>
      <c r="BP89" s="205">
        <f t="shared" si="131"/>
        <v>0</v>
      </c>
      <c r="BQ89" s="173">
        <v>599.0</v>
      </c>
      <c r="BR89" s="170">
        <f t="shared" si="10"/>
        <v>2</v>
      </c>
      <c r="BS89" s="173">
        <v>0.0</v>
      </c>
      <c r="BT89" s="173">
        <v>0.0</v>
      </c>
      <c r="BU89" s="173">
        <v>0.0</v>
      </c>
      <c r="BV89" s="173">
        <v>0.0</v>
      </c>
      <c r="BW89" s="173">
        <v>0.0</v>
      </c>
      <c r="BX89" s="173">
        <v>0.0</v>
      </c>
      <c r="BY89" s="173">
        <v>2.0</v>
      </c>
      <c r="BZ89" s="173">
        <v>0.0</v>
      </c>
      <c r="CA89" s="173">
        <v>0.0</v>
      </c>
      <c r="CB89" s="173">
        <v>0.0</v>
      </c>
      <c r="CC89" s="173">
        <v>0.0</v>
      </c>
      <c r="CD89" s="173">
        <v>0.0</v>
      </c>
      <c r="CE89" s="173">
        <v>0.0</v>
      </c>
      <c r="CF89" s="173">
        <v>0.0</v>
      </c>
      <c r="CG89" s="173">
        <v>0.0</v>
      </c>
      <c r="CH89" s="173">
        <v>1.0</v>
      </c>
      <c r="CI89" s="173">
        <v>0.0</v>
      </c>
      <c r="CJ89" s="173">
        <v>0.0</v>
      </c>
      <c r="CK89" s="172">
        <f t="shared" si="132"/>
        <v>1</v>
      </c>
      <c r="CL89" s="173">
        <v>618.0</v>
      </c>
      <c r="CM89" s="173">
        <v>372.0</v>
      </c>
      <c r="CN89" s="175">
        <f t="shared" si="12"/>
        <v>3</v>
      </c>
      <c r="CO89" s="173">
        <v>0.0</v>
      </c>
      <c r="CP89" s="173">
        <v>0.0</v>
      </c>
      <c r="CQ89" s="173">
        <v>2.0</v>
      </c>
      <c r="CR89" s="173">
        <v>0.0</v>
      </c>
      <c r="CS89" s="173">
        <v>0.0</v>
      </c>
      <c r="CT89" s="173">
        <v>0.0</v>
      </c>
      <c r="CU89" s="173">
        <v>1.0</v>
      </c>
      <c r="CV89" s="173">
        <v>0.0</v>
      </c>
      <c r="CW89" s="173">
        <v>0.0</v>
      </c>
      <c r="CX89" s="173">
        <v>0.0</v>
      </c>
      <c r="CY89" s="173">
        <v>0.0</v>
      </c>
      <c r="CZ89" s="173">
        <v>0.0</v>
      </c>
      <c r="DA89" s="173">
        <v>0.0</v>
      </c>
      <c r="DB89" s="173">
        <v>0.0</v>
      </c>
      <c r="DC89" s="173">
        <v>0.0</v>
      </c>
      <c r="DD89" s="173">
        <v>0.0</v>
      </c>
      <c r="DE89" s="173">
        <v>0.0</v>
      </c>
      <c r="DF89" s="173">
        <v>0.0</v>
      </c>
      <c r="DG89" s="176">
        <f t="shared" si="13"/>
        <v>0</v>
      </c>
      <c r="DH89" s="177">
        <v>673.0</v>
      </c>
      <c r="DI89" s="177">
        <v>334.0</v>
      </c>
      <c r="DJ89" s="177">
        <v>671.0</v>
      </c>
      <c r="DK89" s="178">
        <v>315.0</v>
      </c>
      <c r="DL89" s="179">
        <f t="shared" si="14"/>
        <v>2</v>
      </c>
      <c r="DM89" s="180">
        <f t="shared" si="15"/>
        <v>2</v>
      </c>
      <c r="DN89" s="180">
        <f t="shared" si="16"/>
        <v>0</v>
      </c>
      <c r="DO89" s="177">
        <v>0.0</v>
      </c>
      <c r="DP89" s="177">
        <v>0.0</v>
      </c>
      <c r="DQ89" s="177">
        <v>2.0</v>
      </c>
      <c r="DR89" s="177">
        <v>0.0</v>
      </c>
      <c r="DS89" s="177">
        <v>0.0</v>
      </c>
      <c r="DT89" s="177">
        <v>0.0</v>
      </c>
      <c r="DU89" s="177">
        <v>0.0</v>
      </c>
      <c r="DV89" s="177">
        <v>0.0</v>
      </c>
      <c r="DW89" s="177">
        <v>0.0</v>
      </c>
      <c r="DX89" s="177">
        <v>0.0</v>
      </c>
      <c r="DY89" s="177">
        <v>1.0</v>
      </c>
      <c r="DZ89" s="177">
        <v>0.0</v>
      </c>
      <c r="EA89" s="177">
        <v>0.0</v>
      </c>
      <c r="EB89" s="177">
        <v>0.0</v>
      </c>
      <c r="EC89" s="177">
        <v>0.0</v>
      </c>
      <c r="ED89" s="177">
        <v>0.0</v>
      </c>
      <c r="EE89" s="177">
        <v>0.0</v>
      </c>
      <c r="EF89" s="177">
        <v>0.0</v>
      </c>
      <c r="EG89" s="179">
        <f t="shared" si="17"/>
        <v>1</v>
      </c>
      <c r="EH89" s="179">
        <f t="shared" si="18"/>
        <v>1</v>
      </c>
      <c r="EI89" s="177">
        <v>673.0</v>
      </c>
      <c r="EJ89" s="177">
        <v>334.0</v>
      </c>
      <c r="EK89" s="178">
        <v>673.0</v>
      </c>
      <c r="EL89" s="178">
        <v>334.0</v>
      </c>
      <c r="EM89" s="185">
        <f t="shared" si="196"/>
        <v>2</v>
      </c>
      <c r="EN89" s="186">
        <f t="shared" si="202"/>
        <v>2</v>
      </c>
      <c r="EO89" s="186">
        <f t="shared" si="90"/>
        <v>0</v>
      </c>
      <c r="EP89" s="177">
        <v>0.0</v>
      </c>
      <c r="EQ89" s="177">
        <v>0.0</v>
      </c>
      <c r="ER89" s="177">
        <v>2.0</v>
      </c>
      <c r="ES89" s="177">
        <v>0.0</v>
      </c>
      <c r="ET89" s="177">
        <v>0.0</v>
      </c>
      <c r="EU89" s="177">
        <v>0.0</v>
      </c>
      <c r="EV89" s="177">
        <v>0.0</v>
      </c>
      <c r="EW89" s="177">
        <v>0.0</v>
      </c>
      <c r="EX89" s="177">
        <v>0.0</v>
      </c>
      <c r="EY89" s="177">
        <v>0.0</v>
      </c>
      <c r="EZ89" s="177">
        <v>0.0</v>
      </c>
      <c r="FA89" s="177">
        <v>0.0</v>
      </c>
      <c r="FB89" s="177">
        <v>0.0</v>
      </c>
      <c r="FC89" s="177">
        <v>0.0</v>
      </c>
      <c r="FD89" s="177">
        <v>0.0</v>
      </c>
      <c r="FE89" s="177">
        <v>0.0</v>
      </c>
      <c r="FF89" s="177">
        <v>0.0</v>
      </c>
      <c r="FG89" s="177">
        <v>0.0</v>
      </c>
      <c r="FH89" s="185">
        <f t="shared" si="22"/>
        <v>0</v>
      </c>
      <c r="FI89" s="185">
        <f t="shared" si="23"/>
        <v>0</v>
      </c>
      <c r="FJ89" s="177">
        <v>727.0</v>
      </c>
      <c r="FK89" s="177">
        <v>376.0</v>
      </c>
      <c r="FL89" s="177">
        <v>727.0</v>
      </c>
      <c r="FM89" s="177">
        <v>376.0</v>
      </c>
      <c r="FN89" s="180"/>
      <c r="FO89" s="180">
        <v>2.0</v>
      </c>
      <c r="FP89" s="188">
        <f t="shared" si="197"/>
        <v>2</v>
      </c>
      <c r="FQ89" s="211">
        <v>1.0</v>
      </c>
      <c r="FR89" s="212">
        <v>1.0</v>
      </c>
      <c r="FS89" s="206">
        <v>0.0</v>
      </c>
      <c r="FT89" s="207">
        <v>0.0</v>
      </c>
      <c r="FU89" s="207">
        <v>1.0</v>
      </c>
      <c r="FV89" s="207">
        <v>1.0</v>
      </c>
      <c r="FW89" s="207">
        <v>0.0</v>
      </c>
      <c r="FX89" s="207">
        <v>0.0</v>
      </c>
      <c r="FY89" s="207">
        <v>0.0</v>
      </c>
      <c r="FZ89" s="207">
        <v>0.0</v>
      </c>
      <c r="GA89" s="207">
        <v>0.0</v>
      </c>
      <c r="GB89" s="207">
        <v>0.0</v>
      </c>
      <c r="GC89" s="207">
        <v>0.0</v>
      </c>
      <c r="GD89" s="207">
        <v>0.0</v>
      </c>
      <c r="GE89" s="207">
        <v>0.0</v>
      </c>
      <c r="GF89" s="207">
        <v>0.0</v>
      </c>
      <c r="GG89" s="207">
        <v>0.0</v>
      </c>
      <c r="GH89" s="207">
        <v>0.0</v>
      </c>
      <c r="GI89" s="207">
        <v>0.0</v>
      </c>
      <c r="GJ89" s="207">
        <v>0.0</v>
      </c>
      <c r="GK89" s="212">
        <v>0.0</v>
      </c>
      <c r="GL89" s="212">
        <v>0.0</v>
      </c>
      <c r="GM89" s="207">
        <v>703.0</v>
      </c>
      <c r="GN89" s="207">
        <v>206.0</v>
      </c>
      <c r="GO89" s="213">
        <v>703.0</v>
      </c>
      <c r="GP89" s="213">
        <v>206.0</v>
      </c>
      <c r="GQ89" s="207"/>
      <c r="GR89" s="213">
        <v>2.0</v>
      </c>
      <c r="GS89" s="193">
        <v>0.0</v>
      </c>
      <c r="GT89" s="194">
        <f t="shared" si="25"/>
        <v>2</v>
      </c>
      <c r="GU89" s="194">
        <f t="shared" si="26"/>
        <v>0</v>
      </c>
      <c r="GV89" s="194">
        <f t="shared" si="27"/>
        <v>2</v>
      </c>
      <c r="GW89" s="207">
        <v>0.0</v>
      </c>
      <c r="GX89" s="207">
        <v>0.0</v>
      </c>
      <c r="GY89" s="207">
        <v>0.0</v>
      </c>
      <c r="GZ89" s="207">
        <v>2.0</v>
      </c>
      <c r="HA89" s="207">
        <v>0.0</v>
      </c>
      <c r="HB89" s="207">
        <v>0.0</v>
      </c>
      <c r="HC89" s="207">
        <v>0.0</v>
      </c>
      <c r="HD89" s="207">
        <v>0.0</v>
      </c>
      <c r="HE89" s="207">
        <v>0.0</v>
      </c>
      <c r="HF89" s="207">
        <v>0.0</v>
      </c>
      <c r="HG89" s="207">
        <v>0.0</v>
      </c>
      <c r="HH89" s="207">
        <v>0.0</v>
      </c>
      <c r="HI89" s="207">
        <v>0.0</v>
      </c>
      <c r="HJ89" s="207">
        <v>0.0</v>
      </c>
      <c r="HK89" s="207">
        <v>0.0</v>
      </c>
      <c r="HL89" s="207">
        <v>0.0</v>
      </c>
      <c r="HM89" s="207">
        <v>0.0</v>
      </c>
      <c r="HN89" s="207">
        <v>0.0</v>
      </c>
      <c r="HO89" s="222">
        <v>0.0</v>
      </c>
      <c r="HP89" s="222">
        <v>0.0</v>
      </c>
      <c r="HQ89" s="214"/>
      <c r="HR89" s="197"/>
      <c r="HS89" s="197"/>
      <c r="HT89" s="198">
        <f t="shared" si="28"/>
        <v>5</v>
      </c>
      <c r="HU89" s="198">
        <f t="shared" si="29"/>
        <v>4</v>
      </c>
      <c r="HV89" s="198">
        <f t="shared" si="30"/>
        <v>1</v>
      </c>
      <c r="HW89" s="198">
        <f t="shared" si="99"/>
        <v>2</v>
      </c>
      <c r="HX89" s="198">
        <f t="shared" si="32"/>
        <v>1</v>
      </c>
      <c r="HY89" s="198">
        <f t="shared" si="33"/>
        <v>1</v>
      </c>
      <c r="HZ89" s="198">
        <f t="shared" si="34"/>
        <v>2</v>
      </c>
      <c r="IA89" s="198">
        <f t="shared" si="35"/>
        <v>3</v>
      </c>
      <c r="IB89" s="198">
        <f t="shared" si="36"/>
        <v>2</v>
      </c>
      <c r="IC89" s="198">
        <f t="shared" si="37"/>
        <v>2</v>
      </c>
      <c r="ID89" s="198">
        <f t="shared" si="38"/>
        <v>2</v>
      </c>
      <c r="IE89" s="198">
        <f t="shared" si="39"/>
        <v>2</v>
      </c>
      <c r="IF89" s="197"/>
      <c r="IG89" s="197"/>
      <c r="IH89" s="197"/>
      <c r="II89" s="197"/>
      <c r="IJ89" s="197"/>
      <c r="IK89" s="197"/>
      <c r="IL89" s="197"/>
      <c r="IM89" s="197"/>
      <c r="IN89" s="197"/>
      <c r="IO89" s="197"/>
      <c r="IP89" s="197"/>
      <c r="IQ89" s="197"/>
      <c r="IR89" s="197"/>
      <c r="IS89" s="197"/>
      <c r="IT89" s="197"/>
      <c r="IU89" s="197"/>
      <c r="IV89" s="197"/>
      <c r="IW89" s="197"/>
      <c r="IX89" s="197"/>
      <c r="IY89" s="197"/>
      <c r="IZ89" s="197"/>
      <c r="JA89" s="199"/>
      <c r="JB89" s="200">
        <f t="shared" si="40"/>
        <v>5</v>
      </c>
      <c r="JC89" s="200">
        <f t="shared" si="41"/>
        <v>4</v>
      </c>
      <c r="JD89" s="200">
        <f t="shared" si="42"/>
        <v>1</v>
      </c>
      <c r="JE89" s="200">
        <f t="shared" si="43"/>
        <v>2</v>
      </c>
      <c r="JF89" s="200">
        <f t="shared" si="44"/>
        <v>1</v>
      </c>
      <c r="JG89" s="200">
        <f t="shared" si="45"/>
        <v>1</v>
      </c>
      <c r="JH89" s="200">
        <f t="shared" si="46"/>
        <v>2</v>
      </c>
      <c r="JI89" s="200">
        <f t="shared" si="47"/>
        <v>3</v>
      </c>
      <c r="JJ89" s="200">
        <f t="shared" si="48"/>
        <v>2</v>
      </c>
      <c r="JK89" s="200">
        <f t="shared" si="49"/>
        <v>2</v>
      </c>
      <c r="JL89" s="200">
        <f t="shared" si="50"/>
        <v>2</v>
      </c>
      <c r="JM89" s="200">
        <f t="shared" si="51"/>
        <v>2</v>
      </c>
      <c r="JN89" s="199"/>
      <c r="JO89" s="200">
        <f t="shared" si="52"/>
        <v>5</v>
      </c>
      <c r="JP89" s="202">
        <v>4.0</v>
      </c>
      <c r="JQ89" s="202">
        <v>1.0</v>
      </c>
      <c r="JR89" s="332">
        <v>2.0</v>
      </c>
      <c r="JS89" s="202">
        <v>1.0</v>
      </c>
      <c r="JT89" s="199"/>
      <c r="JU89" s="199"/>
      <c r="JV89" s="200">
        <f t="shared" ref="JV89:JX89" si="234">IA89-JI89</f>
        <v>0</v>
      </c>
      <c r="JW89" s="200">
        <f t="shared" si="234"/>
        <v>0</v>
      </c>
      <c r="JX89" s="200">
        <f t="shared" si="234"/>
        <v>0</v>
      </c>
      <c r="JY89" s="199"/>
      <c r="JZ89" s="199"/>
      <c r="KA89" s="199"/>
      <c r="KB89" s="200">
        <f t="shared" ref="KB89:KM89" si="235">JB89-JO89</f>
        <v>0</v>
      </c>
      <c r="KC89" s="200">
        <f t="shared" si="235"/>
        <v>0</v>
      </c>
      <c r="KD89" s="200">
        <f t="shared" si="235"/>
        <v>0</v>
      </c>
      <c r="KE89" s="200">
        <f t="shared" si="235"/>
        <v>0</v>
      </c>
      <c r="KF89" s="200">
        <f t="shared" si="235"/>
        <v>0</v>
      </c>
      <c r="KG89" s="200">
        <f t="shared" si="235"/>
        <v>1</v>
      </c>
      <c r="KH89" s="200">
        <f t="shared" si="235"/>
        <v>2</v>
      </c>
      <c r="KI89" s="200">
        <f t="shared" si="235"/>
        <v>3</v>
      </c>
      <c r="KJ89" s="200">
        <f t="shared" si="235"/>
        <v>2</v>
      </c>
      <c r="KK89" s="200">
        <f t="shared" si="235"/>
        <v>2</v>
      </c>
      <c r="KL89" s="200">
        <f t="shared" si="235"/>
        <v>2</v>
      </c>
      <c r="KM89" s="200">
        <f t="shared" si="235"/>
        <v>2</v>
      </c>
      <c r="KN89" s="199"/>
      <c r="KO89" s="199"/>
      <c r="KP89" s="199"/>
      <c r="KQ89" s="199"/>
      <c r="KR89" s="199"/>
      <c r="KS89" s="199"/>
      <c r="KT89" s="199"/>
      <c r="KU89" s="199"/>
      <c r="KV89" s="199"/>
      <c r="KW89" s="199"/>
      <c r="KX89" s="199"/>
      <c r="KY89" s="199"/>
      <c r="KZ89" s="199"/>
      <c r="LA89" s="199"/>
      <c r="LB89" s="199"/>
      <c r="LC89" s="199"/>
      <c r="LD89" s="199"/>
      <c r="LE89" s="199"/>
      <c r="LF89" s="199"/>
      <c r="LG89" s="199"/>
    </row>
    <row r="90" ht="14.25" customHeight="1">
      <c r="A90" s="156">
        <v>83.0</v>
      </c>
      <c r="B90" s="157" t="s">
        <v>171</v>
      </c>
      <c r="C90" s="158">
        <v>3374060.0</v>
      </c>
      <c r="D90" s="158" t="s">
        <v>172</v>
      </c>
      <c r="E90" s="158" t="s">
        <v>180</v>
      </c>
      <c r="F90" s="159">
        <v>6.0</v>
      </c>
      <c r="G90" s="328"/>
      <c r="H90" s="160">
        <v>2.0</v>
      </c>
      <c r="I90" s="161">
        <v>0.0</v>
      </c>
      <c r="J90" s="161">
        <v>0.0</v>
      </c>
      <c r="K90" s="161">
        <v>2.0</v>
      </c>
      <c r="L90" s="161">
        <v>0.0</v>
      </c>
      <c r="M90" s="161">
        <v>0.0</v>
      </c>
      <c r="N90" s="161">
        <v>1.0</v>
      </c>
      <c r="O90" s="162">
        <f t="shared" si="213"/>
        <v>1</v>
      </c>
      <c r="P90" s="203">
        <v>1.0</v>
      </c>
      <c r="Q90" s="164">
        <v>0.0</v>
      </c>
      <c r="R90" s="164">
        <v>0.0</v>
      </c>
      <c r="S90" s="164">
        <v>1.0</v>
      </c>
      <c r="T90" s="165">
        <v>0.0</v>
      </c>
      <c r="U90" s="165">
        <v>0.0</v>
      </c>
      <c r="V90" s="165">
        <v>1.0</v>
      </c>
      <c r="W90" s="166">
        <f t="shared" si="225"/>
        <v>0</v>
      </c>
      <c r="X90" s="203">
        <v>0.0</v>
      </c>
      <c r="Y90" s="165">
        <v>0.0</v>
      </c>
      <c r="Z90" s="165">
        <v>0.0</v>
      </c>
      <c r="AA90" s="165">
        <v>0.0</v>
      </c>
      <c r="AB90" s="165">
        <v>0.0</v>
      </c>
      <c r="AC90" s="165">
        <v>0.0</v>
      </c>
      <c r="AD90" s="165">
        <v>0.0</v>
      </c>
      <c r="AE90" s="166">
        <f t="shared" si="214"/>
        <v>0</v>
      </c>
      <c r="AF90" s="167">
        <v>0.0</v>
      </c>
      <c r="AG90" s="165">
        <v>0.0</v>
      </c>
      <c r="AH90" s="165">
        <v>0.0</v>
      </c>
      <c r="AI90" s="165">
        <v>0.0</v>
      </c>
      <c r="AJ90" s="165">
        <v>0.0</v>
      </c>
      <c r="AK90" s="165">
        <v>0.0</v>
      </c>
      <c r="AL90" s="165">
        <v>0.0</v>
      </c>
      <c r="AM90" s="166">
        <f t="shared" si="215"/>
        <v>0</v>
      </c>
      <c r="AN90" s="167">
        <v>0.0</v>
      </c>
      <c r="AO90" s="165">
        <v>0.0</v>
      </c>
      <c r="AP90" s="165">
        <v>0.0</v>
      </c>
      <c r="AQ90" s="165">
        <v>0.0</v>
      </c>
      <c r="AR90" s="165">
        <v>0.0</v>
      </c>
      <c r="AS90" s="165">
        <v>0.0</v>
      </c>
      <c r="AT90" s="165">
        <v>0.0</v>
      </c>
      <c r="AU90" s="168">
        <f t="shared" si="216"/>
        <v>0</v>
      </c>
      <c r="AV90" s="169">
        <v>345.0</v>
      </c>
      <c r="AW90" s="204">
        <f t="shared" si="8"/>
        <v>0</v>
      </c>
      <c r="AX90" s="169">
        <v>0.0</v>
      </c>
      <c r="AY90" s="169">
        <v>0.0</v>
      </c>
      <c r="AZ90" s="169">
        <v>0.0</v>
      </c>
      <c r="BA90" s="169">
        <v>0.0</v>
      </c>
      <c r="BB90" s="169">
        <v>0.0</v>
      </c>
      <c r="BC90" s="169">
        <v>0.0</v>
      </c>
      <c r="BD90" s="169">
        <v>0.0</v>
      </c>
      <c r="BE90" s="169">
        <v>0.0</v>
      </c>
      <c r="BF90" s="169">
        <v>0.0</v>
      </c>
      <c r="BG90" s="169">
        <v>0.0</v>
      </c>
      <c r="BH90" s="169">
        <v>0.0</v>
      </c>
      <c r="BI90" s="169">
        <v>0.0</v>
      </c>
      <c r="BJ90" s="169">
        <v>0.0</v>
      </c>
      <c r="BK90" s="169">
        <v>0.0</v>
      </c>
      <c r="BL90" s="169">
        <v>0.0</v>
      </c>
      <c r="BM90" s="169">
        <v>0.0</v>
      </c>
      <c r="BN90" s="169">
        <v>0.0</v>
      </c>
      <c r="BO90" s="169">
        <v>0.0</v>
      </c>
      <c r="BP90" s="205">
        <f t="shared" si="131"/>
        <v>0</v>
      </c>
      <c r="BQ90" s="173">
        <v>333.0</v>
      </c>
      <c r="BR90" s="170">
        <f t="shared" si="10"/>
        <v>0</v>
      </c>
      <c r="BS90" s="173">
        <v>0.0</v>
      </c>
      <c r="BT90" s="173">
        <v>0.0</v>
      </c>
      <c r="BU90" s="173">
        <v>0.0</v>
      </c>
      <c r="BV90" s="173">
        <v>0.0</v>
      </c>
      <c r="BW90" s="173">
        <v>0.0</v>
      </c>
      <c r="BX90" s="173">
        <v>0.0</v>
      </c>
      <c r="BY90" s="173">
        <v>0.0</v>
      </c>
      <c r="BZ90" s="173">
        <v>0.0</v>
      </c>
      <c r="CA90" s="173">
        <v>0.0</v>
      </c>
      <c r="CB90" s="173">
        <v>0.0</v>
      </c>
      <c r="CC90" s="173">
        <v>0.0</v>
      </c>
      <c r="CD90" s="173">
        <v>0.0</v>
      </c>
      <c r="CE90" s="173">
        <v>0.0</v>
      </c>
      <c r="CF90" s="173">
        <v>0.0</v>
      </c>
      <c r="CG90" s="173">
        <v>0.0</v>
      </c>
      <c r="CH90" s="173">
        <v>0.0</v>
      </c>
      <c r="CI90" s="173">
        <v>0.0</v>
      </c>
      <c r="CJ90" s="173">
        <v>0.0</v>
      </c>
      <c r="CK90" s="172">
        <f t="shared" si="132"/>
        <v>0</v>
      </c>
      <c r="CL90" s="173">
        <v>313.0</v>
      </c>
      <c r="CM90" s="173">
        <v>56.0</v>
      </c>
      <c r="CN90" s="175">
        <f t="shared" si="12"/>
        <v>0</v>
      </c>
      <c r="CO90" s="173">
        <v>0.0</v>
      </c>
      <c r="CP90" s="173">
        <v>0.0</v>
      </c>
      <c r="CQ90" s="173">
        <v>0.0</v>
      </c>
      <c r="CR90" s="173">
        <v>0.0</v>
      </c>
      <c r="CS90" s="173">
        <v>0.0</v>
      </c>
      <c r="CT90" s="173">
        <v>0.0</v>
      </c>
      <c r="CU90" s="173">
        <v>0.0</v>
      </c>
      <c r="CV90" s="173">
        <v>0.0</v>
      </c>
      <c r="CW90" s="173">
        <v>0.0</v>
      </c>
      <c r="CX90" s="173">
        <v>0.0</v>
      </c>
      <c r="CY90" s="173">
        <v>0.0</v>
      </c>
      <c r="CZ90" s="173">
        <v>0.0</v>
      </c>
      <c r="DA90" s="173">
        <v>0.0</v>
      </c>
      <c r="DB90" s="173">
        <v>0.0</v>
      </c>
      <c r="DC90" s="173">
        <v>0.0</v>
      </c>
      <c r="DD90" s="173">
        <v>0.0</v>
      </c>
      <c r="DE90" s="173">
        <v>0.0</v>
      </c>
      <c r="DF90" s="173">
        <v>0.0</v>
      </c>
      <c r="DG90" s="176">
        <f t="shared" si="13"/>
        <v>0</v>
      </c>
      <c r="DH90" s="177">
        <v>287.0</v>
      </c>
      <c r="DI90" s="177">
        <v>57.0</v>
      </c>
      <c r="DJ90" s="177">
        <v>287.0</v>
      </c>
      <c r="DK90" s="178">
        <v>56.0</v>
      </c>
      <c r="DL90" s="179">
        <f t="shared" si="14"/>
        <v>0</v>
      </c>
      <c r="DM90" s="180">
        <f t="shared" si="15"/>
        <v>0</v>
      </c>
      <c r="DN90" s="180">
        <f t="shared" si="16"/>
        <v>0</v>
      </c>
      <c r="DO90" s="177">
        <v>0.0</v>
      </c>
      <c r="DP90" s="177">
        <v>0.0</v>
      </c>
      <c r="DQ90" s="177">
        <v>0.0</v>
      </c>
      <c r="DR90" s="177">
        <v>0.0</v>
      </c>
      <c r="DS90" s="177">
        <v>0.0</v>
      </c>
      <c r="DT90" s="177">
        <v>0.0</v>
      </c>
      <c r="DU90" s="177">
        <v>0.0</v>
      </c>
      <c r="DV90" s="177">
        <v>0.0</v>
      </c>
      <c r="DW90" s="177">
        <v>0.0</v>
      </c>
      <c r="DX90" s="177">
        <v>0.0</v>
      </c>
      <c r="DY90" s="177">
        <v>0.0</v>
      </c>
      <c r="DZ90" s="177">
        <v>0.0</v>
      </c>
      <c r="EA90" s="177">
        <v>0.0</v>
      </c>
      <c r="EB90" s="177">
        <v>0.0</v>
      </c>
      <c r="EC90" s="177">
        <v>0.0</v>
      </c>
      <c r="ED90" s="177">
        <v>0.0</v>
      </c>
      <c r="EE90" s="177">
        <v>0.0</v>
      </c>
      <c r="EF90" s="177">
        <v>0.0</v>
      </c>
      <c r="EG90" s="179">
        <f t="shared" si="17"/>
        <v>0</v>
      </c>
      <c r="EH90" s="179">
        <f t="shared" si="18"/>
        <v>0</v>
      </c>
      <c r="EI90" s="177">
        <v>287.0</v>
      </c>
      <c r="EJ90" s="177">
        <v>57.0</v>
      </c>
      <c r="EK90" s="178">
        <v>287.0</v>
      </c>
      <c r="EL90" s="178">
        <v>57.0</v>
      </c>
      <c r="EM90" s="185">
        <f t="shared" si="196"/>
        <v>0</v>
      </c>
      <c r="EN90" s="186">
        <f t="shared" si="202"/>
        <v>0</v>
      </c>
      <c r="EO90" s="186">
        <f t="shared" si="90"/>
        <v>0</v>
      </c>
      <c r="EP90" s="177">
        <v>0.0</v>
      </c>
      <c r="EQ90" s="177">
        <v>0.0</v>
      </c>
      <c r="ER90" s="177">
        <v>0.0</v>
      </c>
      <c r="ES90" s="177">
        <v>0.0</v>
      </c>
      <c r="ET90" s="177">
        <v>0.0</v>
      </c>
      <c r="EU90" s="177">
        <v>0.0</v>
      </c>
      <c r="EV90" s="177">
        <v>0.0</v>
      </c>
      <c r="EW90" s="177">
        <v>0.0</v>
      </c>
      <c r="EX90" s="177">
        <v>0.0</v>
      </c>
      <c r="EY90" s="177">
        <v>0.0</v>
      </c>
      <c r="EZ90" s="177">
        <v>0.0</v>
      </c>
      <c r="FA90" s="177">
        <v>0.0</v>
      </c>
      <c r="FB90" s="177">
        <v>0.0</v>
      </c>
      <c r="FC90" s="177">
        <v>0.0</v>
      </c>
      <c r="FD90" s="177">
        <v>0.0</v>
      </c>
      <c r="FE90" s="177">
        <v>0.0</v>
      </c>
      <c r="FF90" s="177">
        <v>0.0</v>
      </c>
      <c r="FG90" s="177">
        <v>0.0</v>
      </c>
      <c r="FH90" s="185">
        <f t="shared" si="22"/>
        <v>0</v>
      </c>
      <c r="FI90" s="185">
        <f t="shared" si="23"/>
        <v>0</v>
      </c>
      <c r="FJ90" s="177">
        <v>285.0</v>
      </c>
      <c r="FK90" s="177">
        <v>55.0</v>
      </c>
      <c r="FL90" s="177">
        <v>285.0</v>
      </c>
      <c r="FM90" s="177">
        <v>55.0</v>
      </c>
      <c r="FN90" s="180"/>
      <c r="FO90" s="180">
        <v>0.0</v>
      </c>
      <c r="FP90" s="188">
        <f t="shared" si="197"/>
        <v>0</v>
      </c>
      <c r="FQ90" s="211">
        <v>0.0</v>
      </c>
      <c r="FR90" s="212">
        <v>0.0</v>
      </c>
      <c r="FS90" s="206">
        <v>0.0</v>
      </c>
      <c r="FT90" s="207">
        <v>0.0</v>
      </c>
      <c r="FU90" s="207">
        <v>0.0</v>
      </c>
      <c r="FV90" s="207">
        <v>0.0</v>
      </c>
      <c r="FW90" s="207">
        <v>0.0</v>
      </c>
      <c r="FX90" s="207">
        <v>0.0</v>
      </c>
      <c r="FY90" s="207">
        <v>0.0</v>
      </c>
      <c r="FZ90" s="207">
        <v>0.0</v>
      </c>
      <c r="GA90" s="207">
        <v>0.0</v>
      </c>
      <c r="GB90" s="207">
        <v>0.0</v>
      </c>
      <c r="GC90" s="207">
        <v>0.0</v>
      </c>
      <c r="GD90" s="207">
        <v>0.0</v>
      </c>
      <c r="GE90" s="207">
        <v>0.0</v>
      </c>
      <c r="GF90" s="207">
        <v>0.0</v>
      </c>
      <c r="GG90" s="207">
        <v>0.0</v>
      </c>
      <c r="GH90" s="207">
        <v>0.0</v>
      </c>
      <c r="GI90" s="207">
        <v>0.0</v>
      </c>
      <c r="GJ90" s="207">
        <v>0.0</v>
      </c>
      <c r="GK90" s="212">
        <v>0.0</v>
      </c>
      <c r="GL90" s="212">
        <v>0.0</v>
      </c>
      <c r="GM90" s="207">
        <v>280.0</v>
      </c>
      <c r="GN90" s="207">
        <v>79.0</v>
      </c>
      <c r="GO90" s="213">
        <v>280.0</v>
      </c>
      <c r="GP90" s="213">
        <v>79.0</v>
      </c>
      <c r="GQ90" s="207"/>
      <c r="GR90" s="213">
        <v>0.0</v>
      </c>
      <c r="GS90" s="193">
        <v>0.0</v>
      </c>
      <c r="GT90" s="194">
        <f t="shared" si="25"/>
        <v>0</v>
      </c>
      <c r="GU90" s="194">
        <f t="shared" si="26"/>
        <v>0</v>
      </c>
      <c r="GV90" s="194">
        <f t="shared" si="27"/>
        <v>0</v>
      </c>
      <c r="GW90" s="207">
        <v>0.0</v>
      </c>
      <c r="GX90" s="207">
        <v>0.0</v>
      </c>
      <c r="GY90" s="207">
        <v>0.0</v>
      </c>
      <c r="GZ90" s="207">
        <v>0.0</v>
      </c>
      <c r="HA90" s="207">
        <v>0.0</v>
      </c>
      <c r="HB90" s="207">
        <v>0.0</v>
      </c>
      <c r="HC90" s="207">
        <v>0.0</v>
      </c>
      <c r="HD90" s="207">
        <v>0.0</v>
      </c>
      <c r="HE90" s="207">
        <v>0.0</v>
      </c>
      <c r="HF90" s="207">
        <v>0.0</v>
      </c>
      <c r="HG90" s="207">
        <v>0.0</v>
      </c>
      <c r="HH90" s="207">
        <v>0.0</v>
      </c>
      <c r="HI90" s="207">
        <v>0.0</v>
      </c>
      <c r="HJ90" s="207">
        <v>0.0</v>
      </c>
      <c r="HK90" s="207">
        <v>0.0</v>
      </c>
      <c r="HL90" s="207">
        <v>0.0</v>
      </c>
      <c r="HM90" s="207">
        <v>0.0</v>
      </c>
      <c r="HN90" s="207">
        <v>0.0</v>
      </c>
      <c r="HO90" s="222">
        <v>0.0</v>
      </c>
      <c r="HP90" s="222">
        <v>0.0</v>
      </c>
      <c r="HQ90" s="214"/>
      <c r="HR90" s="197"/>
      <c r="HS90" s="197"/>
      <c r="HT90" s="198">
        <f t="shared" si="28"/>
        <v>2</v>
      </c>
      <c r="HU90" s="198">
        <f t="shared" si="29"/>
        <v>1</v>
      </c>
      <c r="HV90" s="198">
        <f t="shared" si="30"/>
        <v>0</v>
      </c>
      <c r="HW90" s="198">
        <f t="shared" si="99"/>
        <v>0</v>
      </c>
      <c r="HX90" s="198">
        <f t="shared" si="32"/>
        <v>0</v>
      </c>
      <c r="HY90" s="198">
        <f t="shared" si="33"/>
        <v>0</v>
      </c>
      <c r="HZ90" s="198">
        <f t="shared" si="34"/>
        <v>0</v>
      </c>
      <c r="IA90" s="198">
        <f t="shared" si="35"/>
        <v>0</v>
      </c>
      <c r="IB90" s="198">
        <f t="shared" si="36"/>
        <v>0</v>
      </c>
      <c r="IC90" s="198">
        <f t="shared" si="37"/>
        <v>0</v>
      </c>
      <c r="ID90" s="198">
        <f t="shared" si="38"/>
        <v>0</v>
      </c>
      <c r="IE90" s="198">
        <f t="shared" si="39"/>
        <v>0</v>
      </c>
      <c r="IF90" s="197"/>
      <c r="IG90" s="197"/>
      <c r="IH90" s="197"/>
      <c r="II90" s="197"/>
      <c r="IJ90" s="197"/>
      <c r="IK90" s="197"/>
      <c r="IL90" s="197"/>
      <c r="IM90" s="197"/>
      <c r="IN90" s="197"/>
      <c r="IO90" s="197"/>
      <c r="IP90" s="197"/>
      <c r="IQ90" s="197"/>
      <c r="IR90" s="197"/>
      <c r="IS90" s="197"/>
      <c r="IT90" s="197"/>
      <c r="IU90" s="197"/>
      <c r="IV90" s="197"/>
      <c r="IW90" s="197"/>
      <c r="IX90" s="197"/>
      <c r="IY90" s="197"/>
      <c r="IZ90" s="197"/>
      <c r="JA90" s="199"/>
      <c r="JB90" s="200">
        <f t="shared" si="40"/>
        <v>2</v>
      </c>
      <c r="JC90" s="200">
        <f t="shared" si="41"/>
        <v>1</v>
      </c>
      <c r="JD90" s="200">
        <f t="shared" si="42"/>
        <v>0</v>
      </c>
      <c r="JE90" s="200">
        <f t="shared" si="43"/>
        <v>0</v>
      </c>
      <c r="JF90" s="200">
        <f t="shared" si="44"/>
        <v>0</v>
      </c>
      <c r="JG90" s="200">
        <f t="shared" si="45"/>
        <v>0</v>
      </c>
      <c r="JH90" s="200">
        <f t="shared" si="46"/>
        <v>0</v>
      </c>
      <c r="JI90" s="200">
        <f t="shared" si="47"/>
        <v>0</v>
      </c>
      <c r="JJ90" s="200">
        <f t="shared" si="48"/>
        <v>0</v>
      </c>
      <c r="JK90" s="200">
        <f t="shared" si="49"/>
        <v>0</v>
      </c>
      <c r="JL90" s="200">
        <f t="shared" si="50"/>
        <v>0</v>
      </c>
      <c r="JM90" s="200">
        <f t="shared" si="51"/>
        <v>0</v>
      </c>
      <c r="JN90" s="199"/>
      <c r="JO90" s="200">
        <f t="shared" si="52"/>
        <v>2</v>
      </c>
      <c r="JP90" s="202">
        <v>1.0</v>
      </c>
      <c r="JQ90" s="202">
        <v>0.0</v>
      </c>
      <c r="JR90" s="202">
        <v>0.0</v>
      </c>
      <c r="JS90" s="202">
        <v>0.0</v>
      </c>
      <c r="JT90" s="199"/>
      <c r="JU90" s="199"/>
      <c r="JV90" s="200">
        <f t="shared" ref="JV90:JX90" si="236">IA90-JI90</f>
        <v>0</v>
      </c>
      <c r="JW90" s="200">
        <f t="shared" si="236"/>
        <v>0</v>
      </c>
      <c r="JX90" s="200">
        <f t="shared" si="236"/>
        <v>0</v>
      </c>
      <c r="JY90" s="199"/>
      <c r="JZ90" s="199"/>
      <c r="KA90" s="199"/>
      <c r="KB90" s="200">
        <f t="shared" ref="KB90:KM90" si="237">JB90-JO90</f>
        <v>0</v>
      </c>
      <c r="KC90" s="200">
        <f t="shared" si="237"/>
        <v>0</v>
      </c>
      <c r="KD90" s="200">
        <f t="shared" si="237"/>
        <v>0</v>
      </c>
      <c r="KE90" s="200">
        <f t="shared" si="237"/>
        <v>0</v>
      </c>
      <c r="KF90" s="200">
        <f t="shared" si="237"/>
        <v>0</v>
      </c>
      <c r="KG90" s="200">
        <f t="shared" si="237"/>
        <v>0</v>
      </c>
      <c r="KH90" s="200">
        <f t="shared" si="237"/>
        <v>0</v>
      </c>
      <c r="KI90" s="200">
        <f t="shared" si="237"/>
        <v>0</v>
      </c>
      <c r="KJ90" s="200">
        <f t="shared" si="237"/>
        <v>0</v>
      </c>
      <c r="KK90" s="200">
        <f t="shared" si="237"/>
        <v>0</v>
      </c>
      <c r="KL90" s="200">
        <f t="shared" si="237"/>
        <v>0</v>
      </c>
      <c r="KM90" s="200">
        <f t="shared" si="237"/>
        <v>0</v>
      </c>
      <c r="KN90" s="199"/>
      <c r="KO90" s="199"/>
      <c r="KP90" s="199"/>
      <c r="KQ90" s="199"/>
      <c r="KR90" s="199"/>
      <c r="KS90" s="199"/>
      <c r="KT90" s="199"/>
      <c r="KU90" s="199"/>
      <c r="KV90" s="199"/>
      <c r="KW90" s="199"/>
      <c r="KX90" s="199"/>
      <c r="KY90" s="199"/>
      <c r="KZ90" s="199"/>
      <c r="LA90" s="199"/>
      <c r="LB90" s="199"/>
      <c r="LC90" s="199"/>
      <c r="LD90" s="199"/>
      <c r="LE90" s="199"/>
      <c r="LF90" s="199"/>
      <c r="LG90" s="199"/>
    </row>
    <row r="91" ht="14.25" customHeight="1">
      <c r="A91" s="156">
        <v>84.0</v>
      </c>
      <c r="B91" s="157" t="s">
        <v>181</v>
      </c>
      <c r="C91" s="158">
        <v>3374040.0</v>
      </c>
      <c r="D91" s="158" t="s">
        <v>182</v>
      </c>
      <c r="E91" s="158" t="s">
        <v>183</v>
      </c>
      <c r="F91" s="159">
        <v>6.0</v>
      </c>
      <c r="G91" s="2">
        <v>229.0</v>
      </c>
      <c r="H91" s="333">
        <v>6.0</v>
      </c>
      <c r="I91" s="161">
        <v>0.0</v>
      </c>
      <c r="J91" s="161">
        <v>0.0</v>
      </c>
      <c r="K91" s="161">
        <v>1.0</v>
      </c>
      <c r="L91" s="159">
        <v>5.0</v>
      </c>
      <c r="M91" s="161">
        <v>0.0</v>
      </c>
      <c r="N91" s="161">
        <v>0.0</v>
      </c>
      <c r="O91" s="162">
        <f t="shared" si="213"/>
        <v>6</v>
      </c>
      <c r="P91" s="203">
        <v>6.0</v>
      </c>
      <c r="Q91" s="164">
        <v>0.0</v>
      </c>
      <c r="R91" s="164">
        <v>0.0</v>
      </c>
      <c r="S91" s="164">
        <v>1.0</v>
      </c>
      <c r="T91" s="165">
        <v>5.0</v>
      </c>
      <c r="U91" s="165">
        <v>0.0</v>
      </c>
      <c r="V91" s="165">
        <v>0.0</v>
      </c>
      <c r="W91" s="166">
        <f t="shared" si="225"/>
        <v>6</v>
      </c>
      <c r="X91" s="203">
        <v>8.0</v>
      </c>
      <c r="Y91" s="165">
        <v>0.0</v>
      </c>
      <c r="Z91" s="165"/>
      <c r="AA91" s="165">
        <v>1.0</v>
      </c>
      <c r="AB91" s="165">
        <v>7.0</v>
      </c>
      <c r="AC91" s="165">
        <v>2.0</v>
      </c>
      <c r="AD91" s="165">
        <v>0.0</v>
      </c>
      <c r="AE91" s="166">
        <f t="shared" si="214"/>
        <v>6</v>
      </c>
      <c r="AF91" s="167">
        <v>11.0</v>
      </c>
      <c r="AG91" s="165">
        <v>0.0</v>
      </c>
      <c r="AH91" s="165">
        <v>2.0</v>
      </c>
      <c r="AI91" s="165">
        <v>2.0</v>
      </c>
      <c r="AJ91" s="165">
        <v>7.0</v>
      </c>
      <c r="AK91" s="165">
        <v>0.0</v>
      </c>
      <c r="AL91" s="165">
        <v>1.0</v>
      </c>
      <c r="AM91" s="166">
        <f t="shared" si="215"/>
        <v>10</v>
      </c>
      <c r="AN91" s="167">
        <v>2.0</v>
      </c>
      <c r="AO91" s="165">
        <v>0.0</v>
      </c>
      <c r="AP91" s="165">
        <v>1.0</v>
      </c>
      <c r="AQ91" s="165">
        <v>0.0</v>
      </c>
      <c r="AR91" s="165">
        <v>1.0</v>
      </c>
      <c r="AS91" s="165">
        <v>0.0</v>
      </c>
      <c r="AT91" s="165">
        <v>1.0</v>
      </c>
      <c r="AU91" s="168">
        <f t="shared" si="216"/>
        <v>1</v>
      </c>
      <c r="AV91" s="169">
        <v>249.0</v>
      </c>
      <c r="AW91" s="204">
        <f t="shared" si="8"/>
        <v>10</v>
      </c>
      <c r="AX91" s="197"/>
      <c r="AY91" s="197"/>
      <c r="AZ91" s="169">
        <v>1.0</v>
      </c>
      <c r="BA91" s="169">
        <v>9.0</v>
      </c>
      <c r="BB91" s="197"/>
      <c r="BC91" s="197"/>
      <c r="BD91" s="197"/>
      <c r="BE91" s="197"/>
      <c r="BF91" s="197"/>
      <c r="BG91" s="197"/>
      <c r="BH91" s="197"/>
      <c r="BI91" s="197"/>
      <c r="BJ91" s="197"/>
      <c r="BK91" s="197"/>
      <c r="BL91" s="197"/>
      <c r="BM91" s="197"/>
      <c r="BN91" s="197"/>
      <c r="BO91" s="197"/>
      <c r="BP91" s="205">
        <f t="shared" si="131"/>
        <v>0</v>
      </c>
      <c r="BQ91" s="173">
        <v>206.0</v>
      </c>
      <c r="BR91" s="170">
        <f t="shared" si="10"/>
        <v>7</v>
      </c>
      <c r="BS91" s="173">
        <v>0.0</v>
      </c>
      <c r="BT91" s="173">
        <v>0.0</v>
      </c>
      <c r="BU91" s="173">
        <v>0.0</v>
      </c>
      <c r="BV91" s="173">
        <v>7.0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172">
        <f t="shared" si="132"/>
        <v>0</v>
      </c>
      <c r="CL91" s="173">
        <v>239.0</v>
      </c>
      <c r="CM91" s="173">
        <v>105.0</v>
      </c>
      <c r="CN91" s="175">
        <f t="shared" si="12"/>
        <v>8</v>
      </c>
      <c r="CO91" s="173">
        <v>0.0</v>
      </c>
      <c r="CP91" s="173">
        <v>0.0</v>
      </c>
      <c r="CQ91" s="173">
        <v>0.0</v>
      </c>
      <c r="CR91" s="173">
        <v>7.0</v>
      </c>
      <c r="CS91" s="6"/>
      <c r="CT91" s="173">
        <v>1.0</v>
      </c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176">
        <f t="shared" si="13"/>
        <v>0</v>
      </c>
      <c r="DH91" s="177">
        <v>241.0</v>
      </c>
      <c r="DI91" s="177">
        <v>84.0</v>
      </c>
      <c r="DJ91" s="178">
        <v>208.0</v>
      </c>
      <c r="DK91" s="178">
        <v>84.0</v>
      </c>
      <c r="DL91" s="179">
        <f t="shared" si="14"/>
        <v>9</v>
      </c>
      <c r="DM91" s="180">
        <f t="shared" si="15"/>
        <v>1</v>
      </c>
      <c r="DN91" s="180">
        <f t="shared" si="16"/>
        <v>8</v>
      </c>
      <c r="DO91" s="177">
        <v>0.0</v>
      </c>
      <c r="DP91" s="177">
        <v>1.0</v>
      </c>
      <c r="DQ91" s="177">
        <v>0.0</v>
      </c>
      <c r="DR91" s="177">
        <v>7.0</v>
      </c>
      <c r="DS91" s="177">
        <v>0.0</v>
      </c>
      <c r="DT91" s="177">
        <v>0.0</v>
      </c>
      <c r="DU91" s="177">
        <v>0.0</v>
      </c>
      <c r="DV91" s="177">
        <v>1.0</v>
      </c>
      <c r="DW91" s="177">
        <v>0.0</v>
      </c>
      <c r="DX91" s="177">
        <v>0.0</v>
      </c>
      <c r="DY91" s="177">
        <v>0.0</v>
      </c>
      <c r="DZ91" s="177">
        <v>0.0</v>
      </c>
      <c r="EA91" s="177">
        <v>0.0</v>
      </c>
      <c r="EB91" s="177">
        <v>0.0</v>
      </c>
      <c r="EC91" s="177">
        <v>0.0</v>
      </c>
      <c r="ED91" s="177">
        <v>0.0</v>
      </c>
      <c r="EE91" s="177">
        <v>0.0</v>
      </c>
      <c r="EF91" s="177">
        <v>0.0</v>
      </c>
      <c r="EG91" s="179">
        <f t="shared" si="17"/>
        <v>0</v>
      </c>
      <c r="EH91" s="179">
        <f t="shared" si="18"/>
        <v>0</v>
      </c>
      <c r="EI91" s="177">
        <v>242.0</v>
      </c>
      <c r="EJ91" s="177">
        <v>82.0</v>
      </c>
      <c r="EK91" s="178">
        <v>224.0</v>
      </c>
      <c r="EL91" s="178">
        <v>71.0</v>
      </c>
      <c r="EM91" s="185">
        <f t="shared" si="196"/>
        <v>10</v>
      </c>
      <c r="EN91" s="186">
        <f t="shared" si="202"/>
        <v>1</v>
      </c>
      <c r="EO91" s="186">
        <f t="shared" si="90"/>
        <v>9</v>
      </c>
      <c r="EP91" s="227"/>
      <c r="EQ91" s="177">
        <v>1.0</v>
      </c>
      <c r="ER91" s="227"/>
      <c r="ES91" s="177">
        <v>8.0</v>
      </c>
      <c r="ET91" s="227"/>
      <c r="EU91" s="227"/>
      <c r="EV91" s="227"/>
      <c r="EW91" s="177">
        <v>1.0</v>
      </c>
      <c r="EX91" s="227"/>
      <c r="EY91" s="227"/>
      <c r="EZ91" s="227"/>
      <c r="FA91" s="227"/>
      <c r="FB91" s="227"/>
      <c r="FC91" s="227"/>
      <c r="FD91" s="227"/>
      <c r="FE91" s="227"/>
      <c r="FF91" s="227"/>
      <c r="FG91" s="227"/>
      <c r="FH91" s="185">
        <f t="shared" si="22"/>
        <v>0</v>
      </c>
      <c r="FI91" s="185">
        <f t="shared" si="23"/>
        <v>0</v>
      </c>
      <c r="FJ91" s="276">
        <v>238.0</v>
      </c>
      <c r="FK91" s="277">
        <v>80.0</v>
      </c>
      <c r="FL91" s="277">
        <v>227.0</v>
      </c>
      <c r="FM91" s="277">
        <v>74.0</v>
      </c>
      <c r="FN91" s="334"/>
      <c r="FO91" s="334">
        <v>8.0</v>
      </c>
      <c r="FP91" s="188">
        <f t="shared" si="197"/>
        <v>8</v>
      </c>
      <c r="FQ91" s="211">
        <v>1.0</v>
      </c>
      <c r="FR91" s="212">
        <v>7.0</v>
      </c>
      <c r="FS91" s="335"/>
      <c r="FT91" s="293"/>
      <c r="FU91" s="207">
        <v>1.0</v>
      </c>
      <c r="FV91" s="207">
        <v>7.0</v>
      </c>
      <c r="FW91" s="293"/>
      <c r="FX91" s="293"/>
      <c r="FY91" s="293"/>
      <c r="FZ91" s="293"/>
      <c r="GA91" s="293"/>
      <c r="GB91" s="293"/>
      <c r="GC91" s="293"/>
      <c r="GD91" s="293"/>
      <c r="GE91" s="293"/>
      <c r="GF91" s="293"/>
      <c r="GG91" s="293"/>
      <c r="GH91" s="293"/>
      <c r="GI91" s="293"/>
      <c r="GJ91" s="293"/>
      <c r="GK91" s="212">
        <v>0.0</v>
      </c>
      <c r="GL91" s="212">
        <v>0.0</v>
      </c>
      <c r="GM91" s="207">
        <v>235.0</v>
      </c>
      <c r="GN91" s="207">
        <v>76.0</v>
      </c>
      <c r="GO91" s="213">
        <v>226.0</v>
      </c>
      <c r="GP91" s="213">
        <v>71.0</v>
      </c>
      <c r="GQ91" s="207"/>
      <c r="GR91" s="213">
        <v>8.0</v>
      </c>
      <c r="GS91" s="193">
        <v>1.0</v>
      </c>
      <c r="GT91" s="194">
        <f t="shared" si="25"/>
        <v>8</v>
      </c>
      <c r="GU91" s="194">
        <f t="shared" si="26"/>
        <v>1</v>
      </c>
      <c r="GV91" s="194">
        <f t="shared" si="27"/>
        <v>7</v>
      </c>
      <c r="GW91" s="207"/>
      <c r="GX91" s="207"/>
      <c r="GY91" s="207">
        <v>1.0</v>
      </c>
      <c r="GZ91" s="207">
        <v>7.0</v>
      </c>
      <c r="HA91" s="207"/>
      <c r="HB91" s="207"/>
      <c r="HC91" s="207"/>
      <c r="HD91" s="207"/>
      <c r="HE91" s="207"/>
      <c r="HF91" s="207"/>
      <c r="HG91" s="207"/>
      <c r="HH91" s="207"/>
      <c r="HI91" s="207"/>
      <c r="HJ91" s="207"/>
      <c r="HK91" s="207"/>
      <c r="HL91" s="207"/>
      <c r="HM91" s="207"/>
      <c r="HN91" s="207"/>
      <c r="HO91" s="222"/>
      <c r="HP91" s="222"/>
      <c r="HQ91" s="214"/>
      <c r="HR91" s="197"/>
      <c r="HS91" s="197"/>
      <c r="HT91" s="198">
        <f t="shared" si="28"/>
        <v>6</v>
      </c>
      <c r="HU91" s="198">
        <f t="shared" si="29"/>
        <v>6</v>
      </c>
      <c r="HV91" s="198">
        <f t="shared" si="30"/>
        <v>8</v>
      </c>
      <c r="HW91" s="198">
        <f t="shared" si="99"/>
        <v>11</v>
      </c>
      <c r="HX91" s="198">
        <f t="shared" si="32"/>
        <v>2</v>
      </c>
      <c r="HY91" s="198">
        <f t="shared" si="33"/>
        <v>10</v>
      </c>
      <c r="HZ91" s="198">
        <f t="shared" si="34"/>
        <v>7</v>
      </c>
      <c r="IA91" s="198">
        <f t="shared" si="35"/>
        <v>8</v>
      </c>
      <c r="IB91" s="198">
        <f t="shared" si="36"/>
        <v>9</v>
      </c>
      <c r="IC91" s="198">
        <f t="shared" si="37"/>
        <v>10</v>
      </c>
      <c r="ID91" s="198">
        <f t="shared" si="38"/>
        <v>8</v>
      </c>
      <c r="IE91" s="198">
        <f t="shared" si="39"/>
        <v>8</v>
      </c>
      <c r="IF91" s="197"/>
      <c r="IG91" s="197"/>
      <c r="IH91" s="197"/>
      <c r="II91" s="197"/>
      <c r="IJ91" s="197"/>
      <c r="IK91" s="197"/>
      <c r="IL91" s="197"/>
      <c r="IM91" s="197"/>
      <c r="IN91" s="197"/>
      <c r="IO91" s="197"/>
      <c r="IP91" s="197"/>
      <c r="IQ91" s="197"/>
      <c r="IR91" s="197"/>
      <c r="IS91" s="197"/>
      <c r="IT91" s="197"/>
      <c r="IU91" s="197"/>
      <c r="IV91" s="197"/>
      <c r="IW91" s="197"/>
      <c r="IX91" s="197"/>
      <c r="IY91" s="197"/>
      <c r="IZ91" s="197"/>
      <c r="JA91" s="199"/>
      <c r="JB91" s="200">
        <f t="shared" si="40"/>
        <v>6</v>
      </c>
      <c r="JC91" s="200">
        <f t="shared" si="41"/>
        <v>6</v>
      </c>
      <c r="JD91" s="200">
        <f t="shared" si="42"/>
        <v>8</v>
      </c>
      <c r="JE91" s="200">
        <f t="shared" si="43"/>
        <v>11</v>
      </c>
      <c r="JF91" s="200">
        <f t="shared" si="44"/>
        <v>2</v>
      </c>
      <c r="JG91" s="200">
        <f t="shared" si="45"/>
        <v>10</v>
      </c>
      <c r="JH91" s="200">
        <f t="shared" si="46"/>
        <v>7</v>
      </c>
      <c r="JI91" s="200">
        <f t="shared" si="47"/>
        <v>8</v>
      </c>
      <c r="JJ91" s="200">
        <f t="shared" si="48"/>
        <v>9</v>
      </c>
      <c r="JK91" s="200">
        <f t="shared" si="49"/>
        <v>10</v>
      </c>
      <c r="JL91" s="200">
        <f t="shared" si="50"/>
        <v>8</v>
      </c>
      <c r="JM91" s="200">
        <f t="shared" si="51"/>
        <v>8</v>
      </c>
      <c r="JN91" s="199"/>
      <c r="JO91" s="200">
        <f t="shared" si="52"/>
        <v>6</v>
      </c>
      <c r="JP91" s="202">
        <v>6.0</v>
      </c>
      <c r="JQ91" s="202">
        <v>8.0</v>
      </c>
      <c r="JR91" s="202">
        <v>11.0</v>
      </c>
      <c r="JS91" s="202">
        <v>2.0</v>
      </c>
      <c r="JT91" s="199"/>
      <c r="JU91" s="199"/>
      <c r="JV91" s="200">
        <f t="shared" ref="JV91:JX91" si="238">IA91-JI91</f>
        <v>0</v>
      </c>
      <c r="JW91" s="200">
        <f t="shared" si="238"/>
        <v>0</v>
      </c>
      <c r="JX91" s="200">
        <f t="shared" si="238"/>
        <v>0</v>
      </c>
      <c r="JY91" s="199"/>
      <c r="JZ91" s="199"/>
      <c r="KA91" s="199"/>
      <c r="KB91" s="200">
        <f t="shared" ref="KB91:KM91" si="239">JB91-JO91</f>
        <v>0</v>
      </c>
      <c r="KC91" s="200">
        <f t="shared" si="239"/>
        <v>0</v>
      </c>
      <c r="KD91" s="200">
        <f t="shared" si="239"/>
        <v>0</v>
      </c>
      <c r="KE91" s="200">
        <f t="shared" si="239"/>
        <v>0</v>
      </c>
      <c r="KF91" s="200">
        <f t="shared" si="239"/>
        <v>0</v>
      </c>
      <c r="KG91" s="200">
        <f t="shared" si="239"/>
        <v>10</v>
      </c>
      <c r="KH91" s="200">
        <f t="shared" si="239"/>
        <v>7</v>
      </c>
      <c r="KI91" s="200">
        <f t="shared" si="239"/>
        <v>8</v>
      </c>
      <c r="KJ91" s="200">
        <f t="shared" si="239"/>
        <v>9</v>
      </c>
      <c r="KK91" s="200">
        <f t="shared" si="239"/>
        <v>10</v>
      </c>
      <c r="KL91" s="200">
        <f t="shared" si="239"/>
        <v>8</v>
      </c>
      <c r="KM91" s="200">
        <f t="shared" si="239"/>
        <v>8</v>
      </c>
      <c r="KN91" s="199"/>
      <c r="KO91" s="199"/>
      <c r="KP91" s="199"/>
      <c r="KQ91" s="199"/>
      <c r="KR91" s="199"/>
      <c r="KS91" s="199"/>
      <c r="KT91" s="199"/>
      <c r="KU91" s="199"/>
      <c r="KV91" s="199"/>
      <c r="KW91" s="199"/>
      <c r="KX91" s="199"/>
      <c r="KY91" s="199"/>
      <c r="KZ91" s="199"/>
      <c r="LA91" s="199"/>
      <c r="LB91" s="199"/>
      <c r="LC91" s="199"/>
      <c r="LD91" s="199"/>
      <c r="LE91" s="199"/>
      <c r="LF91" s="199"/>
      <c r="LG91" s="199"/>
    </row>
    <row r="92" ht="14.25" customHeight="1">
      <c r="A92" s="156">
        <v>85.0</v>
      </c>
      <c r="B92" s="157" t="s">
        <v>181</v>
      </c>
      <c r="C92" s="158">
        <v>3374040.0</v>
      </c>
      <c r="D92" s="158" t="s">
        <v>182</v>
      </c>
      <c r="E92" s="158" t="s">
        <v>184</v>
      </c>
      <c r="F92" s="159">
        <v>6.0</v>
      </c>
      <c r="G92" s="159">
        <v>258.0</v>
      </c>
      <c r="H92" s="333">
        <v>13.0</v>
      </c>
      <c r="I92" s="161">
        <v>0.0</v>
      </c>
      <c r="J92" s="161">
        <v>1.0</v>
      </c>
      <c r="K92" s="161">
        <v>6.0</v>
      </c>
      <c r="L92" s="159">
        <v>6.0</v>
      </c>
      <c r="M92" s="161">
        <v>0.0</v>
      </c>
      <c r="N92" s="161">
        <v>0.0</v>
      </c>
      <c r="O92" s="162">
        <f t="shared" si="213"/>
        <v>13</v>
      </c>
      <c r="P92" s="203">
        <v>13.0</v>
      </c>
      <c r="Q92" s="164">
        <v>0.0</v>
      </c>
      <c r="R92" s="164">
        <v>1.0</v>
      </c>
      <c r="S92" s="164">
        <v>6.0</v>
      </c>
      <c r="T92" s="165">
        <v>6.0</v>
      </c>
      <c r="U92" s="165">
        <v>0.0</v>
      </c>
      <c r="V92" s="165">
        <v>0.0</v>
      </c>
      <c r="W92" s="166">
        <f t="shared" si="225"/>
        <v>13</v>
      </c>
      <c r="X92" s="203">
        <v>10.0</v>
      </c>
      <c r="Y92" s="165">
        <v>1.0</v>
      </c>
      <c r="Z92" s="165"/>
      <c r="AA92" s="165">
        <v>4.0</v>
      </c>
      <c r="AB92" s="165">
        <v>5.0</v>
      </c>
      <c r="AC92" s="165">
        <v>0.0</v>
      </c>
      <c r="AD92" s="165">
        <v>3.0</v>
      </c>
      <c r="AE92" s="166">
        <f t="shared" si="214"/>
        <v>7</v>
      </c>
      <c r="AF92" s="167">
        <v>12.0</v>
      </c>
      <c r="AG92" s="165">
        <v>1.0</v>
      </c>
      <c r="AH92" s="165">
        <v>0.0</v>
      </c>
      <c r="AI92" s="165">
        <v>6.0</v>
      </c>
      <c r="AJ92" s="165">
        <v>5.0</v>
      </c>
      <c r="AK92" s="165">
        <v>0.0</v>
      </c>
      <c r="AL92" s="165">
        <v>0.0</v>
      </c>
      <c r="AM92" s="166">
        <f t="shared" si="215"/>
        <v>12</v>
      </c>
      <c r="AN92" s="167">
        <v>8.0</v>
      </c>
      <c r="AO92" s="165">
        <v>1.0</v>
      </c>
      <c r="AP92" s="165">
        <v>0.0</v>
      </c>
      <c r="AQ92" s="165">
        <v>2.0</v>
      </c>
      <c r="AR92" s="165">
        <v>5.0</v>
      </c>
      <c r="AS92" s="165">
        <v>0.0</v>
      </c>
      <c r="AT92" s="165">
        <v>0.0</v>
      </c>
      <c r="AU92" s="168">
        <f t="shared" si="216"/>
        <v>8</v>
      </c>
      <c r="AV92" s="169">
        <v>246.0</v>
      </c>
      <c r="AW92" s="204">
        <f t="shared" si="8"/>
        <v>10</v>
      </c>
      <c r="AX92" s="169">
        <v>1.0</v>
      </c>
      <c r="AY92" s="197"/>
      <c r="AZ92" s="169">
        <v>4.0</v>
      </c>
      <c r="BA92" s="169">
        <v>5.0</v>
      </c>
      <c r="BB92" s="169"/>
      <c r="BC92" s="197"/>
      <c r="BD92" s="197"/>
      <c r="BE92" s="197"/>
      <c r="BF92" s="197"/>
      <c r="BG92" s="197"/>
      <c r="BH92" s="197"/>
      <c r="BI92" s="197"/>
      <c r="BJ92" s="197"/>
      <c r="BK92" s="197"/>
      <c r="BL92" s="197"/>
      <c r="BM92" s="197"/>
      <c r="BN92" s="197"/>
      <c r="BO92" s="197"/>
      <c r="BP92" s="205">
        <f t="shared" si="131"/>
        <v>0</v>
      </c>
      <c r="BQ92" s="173">
        <v>268.0</v>
      </c>
      <c r="BR92" s="170">
        <f t="shared" si="10"/>
        <v>8</v>
      </c>
      <c r="BS92" s="173">
        <v>0.0</v>
      </c>
      <c r="BT92" s="173">
        <v>0.0</v>
      </c>
      <c r="BU92" s="173">
        <v>1.0</v>
      </c>
      <c r="BV92" s="173">
        <v>7.0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172">
        <f t="shared" si="132"/>
        <v>0</v>
      </c>
      <c r="CL92" s="173">
        <v>226.0</v>
      </c>
      <c r="CM92" s="173">
        <v>85.0</v>
      </c>
      <c r="CN92" s="175">
        <f t="shared" si="12"/>
        <v>5</v>
      </c>
      <c r="CO92" s="173">
        <v>0.0</v>
      </c>
      <c r="CP92" s="173">
        <v>0.0</v>
      </c>
      <c r="CQ92" s="173">
        <v>1.0</v>
      </c>
      <c r="CR92" s="173">
        <v>4.0</v>
      </c>
      <c r="CS92" s="6"/>
      <c r="CT92" s="6"/>
      <c r="CU92" s="6"/>
      <c r="CV92" s="6"/>
      <c r="CW92" s="6"/>
      <c r="CX92" s="6"/>
      <c r="CY92" s="6"/>
      <c r="CZ92" s="173">
        <v>3.0</v>
      </c>
      <c r="DA92" s="6"/>
      <c r="DB92" s="6"/>
      <c r="DC92" s="6"/>
      <c r="DD92" s="6"/>
      <c r="DE92" s="6"/>
      <c r="DF92" s="6"/>
      <c r="DG92" s="176">
        <f t="shared" si="13"/>
        <v>3</v>
      </c>
      <c r="DH92" s="177">
        <v>223.0</v>
      </c>
      <c r="DI92" s="177">
        <v>78.0</v>
      </c>
      <c r="DJ92" s="178">
        <v>208.0</v>
      </c>
      <c r="DK92" s="178">
        <v>78.0</v>
      </c>
      <c r="DL92" s="179">
        <f t="shared" si="14"/>
        <v>5</v>
      </c>
      <c r="DM92" s="180">
        <f t="shared" si="15"/>
        <v>0</v>
      </c>
      <c r="DN92" s="180">
        <f t="shared" si="16"/>
        <v>5</v>
      </c>
      <c r="DO92" s="177">
        <v>0.0</v>
      </c>
      <c r="DP92" s="177">
        <v>0.0</v>
      </c>
      <c r="DQ92" s="177">
        <v>0.0</v>
      </c>
      <c r="DR92" s="177">
        <v>5.0</v>
      </c>
      <c r="DS92" s="177">
        <v>0.0</v>
      </c>
      <c r="DT92" s="177">
        <v>0.0</v>
      </c>
      <c r="DU92" s="177">
        <v>0.0</v>
      </c>
      <c r="DV92" s="177">
        <v>0.0</v>
      </c>
      <c r="DW92" s="177">
        <v>0.0</v>
      </c>
      <c r="DX92" s="177">
        <v>0.0</v>
      </c>
      <c r="DY92" s="177">
        <v>0.0</v>
      </c>
      <c r="DZ92" s="177">
        <v>0.0</v>
      </c>
      <c r="EA92" s="177">
        <v>0.0</v>
      </c>
      <c r="EB92" s="177">
        <v>0.0</v>
      </c>
      <c r="EC92" s="177">
        <v>0.0</v>
      </c>
      <c r="ED92" s="177">
        <v>0.0</v>
      </c>
      <c r="EE92" s="177">
        <v>0.0</v>
      </c>
      <c r="EF92" s="177">
        <v>0.0</v>
      </c>
      <c r="EG92" s="179">
        <f t="shared" si="17"/>
        <v>0</v>
      </c>
      <c r="EH92" s="179">
        <f t="shared" si="18"/>
        <v>0</v>
      </c>
      <c r="EI92" s="177">
        <v>230.0</v>
      </c>
      <c r="EJ92" s="177">
        <v>86.0</v>
      </c>
      <c r="EK92" s="178">
        <v>213.0</v>
      </c>
      <c r="EL92" s="178">
        <v>81.0</v>
      </c>
      <c r="EM92" s="185">
        <f t="shared" si="196"/>
        <v>5</v>
      </c>
      <c r="EN92" s="186">
        <f t="shared" si="202"/>
        <v>0</v>
      </c>
      <c r="EO92" s="186">
        <f t="shared" si="90"/>
        <v>5</v>
      </c>
      <c r="EP92" s="227"/>
      <c r="EQ92" s="227"/>
      <c r="ER92" s="227"/>
      <c r="ES92" s="177">
        <v>5.0</v>
      </c>
      <c r="ET92" s="227"/>
      <c r="EU92" s="227"/>
      <c r="EV92" s="227"/>
      <c r="EW92" s="227"/>
      <c r="EX92" s="227"/>
      <c r="EY92" s="227"/>
      <c r="EZ92" s="227"/>
      <c r="FA92" s="227"/>
      <c r="FB92" s="227"/>
      <c r="FC92" s="227"/>
      <c r="FD92" s="227"/>
      <c r="FE92" s="227"/>
      <c r="FF92" s="227"/>
      <c r="FG92" s="227"/>
      <c r="FH92" s="185">
        <f t="shared" si="22"/>
        <v>0</v>
      </c>
      <c r="FI92" s="185">
        <f t="shared" si="23"/>
        <v>0</v>
      </c>
      <c r="FJ92" s="283">
        <v>226.0</v>
      </c>
      <c r="FK92" s="284">
        <v>86.0</v>
      </c>
      <c r="FL92" s="284">
        <v>202.0</v>
      </c>
      <c r="FM92" s="284">
        <v>77.0</v>
      </c>
      <c r="FN92" s="336"/>
      <c r="FO92" s="336">
        <v>6.0</v>
      </c>
      <c r="FP92" s="188">
        <f t="shared" si="197"/>
        <v>6</v>
      </c>
      <c r="FQ92" s="211">
        <v>0.0</v>
      </c>
      <c r="FR92" s="212">
        <v>6.0</v>
      </c>
      <c r="FS92" s="335"/>
      <c r="FT92" s="293"/>
      <c r="FU92" s="293"/>
      <c r="FV92" s="207">
        <v>5.0</v>
      </c>
      <c r="FW92" s="293"/>
      <c r="FX92" s="293"/>
      <c r="FY92" s="293"/>
      <c r="FZ92" s="207">
        <v>1.0</v>
      </c>
      <c r="GA92" s="293"/>
      <c r="GB92" s="293"/>
      <c r="GC92" s="293"/>
      <c r="GD92" s="293"/>
      <c r="GE92" s="293"/>
      <c r="GF92" s="293"/>
      <c r="GG92" s="293"/>
      <c r="GH92" s="293"/>
      <c r="GI92" s="293"/>
      <c r="GJ92" s="293"/>
      <c r="GK92" s="212">
        <v>0.0</v>
      </c>
      <c r="GL92" s="212">
        <v>0.0</v>
      </c>
      <c r="GM92" s="207">
        <v>227.0</v>
      </c>
      <c r="GN92" s="207">
        <v>89.0</v>
      </c>
      <c r="GO92" s="213">
        <v>204.0</v>
      </c>
      <c r="GP92" s="213">
        <v>81.0</v>
      </c>
      <c r="GQ92" s="207"/>
      <c r="GR92" s="213">
        <v>6.0</v>
      </c>
      <c r="GS92" s="193">
        <v>0.0</v>
      </c>
      <c r="GT92" s="194">
        <f t="shared" si="25"/>
        <v>6</v>
      </c>
      <c r="GU92" s="194">
        <f t="shared" si="26"/>
        <v>0</v>
      </c>
      <c r="GV92" s="194">
        <f t="shared" si="27"/>
        <v>6</v>
      </c>
      <c r="GW92" s="207"/>
      <c r="GX92" s="207"/>
      <c r="GY92" s="207"/>
      <c r="GZ92" s="207">
        <v>6.0</v>
      </c>
      <c r="HA92" s="207"/>
      <c r="HB92" s="207"/>
      <c r="HC92" s="207"/>
      <c r="HD92" s="207"/>
      <c r="HE92" s="207"/>
      <c r="HF92" s="207"/>
      <c r="HG92" s="207"/>
      <c r="HH92" s="207"/>
      <c r="HI92" s="207"/>
      <c r="HJ92" s="207"/>
      <c r="HK92" s="207"/>
      <c r="HL92" s="207"/>
      <c r="HM92" s="207"/>
      <c r="HN92" s="207"/>
      <c r="HO92" s="222"/>
      <c r="HP92" s="222"/>
      <c r="HQ92" s="214"/>
      <c r="HR92" s="197"/>
      <c r="HS92" s="197"/>
      <c r="HT92" s="198">
        <f t="shared" si="28"/>
        <v>13</v>
      </c>
      <c r="HU92" s="198">
        <f t="shared" si="29"/>
        <v>13</v>
      </c>
      <c r="HV92" s="198">
        <f t="shared" si="30"/>
        <v>10</v>
      </c>
      <c r="HW92" s="198">
        <f t="shared" si="99"/>
        <v>12</v>
      </c>
      <c r="HX92" s="198">
        <f t="shared" si="32"/>
        <v>8</v>
      </c>
      <c r="HY92" s="198">
        <f t="shared" si="33"/>
        <v>10</v>
      </c>
      <c r="HZ92" s="198">
        <f t="shared" si="34"/>
        <v>8</v>
      </c>
      <c r="IA92" s="198">
        <f t="shared" si="35"/>
        <v>5</v>
      </c>
      <c r="IB92" s="198">
        <f t="shared" si="36"/>
        <v>5</v>
      </c>
      <c r="IC92" s="198">
        <f t="shared" si="37"/>
        <v>5</v>
      </c>
      <c r="ID92" s="198">
        <f t="shared" si="38"/>
        <v>6</v>
      </c>
      <c r="IE92" s="198">
        <f t="shared" si="39"/>
        <v>6</v>
      </c>
      <c r="IF92" s="197"/>
      <c r="IG92" s="197"/>
      <c r="IH92" s="197"/>
      <c r="II92" s="197"/>
      <c r="IJ92" s="197"/>
      <c r="IK92" s="197"/>
      <c r="IL92" s="197"/>
      <c r="IM92" s="197"/>
      <c r="IN92" s="197"/>
      <c r="IO92" s="197"/>
      <c r="IP92" s="197"/>
      <c r="IQ92" s="197"/>
      <c r="IR92" s="197"/>
      <c r="IS92" s="197"/>
      <c r="IT92" s="197"/>
      <c r="IU92" s="197"/>
      <c r="IV92" s="197"/>
      <c r="IW92" s="197"/>
      <c r="IX92" s="197"/>
      <c r="IY92" s="197"/>
      <c r="IZ92" s="197"/>
      <c r="JA92" s="199"/>
      <c r="JB92" s="200">
        <f t="shared" si="40"/>
        <v>13</v>
      </c>
      <c r="JC92" s="200">
        <f t="shared" si="41"/>
        <v>13</v>
      </c>
      <c r="JD92" s="200">
        <f t="shared" si="42"/>
        <v>10</v>
      </c>
      <c r="JE92" s="200">
        <f t="shared" si="43"/>
        <v>12</v>
      </c>
      <c r="JF92" s="200">
        <f t="shared" si="44"/>
        <v>8</v>
      </c>
      <c r="JG92" s="200">
        <f t="shared" si="45"/>
        <v>10</v>
      </c>
      <c r="JH92" s="200">
        <f t="shared" si="46"/>
        <v>8</v>
      </c>
      <c r="JI92" s="200">
        <f t="shared" si="47"/>
        <v>5</v>
      </c>
      <c r="JJ92" s="200">
        <f t="shared" si="48"/>
        <v>5</v>
      </c>
      <c r="JK92" s="200">
        <f t="shared" si="49"/>
        <v>5</v>
      </c>
      <c r="JL92" s="200">
        <f t="shared" si="50"/>
        <v>6</v>
      </c>
      <c r="JM92" s="200">
        <f t="shared" si="51"/>
        <v>6</v>
      </c>
      <c r="JN92" s="199"/>
      <c r="JO92" s="200">
        <f t="shared" si="52"/>
        <v>13</v>
      </c>
      <c r="JP92" s="202">
        <v>13.0</v>
      </c>
      <c r="JQ92" s="202">
        <v>10.0</v>
      </c>
      <c r="JR92" s="202">
        <v>12.0</v>
      </c>
      <c r="JS92" s="202">
        <v>8.0</v>
      </c>
      <c r="JT92" s="199"/>
      <c r="JU92" s="199"/>
      <c r="JV92" s="200">
        <f t="shared" ref="JV92:JX92" si="240">IA92-JI92</f>
        <v>0</v>
      </c>
      <c r="JW92" s="200">
        <f t="shared" si="240"/>
        <v>0</v>
      </c>
      <c r="JX92" s="200">
        <f t="shared" si="240"/>
        <v>0</v>
      </c>
      <c r="JY92" s="199"/>
      <c r="JZ92" s="199"/>
      <c r="KA92" s="199"/>
      <c r="KB92" s="200">
        <f t="shared" ref="KB92:KM92" si="241">JB92-JO92</f>
        <v>0</v>
      </c>
      <c r="KC92" s="200">
        <f t="shared" si="241"/>
        <v>0</v>
      </c>
      <c r="KD92" s="200">
        <f t="shared" si="241"/>
        <v>0</v>
      </c>
      <c r="KE92" s="200">
        <f t="shared" si="241"/>
        <v>0</v>
      </c>
      <c r="KF92" s="200">
        <f t="shared" si="241"/>
        <v>0</v>
      </c>
      <c r="KG92" s="200">
        <f t="shared" si="241"/>
        <v>10</v>
      </c>
      <c r="KH92" s="200">
        <f t="shared" si="241"/>
        <v>8</v>
      </c>
      <c r="KI92" s="200">
        <f t="shared" si="241"/>
        <v>5</v>
      </c>
      <c r="KJ92" s="200">
        <f t="shared" si="241"/>
        <v>5</v>
      </c>
      <c r="KK92" s="200">
        <f t="shared" si="241"/>
        <v>5</v>
      </c>
      <c r="KL92" s="200">
        <f t="shared" si="241"/>
        <v>6</v>
      </c>
      <c r="KM92" s="200">
        <f t="shared" si="241"/>
        <v>6</v>
      </c>
      <c r="KN92" s="199"/>
      <c r="KO92" s="199"/>
      <c r="KP92" s="199"/>
      <c r="KQ92" s="199"/>
      <c r="KR92" s="199"/>
      <c r="KS92" s="199"/>
      <c r="KT92" s="199"/>
      <c r="KU92" s="199"/>
      <c r="KV92" s="199"/>
      <c r="KW92" s="199"/>
      <c r="KX92" s="199"/>
      <c r="KY92" s="199"/>
      <c r="KZ92" s="199"/>
      <c r="LA92" s="199"/>
      <c r="LB92" s="199"/>
      <c r="LC92" s="199"/>
      <c r="LD92" s="199"/>
      <c r="LE92" s="199"/>
      <c r="LF92" s="199"/>
      <c r="LG92" s="199"/>
    </row>
    <row r="93" ht="14.25" customHeight="1">
      <c r="A93" s="156">
        <v>86.0</v>
      </c>
      <c r="B93" s="157" t="s">
        <v>181</v>
      </c>
      <c r="C93" s="158">
        <v>3374040.0</v>
      </c>
      <c r="D93" s="158" t="s">
        <v>182</v>
      </c>
      <c r="E93" s="158" t="s">
        <v>185</v>
      </c>
      <c r="F93" s="159">
        <v>5.0</v>
      </c>
      <c r="G93" s="159">
        <v>209.0</v>
      </c>
      <c r="H93" s="333">
        <v>4.0</v>
      </c>
      <c r="I93" s="161">
        <v>0.0</v>
      </c>
      <c r="J93" s="161">
        <v>0.0</v>
      </c>
      <c r="K93" s="161">
        <v>1.0</v>
      </c>
      <c r="L93" s="159">
        <v>3.0</v>
      </c>
      <c r="M93" s="161">
        <v>0.0</v>
      </c>
      <c r="N93" s="161">
        <v>0.0</v>
      </c>
      <c r="O93" s="162">
        <f t="shared" si="213"/>
        <v>4</v>
      </c>
      <c r="P93" s="203">
        <v>4.0</v>
      </c>
      <c r="Q93" s="164">
        <v>0.0</v>
      </c>
      <c r="R93" s="164">
        <v>0.0</v>
      </c>
      <c r="S93" s="164">
        <v>1.0</v>
      </c>
      <c r="T93" s="165">
        <v>3.0</v>
      </c>
      <c r="U93" s="165">
        <v>0.0</v>
      </c>
      <c r="V93" s="165">
        <v>0.0</v>
      </c>
      <c r="W93" s="166">
        <f t="shared" si="225"/>
        <v>4</v>
      </c>
      <c r="X93" s="203">
        <v>5.0</v>
      </c>
      <c r="Y93" s="165">
        <v>0.0</v>
      </c>
      <c r="Z93" s="165">
        <v>1.0</v>
      </c>
      <c r="AA93" s="165">
        <v>1.0</v>
      </c>
      <c r="AB93" s="165">
        <v>3.0</v>
      </c>
      <c r="AC93" s="165">
        <v>1.0</v>
      </c>
      <c r="AD93" s="165">
        <v>0.0</v>
      </c>
      <c r="AE93" s="166">
        <f t="shared" si="214"/>
        <v>4</v>
      </c>
      <c r="AF93" s="167">
        <v>1.0</v>
      </c>
      <c r="AG93" s="165">
        <v>0.0</v>
      </c>
      <c r="AH93" s="165">
        <v>0.0</v>
      </c>
      <c r="AI93" s="165">
        <v>1.0</v>
      </c>
      <c r="AJ93" s="165">
        <v>0.0</v>
      </c>
      <c r="AK93" s="165">
        <v>0.0</v>
      </c>
      <c r="AL93" s="165">
        <v>0.0</v>
      </c>
      <c r="AM93" s="166">
        <f t="shared" si="215"/>
        <v>1</v>
      </c>
      <c r="AN93" s="167">
        <v>4.0</v>
      </c>
      <c r="AO93" s="165">
        <v>0.0</v>
      </c>
      <c r="AP93" s="165">
        <v>1.0</v>
      </c>
      <c r="AQ93" s="165">
        <v>0.0</v>
      </c>
      <c r="AR93" s="165">
        <v>3.0</v>
      </c>
      <c r="AS93" s="165">
        <v>0.0</v>
      </c>
      <c r="AT93" s="165">
        <v>0.0</v>
      </c>
      <c r="AU93" s="168">
        <f t="shared" si="216"/>
        <v>4</v>
      </c>
      <c r="AV93" s="169">
        <v>196.0</v>
      </c>
      <c r="AW93" s="204">
        <f t="shared" si="8"/>
        <v>4</v>
      </c>
      <c r="AX93" s="197"/>
      <c r="AY93" s="169"/>
      <c r="AZ93" s="197"/>
      <c r="BA93" s="169">
        <v>3.0</v>
      </c>
      <c r="BB93" s="197"/>
      <c r="BC93" s="169">
        <v>1.0</v>
      </c>
      <c r="BD93" s="197"/>
      <c r="BE93" s="197"/>
      <c r="BF93" s="197"/>
      <c r="BG93" s="197"/>
      <c r="BH93" s="197"/>
      <c r="BI93" s="197"/>
      <c r="BJ93" s="197"/>
      <c r="BK93" s="197"/>
      <c r="BL93" s="197"/>
      <c r="BM93" s="197"/>
      <c r="BN93" s="197"/>
      <c r="BO93" s="197"/>
      <c r="BP93" s="205">
        <f t="shared" si="131"/>
        <v>0</v>
      </c>
      <c r="BQ93" s="173">
        <v>218.0</v>
      </c>
      <c r="BR93" s="170">
        <f t="shared" si="10"/>
        <v>4</v>
      </c>
      <c r="BS93" s="173">
        <v>0.0</v>
      </c>
      <c r="BT93" s="173">
        <v>1.0</v>
      </c>
      <c r="BU93" s="173">
        <v>0.0</v>
      </c>
      <c r="BV93" s="173">
        <v>3.0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172">
        <f t="shared" si="132"/>
        <v>0</v>
      </c>
      <c r="CL93" s="173">
        <v>218.0</v>
      </c>
      <c r="CM93" s="173">
        <v>76.0</v>
      </c>
      <c r="CN93" s="175">
        <f t="shared" si="12"/>
        <v>3</v>
      </c>
      <c r="CO93" s="173">
        <v>0.0</v>
      </c>
      <c r="CP93" s="173">
        <v>1.0</v>
      </c>
      <c r="CQ93" s="173">
        <v>0.0</v>
      </c>
      <c r="CR93" s="173">
        <v>1.0</v>
      </c>
      <c r="CS93" s="6"/>
      <c r="CT93" s="6"/>
      <c r="CU93" s="173">
        <v>1.0</v>
      </c>
      <c r="CV93" s="6"/>
      <c r="CW93" s="6"/>
      <c r="CX93" s="6"/>
      <c r="CY93" s="6"/>
      <c r="CZ93" s="173">
        <v>2.0</v>
      </c>
      <c r="DA93" s="6"/>
      <c r="DB93" s="6"/>
      <c r="DC93" s="6"/>
      <c r="DD93" s="6"/>
      <c r="DE93" s="6"/>
      <c r="DF93" s="6"/>
      <c r="DG93" s="176">
        <f t="shared" si="13"/>
        <v>2</v>
      </c>
      <c r="DH93" s="177">
        <v>192.0</v>
      </c>
      <c r="DI93" s="177">
        <v>57.0</v>
      </c>
      <c r="DJ93" s="178">
        <v>178.0</v>
      </c>
      <c r="DK93" s="178">
        <v>57.0</v>
      </c>
      <c r="DL93" s="179">
        <f t="shared" si="14"/>
        <v>3</v>
      </c>
      <c r="DM93" s="180">
        <f t="shared" si="15"/>
        <v>1</v>
      </c>
      <c r="DN93" s="180">
        <f t="shared" si="16"/>
        <v>2</v>
      </c>
      <c r="DO93" s="177">
        <v>0.0</v>
      </c>
      <c r="DP93" s="177">
        <v>0.0</v>
      </c>
      <c r="DQ93" s="177">
        <v>1.0</v>
      </c>
      <c r="DR93" s="177">
        <v>2.0</v>
      </c>
      <c r="DS93" s="177">
        <v>0.0</v>
      </c>
      <c r="DT93" s="177">
        <v>0.0</v>
      </c>
      <c r="DU93" s="177">
        <v>0.0</v>
      </c>
      <c r="DV93" s="177">
        <v>0.0</v>
      </c>
      <c r="DW93" s="177">
        <v>0.0</v>
      </c>
      <c r="DX93" s="177">
        <v>0.0</v>
      </c>
      <c r="DY93" s="177">
        <v>0.0</v>
      </c>
      <c r="DZ93" s="177">
        <v>0.0</v>
      </c>
      <c r="EA93" s="177">
        <v>0.0</v>
      </c>
      <c r="EB93" s="177">
        <v>0.0</v>
      </c>
      <c r="EC93" s="177">
        <v>0.0</v>
      </c>
      <c r="ED93" s="177">
        <v>0.0</v>
      </c>
      <c r="EE93" s="177">
        <v>0.0</v>
      </c>
      <c r="EF93" s="177">
        <v>0.0</v>
      </c>
      <c r="EG93" s="179">
        <f t="shared" si="17"/>
        <v>0</v>
      </c>
      <c r="EH93" s="179">
        <f t="shared" si="18"/>
        <v>0</v>
      </c>
      <c r="EI93" s="177">
        <v>196.0</v>
      </c>
      <c r="EJ93" s="177">
        <v>60.0</v>
      </c>
      <c r="EK93" s="178">
        <v>183.0</v>
      </c>
      <c r="EL93" s="178">
        <v>55.0</v>
      </c>
      <c r="EM93" s="185">
        <f t="shared" si="196"/>
        <v>2</v>
      </c>
      <c r="EN93" s="186">
        <f t="shared" si="202"/>
        <v>0</v>
      </c>
      <c r="EO93" s="186">
        <f t="shared" si="90"/>
        <v>2</v>
      </c>
      <c r="EP93" s="227"/>
      <c r="EQ93" s="227"/>
      <c r="ER93" s="227"/>
      <c r="ES93" s="177">
        <v>2.0</v>
      </c>
      <c r="ET93" s="227"/>
      <c r="EU93" s="227"/>
      <c r="EV93" s="227"/>
      <c r="EW93" s="227"/>
      <c r="EX93" s="227"/>
      <c r="EY93" s="227"/>
      <c r="EZ93" s="177">
        <v>1.0</v>
      </c>
      <c r="FA93" s="227"/>
      <c r="FB93" s="227"/>
      <c r="FC93" s="227"/>
      <c r="FD93" s="227"/>
      <c r="FE93" s="227"/>
      <c r="FF93" s="227"/>
      <c r="FG93" s="227"/>
      <c r="FH93" s="185">
        <f t="shared" si="22"/>
        <v>1</v>
      </c>
      <c r="FI93" s="185">
        <f t="shared" si="23"/>
        <v>1</v>
      </c>
      <c r="FJ93" s="283">
        <v>196.0</v>
      </c>
      <c r="FK93" s="284">
        <v>61.0</v>
      </c>
      <c r="FL93" s="284">
        <v>193.0</v>
      </c>
      <c r="FM93" s="284">
        <v>60.0</v>
      </c>
      <c r="FN93" s="336"/>
      <c r="FO93" s="336">
        <v>2.0</v>
      </c>
      <c r="FP93" s="188">
        <f t="shared" si="197"/>
        <v>2</v>
      </c>
      <c r="FQ93" s="211">
        <v>0.0</v>
      </c>
      <c r="FR93" s="212">
        <v>2.0</v>
      </c>
      <c r="FS93" s="335"/>
      <c r="FT93" s="293"/>
      <c r="FU93" s="293"/>
      <c r="FV93" s="207">
        <v>2.0</v>
      </c>
      <c r="FW93" s="293"/>
      <c r="FX93" s="293"/>
      <c r="FY93" s="293"/>
      <c r="FZ93" s="293"/>
      <c r="GA93" s="293"/>
      <c r="GB93" s="293"/>
      <c r="GC93" s="293"/>
      <c r="GD93" s="293"/>
      <c r="GE93" s="293"/>
      <c r="GF93" s="293"/>
      <c r="GG93" s="293"/>
      <c r="GH93" s="293"/>
      <c r="GI93" s="293"/>
      <c r="GJ93" s="293"/>
      <c r="GK93" s="212">
        <v>0.0</v>
      </c>
      <c r="GL93" s="212">
        <v>0.0</v>
      </c>
      <c r="GM93" s="207">
        <v>194.0</v>
      </c>
      <c r="GN93" s="207">
        <v>58.0</v>
      </c>
      <c r="GO93" s="213">
        <v>192.0</v>
      </c>
      <c r="GP93" s="213">
        <v>57.0</v>
      </c>
      <c r="GQ93" s="207"/>
      <c r="GR93" s="213">
        <v>2.0</v>
      </c>
      <c r="GS93" s="193">
        <v>0.0</v>
      </c>
      <c r="GT93" s="194">
        <f t="shared" si="25"/>
        <v>2</v>
      </c>
      <c r="GU93" s="194">
        <f t="shared" si="26"/>
        <v>0</v>
      </c>
      <c r="GV93" s="194">
        <f t="shared" si="27"/>
        <v>2</v>
      </c>
      <c r="GW93" s="207"/>
      <c r="GX93" s="207"/>
      <c r="GY93" s="207"/>
      <c r="GZ93" s="207">
        <v>2.0</v>
      </c>
      <c r="HA93" s="207"/>
      <c r="HB93" s="207"/>
      <c r="HC93" s="207"/>
      <c r="HD93" s="207"/>
      <c r="HE93" s="207"/>
      <c r="HF93" s="207"/>
      <c r="HG93" s="207"/>
      <c r="HH93" s="207"/>
      <c r="HI93" s="207"/>
      <c r="HJ93" s="207"/>
      <c r="HK93" s="207"/>
      <c r="HL93" s="207"/>
      <c r="HM93" s="207"/>
      <c r="HN93" s="207"/>
      <c r="HO93" s="222"/>
      <c r="HP93" s="222"/>
      <c r="HQ93" s="214"/>
      <c r="HR93" s="197"/>
      <c r="HS93" s="197"/>
      <c r="HT93" s="198">
        <f t="shared" si="28"/>
        <v>4</v>
      </c>
      <c r="HU93" s="198">
        <f t="shared" si="29"/>
        <v>4</v>
      </c>
      <c r="HV93" s="198">
        <f t="shared" si="30"/>
        <v>5</v>
      </c>
      <c r="HW93" s="198">
        <f t="shared" si="99"/>
        <v>1</v>
      </c>
      <c r="HX93" s="198">
        <f t="shared" si="32"/>
        <v>4</v>
      </c>
      <c r="HY93" s="198">
        <f t="shared" si="33"/>
        <v>4</v>
      </c>
      <c r="HZ93" s="198">
        <f t="shared" si="34"/>
        <v>4</v>
      </c>
      <c r="IA93" s="198">
        <f t="shared" si="35"/>
        <v>3</v>
      </c>
      <c r="IB93" s="198">
        <f t="shared" si="36"/>
        <v>3</v>
      </c>
      <c r="IC93" s="198">
        <f t="shared" si="37"/>
        <v>2</v>
      </c>
      <c r="ID93" s="198">
        <f t="shared" si="38"/>
        <v>2</v>
      </c>
      <c r="IE93" s="198">
        <f t="shared" si="39"/>
        <v>2</v>
      </c>
      <c r="IF93" s="197"/>
      <c r="IG93" s="197"/>
      <c r="IH93" s="197"/>
      <c r="II93" s="197"/>
      <c r="IJ93" s="197"/>
      <c r="IK93" s="197"/>
      <c r="IL93" s="197"/>
      <c r="IM93" s="197"/>
      <c r="IN93" s="197"/>
      <c r="IO93" s="197"/>
      <c r="IP93" s="197"/>
      <c r="IQ93" s="197"/>
      <c r="IR93" s="197"/>
      <c r="IS93" s="197"/>
      <c r="IT93" s="197"/>
      <c r="IU93" s="197"/>
      <c r="IV93" s="197"/>
      <c r="IW93" s="197"/>
      <c r="IX93" s="197"/>
      <c r="IY93" s="197"/>
      <c r="IZ93" s="197"/>
      <c r="JA93" s="199"/>
      <c r="JB93" s="200">
        <f t="shared" si="40"/>
        <v>4</v>
      </c>
      <c r="JC93" s="200">
        <f t="shared" si="41"/>
        <v>4</v>
      </c>
      <c r="JD93" s="200">
        <f t="shared" si="42"/>
        <v>5</v>
      </c>
      <c r="JE93" s="200">
        <f t="shared" si="43"/>
        <v>1</v>
      </c>
      <c r="JF93" s="200">
        <f t="shared" si="44"/>
        <v>4</v>
      </c>
      <c r="JG93" s="200">
        <f t="shared" si="45"/>
        <v>4</v>
      </c>
      <c r="JH93" s="200">
        <f t="shared" si="46"/>
        <v>4</v>
      </c>
      <c r="JI93" s="200">
        <f t="shared" si="47"/>
        <v>3</v>
      </c>
      <c r="JJ93" s="200">
        <f t="shared" si="48"/>
        <v>3</v>
      </c>
      <c r="JK93" s="200">
        <f t="shared" si="49"/>
        <v>3</v>
      </c>
      <c r="JL93" s="200">
        <f t="shared" si="50"/>
        <v>2</v>
      </c>
      <c r="JM93" s="200">
        <f t="shared" si="51"/>
        <v>2</v>
      </c>
      <c r="JN93" s="199"/>
      <c r="JO93" s="200">
        <f t="shared" si="52"/>
        <v>4</v>
      </c>
      <c r="JP93" s="202">
        <v>4.0</v>
      </c>
      <c r="JQ93" s="202">
        <v>5.0</v>
      </c>
      <c r="JR93" s="202">
        <v>1.0</v>
      </c>
      <c r="JS93" s="202">
        <v>4.0</v>
      </c>
      <c r="JT93" s="199"/>
      <c r="JU93" s="199"/>
      <c r="JV93" s="200">
        <f t="shared" ref="JV93:JX93" si="242">IA93-JI93</f>
        <v>0</v>
      </c>
      <c r="JW93" s="200">
        <f t="shared" si="242"/>
        <v>0</v>
      </c>
      <c r="JX93" s="200">
        <f t="shared" si="242"/>
        <v>-1</v>
      </c>
      <c r="JY93" s="199"/>
      <c r="JZ93" s="199"/>
      <c r="KA93" s="199"/>
      <c r="KB93" s="200">
        <f t="shared" ref="KB93:KM93" si="243">JB93-JO93</f>
        <v>0</v>
      </c>
      <c r="KC93" s="200">
        <f t="shared" si="243"/>
        <v>0</v>
      </c>
      <c r="KD93" s="200">
        <f t="shared" si="243"/>
        <v>0</v>
      </c>
      <c r="KE93" s="200">
        <f t="shared" si="243"/>
        <v>0</v>
      </c>
      <c r="KF93" s="200">
        <f t="shared" si="243"/>
        <v>0</v>
      </c>
      <c r="KG93" s="200">
        <f t="shared" si="243"/>
        <v>4</v>
      </c>
      <c r="KH93" s="200">
        <f t="shared" si="243"/>
        <v>4</v>
      </c>
      <c r="KI93" s="200">
        <f t="shared" si="243"/>
        <v>3</v>
      </c>
      <c r="KJ93" s="200">
        <f t="shared" si="243"/>
        <v>3</v>
      </c>
      <c r="KK93" s="200">
        <f t="shared" si="243"/>
        <v>4</v>
      </c>
      <c r="KL93" s="200">
        <f t="shared" si="243"/>
        <v>2</v>
      </c>
      <c r="KM93" s="200">
        <f t="shared" si="243"/>
        <v>2</v>
      </c>
      <c r="KN93" s="199"/>
      <c r="KO93" s="199"/>
      <c r="KP93" s="199"/>
      <c r="KQ93" s="199"/>
      <c r="KR93" s="199"/>
      <c r="KS93" s="199"/>
      <c r="KT93" s="199"/>
      <c r="KU93" s="199"/>
      <c r="KV93" s="199"/>
      <c r="KW93" s="199"/>
      <c r="KX93" s="199"/>
      <c r="KY93" s="199"/>
      <c r="KZ93" s="199"/>
      <c r="LA93" s="199"/>
      <c r="LB93" s="199"/>
      <c r="LC93" s="199"/>
      <c r="LD93" s="199"/>
      <c r="LE93" s="199"/>
      <c r="LF93" s="199"/>
      <c r="LG93" s="199"/>
    </row>
    <row r="94" ht="14.25" customHeight="1">
      <c r="A94" s="156">
        <v>87.0</v>
      </c>
      <c r="B94" s="157" t="s">
        <v>181</v>
      </c>
      <c r="C94" s="158">
        <v>3374040.0</v>
      </c>
      <c r="D94" s="158" t="s">
        <v>182</v>
      </c>
      <c r="E94" s="158" t="s">
        <v>186</v>
      </c>
      <c r="F94" s="159">
        <v>7.0</v>
      </c>
      <c r="G94" s="159">
        <v>431.0</v>
      </c>
      <c r="H94" s="333">
        <v>7.0</v>
      </c>
      <c r="I94" s="161">
        <v>0.0</v>
      </c>
      <c r="J94" s="161">
        <v>0.0</v>
      </c>
      <c r="K94" s="161">
        <v>1.0</v>
      </c>
      <c r="L94" s="159">
        <v>6.0</v>
      </c>
      <c r="M94" s="161">
        <v>0.0</v>
      </c>
      <c r="N94" s="161">
        <v>0.0</v>
      </c>
      <c r="O94" s="162">
        <f t="shared" si="213"/>
        <v>7</v>
      </c>
      <c r="P94" s="203">
        <v>7.0</v>
      </c>
      <c r="Q94" s="164">
        <v>0.0</v>
      </c>
      <c r="R94" s="164">
        <v>0.0</v>
      </c>
      <c r="S94" s="164">
        <v>1.0</v>
      </c>
      <c r="T94" s="165">
        <v>6.0</v>
      </c>
      <c r="U94" s="165">
        <v>0.0</v>
      </c>
      <c r="V94" s="165">
        <v>0.0</v>
      </c>
      <c r="W94" s="166">
        <f t="shared" si="225"/>
        <v>7</v>
      </c>
      <c r="X94" s="203">
        <v>6.0</v>
      </c>
      <c r="Y94" s="165">
        <v>0.0</v>
      </c>
      <c r="Z94" s="165"/>
      <c r="AA94" s="165">
        <v>0.0</v>
      </c>
      <c r="AB94" s="165">
        <v>6.0</v>
      </c>
      <c r="AC94" s="165">
        <v>0.0</v>
      </c>
      <c r="AD94" s="165">
        <v>1.0</v>
      </c>
      <c r="AE94" s="166">
        <f t="shared" si="214"/>
        <v>5</v>
      </c>
      <c r="AF94" s="167">
        <v>6.0</v>
      </c>
      <c r="AG94" s="165">
        <v>0.0</v>
      </c>
      <c r="AH94" s="165">
        <v>0.0</v>
      </c>
      <c r="AI94" s="165">
        <v>0.0</v>
      </c>
      <c r="AJ94" s="165">
        <v>6.0</v>
      </c>
      <c r="AK94" s="165">
        <v>0.0</v>
      </c>
      <c r="AL94" s="165">
        <v>0.0</v>
      </c>
      <c r="AM94" s="166">
        <f t="shared" si="215"/>
        <v>6</v>
      </c>
      <c r="AN94" s="167">
        <v>4.0</v>
      </c>
      <c r="AO94" s="165">
        <v>0.0</v>
      </c>
      <c r="AP94" s="165">
        <v>0.0</v>
      </c>
      <c r="AQ94" s="165">
        <v>2.0</v>
      </c>
      <c r="AR94" s="165">
        <v>2.0</v>
      </c>
      <c r="AS94" s="165">
        <v>0.0</v>
      </c>
      <c r="AT94" s="165">
        <v>0.0</v>
      </c>
      <c r="AU94" s="168">
        <f t="shared" si="216"/>
        <v>4</v>
      </c>
      <c r="AV94" s="169">
        <v>431.0</v>
      </c>
      <c r="AW94" s="204">
        <f t="shared" si="8"/>
        <v>4</v>
      </c>
      <c r="AX94" s="197"/>
      <c r="AY94" s="197"/>
      <c r="AZ94" s="197"/>
      <c r="BA94" s="169">
        <v>4.0</v>
      </c>
      <c r="BB94" s="197"/>
      <c r="BC94" s="197"/>
      <c r="BD94" s="197"/>
      <c r="BE94" s="197"/>
      <c r="BF94" s="197"/>
      <c r="BG94" s="197"/>
      <c r="BH94" s="197"/>
      <c r="BI94" s="197"/>
      <c r="BJ94" s="197"/>
      <c r="BK94" s="197"/>
      <c r="BL94" s="197"/>
      <c r="BM94" s="197"/>
      <c r="BN94" s="197"/>
      <c r="BO94" s="197"/>
      <c r="BP94" s="205">
        <f t="shared" si="131"/>
        <v>0</v>
      </c>
      <c r="BQ94" s="173">
        <v>451.0</v>
      </c>
      <c r="BR94" s="170">
        <f t="shared" si="10"/>
        <v>6</v>
      </c>
      <c r="BS94" s="173">
        <v>0.0</v>
      </c>
      <c r="BT94" s="173">
        <v>0.0</v>
      </c>
      <c r="BU94" s="173">
        <v>0.0</v>
      </c>
      <c r="BV94" s="173">
        <v>6.0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172">
        <f t="shared" si="132"/>
        <v>0</v>
      </c>
      <c r="CL94" s="173">
        <v>429.0</v>
      </c>
      <c r="CM94" s="173">
        <v>152.0</v>
      </c>
      <c r="CN94" s="175">
        <f t="shared" si="12"/>
        <v>4</v>
      </c>
      <c r="CO94" s="173">
        <v>0.0</v>
      </c>
      <c r="CP94" s="173">
        <v>0.0</v>
      </c>
      <c r="CQ94" s="173">
        <v>0.0</v>
      </c>
      <c r="CR94" s="173">
        <v>4.0</v>
      </c>
      <c r="CS94" s="6"/>
      <c r="CT94" s="6"/>
      <c r="CU94" s="6"/>
      <c r="CV94" s="6"/>
      <c r="CW94" s="6"/>
      <c r="CX94" s="6"/>
      <c r="CY94" s="6"/>
      <c r="CZ94" s="173">
        <v>2.0</v>
      </c>
      <c r="DA94" s="6"/>
      <c r="DB94" s="6"/>
      <c r="DC94" s="6"/>
      <c r="DD94" s="6"/>
      <c r="DE94" s="6"/>
      <c r="DF94" s="6"/>
      <c r="DG94" s="176">
        <f t="shared" si="13"/>
        <v>2</v>
      </c>
      <c r="DH94" s="177">
        <v>388.0</v>
      </c>
      <c r="DI94" s="177">
        <v>118.0</v>
      </c>
      <c r="DJ94" s="178">
        <v>350.0</v>
      </c>
      <c r="DK94" s="178">
        <v>118.0</v>
      </c>
      <c r="DL94" s="179">
        <f t="shared" si="14"/>
        <v>5</v>
      </c>
      <c r="DM94" s="180">
        <f t="shared" si="15"/>
        <v>0</v>
      </c>
      <c r="DN94" s="180">
        <f t="shared" si="16"/>
        <v>5</v>
      </c>
      <c r="DO94" s="177">
        <v>0.0</v>
      </c>
      <c r="DP94" s="177">
        <v>0.0</v>
      </c>
      <c r="DQ94" s="177">
        <v>0.0</v>
      </c>
      <c r="DR94" s="177">
        <v>5.0</v>
      </c>
      <c r="DS94" s="177">
        <v>0.0</v>
      </c>
      <c r="DT94" s="177">
        <v>0.0</v>
      </c>
      <c r="DU94" s="177">
        <v>0.0</v>
      </c>
      <c r="DV94" s="177">
        <v>0.0</v>
      </c>
      <c r="DW94" s="177">
        <v>0.0</v>
      </c>
      <c r="DX94" s="177">
        <v>0.0</v>
      </c>
      <c r="DY94" s="177">
        <v>0.0</v>
      </c>
      <c r="DZ94" s="177">
        <v>0.0</v>
      </c>
      <c r="EA94" s="177">
        <v>0.0</v>
      </c>
      <c r="EB94" s="177">
        <v>0.0</v>
      </c>
      <c r="EC94" s="177">
        <v>0.0</v>
      </c>
      <c r="ED94" s="177">
        <v>0.0</v>
      </c>
      <c r="EE94" s="177">
        <v>0.0</v>
      </c>
      <c r="EF94" s="177">
        <v>0.0</v>
      </c>
      <c r="EG94" s="179">
        <f t="shared" si="17"/>
        <v>0</v>
      </c>
      <c r="EH94" s="179">
        <f t="shared" si="18"/>
        <v>0</v>
      </c>
      <c r="EI94" s="177">
        <v>389.0</v>
      </c>
      <c r="EJ94" s="177">
        <v>119.0</v>
      </c>
      <c r="EK94" s="178">
        <v>347.0</v>
      </c>
      <c r="EL94" s="178">
        <v>104.0</v>
      </c>
      <c r="EM94" s="185">
        <f t="shared" si="196"/>
        <v>6</v>
      </c>
      <c r="EN94" s="186">
        <f t="shared" si="202"/>
        <v>0</v>
      </c>
      <c r="EO94" s="186">
        <f t="shared" si="90"/>
        <v>6</v>
      </c>
      <c r="EP94" s="227"/>
      <c r="EQ94" s="227"/>
      <c r="ER94" s="227"/>
      <c r="ES94" s="177">
        <v>5.0</v>
      </c>
      <c r="ET94" s="227"/>
      <c r="EU94" s="227"/>
      <c r="EV94" s="227"/>
      <c r="EW94" s="177">
        <v>1.0</v>
      </c>
      <c r="EX94" s="227"/>
      <c r="EY94" s="227"/>
      <c r="EZ94" s="227"/>
      <c r="FA94" s="227"/>
      <c r="FB94" s="227"/>
      <c r="FC94" s="227"/>
      <c r="FD94" s="227"/>
      <c r="FE94" s="227"/>
      <c r="FF94" s="227"/>
      <c r="FG94" s="227"/>
      <c r="FH94" s="185">
        <f t="shared" si="22"/>
        <v>0</v>
      </c>
      <c r="FI94" s="185">
        <f t="shared" si="23"/>
        <v>0</v>
      </c>
      <c r="FJ94" s="283">
        <v>381.0</v>
      </c>
      <c r="FK94" s="284">
        <v>112.0</v>
      </c>
      <c r="FL94" s="284">
        <v>344.0</v>
      </c>
      <c r="FM94" s="284">
        <v>104.0</v>
      </c>
      <c r="FN94" s="336"/>
      <c r="FO94" s="336">
        <v>6.0</v>
      </c>
      <c r="FP94" s="188">
        <f t="shared" si="197"/>
        <v>6</v>
      </c>
      <c r="FQ94" s="211">
        <v>0.0</v>
      </c>
      <c r="FR94" s="212">
        <v>6.0</v>
      </c>
      <c r="FS94" s="335"/>
      <c r="FT94" s="293"/>
      <c r="FU94" s="293"/>
      <c r="FV94" s="207">
        <v>6.0</v>
      </c>
      <c r="FW94" s="293"/>
      <c r="FX94" s="293"/>
      <c r="FY94" s="293"/>
      <c r="FZ94" s="293"/>
      <c r="GA94" s="293"/>
      <c r="GB94" s="293"/>
      <c r="GC94" s="293"/>
      <c r="GD94" s="293"/>
      <c r="GE94" s="293"/>
      <c r="GF94" s="293"/>
      <c r="GG94" s="293"/>
      <c r="GH94" s="293"/>
      <c r="GI94" s="293"/>
      <c r="GJ94" s="293"/>
      <c r="GK94" s="212">
        <v>0.0</v>
      </c>
      <c r="GL94" s="212">
        <v>0.0</v>
      </c>
      <c r="GM94" s="207">
        <v>381.0</v>
      </c>
      <c r="GN94" s="207">
        <v>111.0</v>
      </c>
      <c r="GO94" s="213">
        <v>353.0</v>
      </c>
      <c r="GP94" s="213">
        <v>106.0</v>
      </c>
      <c r="GQ94" s="207"/>
      <c r="GR94" s="213">
        <v>5.0</v>
      </c>
      <c r="GS94" s="193">
        <v>0.0</v>
      </c>
      <c r="GT94" s="194">
        <f t="shared" si="25"/>
        <v>5</v>
      </c>
      <c r="GU94" s="194">
        <f t="shared" si="26"/>
        <v>0</v>
      </c>
      <c r="GV94" s="194">
        <f t="shared" si="27"/>
        <v>5</v>
      </c>
      <c r="GW94" s="207"/>
      <c r="GX94" s="207"/>
      <c r="GY94" s="207"/>
      <c r="GZ94" s="207">
        <v>5.0</v>
      </c>
      <c r="HA94" s="207"/>
      <c r="HB94" s="207"/>
      <c r="HC94" s="207"/>
      <c r="HD94" s="207"/>
      <c r="HE94" s="207"/>
      <c r="HF94" s="207"/>
      <c r="HG94" s="207"/>
      <c r="HH94" s="207">
        <v>1.0</v>
      </c>
      <c r="HI94" s="207"/>
      <c r="HJ94" s="207"/>
      <c r="HK94" s="207"/>
      <c r="HL94" s="207"/>
      <c r="HM94" s="207"/>
      <c r="HN94" s="207"/>
      <c r="HO94" s="222">
        <v>1.0</v>
      </c>
      <c r="HP94" s="222"/>
      <c r="HQ94" s="214"/>
      <c r="HR94" s="197"/>
      <c r="HS94" s="197"/>
      <c r="HT94" s="198">
        <f t="shared" si="28"/>
        <v>7</v>
      </c>
      <c r="HU94" s="198">
        <f t="shared" si="29"/>
        <v>7</v>
      </c>
      <c r="HV94" s="198">
        <f t="shared" si="30"/>
        <v>6</v>
      </c>
      <c r="HW94" s="198">
        <f t="shared" si="99"/>
        <v>6</v>
      </c>
      <c r="HX94" s="198">
        <f t="shared" si="32"/>
        <v>4</v>
      </c>
      <c r="HY94" s="198">
        <f t="shared" si="33"/>
        <v>4</v>
      </c>
      <c r="HZ94" s="198">
        <f t="shared" si="34"/>
        <v>6</v>
      </c>
      <c r="IA94" s="198">
        <f t="shared" si="35"/>
        <v>4</v>
      </c>
      <c r="IB94" s="198">
        <f t="shared" si="36"/>
        <v>5</v>
      </c>
      <c r="IC94" s="198">
        <f t="shared" si="37"/>
        <v>6</v>
      </c>
      <c r="ID94" s="198">
        <f t="shared" si="38"/>
        <v>6</v>
      </c>
      <c r="IE94" s="198">
        <f t="shared" si="39"/>
        <v>5</v>
      </c>
      <c r="IF94" s="197"/>
      <c r="IG94" s="197"/>
      <c r="IH94" s="197"/>
      <c r="II94" s="197"/>
      <c r="IJ94" s="197"/>
      <c r="IK94" s="197"/>
      <c r="IL94" s="197"/>
      <c r="IM94" s="197"/>
      <c r="IN94" s="197"/>
      <c r="IO94" s="197"/>
      <c r="IP94" s="197"/>
      <c r="IQ94" s="197"/>
      <c r="IR94" s="197"/>
      <c r="IS94" s="197"/>
      <c r="IT94" s="197"/>
      <c r="IU94" s="197"/>
      <c r="IV94" s="197"/>
      <c r="IW94" s="197"/>
      <c r="IX94" s="197"/>
      <c r="IY94" s="197"/>
      <c r="IZ94" s="197"/>
      <c r="JA94" s="199"/>
      <c r="JB94" s="200">
        <f t="shared" si="40"/>
        <v>7</v>
      </c>
      <c r="JC94" s="200">
        <f t="shared" si="41"/>
        <v>7</v>
      </c>
      <c r="JD94" s="200">
        <f t="shared" si="42"/>
        <v>6</v>
      </c>
      <c r="JE94" s="200">
        <f t="shared" si="43"/>
        <v>6</v>
      </c>
      <c r="JF94" s="200">
        <f t="shared" si="44"/>
        <v>4</v>
      </c>
      <c r="JG94" s="200">
        <f t="shared" si="45"/>
        <v>4</v>
      </c>
      <c r="JH94" s="200">
        <f t="shared" si="46"/>
        <v>6</v>
      </c>
      <c r="JI94" s="200">
        <f t="shared" si="47"/>
        <v>4</v>
      </c>
      <c r="JJ94" s="200">
        <f t="shared" si="48"/>
        <v>5</v>
      </c>
      <c r="JK94" s="200">
        <f t="shared" si="49"/>
        <v>6</v>
      </c>
      <c r="JL94" s="200">
        <f t="shared" si="50"/>
        <v>6</v>
      </c>
      <c r="JM94" s="200">
        <f t="shared" si="51"/>
        <v>5</v>
      </c>
      <c r="JN94" s="199"/>
      <c r="JO94" s="200">
        <f t="shared" si="52"/>
        <v>7</v>
      </c>
      <c r="JP94" s="202">
        <v>7.0</v>
      </c>
      <c r="JQ94" s="202">
        <v>6.0</v>
      </c>
      <c r="JR94" s="202">
        <v>6.0</v>
      </c>
      <c r="JS94" s="202">
        <v>4.0</v>
      </c>
      <c r="JT94" s="199"/>
      <c r="JU94" s="199"/>
      <c r="JV94" s="200">
        <f t="shared" ref="JV94:JX94" si="244">IA94-JI94</f>
        <v>0</v>
      </c>
      <c r="JW94" s="200">
        <f t="shared" si="244"/>
        <v>0</v>
      </c>
      <c r="JX94" s="200">
        <f t="shared" si="244"/>
        <v>0</v>
      </c>
      <c r="JY94" s="199"/>
      <c r="JZ94" s="199"/>
      <c r="KA94" s="199"/>
      <c r="KB94" s="200">
        <f t="shared" ref="KB94:KM94" si="245">JB94-JO94</f>
        <v>0</v>
      </c>
      <c r="KC94" s="200">
        <f t="shared" si="245"/>
        <v>0</v>
      </c>
      <c r="KD94" s="200">
        <f t="shared" si="245"/>
        <v>0</v>
      </c>
      <c r="KE94" s="200">
        <f t="shared" si="245"/>
        <v>0</v>
      </c>
      <c r="KF94" s="200">
        <f t="shared" si="245"/>
        <v>0</v>
      </c>
      <c r="KG94" s="200">
        <f t="shared" si="245"/>
        <v>4</v>
      </c>
      <c r="KH94" s="200">
        <f t="shared" si="245"/>
        <v>6</v>
      </c>
      <c r="KI94" s="200">
        <f t="shared" si="245"/>
        <v>4</v>
      </c>
      <c r="KJ94" s="200">
        <f t="shared" si="245"/>
        <v>5</v>
      </c>
      <c r="KK94" s="200">
        <f t="shared" si="245"/>
        <v>6</v>
      </c>
      <c r="KL94" s="200">
        <f t="shared" si="245"/>
        <v>6</v>
      </c>
      <c r="KM94" s="200">
        <f t="shared" si="245"/>
        <v>5</v>
      </c>
      <c r="KN94" s="199"/>
      <c r="KO94" s="199"/>
      <c r="KP94" s="199"/>
      <c r="KQ94" s="199"/>
      <c r="KR94" s="199"/>
      <c r="KS94" s="199"/>
      <c r="KT94" s="199"/>
      <c r="KU94" s="199"/>
      <c r="KV94" s="199"/>
      <c r="KW94" s="199"/>
      <c r="KX94" s="199"/>
      <c r="KY94" s="199"/>
      <c r="KZ94" s="199"/>
      <c r="LA94" s="199"/>
      <c r="LB94" s="199"/>
      <c r="LC94" s="199"/>
      <c r="LD94" s="199"/>
      <c r="LE94" s="199"/>
      <c r="LF94" s="199"/>
      <c r="LG94" s="199"/>
    </row>
    <row r="95" ht="14.25" customHeight="1">
      <c r="A95" s="156">
        <v>88.0</v>
      </c>
      <c r="B95" s="157" t="s">
        <v>181</v>
      </c>
      <c r="C95" s="158">
        <v>3374040.0</v>
      </c>
      <c r="D95" s="158" t="s">
        <v>182</v>
      </c>
      <c r="E95" s="158" t="s">
        <v>187</v>
      </c>
      <c r="F95" s="159">
        <v>8.0</v>
      </c>
      <c r="G95" s="159">
        <v>560.0</v>
      </c>
      <c r="H95" s="333">
        <v>14.0</v>
      </c>
      <c r="I95" s="161">
        <v>0.0</v>
      </c>
      <c r="J95" s="161">
        <v>1.0</v>
      </c>
      <c r="K95" s="161">
        <v>1.0</v>
      </c>
      <c r="L95" s="159">
        <v>12.0</v>
      </c>
      <c r="M95" s="161">
        <v>0.0</v>
      </c>
      <c r="N95" s="161">
        <v>0.0</v>
      </c>
      <c r="O95" s="162">
        <f t="shared" si="213"/>
        <v>14</v>
      </c>
      <c r="P95" s="203">
        <v>14.0</v>
      </c>
      <c r="Q95" s="164">
        <v>0.0</v>
      </c>
      <c r="R95" s="164">
        <v>1.0</v>
      </c>
      <c r="S95" s="164">
        <v>1.0</v>
      </c>
      <c r="T95" s="165">
        <v>12.0</v>
      </c>
      <c r="U95" s="165">
        <v>0.0</v>
      </c>
      <c r="V95" s="165">
        <v>0.0</v>
      </c>
      <c r="W95" s="166">
        <f t="shared" si="225"/>
        <v>14</v>
      </c>
      <c r="X95" s="203">
        <v>14.0</v>
      </c>
      <c r="Y95" s="165">
        <v>0.0</v>
      </c>
      <c r="Z95" s="165"/>
      <c r="AA95" s="165">
        <v>2.0</v>
      </c>
      <c r="AB95" s="165">
        <v>12.0</v>
      </c>
      <c r="AC95" s="165">
        <v>0.0</v>
      </c>
      <c r="AD95" s="165">
        <v>0.0</v>
      </c>
      <c r="AE95" s="166">
        <f t="shared" si="214"/>
        <v>14</v>
      </c>
      <c r="AF95" s="167">
        <v>17.0</v>
      </c>
      <c r="AG95" s="165">
        <v>1.0</v>
      </c>
      <c r="AH95" s="165">
        <v>2.0</v>
      </c>
      <c r="AI95" s="165">
        <v>2.0</v>
      </c>
      <c r="AJ95" s="165">
        <v>12.0</v>
      </c>
      <c r="AK95" s="165">
        <v>1.0</v>
      </c>
      <c r="AL95" s="165">
        <v>0.0</v>
      </c>
      <c r="AM95" s="166">
        <f t="shared" si="215"/>
        <v>16</v>
      </c>
      <c r="AN95" s="167">
        <v>13.0</v>
      </c>
      <c r="AO95" s="165">
        <v>0.0</v>
      </c>
      <c r="AP95" s="165">
        <v>2.0</v>
      </c>
      <c r="AQ95" s="165">
        <v>3.0</v>
      </c>
      <c r="AR95" s="165">
        <v>8.0</v>
      </c>
      <c r="AS95" s="165">
        <v>0.0</v>
      </c>
      <c r="AT95" s="165">
        <v>0.0</v>
      </c>
      <c r="AU95" s="168">
        <f t="shared" si="216"/>
        <v>13</v>
      </c>
      <c r="AV95" s="169">
        <v>570.0</v>
      </c>
      <c r="AW95" s="204">
        <f t="shared" si="8"/>
        <v>10</v>
      </c>
      <c r="AX95" s="197"/>
      <c r="AY95" s="197"/>
      <c r="AZ95" s="197"/>
      <c r="BA95" s="169">
        <v>10.0</v>
      </c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205">
        <f t="shared" si="131"/>
        <v>0</v>
      </c>
      <c r="BQ95" s="173">
        <v>663.0</v>
      </c>
      <c r="BR95" s="170">
        <f t="shared" si="10"/>
        <v>11</v>
      </c>
      <c r="BS95" s="173">
        <v>0.0</v>
      </c>
      <c r="BT95" s="173">
        <v>0.0</v>
      </c>
      <c r="BU95" s="173">
        <v>1.0</v>
      </c>
      <c r="BV95" s="173">
        <v>9.0</v>
      </c>
      <c r="BW95" s="6"/>
      <c r="BX95" s="6"/>
      <c r="BY95" s="6"/>
      <c r="BZ95" s="173">
        <v>1.0</v>
      </c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172">
        <f t="shared" si="132"/>
        <v>0</v>
      </c>
      <c r="CL95" s="173">
        <v>615.0</v>
      </c>
      <c r="CM95" s="173">
        <v>207.0</v>
      </c>
      <c r="CN95" s="175">
        <f t="shared" si="12"/>
        <v>14</v>
      </c>
      <c r="CO95" s="173">
        <v>0.0</v>
      </c>
      <c r="CP95" s="173">
        <v>0.0</v>
      </c>
      <c r="CQ95" s="173">
        <v>1.0</v>
      </c>
      <c r="CR95" s="173">
        <v>10.0</v>
      </c>
      <c r="CS95" s="173">
        <v>1.0</v>
      </c>
      <c r="CT95" s="6"/>
      <c r="CU95" s="173">
        <v>1.0</v>
      </c>
      <c r="CV95" s="173">
        <v>1.0</v>
      </c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176">
        <f t="shared" si="13"/>
        <v>0</v>
      </c>
      <c r="DH95" s="177">
        <v>567.0</v>
      </c>
      <c r="DI95" s="177">
        <v>172.0</v>
      </c>
      <c r="DJ95" s="178">
        <v>542.0</v>
      </c>
      <c r="DK95" s="178">
        <v>172.0</v>
      </c>
      <c r="DL95" s="179">
        <f t="shared" si="14"/>
        <v>16</v>
      </c>
      <c r="DM95" s="180">
        <f t="shared" si="15"/>
        <v>2</v>
      </c>
      <c r="DN95" s="180">
        <f t="shared" si="16"/>
        <v>14</v>
      </c>
      <c r="DO95" s="177">
        <v>0.0</v>
      </c>
      <c r="DP95" s="177">
        <v>0.0</v>
      </c>
      <c r="DQ95" s="177">
        <v>2.0</v>
      </c>
      <c r="DR95" s="177">
        <v>14.0</v>
      </c>
      <c r="DS95" s="177">
        <v>0.0</v>
      </c>
      <c r="DT95" s="177">
        <v>0.0</v>
      </c>
      <c r="DU95" s="177">
        <v>0.0</v>
      </c>
      <c r="DV95" s="177">
        <v>0.0</v>
      </c>
      <c r="DW95" s="177">
        <v>0.0</v>
      </c>
      <c r="DX95" s="177">
        <v>0.0</v>
      </c>
      <c r="DY95" s="177">
        <v>0.0</v>
      </c>
      <c r="DZ95" s="177">
        <v>0.0</v>
      </c>
      <c r="EA95" s="177">
        <v>0.0</v>
      </c>
      <c r="EB95" s="177">
        <v>0.0</v>
      </c>
      <c r="EC95" s="177">
        <v>0.0</v>
      </c>
      <c r="ED95" s="177">
        <v>0.0</v>
      </c>
      <c r="EE95" s="177">
        <v>0.0</v>
      </c>
      <c r="EF95" s="177">
        <v>0.0</v>
      </c>
      <c r="EG95" s="179">
        <f t="shared" si="17"/>
        <v>0</v>
      </c>
      <c r="EH95" s="179">
        <f t="shared" si="18"/>
        <v>0</v>
      </c>
      <c r="EI95" s="177">
        <v>555.0</v>
      </c>
      <c r="EJ95" s="177">
        <v>165.0</v>
      </c>
      <c r="EK95" s="178">
        <v>534.0</v>
      </c>
      <c r="EL95" s="178">
        <v>150.0</v>
      </c>
      <c r="EM95" s="185">
        <f t="shared" si="196"/>
        <v>10</v>
      </c>
      <c r="EN95" s="186">
        <f t="shared" si="202"/>
        <v>1</v>
      </c>
      <c r="EO95" s="186">
        <f t="shared" si="90"/>
        <v>9</v>
      </c>
      <c r="EP95" s="227"/>
      <c r="EQ95" s="227"/>
      <c r="ER95" s="177">
        <v>1.0</v>
      </c>
      <c r="ES95" s="177">
        <v>9.0</v>
      </c>
      <c r="ET95" s="227"/>
      <c r="EU95" s="227"/>
      <c r="EV95" s="227"/>
      <c r="EW95" s="227"/>
      <c r="EX95" s="227"/>
      <c r="EY95" s="227"/>
      <c r="EZ95" s="227"/>
      <c r="FA95" s="177">
        <v>5.0</v>
      </c>
      <c r="FB95" s="227"/>
      <c r="FC95" s="227"/>
      <c r="FD95" s="227"/>
      <c r="FE95" s="227"/>
      <c r="FF95" s="227"/>
      <c r="FG95" s="227"/>
      <c r="FH95" s="185">
        <f t="shared" si="22"/>
        <v>5</v>
      </c>
      <c r="FI95" s="185">
        <f t="shared" si="23"/>
        <v>0</v>
      </c>
      <c r="FJ95" s="283">
        <v>550.0</v>
      </c>
      <c r="FK95" s="284">
        <v>170.0</v>
      </c>
      <c r="FL95" s="284">
        <v>527.0</v>
      </c>
      <c r="FM95" s="284">
        <v>155.0</v>
      </c>
      <c r="FN95" s="336"/>
      <c r="FO95" s="336">
        <v>12.0</v>
      </c>
      <c r="FP95" s="188">
        <f t="shared" si="197"/>
        <v>12</v>
      </c>
      <c r="FQ95" s="211">
        <v>2.0</v>
      </c>
      <c r="FR95" s="212">
        <v>10.0</v>
      </c>
      <c r="FS95" s="335"/>
      <c r="FT95" s="293"/>
      <c r="FU95" s="207">
        <v>1.0</v>
      </c>
      <c r="FV95" s="207">
        <v>10.0</v>
      </c>
      <c r="FW95" s="207">
        <v>1.0</v>
      </c>
      <c r="FX95" s="293"/>
      <c r="FY95" s="293"/>
      <c r="FZ95" s="293"/>
      <c r="GA95" s="293"/>
      <c r="GB95" s="293"/>
      <c r="GC95" s="293"/>
      <c r="GD95" s="293"/>
      <c r="GE95" s="293"/>
      <c r="GF95" s="293"/>
      <c r="GG95" s="293"/>
      <c r="GH95" s="293"/>
      <c r="GI95" s="207">
        <v>1.0</v>
      </c>
      <c r="GJ95" s="293"/>
      <c r="GK95" s="212">
        <v>1.0</v>
      </c>
      <c r="GL95" s="212">
        <v>0.0</v>
      </c>
      <c r="GM95" s="207">
        <v>549.0</v>
      </c>
      <c r="GN95" s="207">
        <v>160.0</v>
      </c>
      <c r="GO95" s="213">
        <v>528.0</v>
      </c>
      <c r="GP95" s="213">
        <v>148.0</v>
      </c>
      <c r="GQ95" s="207"/>
      <c r="GR95" s="213">
        <v>12.0</v>
      </c>
      <c r="GS95" s="193">
        <v>2.0</v>
      </c>
      <c r="GT95" s="194">
        <f t="shared" si="25"/>
        <v>12</v>
      </c>
      <c r="GU95" s="194">
        <f t="shared" si="26"/>
        <v>2</v>
      </c>
      <c r="GV95" s="194">
        <f t="shared" si="27"/>
        <v>10</v>
      </c>
      <c r="GW95" s="207"/>
      <c r="GX95" s="207">
        <v>1.0</v>
      </c>
      <c r="GY95" s="207">
        <v>1.0</v>
      </c>
      <c r="GZ95" s="207">
        <v>10.0</v>
      </c>
      <c r="HA95" s="207"/>
      <c r="HB95" s="207"/>
      <c r="HC95" s="207"/>
      <c r="HD95" s="207"/>
      <c r="HE95" s="207"/>
      <c r="HF95" s="207"/>
      <c r="HG95" s="207"/>
      <c r="HH95" s="207"/>
      <c r="HI95" s="207"/>
      <c r="HJ95" s="207"/>
      <c r="HK95" s="207"/>
      <c r="HL95" s="207"/>
      <c r="HM95" s="207"/>
      <c r="HN95" s="207"/>
      <c r="HO95" s="222"/>
      <c r="HP95" s="222"/>
      <c r="HQ95" s="214"/>
      <c r="HR95" s="197"/>
      <c r="HS95" s="197"/>
      <c r="HT95" s="198">
        <f t="shared" si="28"/>
        <v>14</v>
      </c>
      <c r="HU95" s="198">
        <f t="shared" si="29"/>
        <v>14</v>
      </c>
      <c r="HV95" s="198">
        <f t="shared" si="30"/>
        <v>14</v>
      </c>
      <c r="HW95" s="198">
        <f t="shared" si="99"/>
        <v>17</v>
      </c>
      <c r="HX95" s="198">
        <f t="shared" si="32"/>
        <v>13</v>
      </c>
      <c r="HY95" s="198">
        <f t="shared" si="33"/>
        <v>10</v>
      </c>
      <c r="HZ95" s="198">
        <f t="shared" si="34"/>
        <v>11</v>
      </c>
      <c r="IA95" s="198">
        <f t="shared" si="35"/>
        <v>14</v>
      </c>
      <c r="IB95" s="198">
        <f t="shared" si="36"/>
        <v>16</v>
      </c>
      <c r="IC95" s="198">
        <f t="shared" si="37"/>
        <v>10</v>
      </c>
      <c r="ID95" s="198">
        <f t="shared" si="38"/>
        <v>12</v>
      </c>
      <c r="IE95" s="198">
        <f t="shared" si="39"/>
        <v>12</v>
      </c>
      <c r="IF95" s="197"/>
      <c r="IG95" s="197"/>
      <c r="IH95" s="197"/>
      <c r="II95" s="197"/>
      <c r="IJ95" s="197"/>
      <c r="IK95" s="197"/>
      <c r="IL95" s="197"/>
      <c r="IM95" s="197"/>
      <c r="IN95" s="197"/>
      <c r="IO95" s="197"/>
      <c r="IP95" s="197"/>
      <c r="IQ95" s="197"/>
      <c r="IR95" s="197"/>
      <c r="IS95" s="197"/>
      <c r="IT95" s="197"/>
      <c r="IU95" s="197"/>
      <c r="IV95" s="197"/>
      <c r="IW95" s="197"/>
      <c r="IX95" s="197"/>
      <c r="IY95" s="197"/>
      <c r="IZ95" s="197"/>
      <c r="JA95" s="199"/>
      <c r="JB95" s="200">
        <f t="shared" si="40"/>
        <v>14</v>
      </c>
      <c r="JC95" s="200">
        <f t="shared" si="41"/>
        <v>14</v>
      </c>
      <c r="JD95" s="200">
        <f t="shared" si="42"/>
        <v>14</v>
      </c>
      <c r="JE95" s="200">
        <f t="shared" si="43"/>
        <v>17</v>
      </c>
      <c r="JF95" s="200">
        <f t="shared" si="44"/>
        <v>13</v>
      </c>
      <c r="JG95" s="200">
        <f t="shared" si="45"/>
        <v>10</v>
      </c>
      <c r="JH95" s="200">
        <f t="shared" si="46"/>
        <v>11</v>
      </c>
      <c r="JI95" s="200">
        <f t="shared" si="47"/>
        <v>14</v>
      </c>
      <c r="JJ95" s="200">
        <f t="shared" si="48"/>
        <v>16</v>
      </c>
      <c r="JK95" s="200">
        <f t="shared" si="49"/>
        <v>15</v>
      </c>
      <c r="JL95" s="200">
        <f t="shared" si="50"/>
        <v>12</v>
      </c>
      <c r="JM95" s="200">
        <f t="shared" si="51"/>
        <v>12</v>
      </c>
      <c r="JN95" s="199"/>
      <c r="JO95" s="200">
        <f t="shared" si="52"/>
        <v>14</v>
      </c>
      <c r="JP95" s="202">
        <v>14.0</v>
      </c>
      <c r="JQ95" s="202">
        <v>14.0</v>
      </c>
      <c r="JR95" s="202">
        <v>17.0</v>
      </c>
      <c r="JS95" s="202">
        <v>13.0</v>
      </c>
      <c r="JT95" s="199"/>
      <c r="JU95" s="199"/>
      <c r="JV95" s="200">
        <f t="shared" ref="JV95:JX95" si="246">IA95-JI95</f>
        <v>0</v>
      </c>
      <c r="JW95" s="200">
        <f t="shared" si="246"/>
        <v>0</v>
      </c>
      <c r="JX95" s="200">
        <f t="shared" si="246"/>
        <v>-5</v>
      </c>
      <c r="JY95" s="199"/>
      <c r="JZ95" s="199"/>
      <c r="KA95" s="199"/>
      <c r="KB95" s="200">
        <f t="shared" ref="KB95:KM95" si="247">JB95-JO95</f>
        <v>0</v>
      </c>
      <c r="KC95" s="200">
        <f t="shared" si="247"/>
        <v>0</v>
      </c>
      <c r="KD95" s="200">
        <f t="shared" si="247"/>
        <v>0</v>
      </c>
      <c r="KE95" s="200">
        <f t="shared" si="247"/>
        <v>0</v>
      </c>
      <c r="KF95" s="200">
        <f t="shared" si="247"/>
        <v>0</v>
      </c>
      <c r="KG95" s="200">
        <f t="shared" si="247"/>
        <v>10</v>
      </c>
      <c r="KH95" s="200">
        <f t="shared" si="247"/>
        <v>11</v>
      </c>
      <c r="KI95" s="200">
        <f t="shared" si="247"/>
        <v>14</v>
      </c>
      <c r="KJ95" s="200">
        <f t="shared" si="247"/>
        <v>16</v>
      </c>
      <c r="KK95" s="200">
        <f t="shared" si="247"/>
        <v>20</v>
      </c>
      <c r="KL95" s="200">
        <f t="shared" si="247"/>
        <v>12</v>
      </c>
      <c r="KM95" s="200">
        <f t="shared" si="247"/>
        <v>12</v>
      </c>
      <c r="KN95" s="199"/>
      <c r="KO95" s="199"/>
      <c r="KP95" s="199"/>
      <c r="KQ95" s="199"/>
      <c r="KR95" s="199"/>
      <c r="KS95" s="199"/>
      <c r="KT95" s="199"/>
      <c r="KU95" s="199"/>
      <c r="KV95" s="199"/>
      <c r="KW95" s="199"/>
      <c r="KX95" s="199"/>
      <c r="KY95" s="199"/>
      <c r="KZ95" s="199"/>
      <c r="LA95" s="199"/>
      <c r="LB95" s="199"/>
      <c r="LC95" s="199"/>
      <c r="LD95" s="199"/>
      <c r="LE95" s="199"/>
      <c r="LF95" s="199"/>
      <c r="LG95" s="199"/>
    </row>
    <row r="96" ht="14.25" customHeight="1">
      <c r="A96" s="156">
        <v>89.0</v>
      </c>
      <c r="B96" s="157" t="s">
        <v>181</v>
      </c>
      <c r="C96" s="158">
        <v>3374040.0</v>
      </c>
      <c r="D96" s="158" t="s">
        <v>182</v>
      </c>
      <c r="E96" s="158" t="s">
        <v>188</v>
      </c>
      <c r="F96" s="159">
        <v>6.0</v>
      </c>
      <c r="G96" s="159">
        <v>211.0</v>
      </c>
      <c r="H96" s="333">
        <v>4.0</v>
      </c>
      <c r="I96" s="161">
        <v>0.0</v>
      </c>
      <c r="J96" s="161">
        <v>0.0</v>
      </c>
      <c r="K96" s="161">
        <v>2.0</v>
      </c>
      <c r="L96" s="159">
        <v>2.0</v>
      </c>
      <c r="M96" s="161">
        <v>0.0</v>
      </c>
      <c r="N96" s="161">
        <v>0.0</v>
      </c>
      <c r="O96" s="162">
        <f t="shared" si="213"/>
        <v>4</v>
      </c>
      <c r="P96" s="203">
        <v>4.0</v>
      </c>
      <c r="Q96" s="164">
        <v>0.0</v>
      </c>
      <c r="R96" s="164">
        <v>0.0</v>
      </c>
      <c r="S96" s="164">
        <v>2.0</v>
      </c>
      <c r="T96" s="165">
        <v>2.0</v>
      </c>
      <c r="U96" s="165">
        <v>0.0</v>
      </c>
      <c r="V96" s="165">
        <v>0.0</v>
      </c>
      <c r="W96" s="166">
        <f t="shared" si="225"/>
        <v>4</v>
      </c>
      <c r="X96" s="203">
        <v>4.0</v>
      </c>
      <c r="Y96" s="165">
        <v>0.0</v>
      </c>
      <c r="Z96" s="165"/>
      <c r="AA96" s="165">
        <v>1.0</v>
      </c>
      <c r="AB96" s="165">
        <v>3.0</v>
      </c>
      <c r="AC96" s="165">
        <v>0.0</v>
      </c>
      <c r="AD96" s="165">
        <v>0.0</v>
      </c>
      <c r="AE96" s="166">
        <f t="shared" si="214"/>
        <v>4</v>
      </c>
      <c r="AF96" s="167">
        <v>1.0</v>
      </c>
      <c r="AG96" s="165">
        <v>0.0</v>
      </c>
      <c r="AH96" s="165">
        <v>0.0</v>
      </c>
      <c r="AI96" s="165">
        <v>1.0</v>
      </c>
      <c r="AJ96" s="165">
        <v>0.0</v>
      </c>
      <c r="AK96" s="165">
        <v>0.0</v>
      </c>
      <c r="AL96" s="165">
        <v>0.0</v>
      </c>
      <c r="AM96" s="166">
        <f t="shared" si="215"/>
        <v>1</v>
      </c>
      <c r="AN96" s="167">
        <v>2.0</v>
      </c>
      <c r="AO96" s="165">
        <v>0.0</v>
      </c>
      <c r="AP96" s="165">
        <v>0.0</v>
      </c>
      <c r="AQ96" s="165">
        <v>1.0</v>
      </c>
      <c r="AR96" s="165">
        <v>1.0</v>
      </c>
      <c r="AS96" s="165">
        <v>0.0</v>
      </c>
      <c r="AT96" s="165">
        <v>0.0</v>
      </c>
      <c r="AU96" s="168">
        <f t="shared" si="216"/>
        <v>2</v>
      </c>
      <c r="AV96" s="169">
        <v>199.0</v>
      </c>
      <c r="AW96" s="204">
        <f t="shared" si="8"/>
        <v>4</v>
      </c>
      <c r="AX96" s="197"/>
      <c r="AY96" s="197"/>
      <c r="AZ96" s="197"/>
      <c r="BA96" s="169">
        <v>4.0</v>
      </c>
      <c r="BB96" s="197"/>
      <c r="BC96" s="197"/>
      <c r="BD96" s="197"/>
      <c r="BE96" s="197"/>
      <c r="BF96" s="197"/>
      <c r="BG96" s="197"/>
      <c r="BH96" s="197"/>
      <c r="BI96" s="197"/>
      <c r="BJ96" s="197"/>
      <c r="BK96" s="197"/>
      <c r="BL96" s="197"/>
      <c r="BM96" s="197"/>
      <c r="BN96" s="197"/>
      <c r="BO96" s="197"/>
      <c r="BP96" s="205">
        <f t="shared" si="131"/>
        <v>0</v>
      </c>
      <c r="BQ96" s="173">
        <v>186.0</v>
      </c>
      <c r="BR96" s="170">
        <f t="shared" si="10"/>
        <v>3</v>
      </c>
      <c r="BS96" s="173">
        <v>0.0</v>
      </c>
      <c r="BT96" s="173">
        <v>0.0</v>
      </c>
      <c r="BU96" s="173">
        <v>0.0</v>
      </c>
      <c r="BV96" s="173">
        <v>3.0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172">
        <f t="shared" si="132"/>
        <v>0</v>
      </c>
      <c r="CL96" s="173">
        <v>213.0</v>
      </c>
      <c r="CM96" s="173">
        <v>63.0</v>
      </c>
      <c r="CN96" s="175">
        <f t="shared" si="12"/>
        <v>5</v>
      </c>
      <c r="CO96" s="173">
        <v>0.0</v>
      </c>
      <c r="CP96" s="173">
        <v>0.0</v>
      </c>
      <c r="CQ96" s="173">
        <v>0.0</v>
      </c>
      <c r="CR96" s="173">
        <v>3.0</v>
      </c>
      <c r="CS96" s="6"/>
      <c r="CT96" s="6"/>
      <c r="CU96" s="173">
        <v>1.0</v>
      </c>
      <c r="CV96" s="173">
        <v>1.0</v>
      </c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176">
        <f t="shared" si="13"/>
        <v>0</v>
      </c>
      <c r="DH96" s="177">
        <v>208.0</v>
      </c>
      <c r="DI96" s="177">
        <v>56.0</v>
      </c>
      <c r="DJ96" s="178">
        <v>192.0</v>
      </c>
      <c r="DK96" s="178">
        <v>56.0</v>
      </c>
      <c r="DL96" s="179">
        <f t="shared" si="14"/>
        <v>5</v>
      </c>
      <c r="DM96" s="180">
        <f t="shared" si="15"/>
        <v>1</v>
      </c>
      <c r="DN96" s="180">
        <f t="shared" si="16"/>
        <v>4</v>
      </c>
      <c r="DO96" s="177">
        <v>0.0</v>
      </c>
      <c r="DP96" s="177">
        <v>0.0</v>
      </c>
      <c r="DQ96" s="177">
        <v>1.0</v>
      </c>
      <c r="DR96" s="177">
        <v>4.0</v>
      </c>
      <c r="DS96" s="177">
        <v>0.0</v>
      </c>
      <c r="DT96" s="177">
        <v>0.0</v>
      </c>
      <c r="DU96" s="177">
        <v>0.0</v>
      </c>
      <c r="DV96" s="177">
        <v>0.0</v>
      </c>
      <c r="DW96" s="177">
        <v>0.0</v>
      </c>
      <c r="DX96" s="177">
        <v>0.0</v>
      </c>
      <c r="DY96" s="177">
        <v>0.0</v>
      </c>
      <c r="DZ96" s="177">
        <v>0.0</v>
      </c>
      <c r="EA96" s="177">
        <v>0.0</v>
      </c>
      <c r="EB96" s="177">
        <v>0.0</v>
      </c>
      <c r="EC96" s="177">
        <v>0.0</v>
      </c>
      <c r="ED96" s="177">
        <v>0.0</v>
      </c>
      <c r="EE96" s="177">
        <v>0.0</v>
      </c>
      <c r="EF96" s="177">
        <v>0.0</v>
      </c>
      <c r="EG96" s="179">
        <f t="shared" si="17"/>
        <v>0</v>
      </c>
      <c r="EH96" s="179">
        <f t="shared" si="18"/>
        <v>0</v>
      </c>
      <c r="EI96" s="177">
        <v>222.0</v>
      </c>
      <c r="EJ96" s="177">
        <v>64.0</v>
      </c>
      <c r="EK96" s="178">
        <v>208.0</v>
      </c>
      <c r="EL96" s="178">
        <v>62.0</v>
      </c>
      <c r="EM96" s="185">
        <f t="shared" si="196"/>
        <v>5</v>
      </c>
      <c r="EN96" s="186">
        <f t="shared" si="202"/>
        <v>1</v>
      </c>
      <c r="EO96" s="186">
        <f t="shared" si="90"/>
        <v>4</v>
      </c>
      <c r="EP96" s="227"/>
      <c r="EQ96" s="227"/>
      <c r="ER96" s="177">
        <v>1.0</v>
      </c>
      <c r="ES96" s="177">
        <v>4.0</v>
      </c>
      <c r="ET96" s="227"/>
      <c r="EU96" s="227"/>
      <c r="EV96" s="227"/>
      <c r="EW96" s="227"/>
      <c r="EX96" s="227"/>
      <c r="EY96" s="227"/>
      <c r="EZ96" s="227"/>
      <c r="FA96" s="227"/>
      <c r="FB96" s="227"/>
      <c r="FC96" s="227"/>
      <c r="FD96" s="227"/>
      <c r="FE96" s="227"/>
      <c r="FF96" s="227"/>
      <c r="FG96" s="227"/>
      <c r="FH96" s="185">
        <f t="shared" si="22"/>
        <v>0</v>
      </c>
      <c r="FI96" s="185">
        <f t="shared" si="23"/>
        <v>0</v>
      </c>
      <c r="FJ96" s="283">
        <v>214.0</v>
      </c>
      <c r="FK96" s="284">
        <v>62.0</v>
      </c>
      <c r="FL96" s="284">
        <v>201.0</v>
      </c>
      <c r="FM96" s="284">
        <v>56.0</v>
      </c>
      <c r="FN96" s="336"/>
      <c r="FO96" s="336">
        <v>5.0</v>
      </c>
      <c r="FP96" s="188">
        <f t="shared" si="197"/>
        <v>5</v>
      </c>
      <c r="FQ96" s="211">
        <v>1.0</v>
      </c>
      <c r="FR96" s="212">
        <v>4.0</v>
      </c>
      <c r="FS96" s="335"/>
      <c r="FT96" s="293"/>
      <c r="FU96" s="207">
        <v>1.0</v>
      </c>
      <c r="FV96" s="207">
        <v>4.0</v>
      </c>
      <c r="FW96" s="293"/>
      <c r="FX96" s="293"/>
      <c r="FY96" s="293"/>
      <c r="FZ96" s="293"/>
      <c r="GA96" s="293"/>
      <c r="GB96" s="293"/>
      <c r="GC96" s="293"/>
      <c r="GD96" s="293"/>
      <c r="GE96" s="293"/>
      <c r="GF96" s="293"/>
      <c r="GG96" s="293"/>
      <c r="GH96" s="293"/>
      <c r="GI96" s="293"/>
      <c r="GJ96" s="293"/>
      <c r="GK96" s="212">
        <v>0.0</v>
      </c>
      <c r="GL96" s="212">
        <v>0.0</v>
      </c>
      <c r="GM96" s="207">
        <v>212.0</v>
      </c>
      <c r="GN96" s="207">
        <v>57.0</v>
      </c>
      <c r="GO96" s="213">
        <v>200.0</v>
      </c>
      <c r="GP96" s="213">
        <v>52.0</v>
      </c>
      <c r="GQ96" s="207"/>
      <c r="GR96" s="213">
        <v>5.0</v>
      </c>
      <c r="GS96" s="193">
        <v>1.0</v>
      </c>
      <c r="GT96" s="194">
        <f t="shared" si="25"/>
        <v>5</v>
      </c>
      <c r="GU96" s="194">
        <f t="shared" si="26"/>
        <v>1</v>
      </c>
      <c r="GV96" s="194">
        <f t="shared" si="27"/>
        <v>4</v>
      </c>
      <c r="GW96" s="207"/>
      <c r="GX96" s="207"/>
      <c r="GY96" s="207">
        <v>1.0</v>
      </c>
      <c r="GZ96" s="207">
        <v>4.0</v>
      </c>
      <c r="HA96" s="207"/>
      <c r="HB96" s="207"/>
      <c r="HC96" s="207"/>
      <c r="HD96" s="207"/>
      <c r="HE96" s="207"/>
      <c r="HF96" s="207"/>
      <c r="HG96" s="207"/>
      <c r="HH96" s="207"/>
      <c r="HI96" s="207"/>
      <c r="HJ96" s="207"/>
      <c r="HK96" s="207"/>
      <c r="HL96" s="207"/>
      <c r="HM96" s="207"/>
      <c r="HN96" s="207"/>
      <c r="HO96" s="222"/>
      <c r="HP96" s="222"/>
      <c r="HQ96" s="214"/>
      <c r="HR96" s="197"/>
      <c r="HS96" s="197"/>
      <c r="HT96" s="198">
        <f t="shared" si="28"/>
        <v>4</v>
      </c>
      <c r="HU96" s="198">
        <f t="shared" si="29"/>
        <v>4</v>
      </c>
      <c r="HV96" s="198">
        <f t="shared" si="30"/>
        <v>4</v>
      </c>
      <c r="HW96" s="198">
        <f t="shared" si="99"/>
        <v>1</v>
      </c>
      <c r="HX96" s="198">
        <f t="shared" si="32"/>
        <v>2</v>
      </c>
      <c r="HY96" s="198">
        <f t="shared" si="33"/>
        <v>4</v>
      </c>
      <c r="HZ96" s="198">
        <f t="shared" si="34"/>
        <v>3</v>
      </c>
      <c r="IA96" s="198">
        <f t="shared" si="35"/>
        <v>5</v>
      </c>
      <c r="IB96" s="198">
        <f t="shared" si="36"/>
        <v>5</v>
      </c>
      <c r="IC96" s="198">
        <f t="shared" si="37"/>
        <v>5</v>
      </c>
      <c r="ID96" s="198">
        <f t="shared" si="38"/>
        <v>5</v>
      </c>
      <c r="IE96" s="198">
        <f t="shared" si="39"/>
        <v>5</v>
      </c>
      <c r="IF96" s="197"/>
      <c r="IG96" s="197"/>
      <c r="IH96" s="197"/>
      <c r="II96" s="197"/>
      <c r="IJ96" s="197"/>
      <c r="IK96" s="197"/>
      <c r="IL96" s="197"/>
      <c r="IM96" s="197"/>
      <c r="IN96" s="197"/>
      <c r="IO96" s="197"/>
      <c r="IP96" s="197"/>
      <c r="IQ96" s="197"/>
      <c r="IR96" s="197"/>
      <c r="IS96" s="197"/>
      <c r="IT96" s="197"/>
      <c r="IU96" s="197"/>
      <c r="IV96" s="197"/>
      <c r="IW96" s="197"/>
      <c r="IX96" s="197"/>
      <c r="IY96" s="197"/>
      <c r="IZ96" s="197"/>
      <c r="JA96" s="199"/>
      <c r="JB96" s="200">
        <f t="shared" si="40"/>
        <v>4</v>
      </c>
      <c r="JC96" s="200">
        <f t="shared" si="41"/>
        <v>4</v>
      </c>
      <c r="JD96" s="200">
        <f t="shared" si="42"/>
        <v>4</v>
      </c>
      <c r="JE96" s="200">
        <f t="shared" si="43"/>
        <v>1</v>
      </c>
      <c r="JF96" s="200">
        <f t="shared" si="44"/>
        <v>2</v>
      </c>
      <c r="JG96" s="200">
        <f t="shared" si="45"/>
        <v>4</v>
      </c>
      <c r="JH96" s="200">
        <f t="shared" si="46"/>
        <v>3</v>
      </c>
      <c r="JI96" s="200">
        <f t="shared" si="47"/>
        <v>5</v>
      </c>
      <c r="JJ96" s="200">
        <f t="shared" si="48"/>
        <v>5</v>
      </c>
      <c r="JK96" s="200">
        <f t="shared" si="49"/>
        <v>5</v>
      </c>
      <c r="JL96" s="200">
        <f t="shared" si="50"/>
        <v>5</v>
      </c>
      <c r="JM96" s="200">
        <f t="shared" si="51"/>
        <v>5</v>
      </c>
      <c r="JN96" s="199"/>
      <c r="JO96" s="200">
        <f t="shared" si="52"/>
        <v>4</v>
      </c>
      <c r="JP96" s="202">
        <v>4.0</v>
      </c>
      <c r="JQ96" s="202">
        <v>4.0</v>
      </c>
      <c r="JR96" s="202">
        <v>1.0</v>
      </c>
      <c r="JS96" s="202">
        <v>2.0</v>
      </c>
      <c r="JT96" s="199"/>
      <c r="JU96" s="199"/>
      <c r="JV96" s="200">
        <f t="shared" ref="JV96:JX96" si="248">IA96-JI96</f>
        <v>0</v>
      </c>
      <c r="JW96" s="200">
        <f t="shared" si="248"/>
        <v>0</v>
      </c>
      <c r="JX96" s="200">
        <f t="shared" si="248"/>
        <v>0</v>
      </c>
      <c r="JY96" s="199"/>
      <c r="JZ96" s="199"/>
      <c r="KA96" s="199"/>
      <c r="KB96" s="200">
        <f t="shared" ref="KB96:KM96" si="249">JB96-JO96</f>
        <v>0</v>
      </c>
      <c r="KC96" s="200">
        <f t="shared" si="249"/>
        <v>0</v>
      </c>
      <c r="KD96" s="200">
        <f t="shared" si="249"/>
        <v>0</v>
      </c>
      <c r="KE96" s="200">
        <f t="shared" si="249"/>
        <v>0</v>
      </c>
      <c r="KF96" s="200">
        <f t="shared" si="249"/>
        <v>0</v>
      </c>
      <c r="KG96" s="200">
        <f t="shared" si="249"/>
        <v>4</v>
      </c>
      <c r="KH96" s="200">
        <f t="shared" si="249"/>
        <v>3</v>
      </c>
      <c r="KI96" s="200">
        <f t="shared" si="249"/>
        <v>5</v>
      </c>
      <c r="KJ96" s="200">
        <f t="shared" si="249"/>
        <v>5</v>
      </c>
      <c r="KK96" s="200">
        <f t="shared" si="249"/>
        <v>5</v>
      </c>
      <c r="KL96" s="200">
        <f t="shared" si="249"/>
        <v>5</v>
      </c>
      <c r="KM96" s="200">
        <f t="shared" si="249"/>
        <v>5</v>
      </c>
      <c r="KN96" s="199"/>
      <c r="KO96" s="199"/>
      <c r="KP96" s="199"/>
      <c r="KQ96" s="199"/>
      <c r="KR96" s="199"/>
      <c r="KS96" s="199"/>
      <c r="KT96" s="199"/>
      <c r="KU96" s="199"/>
      <c r="KV96" s="199"/>
      <c r="KW96" s="199"/>
      <c r="KX96" s="199"/>
      <c r="KY96" s="199"/>
      <c r="KZ96" s="199"/>
      <c r="LA96" s="199"/>
      <c r="LB96" s="199"/>
      <c r="LC96" s="199"/>
      <c r="LD96" s="199"/>
      <c r="LE96" s="199"/>
      <c r="LF96" s="199"/>
      <c r="LG96" s="199"/>
    </row>
    <row r="97" ht="14.25" customHeight="1">
      <c r="A97" s="156">
        <v>90.0</v>
      </c>
      <c r="B97" s="157" t="s">
        <v>181</v>
      </c>
      <c r="C97" s="158">
        <v>3374040.0</v>
      </c>
      <c r="D97" s="158" t="s">
        <v>182</v>
      </c>
      <c r="E97" s="158" t="s">
        <v>189</v>
      </c>
      <c r="F97" s="159">
        <v>5.0</v>
      </c>
      <c r="G97" s="159">
        <v>194.0</v>
      </c>
      <c r="H97" s="333">
        <v>2.0</v>
      </c>
      <c r="I97" s="161">
        <v>0.0</v>
      </c>
      <c r="J97" s="161">
        <v>0.0</v>
      </c>
      <c r="K97" s="161">
        <v>0.0</v>
      </c>
      <c r="L97" s="159">
        <v>2.0</v>
      </c>
      <c r="M97" s="161">
        <v>0.0</v>
      </c>
      <c r="N97" s="161">
        <v>0.0</v>
      </c>
      <c r="O97" s="162">
        <f t="shared" si="213"/>
        <v>2</v>
      </c>
      <c r="P97" s="203">
        <v>2.0</v>
      </c>
      <c r="Q97" s="164">
        <v>0.0</v>
      </c>
      <c r="R97" s="164">
        <v>0.0</v>
      </c>
      <c r="S97" s="164">
        <v>0.0</v>
      </c>
      <c r="T97" s="165">
        <v>2.0</v>
      </c>
      <c r="U97" s="165">
        <v>0.0</v>
      </c>
      <c r="V97" s="165">
        <v>0.0</v>
      </c>
      <c r="W97" s="166">
        <f t="shared" si="225"/>
        <v>2</v>
      </c>
      <c r="X97" s="203">
        <v>2.0</v>
      </c>
      <c r="Y97" s="165">
        <v>0.0</v>
      </c>
      <c r="Z97" s="165"/>
      <c r="AA97" s="165">
        <v>0.0</v>
      </c>
      <c r="AB97" s="165">
        <v>2.0</v>
      </c>
      <c r="AC97" s="165">
        <v>0.0</v>
      </c>
      <c r="AD97" s="165">
        <v>0.0</v>
      </c>
      <c r="AE97" s="166">
        <f t="shared" si="214"/>
        <v>2</v>
      </c>
      <c r="AF97" s="167">
        <v>0.0</v>
      </c>
      <c r="AG97" s="165">
        <v>0.0</v>
      </c>
      <c r="AH97" s="165">
        <v>0.0</v>
      </c>
      <c r="AI97" s="165">
        <v>0.0</v>
      </c>
      <c r="AJ97" s="165">
        <v>0.0</v>
      </c>
      <c r="AK97" s="165">
        <v>0.0</v>
      </c>
      <c r="AL97" s="165">
        <v>0.0</v>
      </c>
      <c r="AM97" s="166">
        <f t="shared" si="215"/>
        <v>0</v>
      </c>
      <c r="AN97" s="167">
        <v>3.0</v>
      </c>
      <c r="AO97" s="165">
        <v>0.0</v>
      </c>
      <c r="AP97" s="165">
        <v>0.0</v>
      </c>
      <c r="AQ97" s="165">
        <v>1.0</v>
      </c>
      <c r="AR97" s="165">
        <v>2.0</v>
      </c>
      <c r="AS97" s="165">
        <v>0.0</v>
      </c>
      <c r="AT97" s="165">
        <v>0.0</v>
      </c>
      <c r="AU97" s="168">
        <f t="shared" si="216"/>
        <v>3</v>
      </c>
      <c r="AV97" s="169">
        <v>213.0</v>
      </c>
      <c r="AW97" s="204">
        <f t="shared" si="8"/>
        <v>2</v>
      </c>
      <c r="AX97" s="197"/>
      <c r="AY97" s="197"/>
      <c r="AZ97" s="197"/>
      <c r="BA97" s="169">
        <v>2.0</v>
      </c>
      <c r="BB97" s="197"/>
      <c r="BC97" s="197"/>
      <c r="BD97" s="197"/>
      <c r="BE97" s="197"/>
      <c r="BF97" s="197"/>
      <c r="BG97" s="197"/>
      <c r="BH97" s="197"/>
      <c r="BI97" s="197"/>
      <c r="BJ97" s="197"/>
      <c r="BK97" s="197"/>
      <c r="BL97" s="197"/>
      <c r="BM97" s="197"/>
      <c r="BN97" s="197"/>
      <c r="BO97" s="197"/>
      <c r="BP97" s="205">
        <f t="shared" si="131"/>
        <v>0</v>
      </c>
      <c r="BQ97" s="173">
        <v>165.0</v>
      </c>
      <c r="BR97" s="170">
        <f t="shared" si="10"/>
        <v>2</v>
      </c>
      <c r="BS97" s="173">
        <v>0.0</v>
      </c>
      <c r="BT97" s="173">
        <v>0.0</v>
      </c>
      <c r="BU97" s="173">
        <v>0.0</v>
      </c>
      <c r="BV97" s="173">
        <v>2.0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172">
        <f t="shared" si="132"/>
        <v>0</v>
      </c>
      <c r="CL97" s="173">
        <v>164.0</v>
      </c>
      <c r="CM97" s="173">
        <v>48.0</v>
      </c>
      <c r="CN97" s="175">
        <f t="shared" si="12"/>
        <v>2</v>
      </c>
      <c r="CO97" s="173">
        <v>0.0</v>
      </c>
      <c r="CP97" s="173">
        <v>0.0</v>
      </c>
      <c r="CQ97" s="173">
        <v>0.0</v>
      </c>
      <c r="CR97" s="173">
        <v>2.0</v>
      </c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176">
        <f t="shared" si="13"/>
        <v>0</v>
      </c>
      <c r="DH97" s="177">
        <v>184.0</v>
      </c>
      <c r="DI97" s="177">
        <v>51.0</v>
      </c>
      <c r="DJ97" s="178">
        <v>148.0</v>
      </c>
      <c r="DK97" s="178">
        <v>51.0</v>
      </c>
      <c r="DL97" s="179">
        <f t="shared" si="14"/>
        <v>2</v>
      </c>
      <c r="DM97" s="180">
        <f t="shared" si="15"/>
        <v>0</v>
      </c>
      <c r="DN97" s="180">
        <f t="shared" si="16"/>
        <v>2</v>
      </c>
      <c r="DO97" s="177">
        <v>0.0</v>
      </c>
      <c r="DP97" s="177">
        <v>0.0</v>
      </c>
      <c r="DQ97" s="177">
        <v>0.0</v>
      </c>
      <c r="DR97" s="177">
        <v>2.0</v>
      </c>
      <c r="DS97" s="177">
        <v>0.0</v>
      </c>
      <c r="DT97" s="177">
        <v>0.0</v>
      </c>
      <c r="DU97" s="177">
        <v>0.0</v>
      </c>
      <c r="DV97" s="177">
        <v>0.0</v>
      </c>
      <c r="DW97" s="177">
        <v>0.0</v>
      </c>
      <c r="DX97" s="177">
        <v>0.0</v>
      </c>
      <c r="DY97" s="177">
        <v>0.0</v>
      </c>
      <c r="DZ97" s="177">
        <v>0.0</v>
      </c>
      <c r="EA97" s="177">
        <v>0.0</v>
      </c>
      <c r="EB97" s="177">
        <v>0.0</v>
      </c>
      <c r="EC97" s="177">
        <v>0.0</v>
      </c>
      <c r="ED97" s="177">
        <v>0.0</v>
      </c>
      <c r="EE97" s="177">
        <v>0.0</v>
      </c>
      <c r="EF97" s="177">
        <v>0.0</v>
      </c>
      <c r="EG97" s="179">
        <f t="shared" si="17"/>
        <v>0</v>
      </c>
      <c r="EH97" s="179">
        <f t="shared" si="18"/>
        <v>0</v>
      </c>
      <c r="EI97" s="177">
        <v>186.0</v>
      </c>
      <c r="EJ97" s="177">
        <v>52.0</v>
      </c>
      <c r="EK97" s="178">
        <v>149.0</v>
      </c>
      <c r="EL97" s="178">
        <v>40.0</v>
      </c>
      <c r="EM97" s="185">
        <f t="shared" si="196"/>
        <v>2</v>
      </c>
      <c r="EN97" s="186">
        <f t="shared" si="202"/>
        <v>0</v>
      </c>
      <c r="EO97" s="186">
        <f t="shared" si="90"/>
        <v>2</v>
      </c>
      <c r="EP97" s="227"/>
      <c r="EQ97" s="227"/>
      <c r="ER97" s="227"/>
      <c r="ES97" s="177">
        <v>2.0</v>
      </c>
      <c r="ET97" s="227"/>
      <c r="EU97" s="227"/>
      <c r="EV97" s="227"/>
      <c r="EW97" s="227"/>
      <c r="EX97" s="227"/>
      <c r="EY97" s="227"/>
      <c r="EZ97" s="227"/>
      <c r="FA97" s="227"/>
      <c r="FB97" s="227"/>
      <c r="FC97" s="227"/>
      <c r="FD97" s="227"/>
      <c r="FE97" s="227"/>
      <c r="FF97" s="227"/>
      <c r="FG97" s="227"/>
      <c r="FH97" s="185">
        <f t="shared" si="22"/>
        <v>0</v>
      </c>
      <c r="FI97" s="185">
        <f t="shared" si="23"/>
        <v>0</v>
      </c>
      <c r="FJ97" s="283">
        <v>181.0</v>
      </c>
      <c r="FK97" s="284">
        <v>52.0</v>
      </c>
      <c r="FL97" s="284">
        <v>168.0</v>
      </c>
      <c r="FM97" s="284">
        <v>46.0</v>
      </c>
      <c r="FN97" s="336"/>
      <c r="FO97" s="336">
        <v>2.0</v>
      </c>
      <c r="FP97" s="188">
        <f t="shared" si="197"/>
        <v>2</v>
      </c>
      <c r="FQ97" s="211">
        <v>0.0</v>
      </c>
      <c r="FR97" s="212">
        <v>2.0</v>
      </c>
      <c r="FS97" s="335"/>
      <c r="FT97" s="293"/>
      <c r="FU97" s="293"/>
      <c r="FV97" s="207">
        <v>2.0</v>
      </c>
      <c r="FW97" s="293"/>
      <c r="FX97" s="293"/>
      <c r="FY97" s="293"/>
      <c r="FZ97" s="293"/>
      <c r="GA97" s="293"/>
      <c r="GB97" s="293"/>
      <c r="GC97" s="293"/>
      <c r="GD97" s="293"/>
      <c r="GE97" s="293"/>
      <c r="GF97" s="293"/>
      <c r="GG97" s="293"/>
      <c r="GH97" s="293"/>
      <c r="GI97" s="293"/>
      <c r="GJ97" s="293"/>
      <c r="GK97" s="212">
        <v>0.0</v>
      </c>
      <c r="GL97" s="212">
        <v>0.0</v>
      </c>
      <c r="GM97" s="207">
        <v>170.0</v>
      </c>
      <c r="GN97" s="207">
        <v>51.0</v>
      </c>
      <c r="GO97" s="213">
        <v>159.0</v>
      </c>
      <c r="GP97" s="213">
        <v>45.0</v>
      </c>
      <c r="GQ97" s="207"/>
      <c r="GR97" s="213">
        <v>2.0</v>
      </c>
      <c r="GS97" s="193">
        <v>0.0</v>
      </c>
      <c r="GT97" s="194">
        <f t="shared" si="25"/>
        <v>2</v>
      </c>
      <c r="GU97" s="194">
        <f t="shared" si="26"/>
        <v>0</v>
      </c>
      <c r="GV97" s="194">
        <f t="shared" si="27"/>
        <v>2</v>
      </c>
      <c r="GW97" s="207"/>
      <c r="GX97" s="207"/>
      <c r="GY97" s="207"/>
      <c r="GZ97" s="207">
        <v>2.0</v>
      </c>
      <c r="HA97" s="207"/>
      <c r="HB97" s="207"/>
      <c r="HC97" s="207"/>
      <c r="HD97" s="207"/>
      <c r="HE97" s="207"/>
      <c r="HF97" s="207"/>
      <c r="HG97" s="207"/>
      <c r="HH97" s="207"/>
      <c r="HI97" s="207"/>
      <c r="HJ97" s="207"/>
      <c r="HK97" s="207"/>
      <c r="HL97" s="207"/>
      <c r="HM97" s="207"/>
      <c r="HN97" s="207"/>
      <c r="HO97" s="222"/>
      <c r="HP97" s="222"/>
      <c r="HQ97" s="214"/>
      <c r="HR97" s="197"/>
      <c r="HS97" s="197"/>
      <c r="HT97" s="198">
        <f t="shared" si="28"/>
        <v>2</v>
      </c>
      <c r="HU97" s="198">
        <f t="shared" si="29"/>
        <v>2</v>
      </c>
      <c r="HV97" s="198">
        <f t="shared" si="30"/>
        <v>2</v>
      </c>
      <c r="HW97" s="198">
        <f t="shared" si="99"/>
        <v>0</v>
      </c>
      <c r="HX97" s="198">
        <f t="shared" si="32"/>
        <v>3</v>
      </c>
      <c r="HY97" s="198">
        <f t="shared" si="33"/>
        <v>2</v>
      </c>
      <c r="HZ97" s="198">
        <f t="shared" si="34"/>
        <v>2</v>
      </c>
      <c r="IA97" s="198">
        <f t="shared" si="35"/>
        <v>2</v>
      </c>
      <c r="IB97" s="198">
        <f t="shared" si="36"/>
        <v>2</v>
      </c>
      <c r="IC97" s="198">
        <f t="shared" si="37"/>
        <v>2</v>
      </c>
      <c r="ID97" s="198">
        <f t="shared" si="38"/>
        <v>2</v>
      </c>
      <c r="IE97" s="198">
        <f t="shared" si="39"/>
        <v>2</v>
      </c>
      <c r="IF97" s="197"/>
      <c r="IG97" s="197"/>
      <c r="IH97" s="197"/>
      <c r="II97" s="197"/>
      <c r="IJ97" s="197"/>
      <c r="IK97" s="197"/>
      <c r="IL97" s="197"/>
      <c r="IM97" s="197"/>
      <c r="IN97" s="197"/>
      <c r="IO97" s="197"/>
      <c r="IP97" s="197"/>
      <c r="IQ97" s="197"/>
      <c r="IR97" s="197"/>
      <c r="IS97" s="197"/>
      <c r="IT97" s="197"/>
      <c r="IU97" s="197"/>
      <c r="IV97" s="197"/>
      <c r="IW97" s="197"/>
      <c r="IX97" s="197"/>
      <c r="IY97" s="197"/>
      <c r="IZ97" s="197"/>
      <c r="JA97" s="199"/>
      <c r="JB97" s="200">
        <f t="shared" si="40"/>
        <v>2</v>
      </c>
      <c r="JC97" s="200">
        <f t="shared" si="41"/>
        <v>2</v>
      </c>
      <c r="JD97" s="200">
        <f t="shared" si="42"/>
        <v>2</v>
      </c>
      <c r="JE97" s="200">
        <f t="shared" si="43"/>
        <v>0</v>
      </c>
      <c r="JF97" s="200">
        <f t="shared" si="44"/>
        <v>3</v>
      </c>
      <c r="JG97" s="200">
        <f t="shared" si="45"/>
        <v>2</v>
      </c>
      <c r="JH97" s="200">
        <f t="shared" si="46"/>
        <v>2</v>
      </c>
      <c r="JI97" s="200">
        <f t="shared" si="47"/>
        <v>2</v>
      </c>
      <c r="JJ97" s="200">
        <f t="shared" si="48"/>
        <v>2</v>
      </c>
      <c r="JK97" s="200">
        <f t="shared" si="49"/>
        <v>2</v>
      </c>
      <c r="JL97" s="200">
        <f t="shared" si="50"/>
        <v>2</v>
      </c>
      <c r="JM97" s="200">
        <f t="shared" si="51"/>
        <v>2</v>
      </c>
      <c r="JN97" s="199"/>
      <c r="JO97" s="200">
        <f t="shared" si="52"/>
        <v>2</v>
      </c>
      <c r="JP97" s="202">
        <v>2.0</v>
      </c>
      <c r="JQ97" s="202">
        <v>2.0</v>
      </c>
      <c r="JR97" s="202">
        <v>0.0</v>
      </c>
      <c r="JS97" s="202">
        <v>3.0</v>
      </c>
      <c r="JT97" s="199"/>
      <c r="JU97" s="199"/>
      <c r="JV97" s="200">
        <f t="shared" ref="JV97:JX97" si="250">IA97-JI97</f>
        <v>0</v>
      </c>
      <c r="JW97" s="200">
        <f t="shared" si="250"/>
        <v>0</v>
      </c>
      <c r="JX97" s="200">
        <f t="shared" si="250"/>
        <v>0</v>
      </c>
      <c r="JY97" s="199"/>
      <c r="JZ97" s="199"/>
      <c r="KA97" s="199"/>
      <c r="KB97" s="200">
        <f t="shared" ref="KB97:KM97" si="251">JB97-JO97</f>
        <v>0</v>
      </c>
      <c r="KC97" s="200">
        <f t="shared" si="251"/>
        <v>0</v>
      </c>
      <c r="KD97" s="200">
        <f t="shared" si="251"/>
        <v>0</v>
      </c>
      <c r="KE97" s="200">
        <f t="shared" si="251"/>
        <v>0</v>
      </c>
      <c r="KF97" s="200">
        <f t="shared" si="251"/>
        <v>0</v>
      </c>
      <c r="KG97" s="200">
        <f t="shared" si="251"/>
        <v>2</v>
      </c>
      <c r="KH97" s="200">
        <f t="shared" si="251"/>
        <v>2</v>
      </c>
      <c r="KI97" s="200">
        <f t="shared" si="251"/>
        <v>2</v>
      </c>
      <c r="KJ97" s="200">
        <f t="shared" si="251"/>
        <v>2</v>
      </c>
      <c r="KK97" s="200">
        <f t="shared" si="251"/>
        <v>2</v>
      </c>
      <c r="KL97" s="200">
        <f t="shared" si="251"/>
        <v>2</v>
      </c>
      <c r="KM97" s="200">
        <f t="shared" si="251"/>
        <v>2</v>
      </c>
      <c r="KN97" s="199"/>
      <c r="KO97" s="199"/>
      <c r="KP97" s="199"/>
      <c r="KQ97" s="199"/>
      <c r="KR97" s="199"/>
      <c r="KS97" s="199"/>
      <c r="KT97" s="199"/>
      <c r="KU97" s="199"/>
      <c r="KV97" s="199"/>
      <c r="KW97" s="199"/>
      <c r="KX97" s="199"/>
      <c r="KY97" s="199"/>
      <c r="KZ97" s="199"/>
      <c r="LA97" s="199"/>
      <c r="LB97" s="199"/>
      <c r="LC97" s="199"/>
      <c r="LD97" s="199"/>
      <c r="LE97" s="199"/>
      <c r="LF97" s="199"/>
      <c r="LG97" s="199"/>
    </row>
    <row r="98" ht="14.25" customHeight="1">
      <c r="A98" s="156">
        <v>91.0</v>
      </c>
      <c r="B98" s="157" t="s">
        <v>181</v>
      </c>
      <c r="C98" s="158">
        <v>3374040.0</v>
      </c>
      <c r="D98" s="158" t="s">
        <v>182</v>
      </c>
      <c r="E98" s="158" t="s">
        <v>190</v>
      </c>
      <c r="F98" s="159">
        <v>5.0</v>
      </c>
      <c r="G98" s="159">
        <v>215.0</v>
      </c>
      <c r="H98" s="333">
        <v>1.0</v>
      </c>
      <c r="I98" s="161">
        <v>0.0</v>
      </c>
      <c r="J98" s="161">
        <v>0.0</v>
      </c>
      <c r="K98" s="161">
        <v>0.0</v>
      </c>
      <c r="L98" s="159">
        <v>1.0</v>
      </c>
      <c r="M98" s="161">
        <v>0.0</v>
      </c>
      <c r="N98" s="161">
        <v>0.0</v>
      </c>
      <c r="O98" s="162">
        <f t="shared" si="213"/>
        <v>1</v>
      </c>
      <c r="P98" s="203">
        <v>1.0</v>
      </c>
      <c r="Q98" s="164">
        <v>0.0</v>
      </c>
      <c r="R98" s="164">
        <v>0.0</v>
      </c>
      <c r="S98" s="164">
        <v>0.0</v>
      </c>
      <c r="T98" s="165">
        <v>1.0</v>
      </c>
      <c r="U98" s="165">
        <v>0.0</v>
      </c>
      <c r="V98" s="165">
        <v>0.0</v>
      </c>
      <c r="W98" s="166">
        <f t="shared" si="225"/>
        <v>1</v>
      </c>
      <c r="X98" s="203">
        <v>4.0</v>
      </c>
      <c r="Y98" s="165">
        <v>2.0</v>
      </c>
      <c r="Z98" s="165"/>
      <c r="AA98" s="165">
        <v>1.0</v>
      </c>
      <c r="AB98" s="165">
        <v>1.0</v>
      </c>
      <c r="AC98" s="165">
        <v>3.0</v>
      </c>
      <c r="AD98" s="165">
        <v>0.0</v>
      </c>
      <c r="AE98" s="166">
        <f t="shared" si="214"/>
        <v>1</v>
      </c>
      <c r="AF98" s="167">
        <v>2.0</v>
      </c>
      <c r="AG98" s="165">
        <v>0.0</v>
      </c>
      <c r="AH98" s="165">
        <v>0.0</v>
      </c>
      <c r="AI98" s="165">
        <v>0.0</v>
      </c>
      <c r="AJ98" s="165">
        <v>2.0</v>
      </c>
      <c r="AK98" s="165">
        <v>0.0</v>
      </c>
      <c r="AL98" s="165">
        <v>2.0</v>
      </c>
      <c r="AM98" s="166">
        <f t="shared" si="215"/>
        <v>0</v>
      </c>
      <c r="AN98" s="167">
        <v>3.0</v>
      </c>
      <c r="AO98" s="165">
        <v>0.0</v>
      </c>
      <c r="AP98" s="165">
        <v>0.0</v>
      </c>
      <c r="AQ98" s="165">
        <v>2.0</v>
      </c>
      <c r="AR98" s="165">
        <v>1.0</v>
      </c>
      <c r="AS98" s="165">
        <v>0.0</v>
      </c>
      <c r="AT98" s="165">
        <v>0.0</v>
      </c>
      <c r="AU98" s="168">
        <f t="shared" si="216"/>
        <v>3</v>
      </c>
      <c r="AV98" s="169">
        <v>161.0</v>
      </c>
      <c r="AW98" s="204">
        <f t="shared" si="8"/>
        <v>1</v>
      </c>
      <c r="AX98" s="197"/>
      <c r="AY98" s="197"/>
      <c r="AZ98" s="197"/>
      <c r="BA98" s="169">
        <v>1.0</v>
      </c>
      <c r="BB98" s="197"/>
      <c r="BC98" s="197"/>
      <c r="BD98" s="197"/>
      <c r="BE98" s="197"/>
      <c r="BF98" s="197"/>
      <c r="BG98" s="197"/>
      <c r="BH98" s="197"/>
      <c r="BI98" s="197"/>
      <c r="BJ98" s="197"/>
      <c r="BK98" s="197"/>
      <c r="BL98" s="197"/>
      <c r="BM98" s="197"/>
      <c r="BN98" s="197"/>
      <c r="BO98" s="197"/>
      <c r="BP98" s="205">
        <f t="shared" si="131"/>
        <v>0</v>
      </c>
      <c r="BQ98" s="173">
        <v>126.0</v>
      </c>
      <c r="BR98" s="170">
        <f t="shared" si="10"/>
        <v>2</v>
      </c>
      <c r="BS98" s="173">
        <v>0.0</v>
      </c>
      <c r="BT98" s="173">
        <v>0.0</v>
      </c>
      <c r="BU98" s="173">
        <v>0.0</v>
      </c>
      <c r="BV98" s="173">
        <v>2.0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172">
        <f t="shared" si="132"/>
        <v>0</v>
      </c>
      <c r="CL98" s="173">
        <v>173.0</v>
      </c>
      <c r="CM98" s="173">
        <v>63.0</v>
      </c>
      <c r="CN98" s="175">
        <f t="shared" si="12"/>
        <v>1</v>
      </c>
      <c r="CO98" s="173">
        <v>0.0</v>
      </c>
      <c r="CP98" s="173">
        <v>0.0</v>
      </c>
      <c r="CQ98" s="173">
        <v>0.0</v>
      </c>
      <c r="CR98" s="173">
        <v>1.0</v>
      </c>
      <c r="CS98" s="6"/>
      <c r="CT98" s="6"/>
      <c r="CU98" s="6"/>
      <c r="CV98" s="6"/>
      <c r="CW98" s="6"/>
      <c r="CX98" s="6"/>
      <c r="CY98" s="6"/>
      <c r="CZ98" s="173">
        <v>1.0</v>
      </c>
      <c r="DA98" s="6"/>
      <c r="DB98" s="6"/>
      <c r="DC98" s="6"/>
      <c r="DD98" s="6"/>
      <c r="DE98" s="6"/>
      <c r="DF98" s="6"/>
      <c r="DG98" s="176">
        <f t="shared" si="13"/>
        <v>1</v>
      </c>
      <c r="DH98" s="177">
        <v>173.0</v>
      </c>
      <c r="DI98" s="177">
        <v>57.0</v>
      </c>
      <c r="DJ98" s="178">
        <v>155.0</v>
      </c>
      <c r="DK98" s="178">
        <v>57.0</v>
      </c>
      <c r="DL98" s="179">
        <f t="shared" si="14"/>
        <v>1</v>
      </c>
      <c r="DM98" s="180">
        <f t="shared" si="15"/>
        <v>0</v>
      </c>
      <c r="DN98" s="180">
        <f t="shared" si="16"/>
        <v>1</v>
      </c>
      <c r="DO98" s="177">
        <v>0.0</v>
      </c>
      <c r="DP98" s="177">
        <v>0.0</v>
      </c>
      <c r="DQ98" s="177">
        <v>0.0</v>
      </c>
      <c r="DR98" s="177">
        <v>1.0</v>
      </c>
      <c r="DS98" s="177">
        <v>0.0</v>
      </c>
      <c r="DT98" s="177">
        <v>0.0</v>
      </c>
      <c r="DU98" s="177">
        <v>0.0</v>
      </c>
      <c r="DV98" s="177">
        <v>0.0</v>
      </c>
      <c r="DW98" s="177">
        <v>0.0</v>
      </c>
      <c r="DX98" s="177">
        <v>0.0</v>
      </c>
      <c r="DY98" s="177">
        <v>0.0</v>
      </c>
      <c r="DZ98" s="177">
        <v>0.0</v>
      </c>
      <c r="EA98" s="177">
        <v>0.0</v>
      </c>
      <c r="EB98" s="177">
        <v>0.0</v>
      </c>
      <c r="EC98" s="177">
        <v>0.0</v>
      </c>
      <c r="ED98" s="177">
        <v>0.0</v>
      </c>
      <c r="EE98" s="177">
        <v>0.0</v>
      </c>
      <c r="EF98" s="177">
        <v>0.0</v>
      </c>
      <c r="EG98" s="179">
        <f t="shared" si="17"/>
        <v>0</v>
      </c>
      <c r="EH98" s="179">
        <f t="shared" si="18"/>
        <v>0</v>
      </c>
      <c r="EI98" s="177">
        <v>168.0</v>
      </c>
      <c r="EJ98" s="177">
        <v>54.0</v>
      </c>
      <c r="EK98" s="178">
        <v>156.0</v>
      </c>
      <c r="EL98" s="178">
        <v>51.0</v>
      </c>
      <c r="EM98" s="185">
        <f t="shared" si="196"/>
        <v>1</v>
      </c>
      <c r="EN98" s="186">
        <f t="shared" si="202"/>
        <v>0</v>
      </c>
      <c r="EO98" s="186">
        <f t="shared" si="90"/>
        <v>1</v>
      </c>
      <c r="EP98" s="227"/>
      <c r="EQ98" s="227"/>
      <c r="ER98" s="227"/>
      <c r="ES98" s="177">
        <v>1.0</v>
      </c>
      <c r="ET98" s="227"/>
      <c r="EU98" s="227"/>
      <c r="EV98" s="227"/>
      <c r="EW98" s="227"/>
      <c r="EX98" s="227"/>
      <c r="EY98" s="227"/>
      <c r="EZ98" s="227"/>
      <c r="FA98" s="227"/>
      <c r="FB98" s="227"/>
      <c r="FC98" s="227"/>
      <c r="FD98" s="227"/>
      <c r="FE98" s="227"/>
      <c r="FF98" s="227"/>
      <c r="FG98" s="227"/>
      <c r="FH98" s="185">
        <f t="shared" si="22"/>
        <v>0</v>
      </c>
      <c r="FI98" s="185">
        <f t="shared" si="23"/>
        <v>0</v>
      </c>
      <c r="FJ98" s="283">
        <v>170.0</v>
      </c>
      <c r="FK98" s="284">
        <v>58.0</v>
      </c>
      <c r="FL98" s="284">
        <v>148.0</v>
      </c>
      <c r="FM98" s="284">
        <v>50.0</v>
      </c>
      <c r="FN98" s="336"/>
      <c r="FO98" s="336">
        <v>1.0</v>
      </c>
      <c r="FP98" s="188">
        <f t="shared" si="197"/>
        <v>1</v>
      </c>
      <c r="FQ98" s="211">
        <v>0.0</v>
      </c>
      <c r="FR98" s="212">
        <v>1.0</v>
      </c>
      <c r="FS98" s="335"/>
      <c r="FT98" s="293"/>
      <c r="FU98" s="293"/>
      <c r="FV98" s="207">
        <v>1.0</v>
      </c>
      <c r="FW98" s="293"/>
      <c r="FX98" s="293"/>
      <c r="FY98" s="293"/>
      <c r="FZ98" s="293"/>
      <c r="GA98" s="293"/>
      <c r="GB98" s="293"/>
      <c r="GC98" s="293"/>
      <c r="GD98" s="293"/>
      <c r="GE98" s="293"/>
      <c r="GF98" s="293"/>
      <c r="GG98" s="293"/>
      <c r="GH98" s="293"/>
      <c r="GI98" s="293"/>
      <c r="GJ98" s="293"/>
      <c r="GK98" s="212">
        <v>0.0</v>
      </c>
      <c r="GL98" s="212">
        <v>0.0</v>
      </c>
      <c r="GM98" s="207">
        <v>171.0</v>
      </c>
      <c r="GN98" s="207">
        <v>57.0</v>
      </c>
      <c r="GO98" s="213">
        <v>152.0</v>
      </c>
      <c r="GP98" s="213">
        <v>52.0</v>
      </c>
      <c r="GQ98" s="207"/>
      <c r="GR98" s="213">
        <v>1.0</v>
      </c>
      <c r="GS98" s="193">
        <v>0.0</v>
      </c>
      <c r="GT98" s="194">
        <f t="shared" si="25"/>
        <v>1</v>
      </c>
      <c r="GU98" s="194">
        <f t="shared" si="26"/>
        <v>0</v>
      </c>
      <c r="GV98" s="194">
        <f t="shared" si="27"/>
        <v>1</v>
      </c>
      <c r="GW98" s="207"/>
      <c r="GX98" s="207"/>
      <c r="GY98" s="207"/>
      <c r="GZ98" s="207">
        <v>1.0</v>
      </c>
      <c r="HA98" s="207"/>
      <c r="HB98" s="207"/>
      <c r="HC98" s="207"/>
      <c r="HD98" s="207"/>
      <c r="HE98" s="207"/>
      <c r="HF98" s="207"/>
      <c r="HG98" s="207"/>
      <c r="HH98" s="207"/>
      <c r="HI98" s="207"/>
      <c r="HJ98" s="207"/>
      <c r="HK98" s="207"/>
      <c r="HL98" s="207"/>
      <c r="HM98" s="207"/>
      <c r="HN98" s="207"/>
      <c r="HO98" s="222"/>
      <c r="HP98" s="222"/>
      <c r="HQ98" s="214"/>
      <c r="HR98" s="197"/>
      <c r="HS98" s="197"/>
      <c r="HT98" s="198">
        <f t="shared" si="28"/>
        <v>1</v>
      </c>
      <c r="HU98" s="198">
        <f t="shared" si="29"/>
        <v>1</v>
      </c>
      <c r="HV98" s="198">
        <f t="shared" si="30"/>
        <v>4</v>
      </c>
      <c r="HW98" s="198">
        <f t="shared" si="99"/>
        <v>2</v>
      </c>
      <c r="HX98" s="198">
        <f t="shared" si="32"/>
        <v>3</v>
      </c>
      <c r="HY98" s="198">
        <f t="shared" si="33"/>
        <v>1</v>
      </c>
      <c r="HZ98" s="198">
        <f t="shared" si="34"/>
        <v>2</v>
      </c>
      <c r="IA98" s="198">
        <f t="shared" si="35"/>
        <v>1</v>
      </c>
      <c r="IB98" s="198">
        <f t="shared" si="36"/>
        <v>1</v>
      </c>
      <c r="IC98" s="198">
        <f t="shared" si="37"/>
        <v>1</v>
      </c>
      <c r="ID98" s="198">
        <f t="shared" si="38"/>
        <v>1</v>
      </c>
      <c r="IE98" s="198">
        <f t="shared" si="39"/>
        <v>1</v>
      </c>
      <c r="IF98" s="197"/>
      <c r="IG98" s="197"/>
      <c r="IH98" s="197"/>
      <c r="II98" s="197"/>
      <c r="IJ98" s="197"/>
      <c r="IK98" s="197"/>
      <c r="IL98" s="197"/>
      <c r="IM98" s="197"/>
      <c r="IN98" s="197"/>
      <c r="IO98" s="197"/>
      <c r="IP98" s="197"/>
      <c r="IQ98" s="197"/>
      <c r="IR98" s="197"/>
      <c r="IS98" s="197"/>
      <c r="IT98" s="197"/>
      <c r="IU98" s="197"/>
      <c r="IV98" s="197"/>
      <c r="IW98" s="197"/>
      <c r="IX98" s="197"/>
      <c r="IY98" s="197"/>
      <c r="IZ98" s="197"/>
      <c r="JA98" s="199"/>
      <c r="JB98" s="200">
        <f t="shared" si="40"/>
        <v>1</v>
      </c>
      <c r="JC98" s="200">
        <f t="shared" si="41"/>
        <v>1</v>
      </c>
      <c r="JD98" s="200">
        <f t="shared" si="42"/>
        <v>4</v>
      </c>
      <c r="JE98" s="200">
        <f t="shared" si="43"/>
        <v>2</v>
      </c>
      <c r="JF98" s="200">
        <f t="shared" si="44"/>
        <v>3</v>
      </c>
      <c r="JG98" s="200">
        <f t="shared" si="45"/>
        <v>1</v>
      </c>
      <c r="JH98" s="200">
        <f t="shared" si="46"/>
        <v>2</v>
      </c>
      <c r="JI98" s="200">
        <f t="shared" si="47"/>
        <v>1</v>
      </c>
      <c r="JJ98" s="200">
        <f t="shared" si="48"/>
        <v>1</v>
      </c>
      <c r="JK98" s="200">
        <f t="shared" si="49"/>
        <v>1</v>
      </c>
      <c r="JL98" s="200">
        <f t="shared" si="50"/>
        <v>1</v>
      </c>
      <c r="JM98" s="200">
        <f t="shared" si="51"/>
        <v>1</v>
      </c>
      <c r="JN98" s="199"/>
      <c r="JO98" s="200">
        <f t="shared" si="52"/>
        <v>1</v>
      </c>
      <c r="JP98" s="202">
        <v>1.0</v>
      </c>
      <c r="JQ98" s="202">
        <v>4.0</v>
      </c>
      <c r="JR98" s="202">
        <v>2.0</v>
      </c>
      <c r="JS98" s="202">
        <v>3.0</v>
      </c>
      <c r="JT98" s="199"/>
      <c r="JU98" s="199"/>
      <c r="JV98" s="200">
        <f t="shared" ref="JV98:JX98" si="252">IA98-JI98</f>
        <v>0</v>
      </c>
      <c r="JW98" s="200">
        <f t="shared" si="252"/>
        <v>0</v>
      </c>
      <c r="JX98" s="200">
        <f t="shared" si="252"/>
        <v>0</v>
      </c>
      <c r="JY98" s="199"/>
      <c r="JZ98" s="199"/>
      <c r="KA98" s="199"/>
      <c r="KB98" s="200">
        <f t="shared" ref="KB98:KM98" si="253">JB98-JO98</f>
        <v>0</v>
      </c>
      <c r="KC98" s="200">
        <f t="shared" si="253"/>
        <v>0</v>
      </c>
      <c r="KD98" s="200">
        <f t="shared" si="253"/>
        <v>0</v>
      </c>
      <c r="KE98" s="200">
        <f t="shared" si="253"/>
        <v>0</v>
      </c>
      <c r="KF98" s="200">
        <f t="shared" si="253"/>
        <v>0</v>
      </c>
      <c r="KG98" s="200">
        <f t="shared" si="253"/>
        <v>1</v>
      </c>
      <c r="KH98" s="200">
        <f t="shared" si="253"/>
        <v>2</v>
      </c>
      <c r="KI98" s="200">
        <f t="shared" si="253"/>
        <v>1</v>
      </c>
      <c r="KJ98" s="200">
        <f t="shared" si="253"/>
        <v>1</v>
      </c>
      <c r="KK98" s="200">
        <f t="shared" si="253"/>
        <v>1</v>
      </c>
      <c r="KL98" s="200">
        <f t="shared" si="253"/>
        <v>1</v>
      </c>
      <c r="KM98" s="200">
        <f t="shared" si="253"/>
        <v>1</v>
      </c>
      <c r="KN98" s="199"/>
      <c r="KO98" s="199"/>
      <c r="KP98" s="199"/>
      <c r="KQ98" s="199"/>
      <c r="KR98" s="199"/>
      <c r="KS98" s="199"/>
      <c r="KT98" s="199"/>
      <c r="KU98" s="199"/>
      <c r="KV98" s="199"/>
      <c r="KW98" s="199"/>
      <c r="KX98" s="199"/>
      <c r="KY98" s="199"/>
      <c r="KZ98" s="199"/>
      <c r="LA98" s="199"/>
      <c r="LB98" s="199"/>
      <c r="LC98" s="199"/>
      <c r="LD98" s="199"/>
      <c r="LE98" s="199"/>
      <c r="LF98" s="199"/>
      <c r="LG98" s="199"/>
    </row>
    <row r="99" ht="14.25" customHeight="1">
      <c r="A99" s="156">
        <v>92.0</v>
      </c>
      <c r="B99" s="337" t="s">
        <v>191</v>
      </c>
      <c r="C99" s="338"/>
      <c r="D99" s="338" t="s">
        <v>192</v>
      </c>
      <c r="E99" s="338" t="s">
        <v>193</v>
      </c>
      <c r="F99" s="339">
        <v>31.0</v>
      </c>
      <c r="G99" s="340">
        <v>1961.0</v>
      </c>
      <c r="H99" s="341">
        <v>12.0</v>
      </c>
      <c r="I99" s="342">
        <v>0.0</v>
      </c>
      <c r="J99" s="342">
        <v>1.0</v>
      </c>
      <c r="K99" s="342">
        <v>4.0</v>
      </c>
      <c r="L99" s="342">
        <v>7.0</v>
      </c>
      <c r="M99" s="342">
        <v>0.0</v>
      </c>
      <c r="N99" s="342"/>
      <c r="O99" s="342">
        <f t="shared" si="213"/>
        <v>12</v>
      </c>
      <c r="P99" s="342">
        <v>11.0</v>
      </c>
      <c r="Q99" s="343">
        <v>0.0</v>
      </c>
      <c r="R99" s="343">
        <v>1.0</v>
      </c>
      <c r="S99" s="343">
        <v>4.0</v>
      </c>
      <c r="T99" s="344">
        <v>6.0</v>
      </c>
      <c r="U99" s="344">
        <v>0.0</v>
      </c>
      <c r="V99" s="344">
        <v>0.0</v>
      </c>
      <c r="W99" s="343">
        <f t="shared" si="225"/>
        <v>11</v>
      </c>
      <c r="X99" s="342">
        <v>11.0</v>
      </c>
      <c r="Y99" s="344">
        <v>0.0</v>
      </c>
      <c r="Z99" s="344">
        <v>1.0</v>
      </c>
      <c r="AA99" s="344">
        <v>4.0</v>
      </c>
      <c r="AB99" s="344">
        <v>6.0</v>
      </c>
      <c r="AC99" s="344">
        <v>0.0</v>
      </c>
      <c r="AD99" s="344">
        <v>0.0</v>
      </c>
      <c r="AE99" s="343">
        <f t="shared" si="214"/>
        <v>11</v>
      </c>
      <c r="AF99" s="344">
        <v>11.0</v>
      </c>
      <c r="AG99" s="344">
        <v>0.0</v>
      </c>
      <c r="AH99" s="344">
        <v>1.0</v>
      </c>
      <c r="AI99" s="344">
        <v>4.0</v>
      </c>
      <c r="AJ99" s="344">
        <v>6.0</v>
      </c>
      <c r="AK99" s="344">
        <v>0.0</v>
      </c>
      <c r="AL99" s="344">
        <v>0.0</v>
      </c>
      <c r="AM99" s="343">
        <f t="shared" si="215"/>
        <v>11</v>
      </c>
      <c r="AN99" s="344">
        <v>11.0</v>
      </c>
      <c r="AO99" s="344">
        <v>0.0</v>
      </c>
      <c r="AP99" s="344">
        <v>1.0</v>
      </c>
      <c r="AQ99" s="344">
        <v>4.0</v>
      </c>
      <c r="AR99" s="344">
        <v>6.0</v>
      </c>
      <c r="AS99" s="344">
        <v>0.0</v>
      </c>
      <c r="AT99" s="344">
        <v>0.0</v>
      </c>
      <c r="AU99" s="345">
        <f t="shared" si="216"/>
        <v>11</v>
      </c>
      <c r="AV99" s="346">
        <v>1984.0</v>
      </c>
      <c r="AW99" s="347">
        <f t="shared" si="8"/>
        <v>10</v>
      </c>
      <c r="AX99" s="343"/>
      <c r="AY99" s="343"/>
      <c r="AZ99" s="346">
        <v>2.0</v>
      </c>
      <c r="BA99" s="346">
        <v>8.0</v>
      </c>
      <c r="BB99" s="343"/>
      <c r="BC99" s="343"/>
      <c r="BD99" s="343"/>
      <c r="BE99" s="343"/>
      <c r="BF99" s="343"/>
      <c r="BG99" s="343"/>
      <c r="BH99" s="343"/>
      <c r="BI99" s="343"/>
      <c r="BJ99" s="343"/>
      <c r="BK99" s="343"/>
      <c r="BL99" s="343"/>
      <c r="BM99" s="343"/>
      <c r="BN99" s="343"/>
      <c r="BO99" s="343"/>
      <c r="BP99" s="343">
        <f t="shared" si="131"/>
        <v>0</v>
      </c>
      <c r="BQ99" s="348">
        <v>2001.0</v>
      </c>
      <c r="BR99" s="349">
        <f t="shared" si="10"/>
        <v>11</v>
      </c>
      <c r="BS99" s="344"/>
      <c r="BT99" s="344"/>
      <c r="BU99" s="348">
        <v>1.0</v>
      </c>
      <c r="BV99" s="348">
        <v>9.0</v>
      </c>
      <c r="BW99" s="344"/>
      <c r="BX99" s="344"/>
      <c r="BY99" s="344"/>
      <c r="BZ99" s="348">
        <v>1.0</v>
      </c>
      <c r="CA99" s="344"/>
      <c r="CB99" s="344"/>
      <c r="CC99" s="344"/>
      <c r="CD99" s="344"/>
      <c r="CE99" s="344"/>
      <c r="CF99" s="344"/>
      <c r="CG99" s="344"/>
      <c r="CH99" s="344"/>
      <c r="CI99" s="344"/>
      <c r="CJ99" s="344"/>
      <c r="CK99" s="344">
        <f t="shared" si="132"/>
        <v>0</v>
      </c>
      <c r="CL99" s="348">
        <v>2021.0</v>
      </c>
      <c r="CM99" s="348">
        <v>654.0</v>
      </c>
      <c r="CN99" s="350">
        <f t="shared" si="12"/>
        <v>13</v>
      </c>
      <c r="CO99" s="344"/>
      <c r="CP99" s="344"/>
      <c r="CQ99" s="348">
        <v>0.0</v>
      </c>
      <c r="CR99" s="348">
        <v>9.0</v>
      </c>
      <c r="CS99" s="344"/>
      <c r="CT99" s="344"/>
      <c r="CU99" s="348">
        <v>1.0</v>
      </c>
      <c r="CV99" s="348">
        <v>3.0</v>
      </c>
      <c r="CW99" s="344"/>
      <c r="CX99" s="344"/>
      <c r="CY99" s="344"/>
      <c r="CZ99" s="344"/>
      <c r="DA99" s="344"/>
      <c r="DB99" s="344"/>
      <c r="DC99" s="344"/>
      <c r="DD99" s="344"/>
      <c r="DE99" s="344"/>
      <c r="DF99" s="344"/>
      <c r="DG99" s="350">
        <f t="shared" si="13"/>
        <v>0</v>
      </c>
      <c r="DH99" s="177">
        <v>2047.0</v>
      </c>
      <c r="DI99" s="177">
        <v>621.0</v>
      </c>
      <c r="DJ99" s="178">
        <v>1992.0</v>
      </c>
      <c r="DK99" s="178">
        <v>620.0</v>
      </c>
      <c r="DL99" s="179">
        <f t="shared" si="14"/>
        <v>18</v>
      </c>
      <c r="DM99" s="180">
        <f t="shared" si="15"/>
        <v>2</v>
      </c>
      <c r="DN99" s="180">
        <f t="shared" si="16"/>
        <v>16</v>
      </c>
      <c r="DO99" s="177">
        <v>0.0</v>
      </c>
      <c r="DP99" s="177">
        <v>0.0</v>
      </c>
      <c r="DQ99" s="177">
        <v>1.0</v>
      </c>
      <c r="DR99" s="177">
        <v>11.0</v>
      </c>
      <c r="DS99" s="177">
        <v>0.0</v>
      </c>
      <c r="DT99" s="177">
        <v>0.0</v>
      </c>
      <c r="DU99" s="177">
        <v>1.0</v>
      </c>
      <c r="DV99" s="177">
        <v>5.0</v>
      </c>
      <c r="DW99" s="177">
        <v>0.0</v>
      </c>
      <c r="DX99" s="177">
        <v>0.0</v>
      </c>
      <c r="DY99" s="177">
        <v>0.0</v>
      </c>
      <c r="DZ99" s="177">
        <v>0.0</v>
      </c>
      <c r="EA99" s="177">
        <v>0.0</v>
      </c>
      <c r="EB99" s="177">
        <v>0.0</v>
      </c>
      <c r="EC99" s="221">
        <v>0.0</v>
      </c>
      <c r="ED99" s="177">
        <v>0.0</v>
      </c>
      <c r="EE99" s="177">
        <v>0.0</v>
      </c>
      <c r="EF99" s="177">
        <v>0.0</v>
      </c>
      <c r="EG99" s="179">
        <f t="shared" si="17"/>
        <v>0</v>
      </c>
      <c r="EH99" s="179">
        <f t="shared" si="18"/>
        <v>0</v>
      </c>
      <c r="EI99" s="177">
        <v>1995.0</v>
      </c>
      <c r="EJ99" s="177">
        <v>596.0</v>
      </c>
      <c r="EK99" s="178">
        <v>1918.0</v>
      </c>
      <c r="EL99" s="178">
        <v>577.0</v>
      </c>
      <c r="EM99" s="185">
        <f t="shared" si="196"/>
        <v>17</v>
      </c>
      <c r="EN99" s="186">
        <f t="shared" si="202"/>
        <v>1</v>
      </c>
      <c r="EO99" s="186">
        <f t="shared" si="90"/>
        <v>16</v>
      </c>
      <c r="EP99" s="177">
        <v>0.0</v>
      </c>
      <c r="EQ99" s="177">
        <v>0.0</v>
      </c>
      <c r="ER99" s="177">
        <v>1.0</v>
      </c>
      <c r="ES99" s="177">
        <v>14.0</v>
      </c>
      <c r="ET99" s="177">
        <v>0.0</v>
      </c>
      <c r="EU99" s="177">
        <v>0.0</v>
      </c>
      <c r="EV99" s="177">
        <v>0.0</v>
      </c>
      <c r="EW99" s="177">
        <v>2.0</v>
      </c>
      <c r="EX99" s="227"/>
      <c r="EY99" s="227"/>
      <c r="EZ99" s="227"/>
      <c r="FA99" s="227"/>
      <c r="FB99" s="227"/>
      <c r="FC99" s="227"/>
      <c r="FD99" s="226"/>
      <c r="FE99" s="227"/>
      <c r="FF99" s="227"/>
      <c r="FG99" s="227"/>
      <c r="FH99" s="185">
        <f t="shared" si="22"/>
        <v>0</v>
      </c>
      <c r="FI99" s="185">
        <f t="shared" si="23"/>
        <v>0</v>
      </c>
      <c r="FJ99" s="177">
        <v>2013.0</v>
      </c>
      <c r="FK99" s="177">
        <v>612.0</v>
      </c>
      <c r="FL99" s="177">
        <v>1895.0</v>
      </c>
      <c r="FM99" s="177">
        <v>592.0</v>
      </c>
      <c r="FN99" s="180"/>
      <c r="FO99" s="180">
        <v>19.0</v>
      </c>
      <c r="FP99" s="188">
        <f t="shared" si="197"/>
        <v>19</v>
      </c>
      <c r="FQ99" s="211">
        <v>2.0</v>
      </c>
      <c r="FR99" s="212">
        <v>17.0</v>
      </c>
      <c r="FS99" s="335"/>
      <c r="FT99" s="293"/>
      <c r="FU99" s="207">
        <v>1.0</v>
      </c>
      <c r="FV99" s="207">
        <v>16.0</v>
      </c>
      <c r="FW99" s="293"/>
      <c r="FX99" s="351"/>
      <c r="FY99" s="207">
        <v>1.0</v>
      </c>
      <c r="FZ99" s="207">
        <v>1.0</v>
      </c>
      <c r="GA99" s="293"/>
      <c r="GB99" s="293"/>
      <c r="GC99" s="293"/>
      <c r="GD99" s="293"/>
      <c r="GE99" s="293"/>
      <c r="GF99" s="293"/>
      <c r="GG99" s="293"/>
      <c r="GH99" s="293"/>
      <c r="GI99" s="293"/>
      <c r="GJ99" s="293"/>
      <c r="GK99" s="212">
        <v>0.0</v>
      </c>
      <c r="GL99" s="212">
        <v>0.0</v>
      </c>
      <c r="GM99" s="207">
        <v>2019.0</v>
      </c>
      <c r="GN99" s="207">
        <v>645.0</v>
      </c>
      <c r="GO99" s="213">
        <v>1945.0</v>
      </c>
      <c r="GP99" s="213">
        <v>630.0</v>
      </c>
      <c r="GQ99" s="207"/>
      <c r="GR99" s="213">
        <v>19.0</v>
      </c>
      <c r="GS99" s="193">
        <v>2.0</v>
      </c>
      <c r="GT99" s="194">
        <f t="shared" si="25"/>
        <v>19</v>
      </c>
      <c r="GU99" s="194">
        <f t="shared" si="26"/>
        <v>2</v>
      </c>
      <c r="GV99" s="194">
        <f t="shared" si="27"/>
        <v>17</v>
      </c>
      <c r="GW99" s="207"/>
      <c r="GX99" s="207"/>
      <c r="GY99" s="207">
        <v>2.0</v>
      </c>
      <c r="GZ99" s="207">
        <v>16.0</v>
      </c>
      <c r="HA99" s="207"/>
      <c r="HB99" s="207"/>
      <c r="HC99" s="207"/>
      <c r="HD99" s="207">
        <v>1.0</v>
      </c>
      <c r="HE99" s="207"/>
      <c r="HF99" s="207"/>
      <c r="HG99" s="207"/>
      <c r="HH99" s="207"/>
      <c r="HI99" s="207"/>
      <c r="HJ99" s="207"/>
      <c r="HK99" s="207"/>
      <c r="HL99" s="207"/>
      <c r="HM99" s="207">
        <v>1.0</v>
      </c>
      <c r="HN99" s="207"/>
      <c r="HO99" s="222"/>
      <c r="HP99" s="222"/>
      <c r="HQ99" s="352"/>
      <c r="HR99" s="343"/>
      <c r="HS99" s="343"/>
      <c r="HT99" s="343">
        <f t="shared" si="28"/>
        <v>12</v>
      </c>
      <c r="HU99" s="343">
        <f t="shared" si="29"/>
        <v>11</v>
      </c>
      <c r="HV99" s="343">
        <f t="shared" si="30"/>
        <v>11</v>
      </c>
      <c r="HW99" s="343">
        <f t="shared" si="99"/>
        <v>11</v>
      </c>
      <c r="HX99" s="343">
        <f t="shared" si="32"/>
        <v>11</v>
      </c>
      <c r="HY99" s="343">
        <f t="shared" si="33"/>
        <v>10</v>
      </c>
      <c r="HZ99" s="343">
        <f t="shared" si="34"/>
        <v>11</v>
      </c>
      <c r="IA99" s="343">
        <f t="shared" si="35"/>
        <v>13</v>
      </c>
      <c r="IB99" s="198">
        <f t="shared" si="36"/>
        <v>18</v>
      </c>
      <c r="IC99" s="198">
        <f t="shared" si="37"/>
        <v>17</v>
      </c>
      <c r="ID99" s="198">
        <f t="shared" si="38"/>
        <v>19</v>
      </c>
      <c r="IE99" s="198">
        <f t="shared" si="39"/>
        <v>19</v>
      </c>
      <c r="IF99" s="343"/>
      <c r="IG99" s="197"/>
      <c r="IH99" s="343"/>
      <c r="II99" s="343"/>
      <c r="IJ99" s="343"/>
      <c r="IK99" s="343"/>
      <c r="IL99" s="343"/>
      <c r="IM99" s="343"/>
      <c r="IN99" s="343"/>
      <c r="IO99" s="343"/>
      <c r="IP99" s="343"/>
      <c r="IQ99" s="343"/>
      <c r="IR99" s="343"/>
      <c r="IS99" s="343"/>
      <c r="IT99" s="343"/>
      <c r="IU99" s="343"/>
      <c r="IV99" s="343"/>
      <c r="IW99" s="343"/>
      <c r="IX99" s="343"/>
      <c r="IY99" s="343"/>
      <c r="IZ99" s="343"/>
      <c r="JA99" s="353"/>
      <c r="JB99" s="354">
        <f t="shared" si="40"/>
        <v>12</v>
      </c>
      <c r="JC99" s="354">
        <f t="shared" si="41"/>
        <v>11</v>
      </c>
      <c r="JD99" s="354">
        <f t="shared" si="42"/>
        <v>11</v>
      </c>
      <c r="JE99" s="354">
        <f t="shared" si="43"/>
        <v>11</v>
      </c>
      <c r="JF99" s="354">
        <f t="shared" si="44"/>
        <v>11</v>
      </c>
      <c r="JG99" s="354">
        <f t="shared" si="45"/>
        <v>10</v>
      </c>
      <c r="JH99" s="354">
        <f t="shared" si="46"/>
        <v>11</v>
      </c>
      <c r="JI99" s="354">
        <f t="shared" si="47"/>
        <v>13</v>
      </c>
      <c r="JJ99" s="200">
        <f t="shared" si="48"/>
        <v>18</v>
      </c>
      <c r="JK99" s="200">
        <f t="shared" si="49"/>
        <v>17</v>
      </c>
      <c r="JL99" s="200">
        <f t="shared" si="50"/>
        <v>19</v>
      </c>
      <c r="JM99" s="200">
        <f t="shared" si="51"/>
        <v>19</v>
      </c>
      <c r="JN99" s="353"/>
      <c r="JO99" s="354">
        <f t="shared" si="52"/>
        <v>12</v>
      </c>
      <c r="JP99" s="342">
        <v>11.0</v>
      </c>
      <c r="JQ99" s="342">
        <v>11.0</v>
      </c>
      <c r="JR99" s="342">
        <v>11.0</v>
      </c>
      <c r="JS99" s="342">
        <v>11.0</v>
      </c>
      <c r="JT99" s="353"/>
      <c r="JU99" s="353"/>
      <c r="JV99" s="200">
        <f t="shared" ref="JV99:JX99" si="254">IA99-JI99</f>
        <v>0</v>
      </c>
      <c r="JW99" s="200">
        <f t="shared" si="254"/>
        <v>0</v>
      </c>
      <c r="JX99" s="200">
        <f t="shared" si="254"/>
        <v>0</v>
      </c>
      <c r="JY99" s="353"/>
      <c r="JZ99" s="353"/>
      <c r="KA99" s="353"/>
      <c r="KB99" s="354">
        <f t="shared" ref="KB99:KM99" si="255">JB99-JO99</f>
        <v>0</v>
      </c>
      <c r="KC99" s="354">
        <f t="shared" si="255"/>
        <v>0</v>
      </c>
      <c r="KD99" s="354">
        <f t="shared" si="255"/>
        <v>0</v>
      </c>
      <c r="KE99" s="354">
        <f t="shared" si="255"/>
        <v>0</v>
      </c>
      <c r="KF99" s="354">
        <f t="shared" si="255"/>
        <v>0</v>
      </c>
      <c r="KG99" s="354">
        <f t="shared" si="255"/>
        <v>10</v>
      </c>
      <c r="KH99" s="354">
        <f t="shared" si="255"/>
        <v>11</v>
      </c>
      <c r="KI99" s="354">
        <f t="shared" si="255"/>
        <v>13</v>
      </c>
      <c r="KJ99" s="354">
        <f t="shared" si="255"/>
        <v>18</v>
      </c>
      <c r="KK99" s="354">
        <f t="shared" si="255"/>
        <v>17</v>
      </c>
      <c r="KL99" s="354">
        <f t="shared" si="255"/>
        <v>19</v>
      </c>
      <c r="KM99" s="354">
        <f t="shared" si="255"/>
        <v>19</v>
      </c>
      <c r="KN99" s="353"/>
      <c r="KO99" s="353"/>
      <c r="KP99" s="353"/>
      <c r="KQ99" s="353"/>
      <c r="KR99" s="353"/>
      <c r="KS99" s="353"/>
      <c r="KT99" s="353"/>
      <c r="KU99" s="353"/>
      <c r="KV99" s="353"/>
      <c r="KW99" s="353"/>
      <c r="KX99" s="353"/>
      <c r="KY99" s="353"/>
      <c r="KZ99" s="353"/>
      <c r="LA99" s="353"/>
      <c r="LB99" s="353"/>
      <c r="LC99" s="353"/>
      <c r="LD99" s="353"/>
      <c r="LE99" s="353"/>
      <c r="LF99" s="353"/>
      <c r="LG99" s="353"/>
      <c r="LH99" s="355"/>
      <c r="LI99" s="355"/>
      <c r="LJ99" s="355"/>
      <c r="LK99" s="355"/>
    </row>
    <row r="100" ht="14.25" customHeight="1">
      <c r="A100" s="156">
        <v>93.0</v>
      </c>
      <c r="B100" s="356" t="s">
        <v>191</v>
      </c>
      <c r="C100" s="357"/>
      <c r="D100" s="357" t="s">
        <v>192</v>
      </c>
      <c r="E100" s="357" t="s">
        <v>194</v>
      </c>
      <c r="F100" s="358">
        <v>9.0</v>
      </c>
      <c r="G100" s="359">
        <v>776.0</v>
      </c>
      <c r="H100" s="360">
        <v>11.0</v>
      </c>
      <c r="I100" s="361">
        <v>0.0</v>
      </c>
      <c r="J100" s="361">
        <v>0.0</v>
      </c>
      <c r="K100" s="361">
        <v>4.0</v>
      </c>
      <c r="L100" s="361">
        <v>7.0</v>
      </c>
      <c r="M100" s="361">
        <v>0.0</v>
      </c>
      <c r="N100" s="361"/>
      <c r="O100" s="361">
        <f t="shared" si="213"/>
        <v>11</v>
      </c>
      <c r="P100" s="361">
        <v>11.0</v>
      </c>
      <c r="Q100" s="362">
        <v>0.0</v>
      </c>
      <c r="R100" s="362">
        <v>0.0</v>
      </c>
      <c r="S100" s="362">
        <v>4.0</v>
      </c>
      <c r="T100" s="363">
        <v>7.0</v>
      </c>
      <c r="U100" s="363">
        <v>0.0</v>
      </c>
      <c r="V100" s="363">
        <v>0.0</v>
      </c>
      <c r="W100" s="362">
        <f t="shared" si="225"/>
        <v>11</v>
      </c>
      <c r="X100" s="361">
        <v>12.0</v>
      </c>
      <c r="Y100" s="363">
        <v>0.0</v>
      </c>
      <c r="Z100" s="363">
        <v>0.0</v>
      </c>
      <c r="AA100" s="363">
        <v>5.0</v>
      </c>
      <c r="AB100" s="363">
        <v>7.0</v>
      </c>
      <c r="AC100" s="363">
        <v>1.0</v>
      </c>
      <c r="AD100" s="363">
        <v>1.0</v>
      </c>
      <c r="AE100" s="362">
        <f t="shared" si="214"/>
        <v>10</v>
      </c>
      <c r="AF100" s="363">
        <v>12.0</v>
      </c>
      <c r="AG100" s="363">
        <v>0.0</v>
      </c>
      <c r="AH100" s="363">
        <v>0.0</v>
      </c>
      <c r="AI100" s="363">
        <v>5.0</v>
      </c>
      <c r="AJ100" s="363">
        <v>7.0</v>
      </c>
      <c r="AK100" s="363">
        <v>1.0</v>
      </c>
      <c r="AL100" s="363">
        <v>1.0</v>
      </c>
      <c r="AM100" s="362">
        <f t="shared" si="215"/>
        <v>10</v>
      </c>
      <c r="AN100" s="363">
        <v>12.0</v>
      </c>
      <c r="AO100" s="363">
        <v>0.0</v>
      </c>
      <c r="AP100" s="363">
        <v>0.0</v>
      </c>
      <c r="AQ100" s="363">
        <v>2.0</v>
      </c>
      <c r="AR100" s="363">
        <v>10.0</v>
      </c>
      <c r="AS100" s="363">
        <v>0.0</v>
      </c>
      <c r="AT100" s="363">
        <v>0.0</v>
      </c>
      <c r="AU100" s="364">
        <f t="shared" si="216"/>
        <v>12</v>
      </c>
      <c r="AV100" s="365">
        <v>916.0</v>
      </c>
      <c r="AW100" s="366">
        <f t="shared" si="8"/>
        <v>10</v>
      </c>
      <c r="AX100" s="362"/>
      <c r="AY100" s="362"/>
      <c r="AZ100" s="365">
        <v>2.0</v>
      </c>
      <c r="BA100" s="365">
        <v>8.0</v>
      </c>
      <c r="BB100" s="362"/>
      <c r="BC100" s="362"/>
      <c r="BD100" s="362"/>
      <c r="BE100" s="362"/>
      <c r="BF100" s="362"/>
      <c r="BG100" s="362"/>
      <c r="BH100" s="362"/>
      <c r="BI100" s="362"/>
      <c r="BJ100" s="362"/>
      <c r="BK100" s="362"/>
      <c r="BL100" s="362"/>
      <c r="BM100" s="362"/>
      <c r="BN100" s="362"/>
      <c r="BO100" s="362"/>
      <c r="BP100" s="362">
        <f t="shared" si="131"/>
        <v>0</v>
      </c>
      <c r="BQ100" s="367">
        <v>931.0</v>
      </c>
      <c r="BR100" s="368">
        <f t="shared" si="10"/>
        <v>11</v>
      </c>
      <c r="BS100" s="363"/>
      <c r="BT100" s="363"/>
      <c r="BU100" s="367">
        <v>1.0</v>
      </c>
      <c r="BV100" s="367">
        <v>10.0</v>
      </c>
      <c r="BW100" s="363"/>
      <c r="BX100" s="363"/>
      <c r="BY100" s="363"/>
      <c r="BZ100" s="363"/>
      <c r="CA100" s="363"/>
      <c r="CB100" s="363"/>
      <c r="CC100" s="363"/>
      <c r="CD100" s="363"/>
      <c r="CE100" s="363"/>
      <c r="CF100" s="363"/>
      <c r="CG100" s="363"/>
      <c r="CH100" s="363"/>
      <c r="CI100" s="363"/>
      <c r="CJ100" s="363"/>
      <c r="CK100" s="363">
        <f t="shared" si="132"/>
        <v>0</v>
      </c>
      <c r="CL100" s="367">
        <v>945.0</v>
      </c>
      <c r="CM100" s="367">
        <v>336.0</v>
      </c>
      <c r="CN100" s="369">
        <f t="shared" si="12"/>
        <v>13</v>
      </c>
      <c r="CO100" s="363"/>
      <c r="CP100" s="363"/>
      <c r="CQ100" s="367">
        <v>1.0</v>
      </c>
      <c r="CR100" s="367">
        <v>11.0</v>
      </c>
      <c r="CS100" s="363"/>
      <c r="CT100" s="363"/>
      <c r="CU100" s="367">
        <v>1.0</v>
      </c>
      <c r="CV100" s="363"/>
      <c r="CW100" s="363"/>
      <c r="CX100" s="363"/>
      <c r="CY100" s="363"/>
      <c r="CZ100" s="363"/>
      <c r="DA100" s="363"/>
      <c r="DB100" s="363"/>
      <c r="DC100" s="363"/>
      <c r="DD100" s="363"/>
      <c r="DE100" s="363"/>
      <c r="DF100" s="363"/>
      <c r="DG100" s="369">
        <f t="shared" si="13"/>
        <v>0</v>
      </c>
      <c r="DH100" s="177">
        <v>1034.0</v>
      </c>
      <c r="DI100" s="177">
        <v>326.0</v>
      </c>
      <c r="DJ100" s="178">
        <v>975.0</v>
      </c>
      <c r="DK100" s="178">
        <v>307.0</v>
      </c>
      <c r="DL100" s="179">
        <f t="shared" si="14"/>
        <v>12</v>
      </c>
      <c r="DM100" s="180">
        <f t="shared" si="15"/>
        <v>2</v>
      </c>
      <c r="DN100" s="180">
        <f t="shared" si="16"/>
        <v>10</v>
      </c>
      <c r="DO100" s="177">
        <v>0.0</v>
      </c>
      <c r="DP100" s="177">
        <v>0.0</v>
      </c>
      <c r="DQ100" s="177">
        <v>2.0</v>
      </c>
      <c r="DR100" s="177">
        <v>10.0</v>
      </c>
      <c r="DS100" s="177">
        <v>0.0</v>
      </c>
      <c r="DT100" s="177">
        <v>0.0</v>
      </c>
      <c r="DU100" s="177">
        <v>0.0</v>
      </c>
      <c r="DV100" s="177">
        <v>0.0</v>
      </c>
      <c r="DW100" s="177">
        <v>0.0</v>
      </c>
      <c r="DX100" s="177">
        <v>0.0</v>
      </c>
      <c r="DY100" s="177">
        <v>0.0</v>
      </c>
      <c r="DZ100" s="177">
        <v>0.0</v>
      </c>
      <c r="EA100" s="177">
        <v>0.0</v>
      </c>
      <c r="EB100" s="177">
        <v>0.0</v>
      </c>
      <c r="EC100" s="221">
        <v>0.0</v>
      </c>
      <c r="ED100" s="177">
        <v>0.0</v>
      </c>
      <c r="EE100" s="177">
        <v>0.0</v>
      </c>
      <c r="EF100" s="177">
        <v>0.0</v>
      </c>
      <c r="EG100" s="179">
        <f t="shared" si="17"/>
        <v>0</v>
      </c>
      <c r="EH100" s="179">
        <f t="shared" si="18"/>
        <v>0</v>
      </c>
      <c r="EI100" s="177">
        <v>1019.0</v>
      </c>
      <c r="EJ100" s="177">
        <v>314.0</v>
      </c>
      <c r="EK100" s="178">
        <v>946.0</v>
      </c>
      <c r="EL100" s="178">
        <v>286.0</v>
      </c>
      <c r="EM100" s="185">
        <f t="shared" si="196"/>
        <v>11</v>
      </c>
      <c r="EN100" s="186">
        <f t="shared" si="202"/>
        <v>2</v>
      </c>
      <c r="EO100" s="186">
        <f t="shared" si="90"/>
        <v>9</v>
      </c>
      <c r="EP100" s="177">
        <v>0.0</v>
      </c>
      <c r="EQ100" s="177">
        <v>0.0</v>
      </c>
      <c r="ER100" s="177">
        <v>2.0</v>
      </c>
      <c r="ES100" s="177">
        <v>9.0</v>
      </c>
      <c r="ET100" s="177">
        <v>0.0</v>
      </c>
      <c r="EU100" s="177">
        <v>0.0</v>
      </c>
      <c r="EV100" s="177">
        <v>0.0</v>
      </c>
      <c r="EW100" s="177">
        <v>0.0</v>
      </c>
      <c r="EX100" s="227"/>
      <c r="EY100" s="227"/>
      <c r="EZ100" s="227"/>
      <c r="FA100" s="227"/>
      <c r="FB100" s="227"/>
      <c r="FC100" s="227"/>
      <c r="FD100" s="226"/>
      <c r="FE100" s="227"/>
      <c r="FF100" s="227"/>
      <c r="FG100" s="227"/>
      <c r="FH100" s="185">
        <f t="shared" si="22"/>
        <v>0</v>
      </c>
      <c r="FI100" s="185">
        <f t="shared" si="23"/>
        <v>0</v>
      </c>
      <c r="FJ100" s="177">
        <v>1028.0</v>
      </c>
      <c r="FK100" s="177">
        <v>324.0</v>
      </c>
      <c r="FL100" s="177">
        <v>968.0</v>
      </c>
      <c r="FM100" s="177">
        <v>307.0</v>
      </c>
      <c r="FN100" s="180"/>
      <c r="FO100" s="180">
        <v>12.0</v>
      </c>
      <c r="FP100" s="188">
        <f t="shared" si="197"/>
        <v>12</v>
      </c>
      <c r="FQ100" s="211">
        <v>2.0</v>
      </c>
      <c r="FR100" s="212">
        <v>10.0</v>
      </c>
      <c r="FS100" s="335"/>
      <c r="FT100" s="293"/>
      <c r="FU100" s="207">
        <v>2.0</v>
      </c>
      <c r="FV100" s="207">
        <v>9.0</v>
      </c>
      <c r="FW100" s="293"/>
      <c r="FX100" s="293"/>
      <c r="FY100" s="293"/>
      <c r="FZ100" s="207">
        <v>1.0</v>
      </c>
      <c r="GA100" s="293"/>
      <c r="GB100" s="293"/>
      <c r="GC100" s="293"/>
      <c r="GD100" s="293"/>
      <c r="GE100" s="293"/>
      <c r="GF100" s="293"/>
      <c r="GG100" s="293"/>
      <c r="GH100" s="293"/>
      <c r="GI100" s="293"/>
      <c r="GJ100" s="293"/>
      <c r="GK100" s="212">
        <v>0.0</v>
      </c>
      <c r="GL100" s="212">
        <v>0.0</v>
      </c>
      <c r="GM100" s="207">
        <v>1023.0</v>
      </c>
      <c r="GN100" s="207">
        <v>331.0</v>
      </c>
      <c r="GO100" s="213">
        <v>967.0</v>
      </c>
      <c r="GP100" s="213">
        <v>318.0</v>
      </c>
      <c r="GQ100" s="207"/>
      <c r="GR100" s="213">
        <v>12.0</v>
      </c>
      <c r="GS100" s="193">
        <v>1.0</v>
      </c>
      <c r="GT100" s="194">
        <f t="shared" si="25"/>
        <v>12</v>
      </c>
      <c r="GU100" s="194">
        <f t="shared" si="26"/>
        <v>1</v>
      </c>
      <c r="GV100" s="194">
        <f t="shared" si="27"/>
        <v>11</v>
      </c>
      <c r="GW100" s="207"/>
      <c r="GX100" s="207"/>
      <c r="GY100" s="207">
        <v>1.0</v>
      </c>
      <c r="GZ100" s="207">
        <v>11.0</v>
      </c>
      <c r="HA100" s="207"/>
      <c r="HB100" s="207"/>
      <c r="HC100" s="207"/>
      <c r="HD100" s="207"/>
      <c r="HE100" s="207"/>
      <c r="HF100" s="207"/>
      <c r="HG100" s="207"/>
      <c r="HH100" s="207"/>
      <c r="HI100" s="207"/>
      <c r="HJ100" s="207"/>
      <c r="HK100" s="207"/>
      <c r="HL100" s="207"/>
      <c r="HM100" s="207"/>
      <c r="HN100" s="207"/>
      <c r="HO100" s="222"/>
      <c r="HP100" s="222"/>
      <c r="HQ100" s="370"/>
      <c r="HR100" s="362"/>
      <c r="HS100" s="362"/>
      <c r="HT100" s="362">
        <f t="shared" si="28"/>
        <v>11</v>
      </c>
      <c r="HU100" s="362">
        <f t="shared" si="29"/>
        <v>11</v>
      </c>
      <c r="HV100" s="362">
        <f t="shared" si="30"/>
        <v>12</v>
      </c>
      <c r="HW100" s="362">
        <f t="shared" si="99"/>
        <v>12</v>
      </c>
      <c r="HX100" s="362">
        <f t="shared" si="32"/>
        <v>12</v>
      </c>
      <c r="HY100" s="362">
        <f t="shared" si="33"/>
        <v>10</v>
      </c>
      <c r="HZ100" s="362">
        <f t="shared" si="34"/>
        <v>11</v>
      </c>
      <c r="IA100" s="362">
        <f t="shared" si="35"/>
        <v>13</v>
      </c>
      <c r="IB100" s="198">
        <f t="shared" si="36"/>
        <v>12</v>
      </c>
      <c r="IC100" s="198">
        <f t="shared" si="37"/>
        <v>11</v>
      </c>
      <c r="ID100" s="198">
        <f t="shared" si="38"/>
        <v>12</v>
      </c>
      <c r="IE100" s="198">
        <f t="shared" si="39"/>
        <v>12</v>
      </c>
      <c r="IF100" s="362"/>
      <c r="IG100" s="197"/>
      <c r="IH100" s="362"/>
      <c r="II100" s="362"/>
      <c r="IJ100" s="362"/>
      <c r="IK100" s="362"/>
      <c r="IL100" s="362"/>
      <c r="IM100" s="362"/>
      <c r="IN100" s="362"/>
      <c r="IO100" s="362"/>
      <c r="IP100" s="362"/>
      <c r="IQ100" s="362"/>
      <c r="IR100" s="362"/>
      <c r="IS100" s="362"/>
      <c r="IT100" s="362"/>
      <c r="IU100" s="362"/>
      <c r="IV100" s="362"/>
      <c r="IW100" s="362"/>
      <c r="IX100" s="362"/>
      <c r="IY100" s="362"/>
      <c r="IZ100" s="362"/>
      <c r="JA100" s="371"/>
      <c r="JB100" s="372">
        <f t="shared" si="40"/>
        <v>11</v>
      </c>
      <c r="JC100" s="372">
        <f t="shared" si="41"/>
        <v>11</v>
      </c>
      <c r="JD100" s="372">
        <f t="shared" si="42"/>
        <v>12</v>
      </c>
      <c r="JE100" s="372">
        <f t="shared" si="43"/>
        <v>12</v>
      </c>
      <c r="JF100" s="372">
        <f t="shared" si="44"/>
        <v>12</v>
      </c>
      <c r="JG100" s="372">
        <f t="shared" si="45"/>
        <v>10</v>
      </c>
      <c r="JH100" s="372">
        <f t="shared" si="46"/>
        <v>11</v>
      </c>
      <c r="JI100" s="372">
        <f t="shared" si="47"/>
        <v>13</v>
      </c>
      <c r="JJ100" s="200">
        <f t="shared" si="48"/>
        <v>12</v>
      </c>
      <c r="JK100" s="200">
        <f t="shared" si="49"/>
        <v>11</v>
      </c>
      <c r="JL100" s="200">
        <f t="shared" si="50"/>
        <v>12</v>
      </c>
      <c r="JM100" s="200">
        <f t="shared" si="51"/>
        <v>12</v>
      </c>
      <c r="JN100" s="371"/>
      <c r="JO100" s="372">
        <f t="shared" si="52"/>
        <v>11</v>
      </c>
      <c r="JP100" s="361">
        <v>11.0</v>
      </c>
      <c r="JQ100" s="361">
        <v>12.0</v>
      </c>
      <c r="JR100" s="361">
        <v>12.0</v>
      </c>
      <c r="JS100" s="361">
        <v>12.0</v>
      </c>
      <c r="JT100" s="371"/>
      <c r="JU100" s="371"/>
      <c r="JV100" s="200">
        <f t="shared" ref="JV100:JX100" si="256">IA100-JI100</f>
        <v>0</v>
      </c>
      <c r="JW100" s="200">
        <f t="shared" si="256"/>
        <v>0</v>
      </c>
      <c r="JX100" s="200">
        <f t="shared" si="256"/>
        <v>0</v>
      </c>
      <c r="JY100" s="371"/>
      <c r="JZ100" s="371"/>
      <c r="KA100" s="371"/>
      <c r="KB100" s="372">
        <f t="shared" ref="KB100:KM100" si="257">JB100-JO100</f>
        <v>0</v>
      </c>
      <c r="KC100" s="372">
        <f t="shared" si="257"/>
        <v>0</v>
      </c>
      <c r="KD100" s="372">
        <f t="shared" si="257"/>
        <v>0</v>
      </c>
      <c r="KE100" s="372">
        <f t="shared" si="257"/>
        <v>0</v>
      </c>
      <c r="KF100" s="372">
        <f t="shared" si="257"/>
        <v>0</v>
      </c>
      <c r="KG100" s="372">
        <f t="shared" si="257"/>
        <v>10</v>
      </c>
      <c r="KH100" s="372">
        <f t="shared" si="257"/>
        <v>11</v>
      </c>
      <c r="KI100" s="372">
        <f t="shared" si="257"/>
        <v>13</v>
      </c>
      <c r="KJ100" s="372">
        <f t="shared" si="257"/>
        <v>12</v>
      </c>
      <c r="KK100" s="372">
        <f t="shared" si="257"/>
        <v>11</v>
      </c>
      <c r="KL100" s="372">
        <f t="shared" si="257"/>
        <v>12</v>
      </c>
      <c r="KM100" s="372">
        <f t="shared" si="257"/>
        <v>12</v>
      </c>
      <c r="KN100" s="371"/>
      <c r="KO100" s="371"/>
      <c r="KP100" s="371"/>
      <c r="KQ100" s="371"/>
      <c r="KR100" s="371"/>
      <c r="KS100" s="371"/>
      <c r="KT100" s="371"/>
      <c r="KU100" s="371"/>
      <c r="KV100" s="371"/>
      <c r="KW100" s="371"/>
      <c r="KX100" s="371"/>
      <c r="KY100" s="371"/>
      <c r="KZ100" s="371"/>
      <c r="LA100" s="371"/>
      <c r="LB100" s="371"/>
      <c r="LC100" s="371"/>
      <c r="LD100" s="371"/>
      <c r="LE100" s="371"/>
      <c r="LF100" s="371"/>
      <c r="LG100" s="371"/>
      <c r="LH100" s="373"/>
      <c r="LI100" s="373"/>
      <c r="LJ100" s="373"/>
      <c r="LK100" s="373"/>
    </row>
    <row r="101" ht="14.25" customHeight="1">
      <c r="A101" s="156">
        <v>94.0</v>
      </c>
      <c r="B101" s="157" t="s">
        <v>191</v>
      </c>
      <c r="C101" s="158"/>
      <c r="D101" s="158" t="s">
        <v>195</v>
      </c>
      <c r="E101" s="158" t="s">
        <v>196</v>
      </c>
      <c r="F101" s="159">
        <v>10.0</v>
      </c>
      <c r="G101" s="285">
        <v>1017.0</v>
      </c>
      <c r="H101" s="160">
        <v>3.0</v>
      </c>
      <c r="I101" s="161">
        <v>0.0</v>
      </c>
      <c r="J101" s="161">
        <v>0.0</v>
      </c>
      <c r="K101" s="161">
        <v>1.0</v>
      </c>
      <c r="L101" s="161">
        <v>2.0</v>
      </c>
      <c r="M101" s="161">
        <v>0.0</v>
      </c>
      <c r="N101" s="161">
        <v>0.0</v>
      </c>
      <c r="O101" s="162">
        <f t="shared" si="213"/>
        <v>3</v>
      </c>
      <c r="P101" s="203">
        <v>3.0</v>
      </c>
      <c r="Q101" s="164">
        <v>0.0</v>
      </c>
      <c r="R101" s="164">
        <v>0.0</v>
      </c>
      <c r="S101" s="164">
        <v>1.0</v>
      </c>
      <c r="T101" s="165">
        <v>2.0</v>
      </c>
      <c r="U101" s="165">
        <v>0.0</v>
      </c>
      <c r="V101" s="165">
        <v>0.0</v>
      </c>
      <c r="W101" s="166">
        <f t="shared" si="225"/>
        <v>3</v>
      </c>
      <c r="X101" s="203">
        <v>5.0</v>
      </c>
      <c r="Y101" s="165">
        <v>0.0</v>
      </c>
      <c r="Z101" s="165">
        <v>0.0</v>
      </c>
      <c r="AA101" s="165">
        <v>2.0</v>
      </c>
      <c r="AB101" s="165">
        <v>3.0</v>
      </c>
      <c r="AC101" s="165">
        <v>0.0</v>
      </c>
      <c r="AD101" s="165">
        <v>0.0</v>
      </c>
      <c r="AE101" s="166">
        <f t="shared" si="214"/>
        <v>5</v>
      </c>
      <c r="AF101" s="167">
        <v>11.0</v>
      </c>
      <c r="AG101" s="165">
        <v>0.0</v>
      </c>
      <c r="AH101" s="165">
        <v>0.0</v>
      </c>
      <c r="AI101" s="165">
        <v>2.0</v>
      </c>
      <c r="AJ101" s="165">
        <v>9.0</v>
      </c>
      <c r="AK101" s="165">
        <v>0.0</v>
      </c>
      <c r="AL101" s="165">
        <v>0.0</v>
      </c>
      <c r="AM101" s="166">
        <f t="shared" si="215"/>
        <v>11</v>
      </c>
      <c r="AN101" s="167">
        <v>7.0</v>
      </c>
      <c r="AO101" s="165">
        <v>0.0</v>
      </c>
      <c r="AP101" s="165">
        <v>0.0</v>
      </c>
      <c r="AQ101" s="165">
        <v>2.0</v>
      </c>
      <c r="AR101" s="165">
        <v>5.0</v>
      </c>
      <c r="AS101" s="165">
        <v>0.0</v>
      </c>
      <c r="AT101" s="165">
        <v>0.0</v>
      </c>
      <c r="AU101" s="168">
        <f t="shared" si="216"/>
        <v>7</v>
      </c>
      <c r="AV101" s="169">
        <v>964.0</v>
      </c>
      <c r="AW101" s="204">
        <f t="shared" si="8"/>
        <v>4</v>
      </c>
      <c r="AX101" s="169">
        <v>0.0</v>
      </c>
      <c r="AY101" s="169">
        <v>0.0</v>
      </c>
      <c r="AZ101" s="169">
        <v>0.0</v>
      </c>
      <c r="BA101" s="169">
        <v>2.0</v>
      </c>
      <c r="BB101" s="169">
        <v>0.0</v>
      </c>
      <c r="BC101" s="169">
        <v>1.0</v>
      </c>
      <c r="BD101" s="169">
        <v>1.0</v>
      </c>
      <c r="BE101" s="169">
        <v>0.0</v>
      </c>
      <c r="BF101" s="169">
        <v>0.0</v>
      </c>
      <c r="BG101" s="169">
        <v>0.0</v>
      </c>
      <c r="BH101" s="169">
        <v>0.0</v>
      </c>
      <c r="BI101" s="169">
        <v>0.0</v>
      </c>
      <c r="BJ101" s="169">
        <v>0.0</v>
      </c>
      <c r="BK101" s="169">
        <v>0.0</v>
      </c>
      <c r="BL101" s="169">
        <v>0.0</v>
      </c>
      <c r="BM101" s="169">
        <v>0.0</v>
      </c>
      <c r="BN101" s="169">
        <v>0.0</v>
      </c>
      <c r="BO101" s="169">
        <v>0.0</v>
      </c>
      <c r="BP101" s="205">
        <f t="shared" si="131"/>
        <v>0</v>
      </c>
      <c r="BQ101" s="173">
        <v>744.0</v>
      </c>
      <c r="BR101" s="170">
        <f t="shared" si="10"/>
        <v>3</v>
      </c>
      <c r="BS101" s="173">
        <v>0.0</v>
      </c>
      <c r="BT101" s="173">
        <v>0.0</v>
      </c>
      <c r="BU101" s="173">
        <v>0.0</v>
      </c>
      <c r="BV101" s="173">
        <v>1.0</v>
      </c>
      <c r="BW101" s="173">
        <v>0.0</v>
      </c>
      <c r="BX101" s="173">
        <v>0.0</v>
      </c>
      <c r="BY101" s="173">
        <v>1.0</v>
      </c>
      <c r="BZ101" s="173">
        <v>1.0</v>
      </c>
      <c r="CA101" s="173">
        <v>0.0</v>
      </c>
      <c r="CB101" s="173">
        <v>0.0</v>
      </c>
      <c r="CC101" s="173">
        <v>0.0</v>
      </c>
      <c r="CD101" s="173">
        <v>0.0</v>
      </c>
      <c r="CE101" s="173">
        <v>0.0</v>
      </c>
      <c r="CF101" s="173">
        <v>0.0</v>
      </c>
      <c r="CG101" s="173">
        <v>0.0</v>
      </c>
      <c r="CH101" s="173">
        <v>0.0</v>
      </c>
      <c r="CI101" s="173">
        <v>0.0</v>
      </c>
      <c r="CJ101" s="173">
        <v>0.0</v>
      </c>
      <c r="CK101" s="172">
        <f t="shared" si="132"/>
        <v>0</v>
      </c>
      <c r="CL101" s="374">
        <v>744.0</v>
      </c>
      <c r="CM101" s="173">
        <v>305.0</v>
      </c>
      <c r="CN101" s="175">
        <f t="shared" si="12"/>
        <v>3</v>
      </c>
      <c r="CO101" s="6"/>
      <c r="CP101" s="6"/>
      <c r="CQ101" s="173">
        <v>1.0</v>
      </c>
      <c r="CR101" s="173">
        <v>2.0</v>
      </c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176">
        <f t="shared" si="13"/>
        <v>0</v>
      </c>
      <c r="DH101" s="177">
        <v>739.0</v>
      </c>
      <c r="DI101" s="177">
        <v>246.0</v>
      </c>
      <c r="DJ101" s="178">
        <v>674.0</v>
      </c>
      <c r="DK101" s="178">
        <v>181.0</v>
      </c>
      <c r="DL101" s="179">
        <f t="shared" si="14"/>
        <v>2</v>
      </c>
      <c r="DM101" s="180">
        <f t="shared" si="15"/>
        <v>0</v>
      </c>
      <c r="DN101" s="180">
        <f t="shared" si="16"/>
        <v>2</v>
      </c>
      <c r="DO101" s="177">
        <v>0.0</v>
      </c>
      <c r="DP101" s="177">
        <v>0.0</v>
      </c>
      <c r="DQ101" s="177">
        <v>0.0</v>
      </c>
      <c r="DR101" s="177">
        <v>2.0</v>
      </c>
      <c r="DS101" s="177">
        <v>0.0</v>
      </c>
      <c r="DT101" s="177">
        <v>0.0</v>
      </c>
      <c r="DU101" s="177">
        <v>0.0</v>
      </c>
      <c r="DV101" s="177">
        <v>0.0</v>
      </c>
      <c r="DW101" s="177">
        <v>0.0</v>
      </c>
      <c r="DX101" s="177">
        <v>0.0</v>
      </c>
      <c r="DY101" s="177">
        <v>1.0</v>
      </c>
      <c r="DZ101" s="177">
        <v>0.0</v>
      </c>
      <c r="EA101" s="177">
        <v>0.0</v>
      </c>
      <c r="EB101" s="177">
        <v>0.0</v>
      </c>
      <c r="EC101" s="177">
        <v>0.0</v>
      </c>
      <c r="ED101" s="177">
        <v>0.0</v>
      </c>
      <c r="EE101" s="177">
        <v>0.0</v>
      </c>
      <c r="EF101" s="177">
        <v>0.0</v>
      </c>
      <c r="EG101" s="179">
        <f t="shared" si="17"/>
        <v>1</v>
      </c>
      <c r="EH101" s="179">
        <f t="shared" si="18"/>
        <v>1</v>
      </c>
      <c r="EI101" s="177">
        <v>795.0</v>
      </c>
      <c r="EJ101" s="177">
        <v>240.0</v>
      </c>
      <c r="EK101" s="178">
        <v>734.0</v>
      </c>
      <c r="EL101" s="178">
        <v>197.0</v>
      </c>
      <c r="EM101" s="186">
        <v>2.0</v>
      </c>
      <c r="EN101" s="186">
        <f t="shared" si="202"/>
        <v>1</v>
      </c>
      <c r="EO101" s="186">
        <f t="shared" si="90"/>
        <v>1</v>
      </c>
      <c r="EP101" s="227"/>
      <c r="EQ101" s="227"/>
      <c r="ER101" s="227"/>
      <c r="ES101" s="177">
        <v>1.0</v>
      </c>
      <c r="ET101" s="227"/>
      <c r="EU101" s="227"/>
      <c r="EV101" s="177">
        <v>1.0</v>
      </c>
      <c r="EW101" s="227"/>
      <c r="EX101" s="227"/>
      <c r="EY101" s="227"/>
      <c r="EZ101" s="227"/>
      <c r="FA101" s="177">
        <v>1.0</v>
      </c>
      <c r="FB101" s="227"/>
      <c r="FC101" s="227"/>
      <c r="FD101" s="227"/>
      <c r="FE101" s="227"/>
      <c r="FF101" s="227"/>
      <c r="FG101" s="227"/>
      <c r="FH101" s="185">
        <f t="shared" si="22"/>
        <v>1</v>
      </c>
      <c r="FI101" s="185">
        <f t="shared" si="23"/>
        <v>0</v>
      </c>
      <c r="FJ101" s="177">
        <v>796.0</v>
      </c>
      <c r="FK101" s="177">
        <v>229.0</v>
      </c>
      <c r="FL101" s="177">
        <v>725.0</v>
      </c>
      <c r="FM101" s="177">
        <v>187.0</v>
      </c>
      <c r="FN101" s="210"/>
      <c r="FO101" s="210">
        <v>1.0</v>
      </c>
      <c r="FP101" s="243">
        <v>1.0</v>
      </c>
      <c r="FQ101" s="211">
        <v>1.0</v>
      </c>
      <c r="FR101" s="212">
        <v>0.0</v>
      </c>
      <c r="FS101" s="335"/>
      <c r="FT101" s="293"/>
      <c r="FU101" s="207">
        <v>1.0</v>
      </c>
      <c r="FV101" s="293"/>
      <c r="FW101" s="293"/>
      <c r="FX101" s="293"/>
      <c r="FY101" s="293"/>
      <c r="FZ101" s="293"/>
      <c r="GA101" s="293"/>
      <c r="GB101" s="293"/>
      <c r="GC101" s="293"/>
      <c r="GD101" s="207">
        <v>1.0</v>
      </c>
      <c r="GE101" s="293"/>
      <c r="GF101" s="293"/>
      <c r="GG101" s="293"/>
      <c r="GH101" s="293"/>
      <c r="GI101" s="293"/>
      <c r="GJ101" s="293"/>
      <c r="GK101" s="212">
        <v>1.0</v>
      </c>
      <c r="GL101" s="212">
        <v>0.0</v>
      </c>
      <c r="GM101" s="207">
        <v>769.0</v>
      </c>
      <c r="GN101" s="207">
        <v>204.0</v>
      </c>
      <c r="GO101" s="213">
        <v>717.0</v>
      </c>
      <c r="GP101" s="213">
        <v>178.0</v>
      </c>
      <c r="GQ101" s="207"/>
      <c r="GR101" s="213">
        <v>1.0</v>
      </c>
      <c r="GS101" s="193">
        <v>1.0</v>
      </c>
      <c r="GT101" s="194">
        <f t="shared" si="25"/>
        <v>1</v>
      </c>
      <c r="GU101" s="194">
        <f t="shared" si="26"/>
        <v>1</v>
      </c>
      <c r="GV101" s="194">
        <f t="shared" si="27"/>
        <v>0</v>
      </c>
      <c r="GW101" s="207"/>
      <c r="GX101" s="207"/>
      <c r="GY101" s="207">
        <v>1.0</v>
      </c>
      <c r="GZ101" s="207"/>
      <c r="HA101" s="207"/>
      <c r="HB101" s="207"/>
      <c r="HC101" s="207"/>
      <c r="HD101" s="207"/>
      <c r="HE101" s="207"/>
      <c r="HF101" s="207"/>
      <c r="HG101" s="207"/>
      <c r="HH101" s="207"/>
      <c r="HI101" s="207"/>
      <c r="HJ101" s="207"/>
      <c r="HK101" s="207"/>
      <c r="HL101" s="207"/>
      <c r="HM101" s="207"/>
      <c r="HN101" s="207"/>
      <c r="HO101" s="222"/>
      <c r="HP101" s="222"/>
      <c r="HQ101" s="214"/>
      <c r="HR101" s="197"/>
      <c r="HS101" s="197"/>
      <c r="HT101" s="198">
        <f t="shared" si="28"/>
        <v>3</v>
      </c>
      <c r="HU101" s="198">
        <f t="shared" si="29"/>
        <v>3</v>
      </c>
      <c r="HV101" s="198">
        <f t="shared" si="30"/>
        <v>5</v>
      </c>
      <c r="HW101" s="198">
        <f t="shared" si="99"/>
        <v>11</v>
      </c>
      <c r="HX101" s="198">
        <f t="shared" si="32"/>
        <v>7</v>
      </c>
      <c r="HY101" s="198">
        <f t="shared" si="33"/>
        <v>4</v>
      </c>
      <c r="HZ101" s="198">
        <f t="shared" si="34"/>
        <v>3</v>
      </c>
      <c r="IA101" s="198">
        <f t="shared" si="35"/>
        <v>3</v>
      </c>
      <c r="IB101" s="198">
        <f t="shared" si="36"/>
        <v>2</v>
      </c>
      <c r="IC101" s="198">
        <f t="shared" si="37"/>
        <v>2</v>
      </c>
      <c r="ID101" s="198">
        <f t="shared" si="38"/>
        <v>1</v>
      </c>
      <c r="IE101" s="198">
        <f t="shared" si="39"/>
        <v>1</v>
      </c>
      <c r="IF101" s="197"/>
      <c r="IG101" s="197"/>
      <c r="IH101" s="197"/>
      <c r="II101" s="197"/>
      <c r="IJ101" s="197"/>
      <c r="IK101" s="197"/>
      <c r="IL101" s="197"/>
      <c r="IM101" s="197"/>
      <c r="IN101" s="197"/>
      <c r="IO101" s="197"/>
      <c r="IP101" s="197"/>
      <c r="IQ101" s="197"/>
      <c r="IR101" s="197"/>
      <c r="IS101" s="197"/>
      <c r="IT101" s="197"/>
      <c r="IU101" s="197"/>
      <c r="IV101" s="197"/>
      <c r="IW101" s="197"/>
      <c r="IX101" s="197"/>
      <c r="IY101" s="197"/>
      <c r="IZ101" s="197"/>
      <c r="JA101" s="199"/>
      <c r="JB101" s="200">
        <f t="shared" si="40"/>
        <v>3</v>
      </c>
      <c r="JC101" s="200">
        <f t="shared" si="41"/>
        <v>3</v>
      </c>
      <c r="JD101" s="200">
        <f t="shared" si="42"/>
        <v>5</v>
      </c>
      <c r="JE101" s="200">
        <f t="shared" si="43"/>
        <v>11</v>
      </c>
      <c r="JF101" s="200">
        <f t="shared" si="44"/>
        <v>7</v>
      </c>
      <c r="JG101" s="200">
        <f t="shared" si="45"/>
        <v>4</v>
      </c>
      <c r="JH101" s="200">
        <f t="shared" si="46"/>
        <v>3</v>
      </c>
      <c r="JI101" s="200">
        <f t="shared" si="47"/>
        <v>3</v>
      </c>
      <c r="JJ101" s="200">
        <f t="shared" si="48"/>
        <v>2</v>
      </c>
      <c r="JK101" s="200">
        <f t="shared" si="49"/>
        <v>3</v>
      </c>
      <c r="JL101" s="200">
        <f t="shared" si="50"/>
        <v>1</v>
      </c>
      <c r="JM101" s="200">
        <f t="shared" si="51"/>
        <v>1</v>
      </c>
      <c r="JN101" s="199"/>
      <c r="JO101" s="200">
        <f t="shared" si="52"/>
        <v>3</v>
      </c>
      <c r="JP101" s="202">
        <v>3.0</v>
      </c>
      <c r="JQ101" s="202">
        <v>5.0</v>
      </c>
      <c r="JR101" s="202">
        <v>11.0</v>
      </c>
      <c r="JS101" s="202">
        <v>7.0</v>
      </c>
      <c r="JT101" s="199"/>
      <c r="JU101" s="199"/>
      <c r="JV101" s="200">
        <f t="shared" ref="JV101:JX101" si="258">IA101-JI101</f>
        <v>0</v>
      </c>
      <c r="JW101" s="200">
        <f t="shared" si="258"/>
        <v>0</v>
      </c>
      <c r="JX101" s="200">
        <f t="shared" si="258"/>
        <v>-1</v>
      </c>
      <c r="JY101" s="199"/>
      <c r="JZ101" s="199"/>
      <c r="KA101" s="199"/>
      <c r="KB101" s="200">
        <f t="shared" ref="KB101:KM101" si="259">JB101-JO101</f>
        <v>0</v>
      </c>
      <c r="KC101" s="200">
        <f t="shared" si="259"/>
        <v>0</v>
      </c>
      <c r="KD101" s="200">
        <f t="shared" si="259"/>
        <v>0</v>
      </c>
      <c r="KE101" s="200">
        <f t="shared" si="259"/>
        <v>0</v>
      </c>
      <c r="KF101" s="200">
        <f t="shared" si="259"/>
        <v>0</v>
      </c>
      <c r="KG101" s="200">
        <f t="shared" si="259"/>
        <v>4</v>
      </c>
      <c r="KH101" s="200">
        <f t="shared" si="259"/>
        <v>3</v>
      </c>
      <c r="KI101" s="200">
        <f t="shared" si="259"/>
        <v>3</v>
      </c>
      <c r="KJ101" s="200">
        <f t="shared" si="259"/>
        <v>2</v>
      </c>
      <c r="KK101" s="200">
        <f t="shared" si="259"/>
        <v>4</v>
      </c>
      <c r="KL101" s="200">
        <f t="shared" si="259"/>
        <v>1</v>
      </c>
      <c r="KM101" s="200">
        <f t="shared" si="259"/>
        <v>1</v>
      </c>
      <c r="KN101" s="199"/>
      <c r="KO101" s="199"/>
      <c r="KP101" s="199"/>
      <c r="KQ101" s="199"/>
      <c r="KR101" s="199"/>
      <c r="KS101" s="199"/>
      <c r="KT101" s="199"/>
      <c r="KU101" s="199"/>
      <c r="KV101" s="199"/>
      <c r="KW101" s="199"/>
      <c r="KX101" s="199"/>
      <c r="KY101" s="199"/>
      <c r="KZ101" s="199"/>
      <c r="LA101" s="199"/>
      <c r="LB101" s="199"/>
      <c r="LC101" s="199"/>
      <c r="LD101" s="199"/>
      <c r="LE101" s="199"/>
      <c r="LF101" s="199"/>
      <c r="LG101" s="199"/>
    </row>
    <row r="102" ht="14.25" customHeight="1">
      <c r="A102" s="156">
        <v>95.0</v>
      </c>
      <c r="B102" s="356" t="s">
        <v>191</v>
      </c>
      <c r="C102" s="357"/>
      <c r="D102" s="357" t="s">
        <v>192</v>
      </c>
      <c r="E102" s="357" t="s">
        <v>197</v>
      </c>
      <c r="F102" s="358">
        <v>9.0</v>
      </c>
      <c r="G102" s="359">
        <v>415.0</v>
      </c>
      <c r="H102" s="360">
        <v>4.0</v>
      </c>
      <c r="I102" s="361">
        <v>0.0</v>
      </c>
      <c r="J102" s="361">
        <v>0.0</v>
      </c>
      <c r="K102" s="361">
        <v>1.0</v>
      </c>
      <c r="L102" s="361">
        <v>3.0</v>
      </c>
      <c r="M102" s="361">
        <v>0.0</v>
      </c>
      <c r="N102" s="361"/>
      <c r="O102" s="361">
        <f t="shared" si="213"/>
        <v>4</v>
      </c>
      <c r="P102" s="361">
        <v>4.0</v>
      </c>
      <c r="Q102" s="362">
        <v>0.0</v>
      </c>
      <c r="R102" s="362">
        <v>0.0</v>
      </c>
      <c r="S102" s="362">
        <v>1.0</v>
      </c>
      <c r="T102" s="363">
        <v>3.0</v>
      </c>
      <c r="U102" s="363">
        <v>1.0</v>
      </c>
      <c r="V102" s="363">
        <v>1.0</v>
      </c>
      <c r="W102" s="362">
        <f t="shared" si="225"/>
        <v>2</v>
      </c>
      <c r="X102" s="361">
        <v>4.0</v>
      </c>
      <c r="Y102" s="363">
        <v>0.0</v>
      </c>
      <c r="Z102" s="363">
        <v>0.0</v>
      </c>
      <c r="AA102" s="363">
        <v>1.0</v>
      </c>
      <c r="AB102" s="363">
        <v>3.0</v>
      </c>
      <c r="AC102" s="363">
        <v>0.0</v>
      </c>
      <c r="AD102" s="363">
        <v>0.0</v>
      </c>
      <c r="AE102" s="362">
        <f t="shared" si="214"/>
        <v>4</v>
      </c>
      <c r="AF102" s="363">
        <v>3.0</v>
      </c>
      <c r="AG102" s="363">
        <v>0.0</v>
      </c>
      <c r="AH102" s="363">
        <v>0.0</v>
      </c>
      <c r="AI102" s="363">
        <v>1.0</v>
      </c>
      <c r="AJ102" s="363">
        <v>2.0</v>
      </c>
      <c r="AK102" s="363">
        <v>0.0</v>
      </c>
      <c r="AL102" s="363">
        <v>0.0</v>
      </c>
      <c r="AM102" s="362">
        <f t="shared" si="215"/>
        <v>3</v>
      </c>
      <c r="AN102" s="363">
        <v>4.0</v>
      </c>
      <c r="AO102" s="363">
        <v>0.0</v>
      </c>
      <c r="AP102" s="363">
        <v>0.0</v>
      </c>
      <c r="AQ102" s="363">
        <v>2.0</v>
      </c>
      <c r="AR102" s="363">
        <v>2.0</v>
      </c>
      <c r="AS102" s="363">
        <v>0.0</v>
      </c>
      <c r="AT102" s="363">
        <v>0.0</v>
      </c>
      <c r="AU102" s="364">
        <f t="shared" si="216"/>
        <v>4</v>
      </c>
      <c r="AV102" s="365">
        <v>329.0</v>
      </c>
      <c r="AW102" s="366">
        <f t="shared" si="8"/>
        <v>5</v>
      </c>
      <c r="AX102" s="362"/>
      <c r="AY102" s="362"/>
      <c r="AZ102" s="365">
        <v>2.0</v>
      </c>
      <c r="BA102" s="365">
        <v>3.0</v>
      </c>
      <c r="BB102" s="362"/>
      <c r="BC102" s="362"/>
      <c r="BD102" s="362"/>
      <c r="BE102" s="362"/>
      <c r="BF102" s="362"/>
      <c r="BG102" s="362"/>
      <c r="BH102" s="362"/>
      <c r="BI102" s="362"/>
      <c r="BJ102" s="362"/>
      <c r="BK102" s="362"/>
      <c r="BL102" s="362"/>
      <c r="BM102" s="362"/>
      <c r="BN102" s="362"/>
      <c r="BO102" s="362"/>
      <c r="BP102" s="362">
        <f t="shared" si="131"/>
        <v>0</v>
      </c>
      <c r="BQ102" s="367">
        <v>347.0</v>
      </c>
      <c r="BR102" s="368">
        <f t="shared" si="10"/>
        <v>4</v>
      </c>
      <c r="BS102" s="363"/>
      <c r="BT102" s="363"/>
      <c r="BU102" s="367">
        <v>1.0</v>
      </c>
      <c r="BV102" s="367">
        <v>3.0</v>
      </c>
      <c r="BW102" s="363"/>
      <c r="BX102" s="363"/>
      <c r="BY102" s="363"/>
      <c r="BZ102" s="363"/>
      <c r="CA102" s="363"/>
      <c r="CB102" s="363"/>
      <c r="CC102" s="363"/>
      <c r="CD102" s="363"/>
      <c r="CE102" s="363"/>
      <c r="CF102" s="363"/>
      <c r="CG102" s="363"/>
      <c r="CH102" s="363"/>
      <c r="CI102" s="363"/>
      <c r="CJ102" s="363"/>
      <c r="CK102" s="363">
        <f t="shared" si="132"/>
        <v>0</v>
      </c>
      <c r="CL102" s="367">
        <v>343.0</v>
      </c>
      <c r="CM102" s="367">
        <v>123.0</v>
      </c>
      <c r="CN102" s="369">
        <f t="shared" si="12"/>
        <v>4</v>
      </c>
      <c r="CO102" s="363"/>
      <c r="CP102" s="363"/>
      <c r="CQ102" s="367">
        <v>2.0</v>
      </c>
      <c r="CR102" s="367">
        <v>2.0</v>
      </c>
      <c r="CS102" s="363"/>
      <c r="CT102" s="363"/>
      <c r="CU102" s="363"/>
      <c r="CV102" s="363"/>
      <c r="CW102" s="363"/>
      <c r="CX102" s="363"/>
      <c r="CY102" s="363"/>
      <c r="CZ102" s="367">
        <v>1.0</v>
      </c>
      <c r="DA102" s="363"/>
      <c r="DB102" s="363"/>
      <c r="DC102" s="363"/>
      <c r="DD102" s="363"/>
      <c r="DE102" s="363"/>
      <c r="DF102" s="363"/>
      <c r="DG102" s="369">
        <f t="shared" si="13"/>
        <v>1</v>
      </c>
      <c r="DH102" s="177">
        <v>404.0</v>
      </c>
      <c r="DI102" s="177">
        <v>119.0</v>
      </c>
      <c r="DJ102" s="178">
        <v>354.0</v>
      </c>
      <c r="DK102" s="178">
        <v>111.0</v>
      </c>
      <c r="DL102" s="179">
        <f t="shared" si="14"/>
        <v>6</v>
      </c>
      <c r="DM102" s="180">
        <f t="shared" si="15"/>
        <v>1</v>
      </c>
      <c r="DN102" s="180">
        <f t="shared" si="16"/>
        <v>5</v>
      </c>
      <c r="DO102" s="177">
        <v>0.0</v>
      </c>
      <c r="DP102" s="177">
        <v>0.0</v>
      </c>
      <c r="DQ102" s="177">
        <v>1.0</v>
      </c>
      <c r="DR102" s="177">
        <v>3.0</v>
      </c>
      <c r="DS102" s="177">
        <v>0.0</v>
      </c>
      <c r="DT102" s="177">
        <v>0.0</v>
      </c>
      <c r="DU102" s="177">
        <v>0.0</v>
      </c>
      <c r="DV102" s="177">
        <v>2.0</v>
      </c>
      <c r="DW102" s="177">
        <v>0.0</v>
      </c>
      <c r="DX102" s="177">
        <v>0.0</v>
      </c>
      <c r="DY102" s="177">
        <v>0.0</v>
      </c>
      <c r="DZ102" s="177">
        <v>0.0</v>
      </c>
      <c r="EA102" s="177">
        <v>0.0</v>
      </c>
      <c r="EB102" s="177">
        <v>0.0</v>
      </c>
      <c r="EC102" s="221">
        <v>0.0</v>
      </c>
      <c r="ED102" s="177">
        <v>0.0</v>
      </c>
      <c r="EE102" s="177">
        <v>0.0</v>
      </c>
      <c r="EF102" s="177">
        <v>0.0</v>
      </c>
      <c r="EG102" s="179">
        <f t="shared" si="17"/>
        <v>0</v>
      </c>
      <c r="EH102" s="179">
        <f t="shared" si="18"/>
        <v>0</v>
      </c>
      <c r="EI102" s="177">
        <v>396.0</v>
      </c>
      <c r="EJ102" s="177">
        <v>115.0</v>
      </c>
      <c r="EK102" s="178">
        <v>344.0</v>
      </c>
      <c r="EL102" s="178">
        <v>106.0</v>
      </c>
      <c r="EM102" s="185">
        <f t="shared" ref="EM102:EM104" si="262">SUM(EP102:EW102)</f>
        <v>5</v>
      </c>
      <c r="EN102" s="186">
        <f t="shared" si="202"/>
        <v>1</v>
      </c>
      <c r="EO102" s="186">
        <f t="shared" si="90"/>
        <v>4</v>
      </c>
      <c r="EP102" s="177">
        <v>0.0</v>
      </c>
      <c r="EQ102" s="177">
        <v>0.0</v>
      </c>
      <c r="ER102" s="177">
        <v>1.0</v>
      </c>
      <c r="ES102" s="177">
        <v>4.0</v>
      </c>
      <c r="ET102" s="177">
        <v>0.0</v>
      </c>
      <c r="EU102" s="177">
        <v>0.0</v>
      </c>
      <c r="EV102" s="177">
        <v>0.0</v>
      </c>
      <c r="EW102" s="177">
        <v>0.0</v>
      </c>
      <c r="EX102" s="227"/>
      <c r="EY102" s="227"/>
      <c r="EZ102" s="227"/>
      <c r="FA102" s="227"/>
      <c r="FB102" s="227"/>
      <c r="FC102" s="227"/>
      <c r="FD102" s="226"/>
      <c r="FE102" s="227"/>
      <c r="FF102" s="227"/>
      <c r="FG102" s="227"/>
      <c r="FH102" s="185">
        <f t="shared" si="22"/>
        <v>0</v>
      </c>
      <c r="FI102" s="185">
        <f t="shared" si="23"/>
        <v>0</v>
      </c>
      <c r="FJ102" s="177">
        <v>395.0</v>
      </c>
      <c r="FK102" s="177">
        <v>118.0</v>
      </c>
      <c r="FL102" s="177">
        <v>346.0</v>
      </c>
      <c r="FM102" s="177">
        <v>110.0</v>
      </c>
      <c r="FN102" s="180"/>
      <c r="FO102" s="180">
        <v>5.0</v>
      </c>
      <c r="FP102" s="188">
        <f t="shared" ref="FP102:FP104" si="263">SUM(FS102:FZ102)</f>
        <v>5</v>
      </c>
      <c r="FQ102" s="211">
        <v>1.0</v>
      </c>
      <c r="FR102" s="212">
        <v>4.0</v>
      </c>
      <c r="FS102" s="335"/>
      <c r="FT102" s="293"/>
      <c r="FU102" s="207">
        <v>1.0</v>
      </c>
      <c r="FV102" s="207">
        <v>4.0</v>
      </c>
      <c r="FW102" s="293"/>
      <c r="FX102" s="293"/>
      <c r="FY102" s="293"/>
      <c r="FZ102" s="293"/>
      <c r="GA102" s="293"/>
      <c r="GB102" s="293"/>
      <c r="GC102" s="293"/>
      <c r="GD102" s="293"/>
      <c r="GE102" s="293"/>
      <c r="GF102" s="293"/>
      <c r="GG102" s="293"/>
      <c r="GH102" s="293"/>
      <c r="GI102" s="293"/>
      <c r="GJ102" s="293"/>
      <c r="GK102" s="212">
        <v>0.0</v>
      </c>
      <c r="GL102" s="212">
        <v>0.0</v>
      </c>
      <c r="GM102" s="207">
        <v>401.0</v>
      </c>
      <c r="GN102" s="207">
        <v>130.0</v>
      </c>
      <c r="GO102" s="213">
        <v>353.0</v>
      </c>
      <c r="GP102" s="213">
        <v>121.0</v>
      </c>
      <c r="GQ102" s="207"/>
      <c r="GR102" s="213">
        <v>5.0</v>
      </c>
      <c r="GS102" s="193">
        <v>0.0</v>
      </c>
      <c r="GT102" s="194">
        <f t="shared" si="25"/>
        <v>5</v>
      </c>
      <c r="GU102" s="194">
        <f t="shared" si="26"/>
        <v>0</v>
      </c>
      <c r="GV102" s="194">
        <f t="shared" si="27"/>
        <v>5</v>
      </c>
      <c r="GW102" s="207"/>
      <c r="GX102" s="207"/>
      <c r="GY102" s="207"/>
      <c r="GZ102" s="207">
        <v>5.0</v>
      </c>
      <c r="HA102" s="207"/>
      <c r="HB102" s="207"/>
      <c r="HC102" s="207"/>
      <c r="HD102" s="207"/>
      <c r="HE102" s="207"/>
      <c r="HF102" s="207"/>
      <c r="HG102" s="207"/>
      <c r="HH102" s="207"/>
      <c r="HI102" s="207"/>
      <c r="HJ102" s="207"/>
      <c r="HK102" s="207"/>
      <c r="HL102" s="207"/>
      <c r="HM102" s="207"/>
      <c r="HN102" s="207"/>
      <c r="HO102" s="222"/>
      <c r="HP102" s="222"/>
      <c r="HQ102" s="370"/>
      <c r="HR102" s="362"/>
      <c r="HS102" s="362"/>
      <c r="HT102" s="362">
        <f t="shared" si="28"/>
        <v>4</v>
      </c>
      <c r="HU102" s="362">
        <f t="shared" si="29"/>
        <v>4</v>
      </c>
      <c r="HV102" s="362">
        <f t="shared" si="30"/>
        <v>4</v>
      </c>
      <c r="HW102" s="362">
        <f t="shared" si="99"/>
        <v>3</v>
      </c>
      <c r="HX102" s="362">
        <f t="shared" si="32"/>
        <v>4</v>
      </c>
      <c r="HY102" s="362">
        <f t="shared" si="33"/>
        <v>5</v>
      </c>
      <c r="HZ102" s="362">
        <f t="shared" si="34"/>
        <v>4</v>
      </c>
      <c r="IA102" s="362">
        <f t="shared" si="35"/>
        <v>4</v>
      </c>
      <c r="IB102" s="198">
        <f t="shared" si="36"/>
        <v>6</v>
      </c>
      <c r="IC102" s="198">
        <f t="shared" si="37"/>
        <v>5</v>
      </c>
      <c r="ID102" s="198">
        <f t="shared" si="38"/>
        <v>5</v>
      </c>
      <c r="IE102" s="198">
        <f t="shared" si="39"/>
        <v>5</v>
      </c>
      <c r="IF102" s="362"/>
      <c r="IG102" s="197"/>
      <c r="IH102" s="362"/>
      <c r="II102" s="362"/>
      <c r="IJ102" s="362"/>
      <c r="IK102" s="362"/>
      <c r="IL102" s="362"/>
      <c r="IM102" s="362"/>
      <c r="IN102" s="362"/>
      <c r="IO102" s="362"/>
      <c r="IP102" s="362"/>
      <c r="IQ102" s="362"/>
      <c r="IR102" s="362"/>
      <c r="IS102" s="362"/>
      <c r="IT102" s="362"/>
      <c r="IU102" s="362"/>
      <c r="IV102" s="362"/>
      <c r="IW102" s="362"/>
      <c r="IX102" s="362"/>
      <c r="IY102" s="362"/>
      <c r="IZ102" s="362"/>
      <c r="JA102" s="371"/>
      <c r="JB102" s="372">
        <f t="shared" si="40"/>
        <v>4</v>
      </c>
      <c r="JC102" s="372">
        <f t="shared" si="41"/>
        <v>4</v>
      </c>
      <c r="JD102" s="372">
        <f t="shared" si="42"/>
        <v>4</v>
      </c>
      <c r="JE102" s="372">
        <f t="shared" si="43"/>
        <v>3</v>
      </c>
      <c r="JF102" s="372">
        <f t="shared" si="44"/>
        <v>4</v>
      </c>
      <c r="JG102" s="372">
        <f t="shared" si="45"/>
        <v>5</v>
      </c>
      <c r="JH102" s="372">
        <f t="shared" si="46"/>
        <v>4</v>
      </c>
      <c r="JI102" s="372">
        <f t="shared" si="47"/>
        <v>4</v>
      </c>
      <c r="JJ102" s="200">
        <f t="shared" si="48"/>
        <v>6</v>
      </c>
      <c r="JK102" s="200">
        <f t="shared" si="49"/>
        <v>5</v>
      </c>
      <c r="JL102" s="200">
        <f t="shared" si="50"/>
        <v>5</v>
      </c>
      <c r="JM102" s="200">
        <f t="shared" si="51"/>
        <v>5</v>
      </c>
      <c r="JN102" s="371"/>
      <c r="JO102" s="372">
        <f t="shared" si="52"/>
        <v>4</v>
      </c>
      <c r="JP102" s="361">
        <v>4.0</v>
      </c>
      <c r="JQ102" s="361">
        <v>4.0</v>
      </c>
      <c r="JR102" s="361">
        <v>3.0</v>
      </c>
      <c r="JS102" s="361">
        <v>4.0</v>
      </c>
      <c r="JT102" s="371"/>
      <c r="JU102" s="371"/>
      <c r="JV102" s="200">
        <f t="shared" ref="JV102:JX102" si="260">IA102-JI102</f>
        <v>0</v>
      </c>
      <c r="JW102" s="200">
        <f t="shared" si="260"/>
        <v>0</v>
      </c>
      <c r="JX102" s="200">
        <f t="shared" si="260"/>
        <v>0</v>
      </c>
      <c r="JY102" s="371"/>
      <c r="JZ102" s="371"/>
      <c r="KA102" s="371"/>
      <c r="KB102" s="372">
        <f t="shared" ref="KB102:KM102" si="261">JB102-JO102</f>
        <v>0</v>
      </c>
      <c r="KC102" s="372">
        <f t="shared" si="261"/>
        <v>0</v>
      </c>
      <c r="KD102" s="372">
        <f t="shared" si="261"/>
        <v>0</v>
      </c>
      <c r="KE102" s="372">
        <f t="shared" si="261"/>
        <v>0</v>
      </c>
      <c r="KF102" s="372">
        <f t="shared" si="261"/>
        <v>0</v>
      </c>
      <c r="KG102" s="372">
        <f t="shared" si="261"/>
        <v>5</v>
      </c>
      <c r="KH102" s="372">
        <f t="shared" si="261"/>
        <v>4</v>
      </c>
      <c r="KI102" s="372">
        <f t="shared" si="261"/>
        <v>4</v>
      </c>
      <c r="KJ102" s="372">
        <f t="shared" si="261"/>
        <v>6</v>
      </c>
      <c r="KK102" s="372">
        <f t="shared" si="261"/>
        <v>5</v>
      </c>
      <c r="KL102" s="372">
        <f t="shared" si="261"/>
        <v>5</v>
      </c>
      <c r="KM102" s="372">
        <f t="shared" si="261"/>
        <v>5</v>
      </c>
      <c r="KN102" s="371"/>
      <c r="KO102" s="371"/>
      <c r="KP102" s="371"/>
      <c r="KQ102" s="371"/>
      <c r="KR102" s="371"/>
      <c r="KS102" s="371"/>
      <c r="KT102" s="371"/>
      <c r="KU102" s="371"/>
      <c r="KV102" s="371"/>
      <c r="KW102" s="371"/>
      <c r="KX102" s="371"/>
      <c r="KY102" s="371"/>
      <c r="KZ102" s="371"/>
      <c r="LA102" s="371"/>
      <c r="LB102" s="371"/>
      <c r="LC102" s="371"/>
      <c r="LD102" s="371"/>
      <c r="LE102" s="371"/>
      <c r="LF102" s="371"/>
      <c r="LG102" s="371"/>
      <c r="LH102" s="373"/>
      <c r="LI102" s="373"/>
      <c r="LJ102" s="373"/>
      <c r="LK102" s="373"/>
    </row>
    <row r="103" ht="14.25" customHeight="1">
      <c r="A103" s="156">
        <v>96.0</v>
      </c>
      <c r="B103" s="356" t="s">
        <v>191</v>
      </c>
      <c r="C103" s="357"/>
      <c r="D103" s="357" t="s">
        <v>192</v>
      </c>
      <c r="E103" s="357" t="s">
        <v>198</v>
      </c>
      <c r="F103" s="358">
        <v>6.0</v>
      </c>
      <c r="G103" s="359">
        <v>284.0</v>
      </c>
      <c r="H103" s="360">
        <v>2.0</v>
      </c>
      <c r="I103" s="361">
        <v>0.0</v>
      </c>
      <c r="J103" s="361">
        <v>0.0</v>
      </c>
      <c r="K103" s="361">
        <v>1.0</v>
      </c>
      <c r="L103" s="361">
        <v>1.0</v>
      </c>
      <c r="M103" s="361">
        <v>0.0</v>
      </c>
      <c r="N103" s="361"/>
      <c r="O103" s="361">
        <f t="shared" si="213"/>
        <v>2</v>
      </c>
      <c r="P103" s="361">
        <v>2.0</v>
      </c>
      <c r="Q103" s="362">
        <v>0.0</v>
      </c>
      <c r="R103" s="362">
        <v>0.0</v>
      </c>
      <c r="S103" s="362">
        <v>1.0</v>
      </c>
      <c r="T103" s="363">
        <v>1.0</v>
      </c>
      <c r="U103" s="363">
        <v>1.0</v>
      </c>
      <c r="V103" s="363">
        <v>0.0</v>
      </c>
      <c r="W103" s="362">
        <f t="shared" si="225"/>
        <v>1</v>
      </c>
      <c r="X103" s="361">
        <v>2.0</v>
      </c>
      <c r="Y103" s="363">
        <v>0.0</v>
      </c>
      <c r="Z103" s="363">
        <v>0.0</v>
      </c>
      <c r="AA103" s="363">
        <v>1.0</v>
      </c>
      <c r="AB103" s="363">
        <v>1.0</v>
      </c>
      <c r="AC103" s="363">
        <v>0.0</v>
      </c>
      <c r="AD103" s="363">
        <v>0.0</v>
      </c>
      <c r="AE103" s="362">
        <f t="shared" si="214"/>
        <v>2</v>
      </c>
      <c r="AF103" s="363">
        <v>1.0</v>
      </c>
      <c r="AG103" s="363">
        <v>0.0</v>
      </c>
      <c r="AH103" s="363">
        <v>0.0</v>
      </c>
      <c r="AI103" s="363">
        <v>1.0</v>
      </c>
      <c r="AJ103" s="363">
        <v>0.0</v>
      </c>
      <c r="AK103" s="363">
        <v>0.0</v>
      </c>
      <c r="AL103" s="363">
        <v>0.0</v>
      </c>
      <c r="AM103" s="362">
        <f t="shared" si="215"/>
        <v>1</v>
      </c>
      <c r="AN103" s="363">
        <v>0.0</v>
      </c>
      <c r="AO103" s="363">
        <v>0.0</v>
      </c>
      <c r="AP103" s="363">
        <v>0.0</v>
      </c>
      <c r="AQ103" s="363">
        <v>0.0</v>
      </c>
      <c r="AR103" s="363">
        <v>0.0</v>
      </c>
      <c r="AS103" s="363">
        <v>0.0</v>
      </c>
      <c r="AT103" s="367">
        <v>0.0</v>
      </c>
      <c r="AU103" s="364">
        <f t="shared" si="216"/>
        <v>0</v>
      </c>
      <c r="AV103" s="365">
        <v>291.0</v>
      </c>
      <c r="AW103" s="366">
        <f t="shared" si="8"/>
        <v>1</v>
      </c>
      <c r="AX103" s="362"/>
      <c r="AY103" s="362"/>
      <c r="AZ103" s="365">
        <v>1.0</v>
      </c>
      <c r="BA103" s="362"/>
      <c r="BB103" s="362"/>
      <c r="BC103" s="362"/>
      <c r="BD103" s="362"/>
      <c r="BE103" s="362"/>
      <c r="BF103" s="362"/>
      <c r="BG103" s="362"/>
      <c r="BH103" s="362"/>
      <c r="BI103" s="362"/>
      <c r="BJ103" s="362"/>
      <c r="BK103" s="362"/>
      <c r="BL103" s="362"/>
      <c r="BM103" s="362"/>
      <c r="BN103" s="362"/>
      <c r="BO103" s="362"/>
      <c r="BP103" s="362">
        <f t="shared" si="131"/>
        <v>0</v>
      </c>
      <c r="BQ103" s="367">
        <v>297.0</v>
      </c>
      <c r="BR103" s="368">
        <f t="shared" si="10"/>
        <v>1</v>
      </c>
      <c r="BS103" s="363"/>
      <c r="BT103" s="363"/>
      <c r="BU103" s="363"/>
      <c r="BV103" s="367">
        <v>1.0</v>
      </c>
      <c r="BW103" s="363"/>
      <c r="BX103" s="363"/>
      <c r="BY103" s="363"/>
      <c r="BZ103" s="363"/>
      <c r="CA103" s="363"/>
      <c r="CB103" s="363"/>
      <c r="CC103" s="363"/>
      <c r="CD103" s="363"/>
      <c r="CE103" s="363"/>
      <c r="CF103" s="363"/>
      <c r="CG103" s="363"/>
      <c r="CH103" s="363"/>
      <c r="CI103" s="363"/>
      <c r="CJ103" s="363"/>
      <c r="CK103" s="363">
        <f t="shared" si="132"/>
        <v>0</v>
      </c>
      <c r="CL103" s="367">
        <v>299.0</v>
      </c>
      <c r="CM103" s="367">
        <v>85.0</v>
      </c>
      <c r="CN103" s="369">
        <f t="shared" si="12"/>
        <v>1</v>
      </c>
      <c r="CO103" s="363"/>
      <c r="CP103" s="363"/>
      <c r="CQ103" s="363"/>
      <c r="CR103" s="367">
        <v>1.0</v>
      </c>
      <c r="CS103" s="363"/>
      <c r="CT103" s="363"/>
      <c r="CU103" s="363"/>
      <c r="CV103" s="363"/>
      <c r="CW103" s="363"/>
      <c r="CX103" s="363"/>
      <c r="CY103" s="363"/>
      <c r="CZ103" s="363"/>
      <c r="DA103" s="363"/>
      <c r="DB103" s="363"/>
      <c r="DC103" s="363"/>
      <c r="DD103" s="363"/>
      <c r="DE103" s="363"/>
      <c r="DF103" s="363"/>
      <c r="DG103" s="369">
        <f t="shared" si="13"/>
        <v>0</v>
      </c>
      <c r="DH103" s="177">
        <v>275.0</v>
      </c>
      <c r="DI103" s="177">
        <v>69.0</v>
      </c>
      <c r="DJ103" s="178">
        <v>272.0</v>
      </c>
      <c r="DK103" s="178">
        <v>69.0</v>
      </c>
      <c r="DL103" s="179">
        <f t="shared" si="14"/>
        <v>1</v>
      </c>
      <c r="DM103" s="180">
        <f t="shared" si="15"/>
        <v>0</v>
      </c>
      <c r="DN103" s="180">
        <f t="shared" si="16"/>
        <v>1</v>
      </c>
      <c r="DO103" s="177">
        <v>0.0</v>
      </c>
      <c r="DP103" s="177">
        <v>0.0</v>
      </c>
      <c r="DQ103" s="177">
        <v>0.0</v>
      </c>
      <c r="DR103" s="177">
        <v>1.0</v>
      </c>
      <c r="DS103" s="177">
        <v>0.0</v>
      </c>
      <c r="DT103" s="177">
        <v>0.0</v>
      </c>
      <c r="DU103" s="177">
        <v>0.0</v>
      </c>
      <c r="DV103" s="177">
        <v>0.0</v>
      </c>
      <c r="DW103" s="177">
        <v>0.0</v>
      </c>
      <c r="DX103" s="177">
        <v>0.0</v>
      </c>
      <c r="DY103" s="177">
        <v>0.0</v>
      </c>
      <c r="DZ103" s="177">
        <v>0.0</v>
      </c>
      <c r="EA103" s="177">
        <v>0.0</v>
      </c>
      <c r="EB103" s="177">
        <v>0.0</v>
      </c>
      <c r="EC103" s="221">
        <v>0.0</v>
      </c>
      <c r="ED103" s="177">
        <v>0.0</v>
      </c>
      <c r="EE103" s="177">
        <v>0.0</v>
      </c>
      <c r="EF103" s="177">
        <v>0.0</v>
      </c>
      <c r="EG103" s="179">
        <f t="shared" si="17"/>
        <v>0</v>
      </c>
      <c r="EH103" s="179">
        <f t="shared" si="18"/>
        <v>0</v>
      </c>
      <c r="EI103" s="177">
        <v>266.0</v>
      </c>
      <c r="EJ103" s="177">
        <v>66.0</v>
      </c>
      <c r="EK103" s="178">
        <v>263.0</v>
      </c>
      <c r="EL103" s="178">
        <v>66.0</v>
      </c>
      <c r="EM103" s="185">
        <f t="shared" si="262"/>
        <v>1</v>
      </c>
      <c r="EN103" s="186">
        <f t="shared" si="202"/>
        <v>0</v>
      </c>
      <c r="EO103" s="186">
        <f t="shared" si="90"/>
        <v>1</v>
      </c>
      <c r="EP103" s="177">
        <v>0.0</v>
      </c>
      <c r="EQ103" s="177">
        <v>0.0</v>
      </c>
      <c r="ER103" s="177">
        <v>0.0</v>
      </c>
      <c r="ES103" s="177">
        <v>1.0</v>
      </c>
      <c r="ET103" s="177">
        <v>0.0</v>
      </c>
      <c r="EU103" s="177">
        <v>0.0</v>
      </c>
      <c r="EV103" s="177">
        <v>0.0</v>
      </c>
      <c r="EW103" s="177">
        <v>0.0</v>
      </c>
      <c r="EX103" s="227"/>
      <c r="EY103" s="227"/>
      <c r="EZ103" s="227"/>
      <c r="FA103" s="227"/>
      <c r="FB103" s="227"/>
      <c r="FC103" s="227"/>
      <c r="FD103" s="226"/>
      <c r="FE103" s="227"/>
      <c r="FF103" s="227"/>
      <c r="FG103" s="227"/>
      <c r="FH103" s="185">
        <f t="shared" si="22"/>
        <v>0</v>
      </c>
      <c r="FI103" s="185">
        <f t="shared" si="23"/>
        <v>0</v>
      </c>
      <c r="FJ103" s="177">
        <v>267.0</v>
      </c>
      <c r="FK103" s="177">
        <v>65.0</v>
      </c>
      <c r="FL103" s="177">
        <v>263.0</v>
      </c>
      <c r="FM103" s="177">
        <v>64.0</v>
      </c>
      <c r="FN103" s="180"/>
      <c r="FO103" s="180">
        <v>1.0</v>
      </c>
      <c r="FP103" s="188">
        <f t="shared" si="263"/>
        <v>1</v>
      </c>
      <c r="FQ103" s="211">
        <v>0.0</v>
      </c>
      <c r="FR103" s="212">
        <v>1.0</v>
      </c>
      <c r="FS103" s="335"/>
      <c r="FT103" s="293"/>
      <c r="FU103" s="293"/>
      <c r="FV103" s="207">
        <v>1.0</v>
      </c>
      <c r="FW103" s="293"/>
      <c r="FX103" s="293"/>
      <c r="FY103" s="293"/>
      <c r="FZ103" s="293"/>
      <c r="GA103" s="293"/>
      <c r="GB103" s="293"/>
      <c r="GC103" s="293"/>
      <c r="GD103" s="293"/>
      <c r="GE103" s="293"/>
      <c r="GF103" s="293"/>
      <c r="GG103" s="293"/>
      <c r="GH103" s="293"/>
      <c r="GI103" s="293"/>
      <c r="GJ103" s="293"/>
      <c r="GK103" s="212">
        <v>0.0</v>
      </c>
      <c r="GL103" s="212">
        <v>0.0</v>
      </c>
      <c r="GM103" s="207">
        <v>268.0</v>
      </c>
      <c r="GN103" s="207">
        <v>72.0</v>
      </c>
      <c r="GO103" s="213">
        <v>265.0</v>
      </c>
      <c r="GP103" s="213">
        <v>72.0</v>
      </c>
      <c r="GQ103" s="207"/>
      <c r="GR103" s="213">
        <v>1.0</v>
      </c>
      <c r="GS103" s="193">
        <v>0.0</v>
      </c>
      <c r="GT103" s="194">
        <f t="shared" si="25"/>
        <v>1</v>
      </c>
      <c r="GU103" s="194">
        <f t="shared" si="26"/>
        <v>0</v>
      </c>
      <c r="GV103" s="194">
        <f t="shared" si="27"/>
        <v>1</v>
      </c>
      <c r="GW103" s="207"/>
      <c r="GX103" s="207"/>
      <c r="GY103" s="207"/>
      <c r="GZ103" s="207">
        <v>1.0</v>
      </c>
      <c r="HA103" s="207"/>
      <c r="HB103" s="207"/>
      <c r="HC103" s="207"/>
      <c r="HD103" s="207"/>
      <c r="HE103" s="207"/>
      <c r="HF103" s="207"/>
      <c r="HG103" s="207"/>
      <c r="HH103" s="207"/>
      <c r="HI103" s="207"/>
      <c r="HJ103" s="207"/>
      <c r="HK103" s="207"/>
      <c r="HL103" s="207"/>
      <c r="HM103" s="207"/>
      <c r="HN103" s="207"/>
      <c r="HO103" s="222"/>
      <c r="HP103" s="222"/>
      <c r="HQ103" s="370"/>
      <c r="HR103" s="362"/>
      <c r="HS103" s="362"/>
      <c r="HT103" s="362">
        <f t="shared" si="28"/>
        <v>2</v>
      </c>
      <c r="HU103" s="362">
        <f t="shared" si="29"/>
        <v>2</v>
      </c>
      <c r="HV103" s="362">
        <f t="shared" si="30"/>
        <v>2</v>
      </c>
      <c r="HW103" s="362">
        <f t="shared" si="99"/>
        <v>1</v>
      </c>
      <c r="HX103" s="362">
        <f t="shared" si="32"/>
        <v>0</v>
      </c>
      <c r="HY103" s="362">
        <f t="shared" si="33"/>
        <v>1</v>
      </c>
      <c r="HZ103" s="362">
        <f t="shared" si="34"/>
        <v>1</v>
      </c>
      <c r="IA103" s="362">
        <f t="shared" si="35"/>
        <v>1</v>
      </c>
      <c r="IB103" s="198">
        <f t="shared" si="36"/>
        <v>1</v>
      </c>
      <c r="IC103" s="198">
        <f t="shared" si="37"/>
        <v>1</v>
      </c>
      <c r="ID103" s="198">
        <f t="shared" si="38"/>
        <v>1</v>
      </c>
      <c r="IE103" s="198">
        <f t="shared" si="39"/>
        <v>1</v>
      </c>
      <c r="IF103" s="362"/>
      <c r="IG103" s="197"/>
      <c r="IH103" s="362"/>
      <c r="II103" s="362"/>
      <c r="IJ103" s="362"/>
      <c r="IK103" s="362"/>
      <c r="IL103" s="362"/>
      <c r="IM103" s="362"/>
      <c r="IN103" s="362"/>
      <c r="IO103" s="362"/>
      <c r="IP103" s="362"/>
      <c r="IQ103" s="362"/>
      <c r="IR103" s="362"/>
      <c r="IS103" s="362"/>
      <c r="IT103" s="362"/>
      <c r="IU103" s="362"/>
      <c r="IV103" s="362"/>
      <c r="IW103" s="362"/>
      <c r="IX103" s="362"/>
      <c r="IY103" s="362"/>
      <c r="IZ103" s="362"/>
      <c r="JA103" s="371"/>
      <c r="JB103" s="372">
        <f t="shared" si="40"/>
        <v>2</v>
      </c>
      <c r="JC103" s="372">
        <f t="shared" si="41"/>
        <v>2</v>
      </c>
      <c r="JD103" s="372">
        <f t="shared" si="42"/>
        <v>2</v>
      </c>
      <c r="JE103" s="372">
        <f t="shared" si="43"/>
        <v>1</v>
      </c>
      <c r="JF103" s="372">
        <f t="shared" si="44"/>
        <v>0</v>
      </c>
      <c r="JG103" s="372">
        <f t="shared" si="45"/>
        <v>1</v>
      </c>
      <c r="JH103" s="372">
        <f t="shared" si="46"/>
        <v>1</v>
      </c>
      <c r="JI103" s="372">
        <f t="shared" si="47"/>
        <v>1</v>
      </c>
      <c r="JJ103" s="200">
        <f t="shared" si="48"/>
        <v>1</v>
      </c>
      <c r="JK103" s="200">
        <f t="shared" si="49"/>
        <v>1</v>
      </c>
      <c r="JL103" s="200">
        <f t="shared" si="50"/>
        <v>1</v>
      </c>
      <c r="JM103" s="200">
        <f t="shared" si="51"/>
        <v>1</v>
      </c>
      <c r="JN103" s="371"/>
      <c r="JO103" s="372">
        <f t="shared" si="52"/>
        <v>2</v>
      </c>
      <c r="JP103" s="361">
        <v>2.0</v>
      </c>
      <c r="JQ103" s="361">
        <v>2.0</v>
      </c>
      <c r="JR103" s="361">
        <v>1.0</v>
      </c>
      <c r="JS103" s="361">
        <v>0.0</v>
      </c>
      <c r="JT103" s="371"/>
      <c r="JU103" s="371"/>
      <c r="JV103" s="200">
        <f t="shared" ref="JV103:JX103" si="264">IA103-JI103</f>
        <v>0</v>
      </c>
      <c r="JW103" s="200">
        <f t="shared" si="264"/>
        <v>0</v>
      </c>
      <c r="JX103" s="200">
        <f t="shared" si="264"/>
        <v>0</v>
      </c>
      <c r="JY103" s="371"/>
      <c r="JZ103" s="371"/>
      <c r="KA103" s="371"/>
      <c r="KB103" s="372">
        <f t="shared" ref="KB103:KM103" si="265">JB103-JO103</f>
        <v>0</v>
      </c>
      <c r="KC103" s="372">
        <f t="shared" si="265"/>
        <v>0</v>
      </c>
      <c r="KD103" s="372">
        <f t="shared" si="265"/>
        <v>0</v>
      </c>
      <c r="KE103" s="372">
        <f t="shared" si="265"/>
        <v>0</v>
      </c>
      <c r="KF103" s="372">
        <f t="shared" si="265"/>
        <v>0</v>
      </c>
      <c r="KG103" s="372">
        <f t="shared" si="265"/>
        <v>1</v>
      </c>
      <c r="KH103" s="372">
        <f t="shared" si="265"/>
        <v>1</v>
      </c>
      <c r="KI103" s="372">
        <f t="shared" si="265"/>
        <v>1</v>
      </c>
      <c r="KJ103" s="372">
        <f t="shared" si="265"/>
        <v>1</v>
      </c>
      <c r="KK103" s="372">
        <f t="shared" si="265"/>
        <v>1</v>
      </c>
      <c r="KL103" s="372">
        <f t="shared" si="265"/>
        <v>1</v>
      </c>
      <c r="KM103" s="372">
        <f t="shared" si="265"/>
        <v>1</v>
      </c>
      <c r="KN103" s="371"/>
      <c r="KO103" s="371"/>
      <c r="KP103" s="371"/>
      <c r="KQ103" s="371"/>
      <c r="KR103" s="371"/>
      <c r="KS103" s="371"/>
      <c r="KT103" s="371"/>
      <c r="KU103" s="371"/>
      <c r="KV103" s="371"/>
      <c r="KW103" s="371"/>
      <c r="KX103" s="371"/>
      <c r="KY103" s="371"/>
      <c r="KZ103" s="371"/>
      <c r="LA103" s="371"/>
      <c r="LB103" s="371"/>
      <c r="LC103" s="371"/>
      <c r="LD103" s="371"/>
      <c r="LE103" s="371"/>
      <c r="LF103" s="371"/>
      <c r="LG103" s="371"/>
      <c r="LH103" s="373"/>
      <c r="LI103" s="373"/>
      <c r="LJ103" s="373"/>
      <c r="LK103" s="373"/>
    </row>
    <row r="104" ht="14.25" customHeight="1">
      <c r="A104" s="156">
        <v>97.0</v>
      </c>
      <c r="B104" s="356" t="s">
        <v>191</v>
      </c>
      <c r="C104" s="357"/>
      <c r="D104" s="357" t="s">
        <v>192</v>
      </c>
      <c r="E104" s="357" t="s">
        <v>199</v>
      </c>
      <c r="F104" s="358">
        <v>6.0</v>
      </c>
      <c r="G104" s="359">
        <v>254.0</v>
      </c>
      <c r="H104" s="360">
        <v>1.0</v>
      </c>
      <c r="I104" s="361">
        <v>0.0</v>
      </c>
      <c r="J104" s="361">
        <v>0.0</v>
      </c>
      <c r="K104" s="361">
        <v>1.0</v>
      </c>
      <c r="L104" s="361">
        <v>0.0</v>
      </c>
      <c r="M104" s="361">
        <v>0.0</v>
      </c>
      <c r="N104" s="361"/>
      <c r="O104" s="361">
        <f t="shared" si="213"/>
        <v>1</v>
      </c>
      <c r="P104" s="361">
        <v>1.0</v>
      </c>
      <c r="Q104" s="362">
        <v>0.0</v>
      </c>
      <c r="R104" s="362">
        <v>0.0</v>
      </c>
      <c r="S104" s="362">
        <v>1.0</v>
      </c>
      <c r="T104" s="363">
        <v>0.0</v>
      </c>
      <c r="U104" s="363">
        <v>0.0</v>
      </c>
      <c r="V104" s="363">
        <v>0.0</v>
      </c>
      <c r="W104" s="362">
        <f t="shared" si="225"/>
        <v>1</v>
      </c>
      <c r="X104" s="361">
        <v>1.0</v>
      </c>
      <c r="Y104" s="363">
        <v>0.0</v>
      </c>
      <c r="Z104" s="363">
        <v>0.0</v>
      </c>
      <c r="AA104" s="363">
        <v>0.0</v>
      </c>
      <c r="AB104" s="363">
        <v>1.0</v>
      </c>
      <c r="AC104" s="363">
        <v>0.0</v>
      </c>
      <c r="AD104" s="363">
        <v>0.0</v>
      </c>
      <c r="AE104" s="362">
        <f t="shared" si="214"/>
        <v>1</v>
      </c>
      <c r="AF104" s="363">
        <v>1.0</v>
      </c>
      <c r="AG104" s="363"/>
      <c r="AH104" s="363"/>
      <c r="AI104" s="363"/>
      <c r="AJ104" s="363">
        <v>1.0</v>
      </c>
      <c r="AK104" s="363"/>
      <c r="AL104" s="363"/>
      <c r="AM104" s="362">
        <f t="shared" si="215"/>
        <v>1</v>
      </c>
      <c r="AN104" s="363">
        <v>1.0</v>
      </c>
      <c r="AO104" s="363">
        <v>0.0</v>
      </c>
      <c r="AP104" s="363">
        <v>0.0</v>
      </c>
      <c r="AQ104" s="363">
        <v>0.0</v>
      </c>
      <c r="AR104" s="363">
        <v>1.0</v>
      </c>
      <c r="AS104" s="363">
        <v>0.0</v>
      </c>
      <c r="AT104" s="363">
        <v>0.0</v>
      </c>
      <c r="AU104" s="364">
        <f t="shared" si="216"/>
        <v>1</v>
      </c>
      <c r="AV104" s="365">
        <v>294.0</v>
      </c>
      <c r="AW104" s="366">
        <f t="shared" si="8"/>
        <v>1</v>
      </c>
      <c r="AX104" s="362"/>
      <c r="AY104" s="362"/>
      <c r="AZ104" s="362"/>
      <c r="BA104" s="365">
        <v>1.0</v>
      </c>
      <c r="BB104" s="362"/>
      <c r="BC104" s="362"/>
      <c r="BD104" s="362"/>
      <c r="BE104" s="362"/>
      <c r="BF104" s="362"/>
      <c r="BG104" s="362"/>
      <c r="BH104" s="362"/>
      <c r="BI104" s="362"/>
      <c r="BJ104" s="362"/>
      <c r="BK104" s="362"/>
      <c r="BL104" s="362"/>
      <c r="BM104" s="362"/>
      <c r="BN104" s="362"/>
      <c r="BO104" s="362"/>
      <c r="BP104" s="362">
        <f t="shared" si="131"/>
        <v>0</v>
      </c>
      <c r="BQ104" s="367">
        <v>307.0</v>
      </c>
      <c r="BR104" s="368">
        <f t="shared" si="10"/>
        <v>1</v>
      </c>
      <c r="BS104" s="363"/>
      <c r="BT104" s="363"/>
      <c r="BU104" s="363"/>
      <c r="BV104" s="367">
        <v>1.0</v>
      </c>
      <c r="BW104" s="363"/>
      <c r="BX104" s="363"/>
      <c r="BY104" s="363"/>
      <c r="BZ104" s="363"/>
      <c r="CA104" s="363"/>
      <c r="CB104" s="363"/>
      <c r="CC104" s="363"/>
      <c r="CD104" s="363"/>
      <c r="CE104" s="363"/>
      <c r="CF104" s="363"/>
      <c r="CG104" s="363"/>
      <c r="CH104" s="363"/>
      <c r="CI104" s="363"/>
      <c r="CJ104" s="363"/>
      <c r="CK104" s="363">
        <f t="shared" si="132"/>
        <v>0</v>
      </c>
      <c r="CL104" s="367">
        <v>309.0</v>
      </c>
      <c r="CM104" s="367">
        <v>90.0</v>
      </c>
      <c r="CN104" s="369">
        <f t="shared" si="12"/>
        <v>1</v>
      </c>
      <c r="CO104" s="363"/>
      <c r="CP104" s="363"/>
      <c r="CQ104" s="363"/>
      <c r="CR104" s="367">
        <v>1.0</v>
      </c>
      <c r="CS104" s="363"/>
      <c r="CT104" s="363"/>
      <c r="CU104" s="363"/>
      <c r="CV104" s="363"/>
      <c r="CW104" s="363"/>
      <c r="CX104" s="363"/>
      <c r="CY104" s="363"/>
      <c r="CZ104" s="363"/>
      <c r="DA104" s="363"/>
      <c r="DB104" s="363"/>
      <c r="DC104" s="363"/>
      <c r="DD104" s="363"/>
      <c r="DE104" s="363"/>
      <c r="DF104" s="363"/>
      <c r="DG104" s="369">
        <f t="shared" si="13"/>
        <v>0</v>
      </c>
      <c r="DH104" s="177">
        <v>303.0</v>
      </c>
      <c r="DI104" s="177">
        <v>97.0</v>
      </c>
      <c r="DJ104" s="178">
        <v>301.0</v>
      </c>
      <c r="DK104" s="178">
        <v>97.0</v>
      </c>
      <c r="DL104" s="179">
        <f t="shared" si="14"/>
        <v>2</v>
      </c>
      <c r="DM104" s="180">
        <f t="shared" si="15"/>
        <v>0</v>
      </c>
      <c r="DN104" s="180">
        <f t="shared" si="16"/>
        <v>2</v>
      </c>
      <c r="DO104" s="177">
        <v>0.0</v>
      </c>
      <c r="DP104" s="177">
        <v>0.0</v>
      </c>
      <c r="DQ104" s="177">
        <v>0.0</v>
      </c>
      <c r="DR104" s="177">
        <v>1.0</v>
      </c>
      <c r="DS104" s="177">
        <v>0.0</v>
      </c>
      <c r="DT104" s="177">
        <v>0.0</v>
      </c>
      <c r="DU104" s="177">
        <v>0.0</v>
      </c>
      <c r="DV104" s="177">
        <v>1.0</v>
      </c>
      <c r="DW104" s="177">
        <v>0.0</v>
      </c>
      <c r="DX104" s="177">
        <v>0.0</v>
      </c>
      <c r="DY104" s="177">
        <v>0.0</v>
      </c>
      <c r="DZ104" s="177">
        <v>0.0</v>
      </c>
      <c r="EA104" s="177">
        <v>0.0</v>
      </c>
      <c r="EB104" s="177">
        <v>0.0</v>
      </c>
      <c r="EC104" s="221">
        <v>0.0</v>
      </c>
      <c r="ED104" s="177">
        <v>0.0</v>
      </c>
      <c r="EE104" s="177">
        <v>0.0</v>
      </c>
      <c r="EF104" s="177">
        <v>0.0</v>
      </c>
      <c r="EG104" s="179">
        <f t="shared" si="17"/>
        <v>0</v>
      </c>
      <c r="EH104" s="179">
        <f t="shared" si="18"/>
        <v>0</v>
      </c>
      <c r="EI104" s="177">
        <v>299.0</v>
      </c>
      <c r="EJ104" s="177">
        <v>101.0</v>
      </c>
      <c r="EK104" s="178">
        <v>292.0</v>
      </c>
      <c r="EL104" s="178">
        <v>97.0</v>
      </c>
      <c r="EM104" s="185">
        <f t="shared" si="262"/>
        <v>2</v>
      </c>
      <c r="EN104" s="186">
        <f t="shared" si="202"/>
        <v>0</v>
      </c>
      <c r="EO104" s="186">
        <f t="shared" si="90"/>
        <v>2</v>
      </c>
      <c r="EP104" s="177">
        <v>0.0</v>
      </c>
      <c r="EQ104" s="177">
        <v>0.0</v>
      </c>
      <c r="ER104" s="177">
        <v>0.0</v>
      </c>
      <c r="ES104" s="177">
        <v>2.0</v>
      </c>
      <c r="ET104" s="177">
        <v>0.0</v>
      </c>
      <c r="EU104" s="177">
        <v>0.0</v>
      </c>
      <c r="EV104" s="177">
        <v>0.0</v>
      </c>
      <c r="EW104" s="177">
        <v>0.0</v>
      </c>
      <c r="EX104" s="227"/>
      <c r="EY104" s="227"/>
      <c r="EZ104" s="227"/>
      <c r="FA104" s="227"/>
      <c r="FB104" s="227"/>
      <c r="FC104" s="227"/>
      <c r="FD104" s="226"/>
      <c r="FE104" s="227"/>
      <c r="FF104" s="227"/>
      <c r="FG104" s="227"/>
      <c r="FH104" s="185">
        <f t="shared" si="22"/>
        <v>0</v>
      </c>
      <c r="FI104" s="185">
        <f t="shared" si="23"/>
        <v>0</v>
      </c>
      <c r="FJ104" s="177">
        <v>298.0</v>
      </c>
      <c r="FK104" s="177">
        <v>103.0</v>
      </c>
      <c r="FL104" s="177">
        <v>293.0</v>
      </c>
      <c r="FM104" s="177">
        <v>100.0</v>
      </c>
      <c r="FN104" s="180"/>
      <c r="FO104" s="180">
        <v>2.0</v>
      </c>
      <c r="FP104" s="188">
        <f t="shared" si="263"/>
        <v>2</v>
      </c>
      <c r="FQ104" s="211">
        <v>0.0</v>
      </c>
      <c r="FR104" s="212">
        <v>2.0</v>
      </c>
      <c r="FS104" s="335"/>
      <c r="FT104" s="293"/>
      <c r="FU104" s="293"/>
      <c r="FV104" s="207">
        <v>2.0</v>
      </c>
      <c r="FW104" s="293"/>
      <c r="FX104" s="293"/>
      <c r="FY104" s="293"/>
      <c r="FZ104" s="293"/>
      <c r="GA104" s="293"/>
      <c r="GB104" s="293"/>
      <c r="GC104" s="293"/>
      <c r="GD104" s="293"/>
      <c r="GE104" s="293"/>
      <c r="GF104" s="293"/>
      <c r="GG104" s="293"/>
      <c r="GH104" s="293"/>
      <c r="GI104" s="293"/>
      <c r="GJ104" s="293"/>
      <c r="GK104" s="212">
        <v>0.0</v>
      </c>
      <c r="GL104" s="212">
        <v>0.0</v>
      </c>
      <c r="GM104" s="207">
        <v>310.0</v>
      </c>
      <c r="GN104" s="207">
        <v>113.0</v>
      </c>
      <c r="GO104" s="213">
        <v>305.0</v>
      </c>
      <c r="GP104" s="213">
        <v>110.0</v>
      </c>
      <c r="GQ104" s="207"/>
      <c r="GR104" s="213">
        <v>2.0</v>
      </c>
      <c r="GS104" s="193">
        <v>0.0</v>
      </c>
      <c r="GT104" s="194">
        <f t="shared" si="25"/>
        <v>2</v>
      </c>
      <c r="GU104" s="194">
        <f t="shared" si="26"/>
        <v>0</v>
      </c>
      <c r="GV104" s="194">
        <f t="shared" si="27"/>
        <v>2</v>
      </c>
      <c r="GW104" s="207"/>
      <c r="GX104" s="207"/>
      <c r="GY104" s="207"/>
      <c r="GZ104" s="207">
        <v>2.0</v>
      </c>
      <c r="HA104" s="207"/>
      <c r="HB104" s="207"/>
      <c r="HC104" s="207"/>
      <c r="HD104" s="207"/>
      <c r="HE104" s="207"/>
      <c r="HF104" s="207"/>
      <c r="HG104" s="207"/>
      <c r="HH104" s="207"/>
      <c r="HI104" s="207"/>
      <c r="HJ104" s="207"/>
      <c r="HK104" s="207"/>
      <c r="HL104" s="207"/>
      <c r="HM104" s="207"/>
      <c r="HN104" s="207"/>
      <c r="HO104" s="222"/>
      <c r="HP104" s="222"/>
      <c r="HQ104" s="370"/>
      <c r="HR104" s="362"/>
      <c r="HS104" s="362"/>
      <c r="HT104" s="362">
        <f t="shared" si="28"/>
        <v>1</v>
      </c>
      <c r="HU104" s="362">
        <f t="shared" si="29"/>
        <v>1</v>
      </c>
      <c r="HV104" s="362">
        <f t="shared" si="30"/>
        <v>1</v>
      </c>
      <c r="HW104" s="362">
        <f t="shared" si="99"/>
        <v>1</v>
      </c>
      <c r="HX104" s="362">
        <f t="shared" si="32"/>
        <v>1</v>
      </c>
      <c r="HY104" s="362">
        <f t="shared" si="33"/>
        <v>1</v>
      </c>
      <c r="HZ104" s="362">
        <f t="shared" si="34"/>
        <v>1</v>
      </c>
      <c r="IA104" s="362">
        <f t="shared" si="35"/>
        <v>1</v>
      </c>
      <c r="IB104" s="198">
        <f t="shared" si="36"/>
        <v>2</v>
      </c>
      <c r="IC104" s="198">
        <f t="shared" si="37"/>
        <v>2</v>
      </c>
      <c r="ID104" s="198">
        <f t="shared" si="38"/>
        <v>2</v>
      </c>
      <c r="IE104" s="198">
        <f t="shared" si="39"/>
        <v>2</v>
      </c>
      <c r="IF104" s="362"/>
      <c r="IG104" s="197"/>
      <c r="IH104" s="362"/>
      <c r="II104" s="362"/>
      <c r="IJ104" s="362"/>
      <c r="IK104" s="362"/>
      <c r="IL104" s="362"/>
      <c r="IM104" s="362"/>
      <c r="IN104" s="362"/>
      <c r="IO104" s="362"/>
      <c r="IP104" s="362"/>
      <c r="IQ104" s="362"/>
      <c r="IR104" s="362"/>
      <c r="IS104" s="362"/>
      <c r="IT104" s="362"/>
      <c r="IU104" s="362"/>
      <c r="IV104" s="362"/>
      <c r="IW104" s="362"/>
      <c r="IX104" s="362"/>
      <c r="IY104" s="362"/>
      <c r="IZ104" s="362"/>
      <c r="JA104" s="371"/>
      <c r="JB104" s="372">
        <f t="shared" si="40"/>
        <v>1</v>
      </c>
      <c r="JC104" s="372">
        <f t="shared" si="41"/>
        <v>1</v>
      </c>
      <c r="JD104" s="372">
        <f t="shared" si="42"/>
        <v>1</v>
      </c>
      <c r="JE104" s="372">
        <f t="shared" si="43"/>
        <v>1</v>
      </c>
      <c r="JF104" s="372">
        <f t="shared" si="44"/>
        <v>1</v>
      </c>
      <c r="JG104" s="372">
        <f t="shared" si="45"/>
        <v>1</v>
      </c>
      <c r="JH104" s="372">
        <f t="shared" si="46"/>
        <v>1</v>
      </c>
      <c r="JI104" s="372">
        <f t="shared" si="47"/>
        <v>1</v>
      </c>
      <c r="JJ104" s="200">
        <f t="shared" si="48"/>
        <v>2</v>
      </c>
      <c r="JK104" s="200">
        <f t="shared" si="49"/>
        <v>2</v>
      </c>
      <c r="JL104" s="200">
        <f t="shared" si="50"/>
        <v>2</v>
      </c>
      <c r="JM104" s="200">
        <f t="shared" si="51"/>
        <v>2</v>
      </c>
      <c r="JN104" s="371"/>
      <c r="JO104" s="372">
        <f t="shared" si="52"/>
        <v>1</v>
      </c>
      <c r="JP104" s="361">
        <v>1.0</v>
      </c>
      <c r="JQ104" s="361">
        <v>1.0</v>
      </c>
      <c r="JR104" s="361">
        <v>1.0</v>
      </c>
      <c r="JS104" s="361">
        <v>1.0</v>
      </c>
      <c r="JT104" s="371"/>
      <c r="JU104" s="371"/>
      <c r="JV104" s="200">
        <f t="shared" ref="JV104:JX104" si="266">IA104-JI104</f>
        <v>0</v>
      </c>
      <c r="JW104" s="200">
        <f t="shared" si="266"/>
        <v>0</v>
      </c>
      <c r="JX104" s="200">
        <f t="shared" si="266"/>
        <v>0</v>
      </c>
      <c r="JY104" s="371"/>
      <c r="JZ104" s="371"/>
      <c r="KA104" s="371"/>
      <c r="KB104" s="372">
        <f t="shared" ref="KB104:KM104" si="267">JB104-JO104</f>
        <v>0</v>
      </c>
      <c r="KC104" s="372">
        <f t="shared" si="267"/>
        <v>0</v>
      </c>
      <c r="KD104" s="372">
        <f t="shared" si="267"/>
        <v>0</v>
      </c>
      <c r="KE104" s="372">
        <f t="shared" si="267"/>
        <v>0</v>
      </c>
      <c r="KF104" s="372">
        <f t="shared" si="267"/>
        <v>0</v>
      </c>
      <c r="KG104" s="372">
        <f t="shared" si="267"/>
        <v>1</v>
      </c>
      <c r="KH104" s="372">
        <f t="shared" si="267"/>
        <v>1</v>
      </c>
      <c r="KI104" s="372">
        <f t="shared" si="267"/>
        <v>1</v>
      </c>
      <c r="KJ104" s="372">
        <f t="shared" si="267"/>
        <v>2</v>
      </c>
      <c r="KK104" s="372">
        <f t="shared" si="267"/>
        <v>2</v>
      </c>
      <c r="KL104" s="372">
        <f t="shared" si="267"/>
        <v>2</v>
      </c>
      <c r="KM104" s="372">
        <f t="shared" si="267"/>
        <v>2</v>
      </c>
      <c r="KN104" s="371"/>
      <c r="KO104" s="371"/>
      <c r="KP104" s="371"/>
      <c r="KQ104" s="371"/>
      <c r="KR104" s="371"/>
      <c r="KS104" s="371"/>
      <c r="KT104" s="371"/>
      <c r="KU104" s="371"/>
      <c r="KV104" s="371"/>
      <c r="KW104" s="371"/>
      <c r="KX104" s="371"/>
      <c r="KY104" s="371"/>
      <c r="KZ104" s="371"/>
      <c r="LA104" s="371"/>
      <c r="LB104" s="371"/>
      <c r="LC104" s="371"/>
      <c r="LD104" s="371"/>
      <c r="LE104" s="371"/>
      <c r="LF104" s="371"/>
      <c r="LG104" s="371"/>
      <c r="LH104" s="373"/>
      <c r="LI104" s="373"/>
      <c r="LJ104" s="373"/>
      <c r="LK104" s="373"/>
    </row>
    <row r="105" ht="14.25" customHeight="1">
      <c r="A105" s="156">
        <v>98.0</v>
      </c>
      <c r="B105" s="157" t="s">
        <v>191</v>
      </c>
      <c r="C105" s="158"/>
      <c r="D105" s="158" t="s">
        <v>195</v>
      </c>
      <c r="E105" s="158" t="s">
        <v>200</v>
      </c>
      <c r="F105" s="159">
        <v>5.0</v>
      </c>
      <c r="G105" s="285">
        <v>606.0</v>
      </c>
      <c r="H105" s="160">
        <v>9.0</v>
      </c>
      <c r="I105" s="161">
        <v>0.0</v>
      </c>
      <c r="J105" s="161">
        <v>0.0</v>
      </c>
      <c r="K105" s="161">
        <v>2.0</v>
      </c>
      <c r="L105" s="161">
        <v>7.0</v>
      </c>
      <c r="M105" s="161">
        <v>0.0</v>
      </c>
      <c r="N105" s="161">
        <v>0.0</v>
      </c>
      <c r="O105" s="162">
        <f t="shared" si="213"/>
        <v>9</v>
      </c>
      <c r="P105" s="203">
        <v>9.0</v>
      </c>
      <c r="Q105" s="164">
        <v>0.0</v>
      </c>
      <c r="R105" s="164">
        <v>0.0</v>
      </c>
      <c r="S105" s="164">
        <v>2.0</v>
      </c>
      <c r="T105" s="165">
        <v>7.0</v>
      </c>
      <c r="U105" s="165">
        <v>0.0</v>
      </c>
      <c r="V105" s="165">
        <v>0.0</v>
      </c>
      <c r="W105" s="166">
        <f t="shared" si="225"/>
        <v>9</v>
      </c>
      <c r="X105" s="203">
        <v>3.0</v>
      </c>
      <c r="Y105" s="165">
        <v>0.0</v>
      </c>
      <c r="Z105" s="165">
        <v>0.0</v>
      </c>
      <c r="AA105" s="165">
        <v>1.0</v>
      </c>
      <c r="AB105" s="165">
        <v>2.0</v>
      </c>
      <c r="AC105" s="165">
        <v>0.0</v>
      </c>
      <c r="AD105" s="165">
        <v>0.0</v>
      </c>
      <c r="AE105" s="166">
        <f t="shared" si="214"/>
        <v>3</v>
      </c>
      <c r="AF105" s="167">
        <v>1.0</v>
      </c>
      <c r="AG105" s="165"/>
      <c r="AH105" s="165"/>
      <c r="AI105" s="165">
        <v>0.0</v>
      </c>
      <c r="AJ105" s="165">
        <v>1.0</v>
      </c>
      <c r="AK105" s="165">
        <v>0.0</v>
      </c>
      <c r="AL105" s="165">
        <v>0.0</v>
      </c>
      <c r="AM105" s="166">
        <f t="shared" si="215"/>
        <v>1</v>
      </c>
      <c r="AN105" s="167">
        <v>0.0</v>
      </c>
      <c r="AO105" s="165">
        <v>0.0</v>
      </c>
      <c r="AP105" s="165">
        <v>0.0</v>
      </c>
      <c r="AQ105" s="165">
        <v>0.0</v>
      </c>
      <c r="AR105" s="165">
        <v>0.0</v>
      </c>
      <c r="AS105" s="165">
        <v>0.0</v>
      </c>
      <c r="AT105" s="165">
        <v>0.0</v>
      </c>
      <c r="AU105" s="168">
        <f t="shared" si="216"/>
        <v>0</v>
      </c>
      <c r="AV105" s="169">
        <v>622.0</v>
      </c>
      <c r="AW105" s="204">
        <f t="shared" si="8"/>
        <v>8</v>
      </c>
      <c r="AX105" s="169">
        <v>0.0</v>
      </c>
      <c r="AY105" s="169">
        <v>0.0</v>
      </c>
      <c r="AZ105" s="169">
        <v>2.0</v>
      </c>
      <c r="BA105" s="169">
        <v>6.0</v>
      </c>
      <c r="BB105" s="169">
        <v>0.0</v>
      </c>
      <c r="BC105" s="169">
        <v>0.0</v>
      </c>
      <c r="BD105" s="169">
        <v>0.0</v>
      </c>
      <c r="BE105" s="169">
        <v>0.0</v>
      </c>
      <c r="BF105" s="169">
        <v>0.0</v>
      </c>
      <c r="BG105" s="169">
        <v>0.0</v>
      </c>
      <c r="BH105" s="169">
        <v>0.0</v>
      </c>
      <c r="BI105" s="169">
        <v>0.0</v>
      </c>
      <c r="BJ105" s="169">
        <v>0.0</v>
      </c>
      <c r="BK105" s="169">
        <v>0.0</v>
      </c>
      <c r="BL105" s="169">
        <v>0.0</v>
      </c>
      <c r="BM105" s="169">
        <v>0.0</v>
      </c>
      <c r="BN105" s="169">
        <v>0.0</v>
      </c>
      <c r="BO105" s="169">
        <v>0.0</v>
      </c>
      <c r="BP105" s="205">
        <f t="shared" si="131"/>
        <v>0</v>
      </c>
      <c r="BQ105" s="173">
        <v>622.0</v>
      </c>
      <c r="BR105" s="170">
        <f t="shared" si="10"/>
        <v>8</v>
      </c>
      <c r="BS105" s="173">
        <v>0.0</v>
      </c>
      <c r="BT105" s="173">
        <v>0.0</v>
      </c>
      <c r="BU105" s="173">
        <v>0.0</v>
      </c>
      <c r="BV105" s="173">
        <v>6.0</v>
      </c>
      <c r="BW105" s="173">
        <v>0.0</v>
      </c>
      <c r="BX105" s="173">
        <v>0.0</v>
      </c>
      <c r="BY105" s="173">
        <v>2.0</v>
      </c>
      <c r="BZ105" s="173">
        <v>0.0</v>
      </c>
      <c r="CA105" s="173">
        <v>0.0</v>
      </c>
      <c r="CB105" s="173">
        <v>0.0</v>
      </c>
      <c r="CC105" s="173">
        <v>0.0</v>
      </c>
      <c r="CD105" s="173">
        <v>0.0</v>
      </c>
      <c r="CE105" s="173">
        <v>0.0</v>
      </c>
      <c r="CF105" s="173">
        <v>0.0</v>
      </c>
      <c r="CG105" s="173">
        <v>0.0</v>
      </c>
      <c r="CH105" s="173">
        <v>0.0</v>
      </c>
      <c r="CI105" s="173">
        <v>0.0</v>
      </c>
      <c r="CJ105" s="173">
        <v>0.0</v>
      </c>
      <c r="CK105" s="172">
        <f t="shared" si="132"/>
        <v>0</v>
      </c>
      <c r="CL105" s="173">
        <v>634.0</v>
      </c>
      <c r="CM105" s="173">
        <v>258.0</v>
      </c>
      <c r="CN105" s="175">
        <f t="shared" si="12"/>
        <v>4</v>
      </c>
      <c r="CO105" s="6"/>
      <c r="CP105" s="6"/>
      <c r="CQ105" s="173">
        <v>2.0</v>
      </c>
      <c r="CR105" s="173">
        <v>2.0</v>
      </c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176">
        <f t="shared" si="13"/>
        <v>0</v>
      </c>
      <c r="DH105" s="177">
        <v>576.0</v>
      </c>
      <c r="DI105" s="177">
        <v>216.0</v>
      </c>
      <c r="DJ105" s="178">
        <v>512.0</v>
      </c>
      <c r="DK105" s="178">
        <v>152.0</v>
      </c>
      <c r="DL105" s="179">
        <f t="shared" si="14"/>
        <v>4</v>
      </c>
      <c r="DM105" s="180">
        <f t="shared" si="15"/>
        <v>2</v>
      </c>
      <c r="DN105" s="180">
        <f t="shared" si="16"/>
        <v>2</v>
      </c>
      <c r="DO105" s="177">
        <v>0.0</v>
      </c>
      <c r="DP105" s="177">
        <v>0.0</v>
      </c>
      <c r="DQ105" s="177">
        <v>2.0</v>
      </c>
      <c r="DR105" s="177">
        <v>2.0</v>
      </c>
      <c r="DS105" s="177">
        <v>0.0</v>
      </c>
      <c r="DT105" s="177">
        <v>0.0</v>
      </c>
      <c r="DU105" s="177">
        <v>0.0</v>
      </c>
      <c r="DV105" s="177">
        <v>0.0</v>
      </c>
      <c r="DW105" s="177">
        <v>0.0</v>
      </c>
      <c r="DX105" s="177">
        <v>0.0</v>
      </c>
      <c r="DY105" s="177">
        <v>0.0</v>
      </c>
      <c r="DZ105" s="177">
        <v>0.0</v>
      </c>
      <c r="EA105" s="177">
        <v>0.0</v>
      </c>
      <c r="EB105" s="177">
        <v>0.0</v>
      </c>
      <c r="EC105" s="177">
        <v>0.0</v>
      </c>
      <c r="ED105" s="177">
        <v>0.0</v>
      </c>
      <c r="EE105" s="177">
        <v>0.0</v>
      </c>
      <c r="EF105" s="177">
        <v>0.0</v>
      </c>
      <c r="EG105" s="179">
        <f t="shared" si="17"/>
        <v>0</v>
      </c>
      <c r="EH105" s="179">
        <f t="shared" si="18"/>
        <v>0</v>
      </c>
      <c r="EI105" s="177">
        <v>577.0</v>
      </c>
      <c r="EJ105" s="177">
        <v>191.0</v>
      </c>
      <c r="EK105" s="178">
        <v>516.0</v>
      </c>
      <c r="EL105" s="178">
        <v>147.0</v>
      </c>
      <c r="EM105" s="186">
        <v>5.0</v>
      </c>
      <c r="EN105" s="186">
        <f t="shared" si="202"/>
        <v>1</v>
      </c>
      <c r="EO105" s="186">
        <f t="shared" si="90"/>
        <v>4</v>
      </c>
      <c r="EP105" s="227"/>
      <c r="EQ105" s="227"/>
      <c r="ER105" s="177"/>
      <c r="ES105" s="177">
        <v>2.0</v>
      </c>
      <c r="ET105" s="227"/>
      <c r="EU105" s="227"/>
      <c r="EV105" s="177">
        <v>1.0</v>
      </c>
      <c r="EW105" s="177">
        <v>2.0</v>
      </c>
      <c r="EX105" s="227"/>
      <c r="EY105" s="227"/>
      <c r="EZ105" s="177">
        <v>1.0</v>
      </c>
      <c r="FA105" s="177">
        <v>1.0</v>
      </c>
      <c r="FB105" s="227"/>
      <c r="FC105" s="227"/>
      <c r="FD105" s="227"/>
      <c r="FE105" s="227"/>
      <c r="FF105" s="227"/>
      <c r="FG105" s="227"/>
      <c r="FH105" s="185">
        <f t="shared" si="22"/>
        <v>2</v>
      </c>
      <c r="FI105" s="185">
        <f t="shared" si="23"/>
        <v>1</v>
      </c>
      <c r="FJ105" s="177">
        <v>574.0</v>
      </c>
      <c r="FK105" s="177">
        <v>184.0</v>
      </c>
      <c r="FL105" s="177">
        <v>504.0</v>
      </c>
      <c r="FM105" s="177">
        <v>141.0</v>
      </c>
      <c r="FN105" s="210"/>
      <c r="FO105" s="210">
        <v>6.0</v>
      </c>
      <c r="FP105" s="243">
        <v>6.0</v>
      </c>
      <c r="FQ105" s="211">
        <v>0.0</v>
      </c>
      <c r="FR105" s="212">
        <v>6.0</v>
      </c>
      <c r="FS105" s="335"/>
      <c r="FT105" s="293"/>
      <c r="FU105" s="293"/>
      <c r="FV105" s="207">
        <v>5.0</v>
      </c>
      <c r="FW105" s="293"/>
      <c r="FX105" s="293"/>
      <c r="FY105" s="293"/>
      <c r="FZ105" s="207">
        <v>1.0</v>
      </c>
      <c r="GA105" s="293"/>
      <c r="GB105" s="293"/>
      <c r="GC105" s="293"/>
      <c r="GD105" s="293"/>
      <c r="GE105" s="293"/>
      <c r="GF105" s="293"/>
      <c r="GG105" s="293"/>
      <c r="GH105" s="293"/>
      <c r="GI105" s="293"/>
      <c r="GJ105" s="293"/>
      <c r="GK105" s="212">
        <v>0.0</v>
      </c>
      <c r="GL105" s="212">
        <v>0.0</v>
      </c>
      <c r="GM105" s="207">
        <v>554.0</v>
      </c>
      <c r="GN105" s="207">
        <v>166.0</v>
      </c>
      <c r="GO105" s="213">
        <v>503.0</v>
      </c>
      <c r="GP105" s="213">
        <v>140.0</v>
      </c>
      <c r="GQ105" s="207"/>
      <c r="GR105" s="213">
        <v>7.0</v>
      </c>
      <c r="GS105" s="193">
        <v>1.0</v>
      </c>
      <c r="GT105" s="194">
        <f t="shared" si="25"/>
        <v>7</v>
      </c>
      <c r="GU105" s="194">
        <f t="shared" si="26"/>
        <v>1</v>
      </c>
      <c r="GV105" s="194">
        <f t="shared" si="27"/>
        <v>6</v>
      </c>
      <c r="GW105" s="207"/>
      <c r="GX105" s="207"/>
      <c r="GY105" s="207"/>
      <c r="GZ105" s="207">
        <v>6.0</v>
      </c>
      <c r="HA105" s="207"/>
      <c r="HB105" s="207"/>
      <c r="HC105" s="207">
        <v>1.0</v>
      </c>
      <c r="HD105" s="207"/>
      <c r="HE105" s="207"/>
      <c r="HF105" s="207"/>
      <c r="HG105" s="207"/>
      <c r="HH105" s="207"/>
      <c r="HI105" s="207"/>
      <c r="HJ105" s="207"/>
      <c r="HK105" s="207"/>
      <c r="HL105" s="207"/>
      <c r="HM105" s="207"/>
      <c r="HN105" s="207"/>
      <c r="HO105" s="222"/>
      <c r="HP105" s="222"/>
      <c r="HQ105" s="214"/>
      <c r="HR105" s="197"/>
      <c r="HS105" s="197"/>
      <c r="HT105" s="198">
        <f t="shared" si="28"/>
        <v>9</v>
      </c>
      <c r="HU105" s="198">
        <f t="shared" si="29"/>
        <v>9</v>
      </c>
      <c r="HV105" s="198">
        <f t="shared" si="30"/>
        <v>3</v>
      </c>
      <c r="HW105" s="198">
        <f t="shared" si="99"/>
        <v>1</v>
      </c>
      <c r="HX105" s="198">
        <f t="shared" si="32"/>
        <v>0</v>
      </c>
      <c r="HY105" s="198">
        <f t="shared" si="33"/>
        <v>8</v>
      </c>
      <c r="HZ105" s="198">
        <f t="shared" si="34"/>
        <v>8</v>
      </c>
      <c r="IA105" s="198">
        <f t="shared" si="35"/>
        <v>4</v>
      </c>
      <c r="IB105" s="198">
        <f t="shared" si="36"/>
        <v>4</v>
      </c>
      <c r="IC105" s="198">
        <f t="shared" si="37"/>
        <v>5</v>
      </c>
      <c r="ID105" s="198">
        <f t="shared" si="38"/>
        <v>6</v>
      </c>
      <c r="IE105" s="198">
        <f t="shared" si="39"/>
        <v>7</v>
      </c>
      <c r="IF105" s="197"/>
      <c r="IG105" s="197"/>
      <c r="IH105" s="197"/>
      <c r="II105" s="197"/>
      <c r="IJ105" s="197"/>
      <c r="IK105" s="197"/>
      <c r="IL105" s="197"/>
      <c r="IM105" s="197"/>
      <c r="IN105" s="197"/>
      <c r="IO105" s="197"/>
      <c r="IP105" s="197"/>
      <c r="IQ105" s="197"/>
      <c r="IR105" s="197"/>
      <c r="IS105" s="197"/>
      <c r="IT105" s="197"/>
      <c r="IU105" s="197"/>
      <c r="IV105" s="197"/>
      <c r="IW105" s="197"/>
      <c r="IX105" s="197"/>
      <c r="IY105" s="197"/>
      <c r="IZ105" s="197"/>
      <c r="JA105" s="199"/>
      <c r="JB105" s="200">
        <f t="shared" si="40"/>
        <v>9</v>
      </c>
      <c r="JC105" s="200">
        <f t="shared" si="41"/>
        <v>9</v>
      </c>
      <c r="JD105" s="200">
        <f t="shared" si="42"/>
        <v>3</v>
      </c>
      <c r="JE105" s="200">
        <f t="shared" si="43"/>
        <v>1</v>
      </c>
      <c r="JF105" s="200">
        <f t="shared" si="44"/>
        <v>0</v>
      </c>
      <c r="JG105" s="200">
        <f t="shared" si="45"/>
        <v>8</v>
      </c>
      <c r="JH105" s="200">
        <f t="shared" si="46"/>
        <v>8</v>
      </c>
      <c r="JI105" s="200">
        <f t="shared" si="47"/>
        <v>4</v>
      </c>
      <c r="JJ105" s="200">
        <f t="shared" si="48"/>
        <v>4</v>
      </c>
      <c r="JK105" s="200">
        <f t="shared" si="49"/>
        <v>7</v>
      </c>
      <c r="JL105" s="200">
        <f t="shared" si="50"/>
        <v>6</v>
      </c>
      <c r="JM105" s="200">
        <f t="shared" si="51"/>
        <v>7</v>
      </c>
      <c r="JN105" s="199"/>
      <c r="JO105" s="200">
        <f t="shared" si="52"/>
        <v>9</v>
      </c>
      <c r="JP105" s="202">
        <v>9.0</v>
      </c>
      <c r="JQ105" s="202">
        <v>3.0</v>
      </c>
      <c r="JR105" s="202">
        <v>1.0</v>
      </c>
      <c r="JS105" s="202">
        <v>0.0</v>
      </c>
      <c r="JT105" s="199"/>
      <c r="JU105" s="199"/>
      <c r="JV105" s="200">
        <f t="shared" ref="JV105:JX105" si="268">IA105-JI105</f>
        <v>0</v>
      </c>
      <c r="JW105" s="200">
        <f t="shared" si="268"/>
        <v>0</v>
      </c>
      <c r="JX105" s="200">
        <f t="shared" si="268"/>
        <v>-2</v>
      </c>
      <c r="JY105" s="199"/>
      <c r="JZ105" s="199"/>
      <c r="KA105" s="199"/>
      <c r="KB105" s="200">
        <f t="shared" ref="KB105:KM105" si="269">JB105-JO105</f>
        <v>0</v>
      </c>
      <c r="KC105" s="200">
        <f t="shared" si="269"/>
        <v>0</v>
      </c>
      <c r="KD105" s="200">
        <f t="shared" si="269"/>
        <v>0</v>
      </c>
      <c r="KE105" s="200">
        <f t="shared" si="269"/>
        <v>0</v>
      </c>
      <c r="KF105" s="200">
        <f t="shared" si="269"/>
        <v>0</v>
      </c>
      <c r="KG105" s="200">
        <f t="shared" si="269"/>
        <v>8</v>
      </c>
      <c r="KH105" s="200">
        <f t="shared" si="269"/>
        <v>8</v>
      </c>
      <c r="KI105" s="200">
        <f t="shared" si="269"/>
        <v>4</v>
      </c>
      <c r="KJ105" s="200">
        <f t="shared" si="269"/>
        <v>4</v>
      </c>
      <c r="KK105" s="200">
        <f t="shared" si="269"/>
        <v>9</v>
      </c>
      <c r="KL105" s="200">
        <f t="shared" si="269"/>
        <v>6</v>
      </c>
      <c r="KM105" s="200">
        <f t="shared" si="269"/>
        <v>7</v>
      </c>
      <c r="KN105" s="199"/>
      <c r="KO105" s="199"/>
      <c r="KP105" s="199"/>
      <c r="KQ105" s="199"/>
      <c r="KR105" s="199"/>
      <c r="KS105" s="199"/>
      <c r="KT105" s="199"/>
      <c r="KU105" s="199"/>
      <c r="KV105" s="199"/>
      <c r="KW105" s="199"/>
      <c r="KX105" s="199"/>
      <c r="KY105" s="199"/>
      <c r="KZ105" s="199"/>
      <c r="LA105" s="199"/>
      <c r="LB105" s="199"/>
      <c r="LC105" s="199"/>
      <c r="LD105" s="199"/>
      <c r="LE105" s="199"/>
      <c r="LF105" s="199"/>
      <c r="LG105" s="199"/>
    </row>
    <row r="106" ht="14.25" customHeight="1">
      <c r="A106" s="156">
        <v>99.0</v>
      </c>
      <c r="B106" s="157" t="s">
        <v>191</v>
      </c>
      <c r="C106" s="158">
        <v>3374070.0</v>
      </c>
      <c r="D106" s="158" t="s">
        <v>195</v>
      </c>
      <c r="E106" s="158" t="s">
        <v>201</v>
      </c>
      <c r="F106" s="159">
        <v>14.0</v>
      </c>
      <c r="G106" s="285">
        <v>1851.0</v>
      </c>
      <c r="H106" s="160">
        <v>13.0</v>
      </c>
      <c r="I106" s="161">
        <v>0.0</v>
      </c>
      <c r="J106" s="161">
        <v>0.0</v>
      </c>
      <c r="K106" s="161">
        <v>3.0</v>
      </c>
      <c r="L106" s="161">
        <v>10.0</v>
      </c>
      <c r="M106" s="161">
        <v>0.0</v>
      </c>
      <c r="N106" s="161">
        <v>0.0</v>
      </c>
      <c r="O106" s="162">
        <f t="shared" si="213"/>
        <v>13</v>
      </c>
      <c r="P106" s="203">
        <v>13.0</v>
      </c>
      <c r="Q106" s="164">
        <v>0.0</v>
      </c>
      <c r="R106" s="164">
        <v>0.0</v>
      </c>
      <c r="S106" s="164">
        <v>3.0</v>
      </c>
      <c r="T106" s="165">
        <v>10.0</v>
      </c>
      <c r="U106" s="165">
        <v>0.0</v>
      </c>
      <c r="V106" s="165">
        <v>0.0</v>
      </c>
      <c r="W106" s="166">
        <f t="shared" si="225"/>
        <v>13</v>
      </c>
      <c r="X106" s="203">
        <v>15.0</v>
      </c>
      <c r="Y106" s="165">
        <v>0.0</v>
      </c>
      <c r="Z106" s="165">
        <v>0.0</v>
      </c>
      <c r="AA106" s="165">
        <v>5.0</v>
      </c>
      <c r="AB106" s="165">
        <v>10.0</v>
      </c>
      <c r="AC106" s="165">
        <v>0.0</v>
      </c>
      <c r="AD106" s="165">
        <v>0.0</v>
      </c>
      <c r="AE106" s="166">
        <f t="shared" si="214"/>
        <v>15</v>
      </c>
      <c r="AF106" s="167">
        <v>4.0</v>
      </c>
      <c r="AG106" s="165">
        <v>0.0</v>
      </c>
      <c r="AH106" s="165">
        <v>0.0</v>
      </c>
      <c r="AI106" s="165">
        <v>2.0</v>
      </c>
      <c r="AJ106" s="165">
        <v>2.0</v>
      </c>
      <c r="AK106" s="165">
        <v>0.0</v>
      </c>
      <c r="AL106" s="165">
        <v>0.0</v>
      </c>
      <c r="AM106" s="166">
        <f t="shared" si="215"/>
        <v>4</v>
      </c>
      <c r="AN106" s="167">
        <v>10.0</v>
      </c>
      <c r="AO106" s="165">
        <v>0.0</v>
      </c>
      <c r="AP106" s="165">
        <v>0.0</v>
      </c>
      <c r="AQ106" s="165">
        <v>1.0</v>
      </c>
      <c r="AR106" s="165">
        <v>9.0</v>
      </c>
      <c r="AS106" s="165">
        <v>0.0</v>
      </c>
      <c r="AT106" s="165">
        <v>0.0</v>
      </c>
      <c r="AU106" s="168">
        <f t="shared" si="216"/>
        <v>10</v>
      </c>
      <c r="AV106" s="169">
        <v>1547.0</v>
      </c>
      <c r="AW106" s="204">
        <f t="shared" si="8"/>
        <v>15</v>
      </c>
      <c r="AX106" s="169">
        <v>0.0</v>
      </c>
      <c r="AY106" s="169">
        <v>0.0</v>
      </c>
      <c r="AZ106" s="169">
        <v>2.0</v>
      </c>
      <c r="BA106" s="169">
        <v>7.0</v>
      </c>
      <c r="BB106" s="197"/>
      <c r="BC106" s="169">
        <v>2.0</v>
      </c>
      <c r="BD106" s="169">
        <v>1.0</v>
      </c>
      <c r="BE106" s="169">
        <v>3.0</v>
      </c>
      <c r="BF106" s="169">
        <v>0.0</v>
      </c>
      <c r="BG106" s="169">
        <v>0.0</v>
      </c>
      <c r="BH106" s="169">
        <v>0.0</v>
      </c>
      <c r="BI106" s="169">
        <v>2.0</v>
      </c>
      <c r="BJ106" s="169">
        <v>0.0</v>
      </c>
      <c r="BK106" s="169">
        <v>0.0</v>
      </c>
      <c r="BL106" s="169">
        <v>0.0</v>
      </c>
      <c r="BM106" s="169">
        <v>0.0</v>
      </c>
      <c r="BN106" s="169">
        <v>0.0</v>
      </c>
      <c r="BO106" s="169">
        <v>0.0</v>
      </c>
      <c r="BP106" s="205">
        <f t="shared" si="131"/>
        <v>2</v>
      </c>
      <c r="BQ106" s="173">
        <v>1593.0</v>
      </c>
      <c r="BR106" s="170">
        <f t="shared" si="10"/>
        <v>14</v>
      </c>
      <c r="BS106" s="173">
        <v>0.0</v>
      </c>
      <c r="BT106" s="173">
        <v>0.0</v>
      </c>
      <c r="BU106" s="173">
        <v>1.0</v>
      </c>
      <c r="BV106" s="173">
        <v>12.0</v>
      </c>
      <c r="BW106" s="173">
        <v>0.0</v>
      </c>
      <c r="BX106" s="173">
        <v>0.0</v>
      </c>
      <c r="BY106" s="173">
        <v>0.0</v>
      </c>
      <c r="BZ106" s="173">
        <v>1.0</v>
      </c>
      <c r="CA106" s="173">
        <v>0.0</v>
      </c>
      <c r="CB106" s="173">
        <v>0.0</v>
      </c>
      <c r="CC106" s="173">
        <v>0.0</v>
      </c>
      <c r="CD106" s="173">
        <v>4.0</v>
      </c>
      <c r="CE106" s="173">
        <v>0.0</v>
      </c>
      <c r="CF106" s="6"/>
      <c r="CG106" s="6"/>
      <c r="CH106" s="6"/>
      <c r="CI106" s="6"/>
      <c r="CJ106" s="6"/>
      <c r="CK106" s="172">
        <f t="shared" si="132"/>
        <v>4</v>
      </c>
      <c r="CL106" s="173">
        <v>1615.0</v>
      </c>
      <c r="CM106" s="173">
        <v>750.0</v>
      </c>
      <c r="CN106" s="175">
        <f t="shared" si="12"/>
        <v>7</v>
      </c>
      <c r="CO106" s="6"/>
      <c r="CP106" s="6"/>
      <c r="CQ106" s="173">
        <v>1.0</v>
      </c>
      <c r="CR106" s="173">
        <v>6.0</v>
      </c>
      <c r="CS106" s="6"/>
      <c r="CT106" s="6"/>
      <c r="CU106" s="6"/>
      <c r="CV106" s="6"/>
      <c r="CW106" s="6"/>
      <c r="CX106" s="6"/>
      <c r="CY106" s="173">
        <v>2.0</v>
      </c>
      <c r="CZ106" s="173">
        <v>4.0</v>
      </c>
      <c r="DA106" s="6"/>
      <c r="DB106" s="6"/>
      <c r="DC106" s="6"/>
      <c r="DD106" s="6"/>
      <c r="DE106" s="6"/>
      <c r="DF106" s="6"/>
      <c r="DG106" s="176">
        <f t="shared" si="13"/>
        <v>6</v>
      </c>
      <c r="DH106" s="177">
        <v>1525.0</v>
      </c>
      <c r="DI106" s="177">
        <v>473.0</v>
      </c>
      <c r="DJ106" s="178">
        <v>1458.0</v>
      </c>
      <c r="DK106" s="178">
        <v>408.0</v>
      </c>
      <c r="DL106" s="179">
        <f t="shared" si="14"/>
        <v>10</v>
      </c>
      <c r="DM106" s="180">
        <f t="shared" si="15"/>
        <v>3</v>
      </c>
      <c r="DN106" s="180">
        <f t="shared" si="16"/>
        <v>7</v>
      </c>
      <c r="DO106" s="177">
        <v>0.0</v>
      </c>
      <c r="DP106" s="177">
        <v>0.0</v>
      </c>
      <c r="DQ106" s="177">
        <v>1.0</v>
      </c>
      <c r="DR106" s="177">
        <v>4.0</v>
      </c>
      <c r="DS106" s="177">
        <v>0.0</v>
      </c>
      <c r="DT106" s="177">
        <v>0.0</v>
      </c>
      <c r="DU106" s="177">
        <v>2.0</v>
      </c>
      <c r="DV106" s="177">
        <v>3.0</v>
      </c>
      <c r="DW106" s="177">
        <v>0.0</v>
      </c>
      <c r="DX106" s="177">
        <v>0.0</v>
      </c>
      <c r="DY106" s="177">
        <v>0.0</v>
      </c>
      <c r="DZ106" s="177">
        <v>2.0</v>
      </c>
      <c r="EA106" s="177">
        <v>0.0</v>
      </c>
      <c r="EB106" s="177">
        <v>0.0</v>
      </c>
      <c r="EC106" s="177">
        <v>0.0</v>
      </c>
      <c r="ED106" s="177">
        <v>0.0</v>
      </c>
      <c r="EE106" s="177">
        <v>0.0</v>
      </c>
      <c r="EF106" s="177">
        <v>0.0</v>
      </c>
      <c r="EG106" s="179">
        <f t="shared" si="17"/>
        <v>2</v>
      </c>
      <c r="EH106" s="179">
        <f t="shared" si="18"/>
        <v>0</v>
      </c>
      <c r="EI106" s="177">
        <v>1499.0</v>
      </c>
      <c r="EJ106" s="177">
        <v>450.0</v>
      </c>
      <c r="EK106" s="178">
        <v>1438.0</v>
      </c>
      <c r="EL106" s="178">
        <v>406.0</v>
      </c>
      <c r="EM106" s="186">
        <v>9.0</v>
      </c>
      <c r="EN106" s="186">
        <f t="shared" si="202"/>
        <v>2</v>
      </c>
      <c r="EO106" s="186">
        <f t="shared" si="90"/>
        <v>7</v>
      </c>
      <c r="EP106" s="227"/>
      <c r="EQ106" s="227"/>
      <c r="ER106" s="177">
        <v>2.0</v>
      </c>
      <c r="ES106" s="177">
        <v>7.0</v>
      </c>
      <c r="ET106" s="227"/>
      <c r="EU106" s="227"/>
      <c r="EV106" s="227"/>
      <c r="EW106" s="227"/>
      <c r="EX106" s="227"/>
      <c r="EY106" s="227"/>
      <c r="EZ106" s="227"/>
      <c r="FA106" s="177">
        <v>1.0</v>
      </c>
      <c r="FB106" s="227"/>
      <c r="FC106" s="227"/>
      <c r="FD106" s="227"/>
      <c r="FE106" s="227"/>
      <c r="FF106" s="227"/>
      <c r="FG106" s="227"/>
      <c r="FH106" s="185">
        <f t="shared" si="22"/>
        <v>1</v>
      </c>
      <c r="FI106" s="185">
        <f t="shared" si="23"/>
        <v>0</v>
      </c>
      <c r="FJ106" s="177">
        <v>1495.0</v>
      </c>
      <c r="FK106" s="177">
        <v>437.0</v>
      </c>
      <c r="FL106" s="177">
        <v>1415.0</v>
      </c>
      <c r="FM106" s="177">
        <v>393.0</v>
      </c>
      <c r="FN106" s="210"/>
      <c r="FO106" s="210">
        <v>9.0</v>
      </c>
      <c r="FP106" s="243">
        <v>9.0</v>
      </c>
      <c r="FQ106" s="211">
        <v>3.0</v>
      </c>
      <c r="FR106" s="212">
        <v>6.0</v>
      </c>
      <c r="FS106" s="335"/>
      <c r="FT106" s="293"/>
      <c r="FU106" s="207">
        <v>2.0</v>
      </c>
      <c r="FV106" s="207">
        <v>6.0</v>
      </c>
      <c r="FW106" s="293"/>
      <c r="FX106" s="293"/>
      <c r="FY106" s="207">
        <v>1.0</v>
      </c>
      <c r="FZ106" s="293"/>
      <c r="GA106" s="293"/>
      <c r="GB106" s="293"/>
      <c r="GC106" s="293"/>
      <c r="GD106" s="207">
        <v>1.0</v>
      </c>
      <c r="GE106" s="293"/>
      <c r="GF106" s="293"/>
      <c r="GG106" s="293"/>
      <c r="GH106" s="293"/>
      <c r="GI106" s="293"/>
      <c r="GJ106" s="293"/>
      <c r="GK106" s="212">
        <v>1.0</v>
      </c>
      <c r="GL106" s="212">
        <v>0.0</v>
      </c>
      <c r="GM106" s="207">
        <v>1459.0</v>
      </c>
      <c r="GN106" s="207">
        <v>414.0</v>
      </c>
      <c r="GO106" s="213">
        <v>1417.0</v>
      </c>
      <c r="GP106" s="213">
        <v>388.0</v>
      </c>
      <c r="GQ106" s="207"/>
      <c r="GR106" s="213">
        <v>12.0</v>
      </c>
      <c r="GS106" s="193">
        <v>3.0</v>
      </c>
      <c r="GT106" s="194">
        <f t="shared" si="25"/>
        <v>12</v>
      </c>
      <c r="GU106" s="194">
        <f t="shared" si="26"/>
        <v>3</v>
      </c>
      <c r="GV106" s="194">
        <f t="shared" si="27"/>
        <v>9</v>
      </c>
      <c r="GW106" s="207"/>
      <c r="GX106" s="207"/>
      <c r="GY106" s="207">
        <v>3.0</v>
      </c>
      <c r="GZ106" s="207">
        <v>6.0</v>
      </c>
      <c r="HA106" s="207"/>
      <c r="HB106" s="207"/>
      <c r="HC106" s="207"/>
      <c r="HD106" s="207">
        <v>3.0</v>
      </c>
      <c r="HE106" s="207"/>
      <c r="HF106" s="207"/>
      <c r="HG106" s="207"/>
      <c r="HH106" s="207"/>
      <c r="HI106" s="207"/>
      <c r="HJ106" s="207"/>
      <c r="HK106" s="207"/>
      <c r="HL106" s="207"/>
      <c r="HM106" s="207"/>
      <c r="HN106" s="207"/>
      <c r="HO106" s="222"/>
      <c r="HP106" s="222"/>
      <c r="HQ106" s="214"/>
      <c r="HR106" s="197"/>
      <c r="HS106" s="197"/>
      <c r="HT106" s="198">
        <f t="shared" si="28"/>
        <v>13</v>
      </c>
      <c r="HU106" s="198">
        <f t="shared" si="29"/>
        <v>13</v>
      </c>
      <c r="HV106" s="198">
        <f t="shared" si="30"/>
        <v>15</v>
      </c>
      <c r="HW106" s="198">
        <f t="shared" si="99"/>
        <v>4</v>
      </c>
      <c r="HX106" s="198">
        <f t="shared" si="32"/>
        <v>10</v>
      </c>
      <c r="HY106" s="198">
        <f t="shared" si="33"/>
        <v>15</v>
      </c>
      <c r="HZ106" s="198">
        <f t="shared" si="34"/>
        <v>14</v>
      </c>
      <c r="IA106" s="198">
        <f t="shared" si="35"/>
        <v>7</v>
      </c>
      <c r="IB106" s="198">
        <f t="shared" si="36"/>
        <v>10</v>
      </c>
      <c r="IC106" s="198">
        <f t="shared" si="37"/>
        <v>9</v>
      </c>
      <c r="ID106" s="198">
        <f t="shared" si="38"/>
        <v>9</v>
      </c>
      <c r="IE106" s="198">
        <f t="shared" si="39"/>
        <v>12</v>
      </c>
      <c r="IF106" s="197"/>
      <c r="IG106" s="197"/>
      <c r="IH106" s="197"/>
      <c r="II106" s="197"/>
      <c r="IJ106" s="197"/>
      <c r="IK106" s="197"/>
      <c r="IL106" s="197"/>
      <c r="IM106" s="197"/>
      <c r="IN106" s="197"/>
      <c r="IO106" s="197"/>
      <c r="IP106" s="197"/>
      <c r="IQ106" s="197"/>
      <c r="IR106" s="197"/>
      <c r="IS106" s="197"/>
      <c r="IT106" s="197"/>
      <c r="IU106" s="197"/>
      <c r="IV106" s="197"/>
      <c r="IW106" s="197"/>
      <c r="IX106" s="197"/>
      <c r="IY106" s="197"/>
      <c r="IZ106" s="197"/>
      <c r="JA106" s="199"/>
      <c r="JB106" s="200">
        <f t="shared" si="40"/>
        <v>13</v>
      </c>
      <c r="JC106" s="200">
        <f t="shared" si="41"/>
        <v>13</v>
      </c>
      <c r="JD106" s="200">
        <f t="shared" si="42"/>
        <v>15</v>
      </c>
      <c r="JE106" s="200">
        <f t="shared" si="43"/>
        <v>4</v>
      </c>
      <c r="JF106" s="200">
        <f t="shared" si="44"/>
        <v>10</v>
      </c>
      <c r="JG106" s="200">
        <f t="shared" si="45"/>
        <v>15</v>
      </c>
      <c r="JH106" s="200">
        <f t="shared" si="46"/>
        <v>14</v>
      </c>
      <c r="JI106" s="200">
        <f t="shared" si="47"/>
        <v>7</v>
      </c>
      <c r="JJ106" s="200">
        <f t="shared" si="48"/>
        <v>10</v>
      </c>
      <c r="JK106" s="200">
        <f t="shared" si="49"/>
        <v>10</v>
      </c>
      <c r="JL106" s="200">
        <f t="shared" si="50"/>
        <v>9</v>
      </c>
      <c r="JM106" s="200">
        <f t="shared" si="51"/>
        <v>12</v>
      </c>
      <c r="JN106" s="199"/>
      <c r="JO106" s="200">
        <f t="shared" si="52"/>
        <v>13</v>
      </c>
      <c r="JP106" s="202">
        <v>13.0</v>
      </c>
      <c r="JQ106" s="202">
        <v>15.0</v>
      </c>
      <c r="JR106" s="202">
        <v>4.0</v>
      </c>
      <c r="JS106" s="202">
        <v>10.0</v>
      </c>
      <c r="JT106" s="199"/>
      <c r="JU106" s="199"/>
      <c r="JV106" s="200">
        <f t="shared" ref="JV106:JX106" si="270">IA106-JI106</f>
        <v>0</v>
      </c>
      <c r="JW106" s="200">
        <f t="shared" si="270"/>
        <v>0</v>
      </c>
      <c r="JX106" s="200">
        <f t="shared" si="270"/>
        <v>-1</v>
      </c>
      <c r="JY106" s="199"/>
      <c r="JZ106" s="199"/>
      <c r="KA106" s="199"/>
      <c r="KB106" s="200">
        <f t="shared" ref="KB106:KM106" si="271">JB106-JO106</f>
        <v>0</v>
      </c>
      <c r="KC106" s="200">
        <f t="shared" si="271"/>
        <v>0</v>
      </c>
      <c r="KD106" s="200">
        <f t="shared" si="271"/>
        <v>0</v>
      </c>
      <c r="KE106" s="200">
        <f t="shared" si="271"/>
        <v>0</v>
      </c>
      <c r="KF106" s="200">
        <f t="shared" si="271"/>
        <v>0</v>
      </c>
      <c r="KG106" s="200">
        <f t="shared" si="271"/>
        <v>15</v>
      </c>
      <c r="KH106" s="200">
        <f t="shared" si="271"/>
        <v>14</v>
      </c>
      <c r="KI106" s="200">
        <f t="shared" si="271"/>
        <v>7</v>
      </c>
      <c r="KJ106" s="200">
        <f t="shared" si="271"/>
        <v>10</v>
      </c>
      <c r="KK106" s="200">
        <f t="shared" si="271"/>
        <v>11</v>
      </c>
      <c r="KL106" s="200">
        <f t="shared" si="271"/>
        <v>9</v>
      </c>
      <c r="KM106" s="200">
        <f t="shared" si="271"/>
        <v>12</v>
      </c>
      <c r="KN106" s="199"/>
      <c r="KO106" s="199"/>
      <c r="KP106" s="199"/>
      <c r="KQ106" s="199"/>
      <c r="KR106" s="199"/>
      <c r="KS106" s="199"/>
      <c r="KT106" s="199"/>
      <c r="KU106" s="199"/>
      <c r="KV106" s="199"/>
      <c r="KW106" s="199"/>
      <c r="KX106" s="199"/>
      <c r="KY106" s="199"/>
      <c r="KZ106" s="199"/>
      <c r="LA106" s="199"/>
      <c r="LB106" s="199"/>
      <c r="LC106" s="199"/>
      <c r="LD106" s="199"/>
      <c r="LE106" s="199"/>
      <c r="LF106" s="199"/>
      <c r="LG106" s="199"/>
    </row>
    <row r="107" ht="14.25" customHeight="1">
      <c r="A107" s="156">
        <v>100.0</v>
      </c>
      <c r="B107" s="157" t="s">
        <v>191</v>
      </c>
      <c r="C107" s="158">
        <v>3374070.0</v>
      </c>
      <c r="D107" s="158" t="s">
        <v>195</v>
      </c>
      <c r="E107" s="158" t="s">
        <v>202</v>
      </c>
      <c r="F107" s="159">
        <v>9.0</v>
      </c>
      <c r="G107" s="285">
        <v>856.0</v>
      </c>
      <c r="H107" s="160">
        <v>6.0</v>
      </c>
      <c r="I107" s="161">
        <v>0.0</v>
      </c>
      <c r="J107" s="161">
        <v>0.0</v>
      </c>
      <c r="K107" s="161">
        <v>1.0</v>
      </c>
      <c r="L107" s="161">
        <v>5.0</v>
      </c>
      <c r="M107" s="161">
        <v>0.0</v>
      </c>
      <c r="N107" s="161">
        <v>0.0</v>
      </c>
      <c r="O107" s="162">
        <f t="shared" si="213"/>
        <v>6</v>
      </c>
      <c r="P107" s="203">
        <v>6.0</v>
      </c>
      <c r="Q107" s="164">
        <v>0.0</v>
      </c>
      <c r="R107" s="164">
        <v>0.0</v>
      </c>
      <c r="S107" s="164">
        <v>1.0</v>
      </c>
      <c r="T107" s="165">
        <v>5.0</v>
      </c>
      <c r="U107" s="165">
        <v>0.0</v>
      </c>
      <c r="V107" s="165">
        <v>0.0</v>
      </c>
      <c r="W107" s="166">
        <f t="shared" si="225"/>
        <v>6</v>
      </c>
      <c r="X107" s="203">
        <v>9.0</v>
      </c>
      <c r="Y107" s="165">
        <v>0.0</v>
      </c>
      <c r="Z107" s="165">
        <v>0.0</v>
      </c>
      <c r="AA107" s="165">
        <v>1.0</v>
      </c>
      <c r="AB107" s="165">
        <v>8.0</v>
      </c>
      <c r="AC107" s="165">
        <v>0.0</v>
      </c>
      <c r="AD107" s="165">
        <v>0.0</v>
      </c>
      <c r="AE107" s="166">
        <f t="shared" si="214"/>
        <v>9</v>
      </c>
      <c r="AF107" s="167">
        <v>4.0</v>
      </c>
      <c r="AG107" s="165">
        <v>0.0</v>
      </c>
      <c r="AH107" s="165">
        <v>0.0</v>
      </c>
      <c r="AI107" s="165">
        <v>0.0</v>
      </c>
      <c r="AJ107" s="165">
        <v>4.0</v>
      </c>
      <c r="AK107" s="165">
        <v>0.0</v>
      </c>
      <c r="AL107" s="165">
        <v>0.0</v>
      </c>
      <c r="AM107" s="166">
        <f t="shared" si="215"/>
        <v>4</v>
      </c>
      <c r="AN107" s="167">
        <v>7.0</v>
      </c>
      <c r="AO107" s="165">
        <v>0.0</v>
      </c>
      <c r="AP107" s="165">
        <v>0.0</v>
      </c>
      <c r="AQ107" s="165">
        <v>1.0</v>
      </c>
      <c r="AR107" s="165">
        <v>6.0</v>
      </c>
      <c r="AS107" s="165">
        <v>0.0</v>
      </c>
      <c r="AT107" s="165">
        <v>0.0</v>
      </c>
      <c r="AU107" s="168">
        <f t="shared" si="216"/>
        <v>7</v>
      </c>
      <c r="AV107" s="169">
        <v>775.0</v>
      </c>
      <c r="AW107" s="204">
        <f t="shared" si="8"/>
        <v>10</v>
      </c>
      <c r="AX107" s="169">
        <v>0.0</v>
      </c>
      <c r="AY107" s="169">
        <v>0.0</v>
      </c>
      <c r="AZ107" s="169">
        <v>1.0</v>
      </c>
      <c r="BA107" s="169">
        <v>2.0</v>
      </c>
      <c r="BB107" s="169">
        <v>1.0</v>
      </c>
      <c r="BC107" s="169">
        <v>2.0</v>
      </c>
      <c r="BD107" s="169">
        <v>1.0</v>
      </c>
      <c r="BE107" s="169">
        <v>3.0</v>
      </c>
      <c r="BF107" s="169">
        <v>0.0</v>
      </c>
      <c r="BG107" s="169">
        <v>0.0</v>
      </c>
      <c r="BH107" s="169">
        <v>0.0</v>
      </c>
      <c r="BI107" s="169">
        <v>0.0</v>
      </c>
      <c r="BJ107" s="169">
        <v>0.0</v>
      </c>
      <c r="BK107" s="169">
        <v>0.0</v>
      </c>
      <c r="BL107" s="169">
        <v>0.0</v>
      </c>
      <c r="BM107" s="169">
        <v>0.0</v>
      </c>
      <c r="BN107" s="169">
        <v>0.0</v>
      </c>
      <c r="BO107" s="169">
        <v>0.0</v>
      </c>
      <c r="BP107" s="205">
        <f t="shared" si="131"/>
        <v>0</v>
      </c>
      <c r="BQ107" s="173">
        <v>658.0</v>
      </c>
      <c r="BR107" s="170">
        <f t="shared" si="10"/>
        <v>3</v>
      </c>
      <c r="BS107" s="6"/>
      <c r="BT107" s="6"/>
      <c r="BU107" s="6"/>
      <c r="BV107" s="173">
        <v>2.0</v>
      </c>
      <c r="BW107" s="6"/>
      <c r="BX107" s="6"/>
      <c r="BY107" s="173">
        <v>1.0</v>
      </c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172">
        <f t="shared" si="132"/>
        <v>0</v>
      </c>
      <c r="CL107" s="173">
        <v>648.0</v>
      </c>
      <c r="CM107" s="173">
        <v>260.0</v>
      </c>
      <c r="CN107" s="175">
        <f t="shared" si="12"/>
        <v>3</v>
      </c>
      <c r="CO107" s="6"/>
      <c r="CP107" s="6"/>
      <c r="CQ107" s="173">
        <v>2.0</v>
      </c>
      <c r="CR107" s="173">
        <v>1.0</v>
      </c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176">
        <f t="shared" si="13"/>
        <v>0</v>
      </c>
      <c r="DH107" s="177">
        <v>619.0</v>
      </c>
      <c r="DI107" s="177">
        <v>228.0</v>
      </c>
      <c r="DJ107" s="178">
        <v>555.0</v>
      </c>
      <c r="DK107" s="178">
        <v>164.0</v>
      </c>
      <c r="DL107" s="179">
        <f t="shared" si="14"/>
        <v>1</v>
      </c>
      <c r="DM107" s="180">
        <f t="shared" si="15"/>
        <v>0</v>
      </c>
      <c r="DN107" s="180">
        <f t="shared" si="16"/>
        <v>1</v>
      </c>
      <c r="DO107" s="177">
        <v>0.0</v>
      </c>
      <c r="DP107" s="177">
        <v>0.0</v>
      </c>
      <c r="DQ107" s="177">
        <v>0.0</v>
      </c>
      <c r="DR107" s="177">
        <v>1.0</v>
      </c>
      <c r="DS107" s="177">
        <v>0.0</v>
      </c>
      <c r="DT107" s="177">
        <v>0.0</v>
      </c>
      <c r="DU107" s="177">
        <v>0.0</v>
      </c>
      <c r="DV107" s="177">
        <v>0.0</v>
      </c>
      <c r="DW107" s="177">
        <v>0.0</v>
      </c>
      <c r="DX107" s="177">
        <v>0.0</v>
      </c>
      <c r="DY107" s="177">
        <v>2.0</v>
      </c>
      <c r="DZ107" s="177">
        <v>0.0</v>
      </c>
      <c r="EA107" s="177">
        <v>0.0</v>
      </c>
      <c r="EB107" s="177">
        <v>0.0</v>
      </c>
      <c r="EC107" s="177">
        <v>0.0</v>
      </c>
      <c r="ED107" s="177">
        <v>0.0</v>
      </c>
      <c r="EE107" s="177">
        <v>0.0</v>
      </c>
      <c r="EF107" s="177">
        <v>0.0</v>
      </c>
      <c r="EG107" s="179">
        <f t="shared" si="17"/>
        <v>2</v>
      </c>
      <c r="EH107" s="179">
        <f t="shared" si="18"/>
        <v>2</v>
      </c>
      <c r="EI107" s="177">
        <v>600.0</v>
      </c>
      <c r="EJ107" s="177">
        <v>203.0</v>
      </c>
      <c r="EK107" s="178">
        <v>539.0</v>
      </c>
      <c r="EL107" s="178">
        <v>160.0</v>
      </c>
      <c r="EM107" s="186">
        <v>2.0</v>
      </c>
      <c r="EN107" s="186">
        <f t="shared" si="202"/>
        <v>1</v>
      </c>
      <c r="EO107" s="186">
        <f t="shared" si="90"/>
        <v>1</v>
      </c>
      <c r="EP107" s="227"/>
      <c r="EQ107" s="227"/>
      <c r="ER107" s="227"/>
      <c r="ES107" s="227"/>
      <c r="ET107" s="227"/>
      <c r="EU107" s="227"/>
      <c r="EV107" s="177">
        <v>1.0</v>
      </c>
      <c r="EW107" s="177">
        <v>1.0</v>
      </c>
      <c r="EX107" s="227"/>
      <c r="EY107" s="227"/>
      <c r="EZ107" s="227"/>
      <c r="FA107" s="177">
        <v>1.0</v>
      </c>
      <c r="FB107" s="227"/>
      <c r="FC107" s="227"/>
      <c r="FD107" s="227"/>
      <c r="FE107" s="227"/>
      <c r="FF107" s="227"/>
      <c r="FG107" s="227"/>
      <c r="FH107" s="185">
        <f t="shared" si="22"/>
        <v>1</v>
      </c>
      <c r="FI107" s="185">
        <f t="shared" si="23"/>
        <v>0</v>
      </c>
      <c r="FJ107" s="177">
        <v>603.0</v>
      </c>
      <c r="FK107" s="177">
        <v>198.0</v>
      </c>
      <c r="FL107" s="177">
        <v>533.0</v>
      </c>
      <c r="FM107" s="177">
        <v>153.0</v>
      </c>
      <c r="FN107" s="210"/>
      <c r="FO107" s="210">
        <v>2.0</v>
      </c>
      <c r="FP107" s="243">
        <v>2.0</v>
      </c>
      <c r="FQ107" s="211">
        <v>0.0</v>
      </c>
      <c r="FR107" s="212">
        <v>2.0</v>
      </c>
      <c r="FS107" s="335"/>
      <c r="FT107" s="293"/>
      <c r="FU107" s="293"/>
      <c r="FV107" s="207">
        <v>1.0</v>
      </c>
      <c r="FW107" s="293"/>
      <c r="FX107" s="293"/>
      <c r="FY107" s="293"/>
      <c r="FZ107" s="207">
        <v>1.0</v>
      </c>
      <c r="GA107" s="293"/>
      <c r="GB107" s="293"/>
      <c r="GC107" s="207">
        <v>1.0</v>
      </c>
      <c r="GD107" s="293"/>
      <c r="GE107" s="293"/>
      <c r="GF107" s="293"/>
      <c r="GG107" s="293"/>
      <c r="GH107" s="293"/>
      <c r="GI107" s="293"/>
      <c r="GJ107" s="293"/>
      <c r="GK107" s="212">
        <v>1.0</v>
      </c>
      <c r="GL107" s="212">
        <v>1.0</v>
      </c>
      <c r="GM107" s="207">
        <v>588.0</v>
      </c>
      <c r="GN107" s="207">
        <v>173.0</v>
      </c>
      <c r="GO107" s="213">
        <v>535.0</v>
      </c>
      <c r="GP107" s="213">
        <v>147.0</v>
      </c>
      <c r="GQ107" s="207"/>
      <c r="GR107" s="213">
        <v>1.0</v>
      </c>
      <c r="GS107" s="193">
        <v>0.0</v>
      </c>
      <c r="GT107" s="194">
        <f t="shared" si="25"/>
        <v>1</v>
      </c>
      <c r="GU107" s="194">
        <f t="shared" si="26"/>
        <v>0</v>
      </c>
      <c r="GV107" s="194">
        <f t="shared" si="27"/>
        <v>1</v>
      </c>
      <c r="GW107" s="207"/>
      <c r="GX107" s="207"/>
      <c r="GY107" s="207"/>
      <c r="GZ107" s="207">
        <v>1.0</v>
      </c>
      <c r="HA107" s="207"/>
      <c r="HB107" s="207"/>
      <c r="HC107" s="207"/>
      <c r="HD107" s="207"/>
      <c r="HE107" s="207"/>
      <c r="HF107" s="207"/>
      <c r="HG107" s="207"/>
      <c r="HH107" s="207"/>
      <c r="HI107" s="207"/>
      <c r="HJ107" s="207"/>
      <c r="HK107" s="207"/>
      <c r="HL107" s="207"/>
      <c r="HM107" s="207"/>
      <c r="HN107" s="207"/>
      <c r="HO107" s="222"/>
      <c r="HP107" s="222"/>
      <c r="HQ107" s="214"/>
      <c r="HR107" s="197"/>
      <c r="HS107" s="197"/>
      <c r="HT107" s="198">
        <f t="shared" si="28"/>
        <v>6</v>
      </c>
      <c r="HU107" s="198">
        <f t="shared" si="29"/>
        <v>6</v>
      </c>
      <c r="HV107" s="198">
        <f t="shared" si="30"/>
        <v>9</v>
      </c>
      <c r="HW107" s="198">
        <f t="shared" si="99"/>
        <v>4</v>
      </c>
      <c r="HX107" s="198">
        <f t="shared" si="32"/>
        <v>7</v>
      </c>
      <c r="HY107" s="198">
        <f t="shared" si="33"/>
        <v>10</v>
      </c>
      <c r="HZ107" s="198">
        <f t="shared" si="34"/>
        <v>3</v>
      </c>
      <c r="IA107" s="198">
        <f t="shared" si="35"/>
        <v>3</v>
      </c>
      <c r="IB107" s="198">
        <f t="shared" si="36"/>
        <v>1</v>
      </c>
      <c r="IC107" s="198">
        <f t="shared" si="37"/>
        <v>2</v>
      </c>
      <c r="ID107" s="198">
        <f t="shared" si="38"/>
        <v>2</v>
      </c>
      <c r="IE107" s="198">
        <f t="shared" si="39"/>
        <v>1</v>
      </c>
      <c r="IF107" s="197"/>
      <c r="IG107" s="197"/>
      <c r="IH107" s="197"/>
      <c r="II107" s="197"/>
      <c r="IJ107" s="197"/>
      <c r="IK107" s="197"/>
      <c r="IL107" s="197"/>
      <c r="IM107" s="197"/>
      <c r="IN107" s="197"/>
      <c r="IO107" s="197"/>
      <c r="IP107" s="197"/>
      <c r="IQ107" s="197"/>
      <c r="IR107" s="197"/>
      <c r="IS107" s="197"/>
      <c r="IT107" s="197"/>
      <c r="IU107" s="197"/>
      <c r="IV107" s="197"/>
      <c r="IW107" s="197"/>
      <c r="IX107" s="197"/>
      <c r="IY107" s="197"/>
      <c r="IZ107" s="197"/>
      <c r="JA107" s="199"/>
      <c r="JB107" s="200">
        <f t="shared" si="40"/>
        <v>6</v>
      </c>
      <c r="JC107" s="200">
        <f t="shared" si="41"/>
        <v>6</v>
      </c>
      <c r="JD107" s="200">
        <f t="shared" si="42"/>
        <v>9</v>
      </c>
      <c r="JE107" s="200">
        <f t="shared" si="43"/>
        <v>4</v>
      </c>
      <c r="JF107" s="200">
        <f t="shared" si="44"/>
        <v>7</v>
      </c>
      <c r="JG107" s="200">
        <f t="shared" si="45"/>
        <v>10</v>
      </c>
      <c r="JH107" s="200">
        <f t="shared" si="46"/>
        <v>3</v>
      </c>
      <c r="JI107" s="200">
        <f t="shared" si="47"/>
        <v>3</v>
      </c>
      <c r="JJ107" s="200">
        <f t="shared" si="48"/>
        <v>1</v>
      </c>
      <c r="JK107" s="200">
        <f t="shared" si="49"/>
        <v>3</v>
      </c>
      <c r="JL107" s="200">
        <f t="shared" si="50"/>
        <v>2</v>
      </c>
      <c r="JM107" s="200">
        <f t="shared" si="51"/>
        <v>1</v>
      </c>
      <c r="JN107" s="199"/>
      <c r="JO107" s="200">
        <f t="shared" si="52"/>
        <v>6</v>
      </c>
      <c r="JP107" s="202">
        <v>6.0</v>
      </c>
      <c r="JQ107" s="202">
        <v>9.0</v>
      </c>
      <c r="JR107" s="202">
        <v>4.0</v>
      </c>
      <c r="JS107" s="202">
        <v>7.0</v>
      </c>
      <c r="JT107" s="199"/>
      <c r="JU107" s="199"/>
      <c r="JV107" s="200">
        <f t="shared" ref="JV107:JX107" si="272">IA107-JI107</f>
        <v>0</v>
      </c>
      <c r="JW107" s="200">
        <f t="shared" si="272"/>
        <v>0</v>
      </c>
      <c r="JX107" s="200">
        <f t="shared" si="272"/>
        <v>-1</v>
      </c>
      <c r="JY107" s="199"/>
      <c r="JZ107" s="199"/>
      <c r="KA107" s="199"/>
      <c r="KB107" s="200">
        <f t="shared" ref="KB107:KM107" si="273">JB107-JO107</f>
        <v>0</v>
      </c>
      <c r="KC107" s="200">
        <f t="shared" si="273"/>
        <v>0</v>
      </c>
      <c r="KD107" s="200">
        <f t="shared" si="273"/>
        <v>0</v>
      </c>
      <c r="KE107" s="200">
        <f t="shared" si="273"/>
        <v>0</v>
      </c>
      <c r="KF107" s="200">
        <f t="shared" si="273"/>
        <v>0</v>
      </c>
      <c r="KG107" s="200">
        <f t="shared" si="273"/>
        <v>10</v>
      </c>
      <c r="KH107" s="200">
        <f t="shared" si="273"/>
        <v>3</v>
      </c>
      <c r="KI107" s="200">
        <f t="shared" si="273"/>
        <v>3</v>
      </c>
      <c r="KJ107" s="200">
        <f t="shared" si="273"/>
        <v>1</v>
      </c>
      <c r="KK107" s="200">
        <f t="shared" si="273"/>
        <v>4</v>
      </c>
      <c r="KL107" s="200">
        <f t="shared" si="273"/>
        <v>2</v>
      </c>
      <c r="KM107" s="200">
        <f t="shared" si="273"/>
        <v>1</v>
      </c>
      <c r="KN107" s="199"/>
      <c r="KO107" s="199"/>
      <c r="KP107" s="199"/>
      <c r="KQ107" s="199"/>
      <c r="KR107" s="199"/>
      <c r="KS107" s="199"/>
      <c r="KT107" s="199"/>
      <c r="KU107" s="199"/>
      <c r="KV107" s="199"/>
      <c r="KW107" s="199"/>
      <c r="KX107" s="199"/>
      <c r="KY107" s="199"/>
      <c r="KZ107" s="199"/>
      <c r="LA107" s="199"/>
      <c r="LB107" s="199"/>
      <c r="LC107" s="199"/>
      <c r="LD107" s="199"/>
      <c r="LE107" s="199"/>
      <c r="LF107" s="199"/>
      <c r="LG107" s="199"/>
    </row>
    <row r="108" ht="14.25" customHeight="1">
      <c r="A108" s="156">
        <v>101.0</v>
      </c>
      <c r="B108" s="157" t="s">
        <v>191</v>
      </c>
      <c r="C108" s="158">
        <v>3374070.0</v>
      </c>
      <c r="D108" s="158" t="s">
        <v>195</v>
      </c>
      <c r="E108" s="158" t="s">
        <v>203</v>
      </c>
      <c r="F108" s="159">
        <v>10.0</v>
      </c>
      <c r="G108" s="285">
        <v>1526.0</v>
      </c>
      <c r="H108" s="160">
        <v>22.0</v>
      </c>
      <c r="I108" s="161">
        <v>0.0</v>
      </c>
      <c r="J108" s="161">
        <v>0.0</v>
      </c>
      <c r="K108" s="161">
        <v>4.0</v>
      </c>
      <c r="L108" s="161">
        <v>18.0</v>
      </c>
      <c r="M108" s="161">
        <v>0.0</v>
      </c>
      <c r="N108" s="161">
        <v>0.0</v>
      </c>
      <c r="O108" s="162">
        <f t="shared" si="213"/>
        <v>22</v>
      </c>
      <c r="P108" s="203">
        <v>22.0</v>
      </c>
      <c r="Q108" s="164">
        <v>0.0</v>
      </c>
      <c r="R108" s="164">
        <v>0.0</v>
      </c>
      <c r="S108" s="164">
        <v>4.0</v>
      </c>
      <c r="T108" s="165">
        <v>18.0</v>
      </c>
      <c r="U108" s="165">
        <v>3.0</v>
      </c>
      <c r="V108" s="165"/>
      <c r="W108" s="166">
        <f t="shared" si="225"/>
        <v>19</v>
      </c>
      <c r="X108" s="203">
        <v>25.0</v>
      </c>
      <c r="Y108" s="165">
        <v>0.0</v>
      </c>
      <c r="Z108" s="165">
        <v>0.0</v>
      </c>
      <c r="AA108" s="165">
        <v>2.0</v>
      </c>
      <c r="AB108" s="165">
        <v>23.0</v>
      </c>
      <c r="AC108" s="165">
        <v>0.0</v>
      </c>
      <c r="AD108" s="165">
        <v>0.0</v>
      </c>
      <c r="AE108" s="166">
        <f t="shared" si="214"/>
        <v>25</v>
      </c>
      <c r="AF108" s="167">
        <v>10.0</v>
      </c>
      <c r="AG108" s="165">
        <v>0.0</v>
      </c>
      <c r="AH108" s="165">
        <v>0.0</v>
      </c>
      <c r="AI108" s="165">
        <v>2.0</v>
      </c>
      <c r="AJ108" s="165">
        <v>8.0</v>
      </c>
      <c r="AK108" s="165">
        <v>0.0</v>
      </c>
      <c r="AL108" s="165">
        <v>0.0</v>
      </c>
      <c r="AM108" s="166">
        <f t="shared" si="215"/>
        <v>10</v>
      </c>
      <c r="AN108" s="167">
        <v>8.0</v>
      </c>
      <c r="AO108" s="165">
        <v>0.0</v>
      </c>
      <c r="AP108" s="165">
        <v>0.0</v>
      </c>
      <c r="AQ108" s="165">
        <v>2.0</v>
      </c>
      <c r="AR108" s="165">
        <v>6.0</v>
      </c>
      <c r="AS108" s="165">
        <v>0.0</v>
      </c>
      <c r="AT108" s="165">
        <v>0.0</v>
      </c>
      <c r="AU108" s="168">
        <f t="shared" si="216"/>
        <v>8</v>
      </c>
      <c r="AV108" s="169">
        <v>1415.0</v>
      </c>
      <c r="AW108" s="204">
        <f t="shared" si="8"/>
        <v>16</v>
      </c>
      <c r="AX108" s="169">
        <v>0.0</v>
      </c>
      <c r="AY108" s="169">
        <v>0.0</v>
      </c>
      <c r="AZ108" s="169">
        <v>1.0</v>
      </c>
      <c r="BA108" s="169">
        <v>6.0</v>
      </c>
      <c r="BB108" s="169">
        <v>1.0</v>
      </c>
      <c r="BC108" s="169">
        <v>2.0</v>
      </c>
      <c r="BD108" s="169">
        <v>2.0</v>
      </c>
      <c r="BE108" s="169">
        <v>4.0</v>
      </c>
      <c r="BF108" s="169">
        <v>0.0</v>
      </c>
      <c r="BG108" s="169">
        <v>0.0</v>
      </c>
      <c r="BH108" s="169">
        <v>0.0</v>
      </c>
      <c r="BI108" s="169">
        <v>0.0</v>
      </c>
      <c r="BJ108" s="169">
        <v>0.0</v>
      </c>
      <c r="BK108" s="169">
        <v>0.0</v>
      </c>
      <c r="BL108" s="169">
        <v>0.0</v>
      </c>
      <c r="BM108" s="169">
        <v>0.0</v>
      </c>
      <c r="BN108" s="169">
        <v>0.0</v>
      </c>
      <c r="BO108" s="169">
        <v>0.0</v>
      </c>
      <c r="BP108" s="205">
        <f t="shared" si="131"/>
        <v>0</v>
      </c>
      <c r="BQ108" s="173">
        <v>1337.0</v>
      </c>
      <c r="BR108" s="170">
        <f t="shared" si="10"/>
        <v>8</v>
      </c>
      <c r="BS108" s="6"/>
      <c r="BT108" s="6"/>
      <c r="BU108" s="173">
        <v>1.0</v>
      </c>
      <c r="BV108" s="173">
        <v>6.0</v>
      </c>
      <c r="BW108" s="173">
        <v>0.0</v>
      </c>
      <c r="BX108" s="173">
        <v>0.0</v>
      </c>
      <c r="BY108" s="173">
        <v>0.0</v>
      </c>
      <c r="BZ108" s="173">
        <v>1.0</v>
      </c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172">
        <f t="shared" si="132"/>
        <v>0</v>
      </c>
      <c r="CL108" s="173">
        <v>1362.0</v>
      </c>
      <c r="CM108" s="173">
        <v>487.0</v>
      </c>
      <c r="CN108" s="175">
        <f t="shared" si="12"/>
        <v>4</v>
      </c>
      <c r="CO108" s="6"/>
      <c r="CP108" s="6"/>
      <c r="CQ108" s="173">
        <v>1.0</v>
      </c>
      <c r="CR108" s="173">
        <v>3.0</v>
      </c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176">
        <f t="shared" si="13"/>
        <v>0</v>
      </c>
      <c r="DH108" s="177">
        <v>1257.0</v>
      </c>
      <c r="DI108" s="177">
        <v>380.0</v>
      </c>
      <c r="DJ108" s="178">
        <v>1192.0</v>
      </c>
      <c r="DK108" s="178">
        <v>314.0</v>
      </c>
      <c r="DL108" s="179">
        <f t="shared" si="14"/>
        <v>2</v>
      </c>
      <c r="DM108" s="180">
        <f t="shared" si="15"/>
        <v>0</v>
      </c>
      <c r="DN108" s="180">
        <f t="shared" si="16"/>
        <v>2</v>
      </c>
      <c r="DO108" s="177">
        <v>0.0</v>
      </c>
      <c r="DP108" s="177">
        <v>0.0</v>
      </c>
      <c r="DQ108" s="177">
        <v>0.0</v>
      </c>
      <c r="DR108" s="177">
        <v>2.0</v>
      </c>
      <c r="DS108" s="177">
        <v>0.0</v>
      </c>
      <c r="DT108" s="177">
        <v>0.0</v>
      </c>
      <c r="DU108" s="177">
        <v>0.0</v>
      </c>
      <c r="DV108" s="177">
        <v>0.0</v>
      </c>
      <c r="DW108" s="177">
        <v>0.0</v>
      </c>
      <c r="DX108" s="177">
        <v>0.0</v>
      </c>
      <c r="DY108" s="177">
        <v>1.0</v>
      </c>
      <c r="DZ108" s="177">
        <v>1.0</v>
      </c>
      <c r="EA108" s="177">
        <v>0.0</v>
      </c>
      <c r="EB108" s="177">
        <v>0.0</v>
      </c>
      <c r="EC108" s="177">
        <v>0.0</v>
      </c>
      <c r="ED108" s="177">
        <v>0.0</v>
      </c>
      <c r="EE108" s="177">
        <v>0.0</v>
      </c>
      <c r="EF108" s="177">
        <v>0.0</v>
      </c>
      <c r="EG108" s="179">
        <f t="shared" si="17"/>
        <v>2</v>
      </c>
      <c r="EH108" s="179">
        <f t="shared" si="18"/>
        <v>1</v>
      </c>
      <c r="EI108" s="177">
        <v>1284.0</v>
      </c>
      <c r="EJ108" s="177">
        <v>388.0</v>
      </c>
      <c r="EK108" s="178">
        <v>1223.0</v>
      </c>
      <c r="EL108" s="178">
        <v>344.0</v>
      </c>
      <c r="EM108" s="186">
        <v>3.0</v>
      </c>
      <c r="EN108" s="186">
        <f t="shared" si="202"/>
        <v>1</v>
      </c>
      <c r="EO108" s="186">
        <f t="shared" si="90"/>
        <v>2</v>
      </c>
      <c r="EP108" s="227"/>
      <c r="EQ108" s="227"/>
      <c r="ER108" s="227"/>
      <c r="ES108" s="177">
        <v>2.0</v>
      </c>
      <c r="ET108" s="227"/>
      <c r="EU108" s="177">
        <v>1.0</v>
      </c>
      <c r="EV108" s="227"/>
      <c r="EW108" s="227"/>
      <c r="EX108" s="227"/>
      <c r="EY108" s="227"/>
      <c r="EZ108" s="227"/>
      <c r="FA108" s="227"/>
      <c r="FB108" s="227"/>
      <c r="FC108" s="227"/>
      <c r="FD108" s="227"/>
      <c r="FE108" s="227"/>
      <c r="FF108" s="227"/>
      <c r="FG108" s="227"/>
      <c r="FH108" s="185">
        <f t="shared" si="22"/>
        <v>0</v>
      </c>
      <c r="FI108" s="185">
        <f t="shared" si="23"/>
        <v>0</v>
      </c>
      <c r="FJ108" s="177">
        <v>1267.0</v>
      </c>
      <c r="FK108" s="177">
        <v>377.0</v>
      </c>
      <c r="FL108" s="177">
        <v>1217.0</v>
      </c>
      <c r="FM108" s="177">
        <v>334.0</v>
      </c>
      <c r="FN108" s="210"/>
      <c r="FO108" s="210">
        <v>5.0</v>
      </c>
      <c r="FP108" s="243">
        <v>5.0</v>
      </c>
      <c r="FQ108" s="211">
        <v>3.0</v>
      </c>
      <c r="FR108" s="212">
        <v>2.0</v>
      </c>
      <c r="FS108" s="335"/>
      <c r="FT108" s="293"/>
      <c r="FU108" s="207">
        <v>1.0</v>
      </c>
      <c r="FV108" s="207">
        <v>1.0</v>
      </c>
      <c r="FW108" s="293"/>
      <c r="FX108" s="293"/>
      <c r="FY108" s="207">
        <v>2.0</v>
      </c>
      <c r="FZ108" s="207">
        <v>1.0</v>
      </c>
      <c r="GA108" s="293"/>
      <c r="GB108" s="293"/>
      <c r="GC108" s="293"/>
      <c r="GD108" s="207">
        <v>1.0</v>
      </c>
      <c r="GE108" s="293"/>
      <c r="GF108" s="293"/>
      <c r="GG108" s="293"/>
      <c r="GH108" s="293"/>
      <c r="GI108" s="293"/>
      <c r="GJ108" s="293"/>
      <c r="GK108" s="212">
        <v>1.0</v>
      </c>
      <c r="GL108" s="212">
        <v>0.0</v>
      </c>
      <c r="GM108" s="207">
        <v>1265.0</v>
      </c>
      <c r="GN108" s="207">
        <v>357.0</v>
      </c>
      <c r="GO108" s="213">
        <v>1214.0</v>
      </c>
      <c r="GP108" s="213">
        <v>331.0</v>
      </c>
      <c r="GQ108" s="207"/>
      <c r="GR108" s="213">
        <v>5.0</v>
      </c>
      <c r="GS108" s="193">
        <v>4.0</v>
      </c>
      <c r="GT108" s="194">
        <f t="shared" si="25"/>
        <v>5</v>
      </c>
      <c r="GU108" s="194">
        <f t="shared" si="26"/>
        <v>4</v>
      </c>
      <c r="GV108" s="194">
        <f t="shared" si="27"/>
        <v>1</v>
      </c>
      <c r="GW108" s="207"/>
      <c r="GX108" s="207"/>
      <c r="GY108" s="207">
        <v>3.0</v>
      </c>
      <c r="GZ108" s="207"/>
      <c r="HA108" s="207"/>
      <c r="HB108" s="207">
        <v>1.0</v>
      </c>
      <c r="HC108" s="207"/>
      <c r="HD108" s="207">
        <v>1.0</v>
      </c>
      <c r="HE108" s="207"/>
      <c r="HF108" s="207"/>
      <c r="HG108" s="207"/>
      <c r="HH108" s="207"/>
      <c r="HI108" s="207"/>
      <c r="HJ108" s="207"/>
      <c r="HK108" s="207"/>
      <c r="HL108" s="207"/>
      <c r="HM108" s="207"/>
      <c r="HN108" s="207"/>
      <c r="HO108" s="222"/>
      <c r="HP108" s="222"/>
      <c r="HQ108" s="214"/>
      <c r="HR108" s="197"/>
      <c r="HS108" s="197"/>
      <c r="HT108" s="198">
        <f t="shared" si="28"/>
        <v>22</v>
      </c>
      <c r="HU108" s="198">
        <f t="shared" si="29"/>
        <v>22</v>
      </c>
      <c r="HV108" s="198">
        <f t="shared" si="30"/>
        <v>25</v>
      </c>
      <c r="HW108" s="198">
        <f t="shared" si="99"/>
        <v>10</v>
      </c>
      <c r="HX108" s="198">
        <f t="shared" si="32"/>
        <v>8</v>
      </c>
      <c r="HY108" s="198">
        <f t="shared" si="33"/>
        <v>16</v>
      </c>
      <c r="HZ108" s="198">
        <f t="shared" si="34"/>
        <v>8</v>
      </c>
      <c r="IA108" s="198">
        <f t="shared" si="35"/>
        <v>4</v>
      </c>
      <c r="IB108" s="198">
        <f t="shared" si="36"/>
        <v>2</v>
      </c>
      <c r="IC108" s="198">
        <f t="shared" si="37"/>
        <v>3</v>
      </c>
      <c r="ID108" s="198">
        <f t="shared" si="38"/>
        <v>5</v>
      </c>
      <c r="IE108" s="198">
        <f t="shared" si="39"/>
        <v>5</v>
      </c>
      <c r="IF108" s="197"/>
      <c r="IG108" s="197"/>
      <c r="IH108" s="197"/>
      <c r="II108" s="197"/>
      <c r="IJ108" s="197"/>
      <c r="IK108" s="197"/>
      <c r="IL108" s="197"/>
      <c r="IM108" s="197"/>
      <c r="IN108" s="197"/>
      <c r="IO108" s="197"/>
      <c r="IP108" s="197"/>
      <c r="IQ108" s="197"/>
      <c r="IR108" s="197"/>
      <c r="IS108" s="197"/>
      <c r="IT108" s="197"/>
      <c r="IU108" s="197"/>
      <c r="IV108" s="197"/>
      <c r="IW108" s="197"/>
      <c r="IX108" s="197"/>
      <c r="IY108" s="197"/>
      <c r="IZ108" s="197"/>
      <c r="JA108" s="199"/>
      <c r="JB108" s="200">
        <f t="shared" si="40"/>
        <v>22</v>
      </c>
      <c r="JC108" s="200">
        <f t="shared" si="41"/>
        <v>22</v>
      </c>
      <c r="JD108" s="200">
        <f t="shared" si="42"/>
        <v>25</v>
      </c>
      <c r="JE108" s="200">
        <f t="shared" si="43"/>
        <v>10</v>
      </c>
      <c r="JF108" s="200">
        <f t="shared" si="44"/>
        <v>8</v>
      </c>
      <c r="JG108" s="200">
        <f t="shared" si="45"/>
        <v>16</v>
      </c>
      <c r="JH108" s="200">
        <f t="shared" si="46"/>
        <v>8</v>
      </c>
      <c r="JI108" s="200">
        <f t="shared" si="47"/>
        <v>4</v>
      </c>
      <c r="JJ108" s="200">
        <f t="shared" si="48"/>
        <v>2</v>
      </c>
      <c r="JK108" s="200">
        <f t="shared" si="49"/>
        <v>3</v>
      </c>
      <c r="JL108" s="200">
        <f t="shared" si="50"/>
        <v>5</v>
      </c>
      <c r="JM108" s="200">
        <f t="shared" si="51"/>
        <v>5</v>
      </c>
      <c r="JN108" s="199"/>
      <c r="JO108" s="200">
        <f t="shared" si="52"/>
        <v>22</v>
      </c>
      <c r="JP108" s="202">
        <v>22.0</v>
      </c>
      <c r="JQ108" s="202">
        <v>25.0</v>
      </c>
      <c r="JR108" s="202">
        <v>10.0</v>
      </c>
      <c r="JS108" s="202">
        <v>8.0</v>
      </c>
      <c r="JT108" s="199"/>
      <c r="JU108" s="199"/>
      <c r="JV108" s="200">
        <f t="shared" ref="JV108:JX108" si="274">IA108-JI108</f>
        <v>0</v>
      </c>
      <c r="JW108" s="200">
        <f t="shared" si="274"/>
        <v>0</v>
      </c>
      <c r="JX108" s="200">
        <f t="shared" si="274"/>
        <v>0</v>
      </c>
      <c r="JY108" s="199"/>
      <c r="JZ108" s="199"/>
      <c r="KA108" s="199"/>
      <c r="KB108" s="200">
        <f t="shared" ref="KB108:KM108" si="275">JB108-JO108</f>
        <v>0</v>
      </c>
      <c r="KC108" s="200">
        <f t="shared" si="275"/>
        <v>0</v>
      </c>
      <c r="KD108" s="200">
        <f t="shared" si="275"/>
        <v>0</v>
      </c>
      <c r="KE108" s="200">
        <f t="shared" si="275"/>
        <v>0</v>
      </c>
      <c r="KF108" s="200">
        <f t="shared" si="275"/>
        <v>0</v>
      </c>
      <c r="KG108" s="200">
        <f t="shared" si="275"/>
        <v>16</v>
      </c>
      <c r="KH108" s="200">
        <f t="shared" si="275"/>
        <v>8</v>
      </c>
      <c r="KI108" s="200">
        <f t="shared" si="275"/>
        <v>4</v>
      </c>
      <c r="KJ108" s="200">
        <f t="shared" si="275"/>
        <v>2</v>
      </c>
      <c r="KK108" s="200">
        <f t="shared" si="275"/>
        <v>3</v>
      </c>
      <c r="KL108" s="200">
        <f t="shared" si="275"/>
        <v>5</v>
      </c>
      <c r="KM108" s="200">
        <f t="shared" si="275"/>
        <v>5</v>
      </c>
      <c r="KN108" s="199"/>
      <c r="KO108" s="199"/>
      <c r="KP108" s="199"/>
      <c r="KQ108" s="199"/>
      <c r="KR108" s="199"/>
      <c r="KS108" s="199"/>
      <c r="KT108" s="199"/>
      <c r="KU108" s="199"/>
      <c r="KV108" s="199"/>
      <c r="KW108" s="199"/>
      <c r="KX108" s="199"/>
      <c r="KY108" s="199"/>
      <c r="KZ108" s="199"/>
      <c r="LA108" s="199"/>
      <c r="LB108" s="199"/>
      <c r="LC108" s="199"/>
      <c r="LD108" s="199"/>
      <c r="LE108" s="199"/>
      <c r="LF108" s="199"/>
      <c r="LG108" s="199"/>
    </row>
    <row r="109" ht="14.25" customHeight="1">
      <c r="A109" s="156">
        <v>102.0</v>
      </c>
      <c r="B109" s="157" t="s">
        <v>191</v>
      </c>
      <c r="C109" s="158">
        <v>3374070.0</v>
      </c>
      <c r="D109" s="158" t="s">
        <v>195</v>
      </c>
      <c r="E109" s="158" t="s">
        <v>204</v>
      </c>
      <c r="F109" s="159">
        <v>35.0</v>
      </c>
      <c r="G109" s="285">
        <v>2701.0</v>
      </c>
      <c r="H109" s="160">
        <v>19.0</v>
      </c>
      <c r="I109" s="161">
        <v>0.0</v>
      </c>
      <c r="J109" s="161">
        <v>0.0</v>
      </c>
      <c r="K109" s="161">
        <v>2.0</v>
      </c>
      <c r="L109" s="161">
        <v>17.0</v>
      </c>
      <c r="M109" s="161">
        <v>0.0</v>
      </c>
      <c r="N109" s="161">
        <v>0.0</v>
      </c>
      <c r="O109" s="162">
        <f t="shared" si="213"/>
        <v>19</v>
      </c>
      <c r="P109" s="203">
        <v>19.0</v>
      </c>
      <c r="Q109" s="164">
        <v>0.0</v>
      </c>
      <c r="R109" s="164">
        <v>0.0</v>
      </c>
      <c r="S109" s="164">
        <v>2.0</v>
      </c>
      <c r="T109" s="165">
        <v>17.0</v>
      </c>
      <c r="U109" s="165">
        <v>0.0</v>
      </c>
      <c r="V109" s="165">
        <v>2.0</v>
      </c>
      <c r="W109" s="166">
        <f t="shared" si="225"/>
        <v>17</v>
      </c>
      <c r="X109" s="203">
        <v>17.0</v>
      </c>
      <c r="Y109" s="165">
        <v>0.0</v>
      </c>
      <c r="Z109" s="165">
        <v>0.0</v>
      </c>
      <c r="AA109" s="165">
        <v>2.0</v>
      </c>
      <c r="AB109" s="165">
        <v>15.0</v>
      </c>
      <c r="AC109" s="165">
        <v>0.0</v>
      </c>
      <c r="AD109" s="165">
        <v>0.0</v>
      </c>
      <c r="AE109" s="166">
        <f t="shared" si="214"/>
        <v>17</v>
      </c>
      <c r="AF109" s="167">
        <v>8.0</v>
      </c>
      <c r="AG109" s="165">
        <v>0.0</v>
      </c>
      <c r="AH109" s="165">
        <v>0.0</v>
      </c>
      <c r="AI109" s="165">
        <v>2.0</v>
      </c>
      <c r="AJ109" s="165">
        <v>6.0</v>
      </c>
      <c r="AK109" s="165">
        <v>0.0</v>
      </c>
      <c r="AL109" s="165">
        <v>0.0</v>
      </c>
      <c r="AM109" s="166">
        <f t="shared" si="215"/>
        <v>8</v>
      </c>
      <c r="AN109" s="167">
        <v>13.0</v>
      </c>
      <c r="AO109" s="165">
        <v>0.0</v>
      </c>
      <c r="AP109" s="165">
        <v>0.0</v>
      </c>
      <c r="AQ109" s="165">
        <v>2.0</v>
      </c>
      <c r="AR109" s="165">
        <v>11.0</v>
      </c>
      <c r="AS109" s="165">
        <v>0.0</v>
      </c>
      <c r="AT109" s="165">
        <v>0.0</v>
      </c>
      <c r="AU109" s="168">
        <f t="shared" si="216"/>
        <v>13</v>
      </c>
      <c r="AV109" s="169">
        <v>2366.0</v>
      </c>
      <c r="AW109" s="204">
        <f t="shared" si="8"/>
        <v>14</v>
      </c>
      <c r="AX109" s="169">
        <v>0.0</v>
      </c>
      <c r="AY109" s="169">
        <v>0.0</v>
      </c>
      <c r="AZ109" s="169">
        <v>1.0</v>
      </c>
      <c r="BA109" s="169">
        <v>5.0</v>
      </c>
      <c r="BB109" s="169">
        <v>1.0</v>
      </c>
      <c r="BC109" s="169">
        <v>0.0</v>
      </c>
      <c r="BD109" s="169">
        <v>3.0</v>
      </c>
      <c r="BE109" s="169">
        <v>4.0</v>
      </c>
      <c r="BF109" s="169">
        <v>0.0</v>
      </c>
      <c r="BG109" s="169">
        <v>0.0</v>
      </c>
      <c r="BH109" s="169">
        <v>0.0</v>
      </c>
      <c r="BI109" s="169">
        <v>0.0</v>
      </c>
      <c r="BJ109" s="169">
        <v>0.0</v>
      </c>
      <c r="BK109" s="169">
        <v>0.0</v>
      </c>
      <c r="BL109" s="169">
        <v>0.0</v>
      </c>
      <c r="BM109" s="169">
        <v>0.0</v>
      </c>
      <c r="BN109" s="169">
        <v>0.0</v>
      </c>
      <c r="BO109" s="169">
        <v>0.0</v>
      </c>
      <c r="BP109" s="205">
        <f t="shared" si="131"/>
        <v>0</v>
      </c>
      <c r="BQ109" s="173">
        <v>2465.0</v>
      </c>
      <c r="BR109" s="170">
        <f t="shared" si="10"/>
        <v>7</v>
      </c>
      <c r="BS109" s="6"/>
      <c r="BT109" s="6"/>
      <c r="BU109" s="6"/>
      <c r="BV109" s="173">
        <v>6.0</v>
      </c>
      <c r="BW109" s="6"/>
      <c r="BX109" s="6"/>
      <c r="BY109" s="173">
        <v>1.0</v>
      </c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172">
        <f t="shared" si="132"/>
        <v>0</v>
      </c>
      <c r="CL109" s="173">
        <v>2407.0</v>
      </c>
      <c r="CM109" s="173">
        <v>1012.0</v>
      </c>
      <c r="CN109" s="175">
        <f t="shared" si="12"/>
        <v>5</v>
      </c>
      <c r="CO109" s="6"/>
      <c r="CP109" s="6"/>
      <c r="CQ109" s="173">
        <v>2.0</v>
      </c>
      <c r="CR109" s="173">
        <v>3.0</v>
      </c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176">
        <f t="shared" si="13"/>
        <v>0</v>
      </c>
      <c r="DH109" s="177">
        <v>2039.0</v>
      </c>
      <c r="DI109" s="177">
        <v>558.0</v>
      </c>
      <c r="DJ109" s="178">
        <v>1962.0</v>
      </c>
      <c r="DK109" s="178">
        <v>490.0</v>
      </c>
      <c r="DL109" s="179">
        <f t="shared" si="14"/>
        <v>3</v>
      </c>
      <c r="DM109" s="180">
        <f t="shared" si="15"/>
        <v>0</v>
      </c>
      <c r="DN109" s="180">
        <f t="shared" si="16"/>
        <v>3</v>
      </c>
      <c r="DO109" s="177">
        <v>0.0</v>
      </c>
      <c r="DP109" s="177">
        <v>0.0</v>
      </c>
      <c r="DQ109" s="177">
        <v>0.0</v>
      </c>
      <c r="DR109" s="177">
        <v>1.0</v>
      </c>
      <c r="DS109" s="177">
        <v>0.0</v>
      </c>
      <c r="DT109" s="177">
        <v>0.0</v>
      </c>
      <c r="DU109" s="177">
        <v>0.0</v>
      </c>
      <c r="DV109" s="177">
        <v>2.0</v>
      </c>
      <c r="DW109" s="177">
        <v>0.0</v>
      </c>
      <c r="DX109" s="177">
        <v>0.0</v>
      </c>
      <c r="DY109" s="177">
        <v>1.0</v>
      </c>
      <c r="DZ109" s="177">
        <v>2.0</v>
      </c>
      <c r="EA109" s="177">
        <v>0.0</v>
      </c>
      <c r="EB109" s="177">
        <v>0.0</v>
      </c>
      <c r="EC109" s="177">
        <v>0.0</v>
      </c>
      <c r="ED109" s="177">
        <v>0.0</v>
      </c>
      <c r="EE109" s="177">
        <v>0.0</v>
      </c>
      <c r="EF109" s="177">
        <v>1.0</v>
      </c>
      <c r="EG109" s="179">
        <f t="shared" si="17"/>
        <v>4</v>
      </c>
      <c r="EH109" s="179">
        <f t="shared" si="18"/>
        <v>2</v>
      </c>
      <c r="EI109" s="177">
        <v>2024.0</v>
      </c>
      <c r="EJ109" s="177">
        <v>538.0</v>
      </c>
      <c r="EK109" s="178">
        <v>1962.0</v>
      </c>
      <c r="EL109" s="178">
        <v>494.0</v>
      </c>
      <c r="EM109" s="186">
        <v>8.0</v>
      </c>
      <c r="EN109" s="186">
        <f t="shared" si="202"/>
        <v>2</v>
      </c>
      <c r="EO109" s="186">
        <f t="shared" si="90"/>
        <v>6</v>
      </c>
      <c r="EP109" s="227"/>
      <c r="EQ109" s="227"/>
      <c r="ER109" s="227"/>
      <c r="ES109" s="177">
        <v>2.0</v>
      </c>
      <c r="ET109" s="227"/>
      <c r="EU109" s="177">
        <v>1.0</v>
      </c>
      <c r="EV109" s="177">
        <v>1.0</v>
      </c>
      <c r="EW109" s="177">
        <v>4.0</v>
      </c>
      <c r="EX109" s="227"/>
      <c r="EY109" s="227"/>
      <c r="EZ109" s="227"/>
      <c r="FA109" s="177">
        <v>1.0</v>
      </c>
      <c r="FB109" s="227"/>
      <c r="FC109" s="227"/>
      <c r="FD109" s="227"/>
      <c r="FE109" s="227"/>
      <c r="FF109" s="227"/>
      <c r="FG109" s="227"/>
      <c r="FH109" s="185">
        <f t="shared" si="22"/>
        <v>1</v>
      </c>
      <c r="FI109" s="185">
        <f t="shared" si="23"/>
        <v>0</v>
      </c>
      <c r="FJ109" s="177">
        <v>2008.0</v>
      </c>
      <c r="FK109" s="177">
        <v>517.0</v>
      </c>
      <c r="FL109" s="177">
        <v>1918.0</v>
      </c>
      <c r="FM109" s="177">
        <v>473.0</v>
      </c>
      <c r="FN109" s="210"/>
      <c r="FO109" s="210">
        <v>4.0</v>
      </c>
      <c r="FP109" s="243">
        <v>4.0</v>
      </c>
      <c r="FQ109" s="211">
        <v>1.0</v>
      </c>
      <c r="FR109" s="212">
        <v>3.0</v>
      </c>
      <c r="FS109" s="335"/>
      <c r="FT109" s="293"/>
      <c r="FU109" s="207">
        <v>1.0</v>
      </c>
      <c r="FV109" s="207">
        <v>3.0</v>
      </c>
      <c r="FW109" s="293"/>
      <c r="FX109" s="293"/>
      <c r="FY109" s="293"/>
      <c r="FZ109" s="293"/>
      <c r="GA109" s="293"/>
      <c r="GB109" s="207">
        <v>1.0</v>
      </c>
      <c r="GC109" s="293"/>
      <c r="GD109" s="207">
        <v>3.0</v>
      </c>
      <c r="GE109" s="293"/>
      <c r="GF109" s="293"/>
      <c r="GG109" s="293"/>
      <c r="GH109" s="293"/>
      <c r="GI109" s="293"/>
      <c r="GJ109" s="293"/>
      <c r="GK109" s="212">
        <v>4.0</v>
      </c>
      <c r="GL109" s="212">
        <v>1.0</v>
      </c>
      <c r="GM109" s="207">
        <v>1946.0</v>
      </c>
      <c r="GN109" s="207">
        <v>484.0</v>
      </c>
      <c r="GO109" s="213">
        <v>1892.0</v>
      </c>
      <c r="GP109" s="213">
        <v>456.0</v>
      </c>
      <c r="GQ109" s="207"/>
      <c r="GR109" s="213">
        <v>4.0</v>
      </c>
      <c r="GS109" s="193">
        <v>1.0</v>
      </c>
      <c r="GT109" s="194">
        <f t="shared" si="25"/>
        <v>4</v>
      </c>
      <c r="GU109" s="194">
        <f t="shared" si="26"/>
        <v>1</v>
      </c>
      <c r="GV109" s="194">
        <f t="shared" si="27"/>
        <v>3</v>
      </c>
      <c r="GW109" s="207"/>
      <c r="GX109" s="207"/>
      <c r="GY109" s="207"/>
      <c r="GZ109" s="207"/>
      <c r="HA109" s="207"/>
      <c r="HB109" s="207"/>
      <c r="HC109" s="207">
        <v>1.0</v>
      </c>
      <c r="HD109" s="207">
        <v>3.0</v>
      </c>
      <c r="HE109" s="207"/>
      <c r="HF109" s="207"/>
      <c r="HG109" s="207">
        <v>1.0</v>
      </c>
      <c r="HH109" s="207">
        <v>3.0</v>
      </c>
      <c r="HI109" s="207"/>
      <c r="HJ109" s="207"/>
      <c r="HK109" s="207"/>
      <c r="HL109" s="207"/>
      <c r="HM109" s="207"/>
      <c r="HN109" s="207"/>
      <c r="HO109" s="222"/>
      <c r="HP109" s="222"/>
      <c r="HQ109" s="214"/>
      <c r="HR109" s="197"/>
      <c r="HS109" s="197"/>
      <c r="HT109" s="198">
        <f t="shared" si="28"/>
        <v>19</v>
      </c>
      <c r="HU109" s="198">
        <f t="shared" si="29"/>
        <v>19</v>
      </c>
      <c r="HV109" s="198">
        <f t="shared" si="30"/>
        <v>17</v>
      </c>
      <c r="HW109" s="198">
        <f t="shared" si="99"/>
        <v>8</v>
      </c>
      <c r="HX109" s="198">
        <f t="shared" si="32"/>
        <v>13</v>
      </c>
      <c r="HY109" s="198">
        <f t="shared" si="33"/>
        <v>14</v>
      </c>
      <c r="HZ109" s="198">
        <f t="shared" si="34"/>
        <v>7</v>
      </c>
      <c r="IA109" s="198">
        <f t="shared" si="35"/>
        <v>5</v>
      </c>
      <c r="IB109" s="198">
        <f t="shared" si="36"/>
        <v>3</v>
      </c>
      <c r="IC109" s="198">
        <f t="shared" si="37"/>
        <v>8</v>
      </c>
      <c r="ID109" s="198">
        <f t="shared" si="38"/>
        <v>4</v>
      </c>
      <c r="IE109" s="198">
        <f t="shared" si="39"/>
        <v>4</v>
      </c>
      <c r="IF109" s="197"/>
      <c r="IG109" s="197"/>
      <c r="IH109" s="197"/>
      <c r="II109" s="197"/>
      <c r="IJ109" s="197"/>
      <c r="IK109" s="197"/>
      <c r="IL109" s="197"/>
      <c r="IM109" s="197"/>
      <c r="IN109" s="197"/>
      <c r="IO109" s="197"/>
      <c r="IP109" s="197"/>
      <c r="IQ109" s="197"/>
      <c r="IR109" s="197"/>
      <c r="IS109" s="197"/>
      <c r="IT109" s="197"/>
      <c r="IU109" s="197"/>
      <c r="IV109" s="197"/>
      <c r="IW109" s="197"/>
      <c r="IX109" s="197"/>
      <c r="IY109" s="197"/>
      <c r="IZ109" s="197"/>
      <c r="JA109" s="199"/>
      <c r="JB109" s="200">
        <f t="shared" si="40"/>
        <v>19</v>
      </c>
      <c r="JC109" s="200">
        <f t="shared" si="41"/>
        <v>19</v>
      </c>
      <c r="JD109" s="200">
        <f t="shared" si="42"/>
        <v>17</v>
      </c>
      <c r="JE109" s="200">
        <f t="shared" si="43"/>
        <v>8</v>
      </c>
      <c r="JF109" s="200">
        <f t="shared" si="44"/>
        <v>13</v>
      </c>
      <c r="JG109" s="200">
        <f t="shared" si="45"/>
        <v>14</v>
      </c>
      <c r="JH109" s="200">
        <f t="shared" si="46"/>
        <v>7</v>
      </c>
      <c r="JI109" s="200">
        <f t="shared" si="47"/>
        <v>5</v>
      </c>
      <c r="JJ109" s="200">
        <f t="shared" si="48"/>
        <v>3</v>
      </c>
      <c r="JK109" s="200">
        <f t="shared" si="49"/>
        <v>9</v>
      </c>
      <c r="JL109" s="200">
        <f t="shared" si="50"/>
        <v>4</v>
      </c>
      <c r="JM109" s="200">
        <f t="shared" si="51"/>
        <v>4</v>
      </c>
      <c r="JN109" s="199"/>
      <c r="JO109" s="200">
        <f t="shared" si="52"/>
        <v>19</v>
      </c>
      <c r="JP109" s="202">
        <v>19.0</v>
      </c>
      <c r="JQ109" s="202">
        <v>17.0</v>
      </c>
      <c r="JR109" s="202">
        <v>8.0</v>
      </c>
      <c r="JS109" s="202">
        <v>13.0</v>
      </c>
      <c r="JT109" s="199"/>
      <c r="JU109" s="199"/>
      <c r="JV109" s="200">
        <f t="shared" ref="JV109:JX109" si="276">IA109-JI109</f>
        <v>0</v>
      </c>
      <c r="JW109" s="200">
        <f t="shared" si="276"/>
        <v>0</v>
      </c>
      <c r="JX109" s="200">
        <f t="shared" si="276"/>
        <v>-1</v>
      </c>
      <c r="JY109" s="199"/>
      <c r="JZ109" s="199"/>
      <c r="KA109" s="199"/>
      <c r="KB109" s="200">
        <f t="shared" ref="KB109:KM109" si="277">JB109-JO109</f>
        <v>0</v>
      </c>
      <c r="KC109" s="200">
        <f t="shared" si="277"/>
        <v>0</v>
      </c>
      <c r="KD109" s="200">
        <f t="shared" si="277"/>
        <v>0</v>
      </c>
      <c r="KE109" s="200">
        <f t="shared" si="277"/>
        <v>0</v>
      </c>
      <c r="KF109" s="200">
        <f t="shared" si="277"/>
        <v>0</v>
      </c>
      <c r="KG109" s="200">
        <f t="shared" si="277"/>
        <v>14</v>
      </c>
      <c r="KH109" s="200">
        <f t="shared" si="277"/>
        <v>7</v>
      </c>
      <c r="KI109" s="200">
        <f t="shared" si="277"/>
        <v>5</v>
      </c>
      <c r="KJ109" s="200">
        <f t="shared" si="277"/>
        <v>3</v>
      </c>
      <c r="KK109" s="200">
        <f t="shared" si="277"/>
        <v>10</v>
      </c>
      <c r="KL109" s="200">
        <f t="shared" si="277"/>
        <v>4</v>
      </c>
      <c r="KM109" s="200">
        <f t="shared" si="277"/>
        <v>4</v>
      </c>
      <c r="KN109" s="199"/>
      <c r="KO109" s="199"/>
      <c r="KP109" s="199"/>
      <c r="KQ109" s="199"/>
      <c r="KR109" s="199"/>
      <c r="KS109" s="199"/>
      <c r="KT109" s="199"/>
      <c r="KU109" s="199"/>
      <c r="KV109" s="199"/>
      <c r="KW109" s="199"/>
      <c r="KX109" s="199"/>
      <c r="KY109" s="199"/>
      <c r="KZ109" s="199"/>
      <c r="LA109" s="199"/>
      <c r="LB109" s="199"/>
      <c r="LC109" s="199"/>
      <c r="LD109" s="199"/>
      <c r="LE109" s="199"/>
      <c r="LF109" s="199"/>
      <c r="LG109" s="199"/>
    </row>
    <row r="110" ht="14.25" customHeight="1">
      <c r="A110" s="156">
        <v>103.0</v>
      </c>
      <c r="B110" s="157" t="s">
        <v>191</v>
      </c>
      <c r="C110" s="158">
        <v>3374070.0</v>
      </c>
      <c r="D110" s="158" t="s">
        <v>195</v>
      </c>
      <c r="E110" s="158" t="s">
        <v>205</v>
      </c>
      <c r="F110" s="159">
        <v>14.0</v>
      </c>
      <c r="G110" s="285">
        <v>904.0</v>
      </c>
      <c r="H110" s="160">
        <v>7.0</v>
      </c>
      <c r="I110" s="161">
        <v>0.0</v>
      </c>
      <c r="J110" s="161">
        <v>0.0</v>
      </c>
      <c r="K110" s="161">
        <v>2.0</v>
      </c>
      <c r="L110" s="161">
        <v>5.0</v>
      </c>
      <c r="M110" s="161">
        <v>0.0</v>
      </c>
      <c r="N110" s="161">
        <v>0.0</v>
      </c>
      <c r="O110" s="162">
        <f t="shared" si="213"/>
        <v>7</v>
      </c>
      <c r="P110" s="203">
        <v>7.0</v>
      </c>
      <c r="Q110" s="164">
        <v>0.0</v>
      </c>
      <c r="R110" s="164">
        <v>0.0</v>
      </c>
      <c r="S110" s="164">
        <v>2.0</v>
      </c>
      <c r="T110" s="165">
        <v>5.0</v>
      </c>
      <c r="U110" s="165">
        <v>3.0</v>
      </c>
      <c r="V110" s="165">
        <v>0.0</v>
      </c>
      <c r="W110" s="166">
        <f t="shared" si="225"/>
        <v>4</v>
      </c>
      <c r="X110" s="203">
        <v>10.0</v>
      </c>
      <c r="Y110" s="165">
        <v>0.0</v>
      </c>
      <c r="Z110" s="165">
        <v>0.0</v>
      </c>
      <c r="AA110" s="165">
        <v>2.0</v>
      </c>
      <c r="AB110" s="165">
        <v>8.0</v>
      </c>
      <c r="AC110" s="165">
        <v>0.0</v>
      </c>
      <c r="AD110" s="165">
        <v>0.0</v>
      </c>
      <c r="AE110" s="166">
        <f t="shared" si="214"/>
        <v>10</v>
      </c>
      <c r="AF110" s="167">
        <v>5.0</v>
      </c>
      <c r="AG110" s="165">
        <v>0.0</v>
      </c>
      <c r="AH110" s="165">
        <v>0.0</v>
      </c>
      <c r="AI110" s="165">
        <v>2.0</v>
      </c>
      <c r="AJ110" s="165">
        <v>3.0</v>
      </c>
      <c r="AK110" s="165">
        <v>0.0</v>
      </c>
      <c r="AL110" s="165">
        <v>0.0</v>
      </c>
      <c r="AM110" s="166">
        <f t="shared" si="215"/>
        <v>5</v>
      </c>
      <c r="AN110" s="167">
        <v>7.0</v>
      </c>
      <c r="AO110" s="165">
        <v>0.0</v>
      </c>
      <c r="AP110" s="165">
        <v>0.0</v>
      </c>
      <c r="AQ110" s="165">
        <v>0.0</v>
      </c>
      <c r="AR110" s="165">
        <v>7.0</v>
      </c>
      <c r="AS110" s="165">
        <v>0.0</v>
      </c>
      <c r="AT110" s="165">
        <v>0.0</v>
      </c>
      <c r="AU110" s="168">
        <f t="shared" si="216"/>
        <v>7</v>
      </c>
      <c r="AV110" s="169">
        <v>867.0</v>
      </c>
      <c r="AW110" s="204">
        <f t="shared" si="8"/>
        <v>15</v>
      </c>
      <c r="AX110" s="169">
        <v>0.0</v>
      </c>
      <c r="AY110" s="169">
        <v>0.0</v>
      </c>
      <c r="AZ110" s="169">
        <v>3.0</v>
      </c>
      <c r="BA110" s="169">
        <v>4.0</v>
      </c>
      <c r="BB110" s="169">
        <v>1.0</v>
      </c>
      <c r="BC110" s="169">
        <v>0.0</v>
      </c>
      <c r="BD110" s="169">
        <v>6.0</v>
      </c>
      <c r="BE110" s="169">
        <v>1.0</v>
      </c>
      <c r="BF110" s="169">
        <v>0.0</v>
      </c>
      <c r="BG110" s="169">
        <v>0.0</v>
      </c>
      <c r="BH110" s="169">
        <v>0.0</v>
      </c>
      <c r="BI110" s="169">
        <v>1.0</v>
      </c>
      <c r="BJ110" s="169">
        <v>0.0</v>
      </c>
      <c r="BK110" s="169">
        <v>0.0</v>
      </c>
      <c r="BL110" s="169">
        <v>0.0</v>
      </c>
      <c r="BM110" s="169">
        <v>0.0</v>
      </c>
      <c r="BN110" s="169">
        <v>0.0</v>
      </c>
      <c r="BO110" s="169">
        <v>0.0</v>
      </c>
      <c r="BP110" s="205">
        <f t="shared" si="131"/>
        <v>1</v>
      </c>
      <c r="BQ110" s="173">
        <v>948.0</v>
      </c>
      <c r="BR110" s="170">
        <f t="shared" si="10"/>
        <v>9</v>
      </c>
      <c r="BS110" s="6"/>
      <c r="BT110" s="6"/>
      <c r="BU110" s="173">
        <v>2.0</v>
      </c>
      <c r="BV110" s="173">
        <v>6.0</v>
      </c>
      <c r="BW110" s="6"/>
      <c r="BX110" s="6"/>
      <c r="BY110" s="6"/>
      <c r="BZ110" s="173">
        <v>1.0</v>
      </c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172">
        <f t="shared" si="132"/>
        <v>0</v>
      </c>
      <c r="CL110" s="173">
        <v>957.0</v>
      </c>
      <c r="CM110" s="173">
        <v>396.0</v>
      </c>
      <c r="CN110" s="175">
        <f t="shared" si="12"/>
        <v>9</v>
      </c>
      <c r="CO110" s="6"/>
      <c r="CP110" s="6"/>
      <c r="CQ110" s="173">
        <v>5.0</v>
      </c>
      <c r="CR110" s="173">
        <v>4.0</v>
      </c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176">
        <f t="shared" si="13"/>
        <v>0</v>
      </c>
      <c r="DH110" s="177">
        <v>886.0</v>
      </c>
      <c r="DI110" s="177">
        <v>296.0</v>
      </c>
      <c r="DJ110" s="178">
        <v>820.0</v>
      </c>
      <c r="DK110" s="178">
        <v>230.0</v>
      </c>
      <c r="DL110" s="179">
        <f t="shared" si="14"/>
        <v>6</v>
      </c>
      <c r="DM110" s="180">
        <f t="shared" si="15"/>
        <v>5</v>
      </c>
      <c r="DN110" s="180">
        <f t="shared" si="16"/>
        <v>1</v>
      </c>
      <c r="DO110" s="177">
        <v>0.0</v>
      </c>
      <c r="DP110" s="177">
        <v>0.0</v>
      </c>
      <c r="DQ110" s="177">
        <v>3.0</v>
      </c>
      <c r="DR110" s="177">
        <v>0.0</v>
      </c>
      <c r="DS110" s="177">
        <v>0.0</v>
      </c>
      <c r="DT110" s="177">
        <v>0.0</v>
      </c>
      <c r="DU110" s="177">
        <v>2.0</v>
      </c>
      <c r="DV110" s="177">
        <v>1.0</v>
      </c>
      <c r="DW110" s="177">
        <v>0.0</v>
      </c>
      <c r="DX110" s="177">
        <v>0.0</v>
      </c>
      <c r="DY110" s="177">
        <v>2.0</v>
      </c>
      <c r="DZ110" s="177">
        <v>4.0</v>
      </c>
      <c r="EA110" s="177">
        <v>0.0</v>
      </c>
      <c r="EB110" s="177">
        <v>0.0</v>
      </c>
      <c r="EC110" s="177">
        <v>0.0</v>
      </c>
      <c r="ED110" s="177">
        <v>0.0</v>
      </c>
      <c r="EE110" s="177">
        <v>0.0</v>
      </c>
      <c r="EF110" s="177">
        <v>0.0</v>
      </c>
      <c r="EG110" s="179">
        <f t="shared" si="17"/>
        <v>6</v>
      </c>
      <c r="EH110" s="179">
        <f t="shared" si="18"/>
        <v>2</v>
      </c>
      <c r="EI110" s="177">
        <v>862.0</v>
      </c>
      <c r="EJ110" s="177">
        <v>272.0</v>
      </c>
      <c r="EK110" s="178">
        <v>801.0</v>
      </c>
      <c r="EL110" s="178">
        <v>228.0</v>
      </c>
      <c r="EM110" s="186">
        <v>7.0</v>
      </c>
      <c r="EN110" s="186">
        <f t="shared" si="202"/>
        <v>3</v>
      </c>
      <c r="EO110" s="186">
        <f t="shared" si="90"/>
        <v>4</v>
      </c>
      <c r="EP110" s="227"/>
      <c r="EQ110" s="227"/>
      <c r="ER110" s="177">
        <v>3.0</v>
      </c>
      <c r="ES110" s="177">
        <v>2.0</v>
      </c>
      <c r="ET110" s="227"/>
      <c r="EU110" s="227"/>
      <c r="EV110" s="227"/>
      <c r="EW110" s="177">
        <v>2.0</v>
      </c>
      <c r="EX110" s="227"/>
      <c r="EY110" s="227"/>
      <c r="EZ110" s="177">
        <v>1.0</v>
      </c>
      <c r="FA110" s="227"/>
      <c r="FB110" s="227"/>
      <c r="FC110" s="227"/>
      <c r="FD110" s="227"/>
      <c r="FE110" s="227"/>
      <c r="FF110" s="227"/>
      <c r="FG110" s="227"/>
      <c r="FH110" s="185">
        <f t="shared" si="22"/>
        <v>1</v>
      </c>
      <c r="FI110" s="185">
        <f t="shared" si="23"/>
        <v>1</v>
      </c>
      <c r="FJ110" s="177">
        <v>864.0</v>
      </c>
      <c r="FK110" s="177">
        <v>265.0</v>
      </c>
      <c r="FL110" s="177">
        <v>794.0</v>
      </c>
      <c r="FM110" s="177">
        <v>222.0</v>
      </c>
      <c r="FN110" s="210"/>
      <c r="FO110" s="210">
        <v>4.0</v>
      </c>
      <c r="FP110" s="243">
        <v>4.0</v>
      </c>
      <c r="FQ110" s="211">
        <v>1.0</v>
      </c>
      <c r="FR110" s="212">
        <v>3.0</v>
      </c>
      <c r="FS110" s="335"/>
      <c r="FT110" s="293"/>
      <c r="FU110" s="207">
        <v>1.0</v>
      </c>
      <c r="FV110" s="207">
        <v>3.0</v>
      </c>
      <c r="FW110" s="293"/>
      <c r="FX110" s="293"/>
      <c r="FY110" s="293"/>
      <c r="FZ110" s="293"/>
      <c r="GA110" s="293"/>
      <c r="GB110" s="293"/>
      <c r="GC110" s="293"/>
      <c r="GD110" s="293"/>
      <c r="GE110" s="293"/>
      <c r="GF110" s="293"/>
      <c r="GG110" s="207">
        <v>1.0</v>
      </c>
      <c r="GH110" s="207">
        <v>2.0</v>
      </c>
      <c r="GI110" s="293"/>
      <c r="GJ110" s="293"/>
      <c r="GK110" s="212">
        <v>3.0</v>
      </c>
      <c r="GL110" s="212">
        <v>1.0</v>
      </c>
      <c r="GM110" s="207">
        <v>849.0</v>
      </c>
      <c r="GN110" s="207">
        <v>236.0</v>
      </c>
      <c r="GO110" s="213">
        <v>798.0</v>
      </c>
      <c r="GP110" s="213">
        <v>210.0</v>
      </c>
      <c r="GQ110" s="207"/>
      <c r="GR110" s="213">
        <v>4.0</v>
      </c>
      <c r="GS110" s="193">
        <v>1.0</v>
      </c>
      <c r="GT110" s="194">
        <f t="shared" si="25"/>
        <v>4</v>
      </c>
      <c r="GU110" s="194">
        <f t="shared" si="26"/>
        <v>1</v>
      </c>
      <c r="GV110" s="194">
        <f t="shared" si="27"/>
        <v>3</v>
      </c>
      <c r="GW110" s="207"/>
      <c r="GX110" s="207"/>
      <c r="GY110" s="207">
        <v>1.0</v>
      </c>
      <c r="GZ110" s="207">
        <v>3.0</v>
      </c>
      <c r="HA110" s="207"/>
      <c r="HB110" s="207"/>
      <c r="HC110" s="207"/>
      <c r="HD110" s="207"/>
      <c r="HE110" s="207"/>
      <c r="HF110" s="207"/>
      <c r="HG110" s="207"/>
      <c r="HH110" s="207"/>
      <c r="HI110" s="207"/>
      <c r="HJ110" s="207"/>
      <c r="HK110" s="207"/>
      <c r="HL110" s="207"/>
      <c r="HM110" s="207"/>
      <c r="HN110" s="207"/>
      <c r="HO110" s="222"/>
      <c r="HP110" s="222"/>
      <c r="HQ110" s="214"/>
      <c r="HR110" s="197"/>
      <c r="HS110" s="197"/>
      <c r="HT110" s="198">
        <f t="shared" si="28"/>
        <v>7</v>
      </c>
      <c r="HU110" s="198">
        <f t="shared" si="29"/>
        <v>7</v>
      </c>
      <c r="HV110" s="198">
        <f t="shared" si="30"/>
        <v>10</v>
      </c>
      <c r="HW110" s="198">
        <f t="shared" si="99"/>
        <v>5</v>
      </c>
      <c r="HX110" s="198">
        <f t="shared" si="32"/>
        <v>7</v>
      </c>
      <c r="HY110" s="198">
        <f t="shared" si="33"/>
        <v>15</v>
      </c>
      <c r="HZ110" s="198">
        <f t="shared" si="34"/>
        <v>9</v>
      </c>
      <c r="IA110" s="198">
        <f t="shared" si="35"/>
        <v>9</v>
      </c>
      <c r="IB110" s="198">
        <f t="shared" si="36"/>
        <v>6</v>
      </c>
      <c r="IC110" s="198">
        <f t="shared" si="37"/>
        <v>7</v>
      </c>
      <c r="ID110" s="198">
        <f t="shared" si="38"/>
        <v>4</v>
      </c>
      <c r="IE110" s="198">
        <f t="shared" si="39"/>
        <v>4</v>
      </c>
      <c r="IF110" s="197"/>
      <c r="IG110" s="197"/>
      <c r="IH110" s="197"/>
      <c r="II110" s="197"/>
      <c r="IJ110" s="197"/>
      <c r="IK110" s="197"/>
      <c r="IL110" s="197"/>
      <c r="IM110" s="197"/>
      <c r="IN110" s="197"/>
      <c r="IO110" s="197"/>
      <c r="IP110" s="197"/>
      <c r="IQ110" s="197"/>
      <c r="IR110" s="197"/>
      <c r="IS110" s="197"/>
      <c r="IT110" s="197"/>
      <c r="IU110" s="197"/>
      <c r="IV110" s="197"/>
      <c r="IW110" s="197"/>
      <c r="IX110" s="197"/>
      <c r="IY110" s="197"/>
      <c r="IZ110" s="197"/>
      <c r="JA110" s="199"/>
      <c r="JB110" s="200">
        <f t="shared" si="40"/>
        <v>7</v>
      </c>
      <c r="JC110" s="200">
        <f t="shared" si="41"/>
        <v>7</v>
      </c>
      <c r="JD110" s="200">
        <f t="shared" si="42"/>
        <v>10</v>
      </c>
      <c r="JE110" s="200">
        <f t="shared" si="43"/>
        <v>5</v>
      </c>
      <c r="JF110" s="200">
        <f t="shared" si="44"/>
        <v>7</v>
      </c>
      <c r="JG110" s="200">
        <f t="shared" si="45"/>
        <v>15</v>
      </c>
      <c r="JH110" s="200">
        <f t="shared" si="46"/>
        <v>9</v>
      </c>
      <c r="JI110" s="200">
        <f t="shared" si="47"/>
        <v>9</v>
      </c>
      <c r="JJ110" s="200">
        <f t="shared" si="48"/>
        <v>6</v>
      </c>
      <c r="JK110" s="200">
        <f t="shared" si="49"/>
        <v>8</v>
      </c>
      <c r="JL110" s="200">
        <f t="shared" si="50"/>
        <v>4</v>
      </c>
      <c r="JM110" s="200">
        <f t="shared" si="51"/>
        <v>4</v>
      </c>
      <c r="JN110" s="199"/>
      <c r="JO110" s="200">
        <f t="shared" si="52"/>
        <v>7</v>
      </c>
      <c r="JP110" s="202">
        <v>7.0</v>
      </c>
      <c r="JQ110" s="202">
        <v>10.0</v>
      </c>
      <c r="JR110" s="202">
        <v>5.0</v>
      </c>
      <c r="JS110" s="202">
        <v>7.0</v>
      </c>
      <c r="JT110" s="199"/>
      <c r="JU110" s="199"/>
      <c r="JV110" s="200">
        <f t="shared" ref="JV110:JX110" si="278">IA110-JI110</f>
        <v>0</v>
      </c>
      <c r="JW110" s="200">
        <f t="shared" si="278"/>
        <v>0</v>
      </c>
      <c r="JX110" s="200">
        <f t="shared" si="278"/>
        <v>-1</v>
      </c>
      <c r="JY110" s="199"/>
      <c r="JZ110" s="199"/>
      <c r="KA110" s="199"/>
      <c r="KB110" s="200">
        <f t="shared" ref="KB110:KM110" si="279">JB110-JO110</f>
        <v>0</v>
      </c>
      <c r="KC110" s="200">
        <f t="shared" si="279"/>
        <v>0</v>
      </c>
      <c r="KD110" s="200">
        <f t="shared" si="279"/>
        <v>0</v>
      </c>
      <c r="KE110" s="200">
        <f t="shared" si="279"/>
        <v>0</v>
      </c>
      <c r="KF110" s="200">
        <f t="shared" si="279"/>
        <v>0</v>
      </c>
      <c r="KG110" s="200">
        <f t="shared" si="279"/>
        <v>15</v>
      </c>
      <c r="KH110" s="200">
        <f t="shared" si="279"/>
        <v>9</v>
      </c>
      <c r="KI110" s="200">
        <f t="shared" si="279"/>
        <v>9</v>
      </c>
      <c r="KJ110" s="200">
        <f t="shared" si="279"/>
        <v>6</v>
      </c>
      <c r="KK110" s="200">
        <f t="shared" si="279"/>
        <v>9</v>
      </c>
      <c r="KL110" s="200">
        <f t="shared" si="279"/>
        <v>4</v>
      </c>
      <c r="KM110" s="200">
        <f t="shared" si="279"/>
        <v>4</v>
      </c>
      <c r="KN110" s="199"/>
      <c r="KO110" s="199"/>
      <c r="KP110" s="199"/>
      <c r="KQ110" s="199"/>
      <c r="KR110" s="199"/>
      <c r="KS110" s="199"/>
      <c r="KT110" s="199"/>
      <c r="KU110" s="199"/>
      <c r="KV110" s="199"/>
      <c r="KW110" s="199"/>
      <c r="KX110" s="199"/>
      <c r="KY110" s="199"/>
      <c r="KZ110" s="199"/>
      <c r="LA110" s="199"/>
      <c r="LB110" s="199"/>
      <c r="LC110" s="199"/>
      <c r="LD110" s="199"/>
      <c r="LE110" s="199"/>
      <c r="LF110" s="199"/>
      <c r="LG110" s="199"/>
    </row>
    <row r="111" ht="14.25" customHeight="1">
      <c r="A111" s="156">
        <v>104.0</v>
      </c>
      <c r="B111" s="157" t="s">
        <v>206</v>
      </c>
      <c r="C111" s="158">
        <v>3374030.0</v>
      </c>
      <c r="D111" s="158" t="s">
        <v>207</v>
      </c>
      <c r="E111" s="158" t="s">
        <v>208</v>
      </c>
      <c r="F111" s="159">
        <v>27.0</v>
      </c>
      <c r="G111" s="285">
        <v>1433.0</v>
      </c>
      <c r="H111" s="224">
        <f t="shared" ref="H111:H112" si="282">SUM(I111:L111)</f>
        <v>63</v>
      </c>
      <c r="I111" s="161">
        <v>9.0</v>
      </c>
      <c r="J111" s="161">
        <v>6.0</v>
      </c>
      <c r="K111" s="161">
        <v>12.0</v>
      </c>
      <c r="L111" s="161">
        <v>36.0</v>
      </c>
      <c r="M111" s="161">
        <v>0.0</v>
      </c>
      <c r="N111" s="161">
        <v>0.0</v>
      </c>
      <c r="O111" s="162">
        <f t="shared" si="213"/>
        <v>63</v>
      </c>
      <c r="P111" s="203">
        <v>55.0</v>
      </c>
      <c r="Q111" s="164">
        <v>4.0</v>
      </c>
      <c r="R111" s="164">
        <v>3.0</v>
      </c>
      <c r="S111" s="164">
        <v>17.0</v>
      </c>
      <c r="T111" s="165">
        <v>31.0</v>
      </c>
      <c r="U111" s="165">
        <v>0.0</v>
      </c>
      <c r="V111" s="165">
        <v>15.0</v>
      </c>
      <c r="W111" s="166">
        <f t="shared" si="225"/>
        <v>40</v>
      </c>
      <c r="X111" s="203">
        <v>44.0</v>
      </c>
      <c r="Y111" s="165">
        <v>3.0</v>
      </c>
      <c r="Z111" s="165">
        <v>3.0</v>
      </c>
      <c r="AA111" s="165">
        <v>15.0</v>
      </c>
      <c r="AB111" s="165">
        <v>23.0</v>
      </c>
      <c r="AC111" s="165">
        <v>0.0</v>
      </c>
      <c r="AD111" s="165">
        <v>15.0</v>
      </c>
      <c r="AE111" s="166">
        <f t="shared" si="214"/>
        <v>29</v>
      </c>
      <c r="AF111" s="167">
        <v>26.0</v>
      </c>
      <c r="AG111" s="165">
        <v>2.0</v>
      </c>
      <c r="AH111" s="165">
        <v>6.0</v>
      </c>
      <c r="AI111" s="165">
        <v>3.0</v>
      </c>
      <c r="AJ111" s="165">
        <v>15.0</v>
      </c>
      <c r="AK111" s="165">
        <v>0.0</v>
      </c>
      <c r="AL111" s="165">
        <v>0.0</v>
      </c>
      <c r="AM111" s="166">
        <f t="shared" si="215"/>
        <v>26</v>
      </c>
      <c r="AN111" s="167">
        <v>48.0</v>
      </c>
      <c r="AO111" s="165">
        <v>1.0</v>
      </c>
      <c r="AP111" s="165">
        <v>3.0</v>
      </c>
      <c r="AQ111" s="165">
        <v>13.0</v>
      </c>
      <c r="AR111" s="165">
        <v>31.0</v>
      </c>
      <c r="AS111" s="165">
        <v>0.0</v>
      </c>
      <c r="AT111" s="165">
        <v>0.0</v>
      </c>
      <c r="AU111" s="168">
        <f t="shared" si="216"/>
        <v>48</v>
      </c>
      <c r="AV111" s="169">
        <v>1461.0</v>
      </c>
      <c r="AW111" s="170">
        <f t="shared" si="8"/>
        <v>51</v>
      </c>
      <c r="AX111" s="171">
        <v>0.0</v>
      </c>
      <c r="AY111" s="171">
        <v>2.0</v>
      </c>
      <c r="AZ111" s="171">
        <v>16.0</v>
      </c>
      <c r="BA111" s="171">
        <v>33.0</v>
      </c>
      <c r="BB111" s="171">
        <v>0.0</v>
      </c>
      <c r="BC111" s="171">
        <v>0.0</v>
      </c>
      <c r="BD111" s="171">
        <v>0.0</v>
      </c>
      <c r="BE111" s="171">
        <v>0.0</v>
      </c>
      <c r="BF111" s="171">
        <v>0.0</v>
      </c>
      <c r="BG111" s="171">
        <v>0.0</v>
      </c>
      <c r="BH111" s="171">
        <v>0.0</v>
      </c>
      <c r="BI111" s="171">
        <v>0.0</v>
      </c>
      <c r="BJ111" s="171">
        <v>0.0</v>
      </c>
      <c r="BK111" s="171">
        <v>0.0</v>
      </c>
      <c r="BL111" s="171">
        <v>0.0</v>
      </c>
      <c r="BM111" s="171">
        <v>0.0</v>
      </c>
      <c r="BN111" s="169">
        <v>0.0</v>
      </c>
      <c r="BO111" s="169">
        <v>0.0</v>
      </c>
      <c r="BP111" s="172">
        <f t="shared" si="131"/>
        <v>0</v>
      </c>
      <c r="BQ111" s="173">
        <v>1355.0</v>
      </c>
      <c r="BR111" s="170">
        <f t="shared" si="10"/>
        <v>23</v>
      </c>
      <c r="BS111" s="173">
        <v>0.0</v>
      </c>
      <c r="BT111" s="173">
        <v>0.0</v>
      </c>
      <c r="BU111" s="173">
        <v>6.0</v>
      </c>
      <c r="BV111" s="173">
        <v>17.0</v>
      </c>
      <c r="BW111" s="173">
        <v>0.0</v>
      </c>
      <c r="BX111" s="173">
        <v>0.0</v>
      </c>
      <c r="BY111" s="173">
        <v>0.0</v>
      </c>
      <c r="BZ111" s="173">
        <v>0.0</v>
      </c>
      <c r="CA111" s="173">
        <v>0.0</v>
      </c>
      <c r="CB111" s="173">
        <v>0.0</v>
      </c>
      <c r="CC111" s="173">
        <v>10.0</v>
      </c>
      <c r="CD111" s="173">
        <v>18.0</v>
      </c>
      <c r="CE111" s="173">
        <v>0.0</v>
      </c>
      <c r="CF111" s="173">
        <v>0.0</v>
      </c>
      <c r="CG111" s="173">
        <v>0.0</v>
      </c>
      <c r="CH111" s="173">
        <v>0.0</v>
      </c>
      <c r="CI111" s="173">
        <v>0.0</v>
      </c>
      <c r="CJ111" s="173">
        <v>0.0</v>
      </c>
      <c r="CK111" s="172">
        <f t="shared" si="132"/>
        <v>28</v>
      </c>
      <c r="CL111" s="173">
        <v>1379.0</v>
      </c>
      <c r="CM111" s="173">
        <v>311.0</v>
      </c>
      <c r="CN111" s="175">
        <f t="shared" si="12"/>
        <v>20</v>
      </c>
      <c r="CO111" s="173">
        <v>0.0</v>
      </c>
      <c r="CP111" s="173">
        <v>0.0</v>
      </c>
      <c r="CQ111" s="173">
        <v>6.0</v>
      </c>
      <c r="CR111" s="173">
        <v>14.0</v>
      </c>
      <c r="CS111" s="173">
        <v>0.0</v>
      </c>
      <c r="CT111" s="173">
        <v>0.0</v>
      </c>
      <c r="CU111" s="173">
        <v>0.0</v>
      </c>
      <c r="CV111" s="173">
        <v>0.0</v>
      </c>
      <c r="CW111" s="173">
        <v>0.0</v>
      </c>
      <c r="CX111" s="173">
        <v>1.0</v>
      </c>
      <c r="CY111" s="173">
        <v>2.0</v>
      </c>
      <c r="CZ111" s="173">
        <v>0.0</v>
      </c>
      <c r="DA111" s="173">
        <v>0.0</v>
      </c>
      <c r="DB111" s="173">
        <v>0.0</v>
      </c>
      <c r="DC111" s="173">
        <v>0.0</v>
      </c>
      <c r="DD111" s="173">
        <v>0.0</v>
      </c>
      <c r="DE111" s="173">
        <v>0.0</v>
      </c>
      <c r="DF111" s="173">
        <v>0.0</v>
      </c>
      <c r="DG111" s="176">
        <f t="shared" si="13"/>
        <v>3</v>
      </c>
      <c r="DH111" s="177">
        <v>1291.0</v>
      </c>
      <c r="DI111" s="177">
        <v>277.0</v>
      </c>
      <c r="DJ111" s="178">
        <v>1281.0</v>
      </c>
      <c r="DK111" s="178">
        <v>272.0</v>
      </c>
      <c r="DL111" s="179">
        <f t="shared" si="14"/>
        <v>19</v>
      </c>
      <c r="DM111" s="180">
        <f t="shared" si="15"/>
        <v>4</v>
      </c>
      <c r="DN111" s="180">
        <f t="shared" si="16"/>
        <v>15</v>
      </c>
      <c r="DO111" s="177">
        <v>0.0</v>
      </c>
      <c r="DP111" s="177">
        <v>0.0</v>
      </c>
      <c r="DQ111" s="177">
        <v>4.0</v>
      </c>
      <c r="DR111" s="177">
        <v>15.0</v>
      </c>
      <c r="DS111" s="177">
        <v>0.0</v>
      </c>
      <c r="DT111" s="177">
        <v>0.0</v>
      </c>
      <c r="DU111" s="177">
        <v>0.0</v>
      </c>
      <c r="DV111" s="177">
        <v>0.0</v>
      </c>
      <c r="DW111" s="375">
        <v>0.0</v>
      </c>
      <c r="DX111" s="376">
        <v>0.0</v>
      </c>
      <c r="DY111" s="177">
        <v>1.0</v>
      </c>
      <c r="DZ111" s="177">
        <v>0.0</v>
      </c>
      <c r="EA111" s="177">
        <v>0.0</v>
      </c>
      <c r="EB111" s="177">
        <v>0.0</v>
      </c>
      <c r="EC111" s="177">
        <v>0.0</v>
      </c>
      <c r="ED111" s="177">
        <v>0.0</v>
      </c>
      <c r="EE111" s="177">
        <v>0.0</v>
      </c>
      <c r="EF111" s="177">
        <v>0.0</v>
      </c>
      <c r="EG111" s="179">
        <f t="shared" si="17"/>
        <v>1</v>
      </c>
      <c r="EH111" s="179">
        <f t="shared" si="18"/>
        <v>1</v>
      </c>
      <c r="EI111" s="177">
        <v>1304.0</v>
      </c>
      <c r="EJ111" s="177">
        <v>303.0</v>
      </c>
      <c r="EK111" s="178">
        <v>1304.0</v>
      </c>
      <c r="EL111" s="178">
        <v>303.0</v>
      </c>
      <c r="EM111" s="185">
        <f t="shared" ref="EM111:EM127" si="283">SUM(EP111:EW111)</f>
        <v>14</v>
      </c>
      <c r="EN111" s="186">
        <f t="shared" si="202"/>
        <v>1</v>
      </c>
      <c r="EO111" s="186">
        <f t="shared" si="90"/>
        <v>13</v>
      </c>
      <c r="EP111" s="177">
        <v>0.0</v>
      </c>
      <c r="EQ111" s="177">
        <v>0.0</v>
      </c>
      <c r="ER111" s="177">
        <v>1.0</v>
      </c>
      <c r="ES111" s="177">
        <v>13.0</v>
      </c>
      <c r="ET111" s="177">
        <v>0.0</v>
      </c>
      <c r="EU111" s="177">
        <v>0.0</v>
      </c>
      <c r="EV111" s="177">
        <v>0.0</v>
      </c>
      <c r="EW111" s="177">
        <v>0.0</v>
      </c>
      <c r="EX111" s="377">
        <v>0.0</v>
      </c>
      <c r="EY111" s="378">
        <v>0.0</v>
      </c>
      <c r="EZ111" s="177">
        <v>1.0</v>
      </c>
      <c r="FA111" s="177">
        <v>0.0</v>
      </c>
      <c r="FB111" s="177">
        <v>0.0</v>
      </c>
      <c r="FC111" s="177">
        <v>0.0</v>
      </c>
      <c r="FD111" s="177">
        <v>3.0</v>
      </c>
      <c r="FE111" s="177">
        <v>0.0</v>
      </c>
      <c r="FF111" s="177">
        <v>0.0</v>
      </c>
      <c r="FG111" s="177">
        <v>0.0</v>
      </c>
      <c r="FH111" s="185">
        <f t="shared" si="22"/>
        <v>4</v>
      </c>
      <c r="FI111" s="185">
        <f t="shared" si="23"/>
        <v>4</v>
      </c>
      <c r="FJ111" s="177">
        <v>1288.0</v>
      </c>
      <c r="FK111" s="177">
        <v>303.0</v>
      </c>
      <c r="FL111" s="177">
        <v>1288.0</v>
      </c>
      <c r="FM111" s="177">
        <v>303.0</v>
      </c>
      <c r="FN111" s="210"/>
      <c r="FO111" s="210">
        <v>10.0</v>
      </c>
      <c r="FP111" s="188">
        <f t="shared" ref="FP111:FP114" si="284">SUM(FS111:FZ111)</f>
        <v>10</v>
      </c>
      <c r="FQ111" s="211">
        <v>1.0</v>
      </c>
      <c r="FR111" s="212">
        <v>9.0</v>
      </c>
      <c r="FS111" s="335"/>
      <c r="FT111" s="293"/>
      <c r="FU111" s="207">
        <v>1.0</v>
      </c>
      <c r="FV111" s="207">
        <v>9.0</v>
      </c>
      <c r="FW111" s="293"/>
      <c r="FX111" s="293"/>
      <c r="FY111" s="293"/>
      <c r="FZ111" s="293"/>
      <c r="GA111" s="293"/>
      <c r="GB111" s="293"/>
      <c r="GC111" s="293"/>
      <c r="GD111" s="351"/>
      <c r="GE111" s="293"/>
      <c r="GF111" s="293"/>
      <c r="GG111" s="293"/>
      <c r="GH111" s="293"/>
      <c r="GI111" s="207">
        <v>4.0</v>
      </c>
      <c r="GJ111" s="293"/>
      <c r="GK111" s="212">
        <v>4.0</v>
      </c>
      <c r="GL111" s="212">
        <v>0.0</v>
      </c>
      <c r="GM111" s="207">
        <v>1270.0</v>
      </c>
      <c r="GN111" s="207">
        <v>275.0</v>
      </c>
      <c r="GO111" s="213">
        <v>1270.0</v>
      </c>
      <c r="GP111" s="213">
        <v>274.0</v>
      </c>
      <c r="GQ111" s="207"/>
      <c r="GR111" s="213">
        <v>10.0</v>
      </c>
      <c r="GS111" s="193">
        <v>0.0</v>
      </c>
      <c r="GT111" s="194">
        <f t="shared" si="25"/>
        <v>10</v>
      </c>
      <c r="GU111" s="194">
        <f t="shared" si="26"/>
        <v>0</v>
      </c>
      <c r="GV111" s="194">
        <f t="shared" si="27"/>
        <v>10</v>
      </c>
      <c r="GW111" s="207">
        <v>0.0</v>
      </c>
      <c r="GX111" s="207">
        <v>0.0</v>
      </c>
      <c r="GY111" s="207">
        <v>0.0</v>
      </c>
      <c r="GZ111" s="207">
        <v>10.0</v>
      </c>
      <c r="HA111" s="207">
        <v>0.0</v>
      </c>
      <c r="HB111" s="207">
        <v>0.0</v>
      </c>
      <c r="HC111" s="207">
        <v>0.0</v>
      </c>
      <c r="HD111" s="207">
        <v>0.0</v>
      </c>
      <c r="HE111" s="207">
        <v>0.0</v>
      </c>
      <c r="HF111" s="207">
        <v>0.0</v>
      </c>
      <c r="HG111" s="207">
        <v>0.0</v>
      </c>
      <c r="HH111" s="207">
        <v>0.0</v>
      </c>
      <c r="HI111" s="207">
        <v>0.0</v>
      </c>
      <c r="HJ111" s="207">
        <v>0.0</v>
      </c>
      <c r="HK111" s="207">
        <v>0.0</v>
      </c>
      <c r="HL111" s="207">
        <v>0.0</v>
      </c>
      <c r="HM111" s="207">
        <v>0.0</v>
      </c>
      <c r="HN111" s="207">
        <v>0.0</v>
      </c>
      <c r="HO111" s="222"/>
      <c r="HP111" s="222"/>
      <c r="HQ111" s="214"/>
      <c r="HR111" s="197"/>
      <c r="HS111" s="197"/>
      <c r="HT111" s="198">
        <f t="shared" si="28"/>
        <v>63</v>
      </c>
      <c r="HU111" s="198">
        <f t="shared" si="29"/>
        <v>55</v>
      </c>
      <c r="HV111" s="198">
        <f t="shared" si="30"/>
        <v>44</v>
      </c>
      <c r="HW111" s="198">
        <f t="shared" si="99"/>
        <v>26</v>
      </c>
      <c r="HX111" s="198">
        <f t="shared" si="32"/>
        <v>48</v>
      </c>
      <c r="HY111" s="198">
        <f t="shared" si="33"/>
        <v>51</v>
      </c>
      <c r="HZ111" s="198">
        <f t="shared" si="34"/>
        <v>23</v>
      </c>
      <c r="IA111" s="198">
        <f t="shared" si="35"/>
        <v>20</v>
      </c>
      <c r="IB111" s="198">
        <f t="shared" si="36"/>
        <v>19</v>
      </c>
      <c r="IC111" s="198">
        <f t="shared" si="37"/>
        <v>14</v>
      </c>
      <c r="ID111" s="198">
        <f t="shared" si="38"/>
        <v>10</v>
      </c>
      <c r="IE111" s="198">
        <f t="shared" si="39"/>
        <v>10</v>
      </c>
      <c r="IF111" s="197"/>
      <c r="IG111" s="197"/>
      <c r="IH111" s="197"/>
      <c r="II111" s="197"/>
      <c r="IJ111" s="197"/>
      <c r="IK111" s="197"/>
      <c r="IL111" s="197"/>
      <c r="IM111" s="197"/>
      <c r="IN111" s="197"/>
      <c r="IO111" s="197"/>
      <c r="IP111" s="197"/>
      <c r="IQ111" s="197"/>
      <c r="IR111" s="197"/>
      <c r="IS111" s="197"/>
      <c r="IT111" s="197"/>
      <c r="IU111" s="197"/>
      <c r="IV111" s="197"/>
      <c r="IW111" s="197"/>
      <c r="IX111" s="197"/>
      <c r="IY111" s="197"/>
      <c r="IZ111" s="197"/>
      <c r="JA111" s="199"/>
      <c r="JB111" s="200">
        <f t="shared" si="40"/>
        <v>63</v>
      </c>
      <c r="JC111" s="200">
        <f t="shared" si="41"/>
        <v>55</v>
      </c>
      <c r="JD111" s="200">
        <f t="shared" si="42"/>
        <v>44</v>
      </c>
      <c r="JE111" s="200">
        <f t="shared" si="43"/>
        <v>26</v>
      </c>
      <c r="JF111" s="200">
        <f t="shared" si="44"/>
        <v>48</v>
      </c>
      <c r="JG111" s="200">
        <f t="shared" si="45"/>
        <v>51</v>
      </c>
      <c r="JH111" s="200">
        <f t="shared" si="46"/>
        <v>23</v>
      </c>
      <c r="JI111" s="200">
        <f t="shared" si="47"/>
        <v>20</v>
      </c>
      <c r="JJ111" s="200">
        <f t="shared" si="48"/>
        <v>19</v>
      </c>
      <c r="JK111" s="200">
        <f t="shared" si="49"/>
        <v>15</v>
      </c>
      <c r="JL111" s="200">
        <f t="shared" si="50"/>
        <v>10</v>
      </c>
      <c r="JM111" s="200">
        <f t="shared" si="51"/>
        <v>10</v>
      </c>
      <c r="JN111" s="199"/>
      <c r="JO111" s="200">
        <f t="shared" si="52"/>
        <v>63</v>
      </c>
      <c r="JP111" s="202">
        <v>55.0</v>
      </c>
      <c r="JQ111" s="202">
        <v>44.0</v>
      </c>
      <c r="JR111" s="202">
        <v>26.0</v>
      </c>
      <c r="JS111" s="202">
        <v>48.0</v>
      </c>
      <c r="JT111" s="199"/>
      <c r="JU111" s="199"/>
      <c r="JV111" s="200">
        <f t="shared" ref="JV111:JX111" si="280">IA111-JI111</f>
        <v>0</v>
      </c>
      <c r="JW111" s="200">
        <f t="shared" si="280"/>
        <v>0</v>
      </c>
      <c r="JX111" s="200">
        <f t="shared" si="280"/>
        <v>-1</v>
      </c>
      <c r="JY111" s="199"/>
      <c r="JZ111" s="199"/>
      <c r="KA111" s="199"/>
      <c r="KB111" s="379">
        <f t="shared" ref="KB111:KM111" si="281">JB111-JO111</f>
        <v>0</v>
      </c>
      <c r="KC111" s="379">
        <f t="shared" si="281"/>
        <v>0</v>
      </c>
      <c r="KD111" s="379">
        <f t="shared" si="281"/>
        <v>0</v>
      </c>
      <c r="KE111" s="379">
        <f t="shared" si="281"/>
        <v>0</v>
      </c>
      <c r="KF111" s="379">
        <f t="shared" si="281"/>
        <v>0</v>
      </c>
      <c r="KG111" s="379">
        <f t="shared" si="281"/>
        <v>51</v>
      </c>
      <c r="KH111" s="379">
        <f t="shared" si="281"/>
        <v>23</v>
      </c>
      <c r="KI111" s="379">
        <f t="shared" si="281"/>
        <v>20</v>
      </c>
      <c r="KJ111" s="379">
        <f t="shared" si="281"/>
        <v>19</v>
      </c>
      <c r="KK111" s="379">
        <f t="shared" si="281"/>
        <v>16</v>
      </c>
      <c r="KL111" s="379">
        <f t="shared" si="281"/>
        <v>10</v>
      </c>
      <c r="KM111" s="379">
        <f t="shared" si="281"/>
        <v>10</v>
      </c>
      <c r="KN111" s="199"/>
      <c r="KO111" s="199"/>
      <c r="KP111" s="199"/>
      <c r="KQ111" s="199"/>
      <c r="KR111" s="199"/>
      <c r="KS111" s="199"/>
      <c r="KT111" s="199"/>
      <c r="KU111" s="199"/>
      <c r="KV111" s="199"/>
      <c r="KW111" s="199"/>
      <c r="KX111" s="199"/>
      <c r="KY111" s="199"/>
      <c r="KZ111" s="199"/>
      <c r="LA111" s="199"/>
      <c r="LB111" s="199"/>
      <c r="LC111" s="199"/>
      <c r="LD111" s="199"/>
      <c r="LE111" s="199"/>
      <c r="LF111" s="199"/>
      <c r="LG111" s="199"/>
    </row>
    <row r="112" ht="14.25" customHeight="1">
      <c r="A112" s="156">
        <v>105.0</v>
      </c>
      <c r="B112" s="157" t="s">
        <v>206</v>
      </c>
      <c r="C112" s="158">
        <v>3374030.0</v>
      </c>
      <c r="D112" s="158" t="s">
        <v>207</v>
      </c>
      <c r="E112" s="158" t="s">
        <v>209</v>
      </c>
      <c r="F112" s="159">
        <v>11.0</v>
      </c>
      <c r="G112" s="285">
        <v>687.0</v>
      </c>
      <c r="H112" s="224">
        <f t="shared" si="282"/>
        <v>27</v>
      </c>
      <c r="I112" s="161">
        <v>5.0</v>
      </c>
      <c r="J112" s="161">
        <v>1.0</v>
      </c>
      <c r="K112" s="161">
        <v>12.0</v>
      </c>
      <c r="L112" s="161">
        <v>9.0</v>
      </c>
      <c r="M112" s="161">
        <v>0.0</v>
      </c>
      <c r="N112" s="161">
        <v>0.0</v>
      </c>
      <c r="O112" s="162">
        <f t="shared" si="213"/>
        <v>27</v>
      </c>
      <c r="P112" s="203">
        <v>19.0</v>
      </c>
      <c r="Q112" s="164">
        <v>0.0</v>
      </c>
      <c r="R112" s="164">
        <v>1.0</v>
      </c>
      <c r="S112" s="164">
        <v>5.0</v>
      </c>
      <c r="T112" s="165">
        <v>13.0</v>
      </c>
      <c r="U112" s="165">
        <v>0.0</v>
      </c>
      <c r="V112" s="165">
        <v>12.0</v>
      </c>
      <c r="W112" s="166">
        <f t="shared" si="225"/>
        <v>7</v>
      </c>
      <c r="X112" s="203">
        <v>19.0</v>
      </c>
      <c r="Y112" s="165">
        <v>0.0</v>
      </c>
      <c r="Z112" s="165">
        <v>2.0</v>
      </c>
      <c r="AA112" s="165">
        <v>8.0</v>
      </c>
      <c r="AB112" s="165">
        <v>9.0</v>
      </c>
      <c r="AC112" s="165">
        <v>0.0</v>
      </c>
      <c r="AD112" s="165">
        <v>5.0</v>
      </c>
      <c r="AE112" s="166">
        <f t="shared" si="214"/>
        <v>14</v>
      </c>
      <c r="AF112" s="167">
        <v>11.0</v>
      </c>
      <c r="AG112" s="165">
        <v>2.0</v>
      </c>
      <c r="AH112" s="165">
        <v>0.0</v>
      </c>
      <c r="AI112" s="165">
        <v>2.0</v>
      </c>
      <c r="AJ112" s="165">
        <v>7.0</v>
      </c>
      <c r="AK112" s="165">
        <v>0.0</v>
      </c>
      <c r="AL112" s="165">
        <v>0.0</v>
      </c>
      <c r="AM112" s="166">
        <f t="shared" si="215"/>
        <v>11</v>
      </c>
      <c r="AN112" s="167">
        <v>11.0</v>
      </c>
      <c r="AO112" s="165">
        <v>0.0</v>
      </c>
      <c r="AP112" s="165">
        <v>1.0</v>
      </c>
      <c r="AQ112" s="165">
        <v>3.0</v>
      </c>
      <c r="AR112" s="165">
        <v>7.0</v>
      </c>
      <c r="AS112" s="165">
        <v>0.0</v>
      </c>
      <c r="AT112" s="165">
        <v>0.0</v>
      </c>
      <c r="AU112" s="168">
        <f t="shared" si="216"/>
        <v>11</v>
      </c>
      <c r="AV112" s="169">
        <v>657.0</v>
      </c>
      <c r="AW112" s="170">
        <f t="shared" si="8"/>
        <v>23</v>
      </c>
      <c r="AX112" s="171">
        <v>0.0</v>
      </c>
      <c r="AY112" s="171">
        <v>5.0</v>
      </c>
      <c r="AZ112" s="171">
        <v>2.0</v>
      </c>
      <c r="BA112" s="171">
        <v>16.0</v>
      </c>
      <c r="BB112" s="171">
        <v>0.0</v>
      </c>
      <c r="BC112" s="171">
        <v>0.0</v>
      </c>
      <c r="BD112" s="171">
        <v>0.0</v>
      </c>
      <c r="BE112" s="171">
        <v>0.0</v>
      </c>
      <c r="BF112" s="171">
        <v>0.0</v>
      </c>
      <c r="BG112" s="171">
        <v>0.0</v>
      </c>
      <c r="BH112" s="171">
        <v>0.0</v>
      </c>
      <c r="BI112" s="171">
        <v>0.0</v>
      </c>
      <c r="BJ112" s="171">
        <v>0.0</v>
      </c>
      <c r="BK112" s="171">
        <v>0.0</v>
      </c>
      <c r="BL112" s="171">
        <v>0.0</v>
      </c>
      <c r="BM112" s="171">
        <v>0.0</v>
      </c>
      <c r="BN112" s="169">
        <v>0.0</v>
      </c>
      <c r="BO112" s="169">
        <v>0.0</v>
      </c>
      <c r="BP112" s="172">
        <f t="shared" si="131"/>
        <v>0</v>
      </c>
      <c r="BQ112" s="173">
        <v>763.0</v>
      </c>
      <c r="BR112" s="170">
        <f t="shared" si="10"/>
        <v>12</v>
      </c>
      <c r="BS112" s="173">
        <v>0.0</v>
      </c>
      <c r="BT112" s="173">
        <v>0.0</v>
      </c>
      <c r="BU112" s="173">
        <v>6.0</v>
      </c>
      <c r="BV112" s="173">
        <v>6.0</v>
      </c>
      <c r="BW112" s="173">
        <v>0.0</v>
      </c>
      <c r="BX112" s="173">
        <v>0.0</v>
      </c>
      <c r="BY112" s="173">
        <v>0.0</v>
      </c>
      <c r="BZ112" s="173">
        <v>0.0</v>
      </c>
      <c r="CA112" s="173">
        <v>0.0</v>
      </c>
      <c r="CB112" s="173">
        <v>5.0</v>
      </c>
      <c r="CC112" s="173">
        <v>1.0</v>
      </c>
      <c r="CD112" s="173">
        <v>5.0</v>
      </c>
      <c r="CE112" s="173">
        <v>0.0</v>
      </c>
      <c r="CF112" s="173">
        <v>0.0</v>
      </c>
      <c r="CG112" s="173">
        <v>0.0</v>
      </c>
      <c r="CH112" s="173">
        <v>0.0</v>
      </c>
      <c r="CI112" s="173">
        <v>0.0</v>
      </c>
      <c r="CJ112" s="173">
        <v>0.0</v>
      </c>
      <c r="CK112" s="172">
        <f t="shared" si="132"/>
        <v>11</v>
      </c>
      <c r="CL112" s="173">
        <v>766.0</v>
      </c>
      <c r="CM112" s="173">
        <v>180.0</v>
      </c>
      <c r="CN112" s="175">
        <f t="shared" si="12"/>
        <v>9</v>
      </c>
      <c r="CO112" s="173">
        <v>0.0</v>
      </c>
      <c r="CP112" s="173">
        <v>0.0</v>
      </c>
      <c r="CQ112" s="173">
        <v>3.0</v>
      </c>
      <c r="CR112" s="173">
        <v>6.0</v>
      </c>
      <c r="CS112" s="173">
        <v>0.0</v>
      </c>
      <c r="CT112" s="173">
        <v>0.0</v>
      </c>
      <c r="CU112" s="173">
        <v>0.0</v>
      </c>
      <c r="CV112" s="173">
        <v>0.0</v>
      </c>
      <c r="CW112" s="173">
        <v>0.0</v>
      </c>
      <c r="CX112" s="173">
        <v>1.0</v>
      </c>
      <c r="CY112" s="173">
        <v>2.0</v>
      </c>
      <c r="CZ112" s="173">
        <v>0.0</v>
      </c>
      <c r="DA112" s="173">
        <v>0.0</v>
      </c>
      <c r="DB112" s="173">
        <v>0.0</v>
      </c>
      <c r="DC112" s="173">
        <v>0.0</v>
      </c>
      <c r="DD112" s="173">
        <v>0.0</v>
      </c>
      <c r="DE112" s="173">
        <v>0.0</v>
      </c>
      <c r="DF112" s="173">
        <v>0.0</v>
      </c>
      <c r="DG112" s="176">
        <f t="shared" si="13"/>
        <v>3</v>
      </c>
      <c r="DH112" s="177">
        <v>719.0</v>
      </c>
      <c r="DI112" s="177">
        <v>166.0</v>
      </c>
      <c r="DJ112" s="178">
        <v>720.0</v>
      </c>
      <c r="DK112" s="178">
        <v>162.0</v>
      </c>
      <c r="DL112" s="179">
        <f t="shared" si="14"/>
        <v>7</v>
      </c>
      <c r="DM112" s="180">
        <f t="shared" si="15"/>
        <v>2</v>
      </c>
      <c r="DN112" s="180">
        <f t="shared" si="16"/>
        <v>5</v>
      </c>
      <c r="DO112" s="177">
        <v>0.0</v>
      </c>
      <c r="DP112" s="177">
        <v>0.0</v>
      </c>
      <c r="DQ112" s="177">
        <v>2.0</v>
      </c>
      <c r="DR112" s="177">
        <v>5.0</v>
      </c>
      <c r="DS112" s="177">
        <v>0.0</v>
      </c>
      <c r="DT112" s="177">
        <v>0.0</v>
      </c>
      <c r="DU112" s="177">
        <v>0.0</v>
      </c>
      <c r="DV112" s="177">
        <v>0.0</v>
      </c>
      <c r="DW112" s="380">
        <v>0.0</v>
      </c>
      <c r="DX112" s="381">
        <v>0.0</v>
      </c>
      <c r="DY112" s="177">
        <v>2.0</v>
      </c>
      <c r="DZ112" s="177">
        <v>0.0</v>
      </c>
      <c r="EA112" s="177">
        <v>0.0</v>
      </c>
      <c r="EB112" s="177">
        <v>0.0</v>
      </c>
      <c r="EC112" s="177">
        <v>0.0</v>
      </c>
      <c r="ED112" s="177">
        <v>0.0</v>
      </c>
      <c r="EE112" s="177">
        <v>0.0</v>
      </c>
      <c r="EF112" s="177">
        <v>0.0</v>
      </c>
      <c r="EG112" s="179">
        <f t="shared" si="17"/>
        <v>2</v>
      </c>
      <c r="EH112" s="179">
        <f t="shared" si="18"/>
        <v>2</v>
      </c>
      <c r="EI112" s="177">
        <v>706.0</v>
      </c>
      <c r="EJ112" s="177">
        <v>153.0</v>
      </c>
      <c r="EK112" s="178">
        <v>706.0</v>
      </c>
      <c r="EL112" s="178">
        <v>153.0</v>
      </c>
      <c r="EM112" s="185">
        <f t="shared" si="283"/>
        <v>6</v>
      </c>
      <c r="EN112" s="186">
        <f t="shared" si="202"/>
        <v>2</v>
      </c>
      <c r="EO112" s="186">
        <f t="shared" si="90"/>
        <v>4</v>
      </c>
      <c r="EP112" s="177">
        <v>0.0</v>
      </c>
      <c r="EQ112" s="177">
        <v>0.0</v>
      </c>
      <c r="ER112" s="177">
        <v>2.0</v>
      </c>
      <c r="ES112" s="177">
        <v>4.0</v>
      </c>
      <c r="ET112" s="177">
        <v>0.0</v>
      </c>
      <c r="EU112" s="177">
        <v>0.0</v>
      </c>
      <c r="EV112" s="177">
        <v>0.0</v>
      </c>
      <c r="EW112" s="177">
        <v>0.0</v>
      </c>
      <c r="EX112" s="382">
        <v>0.0</v>
      </c>
      <c r="EY112" s="305">
        <v>0.0</v>
      </c>
      <c r="EZ112" s="177">
        <v>0.0</v>
      </c>
      <c r="FA112" s="177">
        <v>1.0</v>
      </c>
      <c r="FB112" s="177">
        <v>0.0</v>
      </c>
      <c r="FC112" s="177">
        <v>0.0</v>
      </c>
      <c r="FD112" s="177">
        <v>0.0</v>
      </c>
      <c r="FE112" s="177">
        <v>0.0</v>
      </c>
      <c r="FF112" s="177">
        <v>1.0</v>
      </c>
      <c r="FG112" s="177">
        <v>0.0</v>
      </c>
      <c r="FH112" s="185">
        <f t="shared" si="22"/>
        <v>2</v>
      </c>
      <c r="FI112" s="185">
        <f t="shared" si="23"/>
        <v>0</v>
      </c>
      <c r="FJ112" s="177">
        <v>722.0</v>
      </c>
      <c r="FK112" s="177">
        <v>168.0</v>
      </c>
      <c r="FL112" s="177">
        <v>722.0</v>
      </c>
      <c r="FM112" s="177">
        <v>168.0</v>
      </c>
      <c r="FN112" s="210"/>
      <c r="FO112" s="210">
        <v>6.0</v>
      </c>
      <c r="FP112" s="188">
        <f t="shared" si="284"/>
        <v>6</v>
      </c>
      <c r="FQ112" s="211">
        <v>1.0</v>
      </c>
      <c r="FR112" s="212">
        <v>5.0</v>
      </c>
      <c r="FS112" s="335"/>
      <c r="FT112" s="293"/>
      <c r="FU112" s="207">
        <v>1.0</v>
      </c>
      <c r="FV112" s="207">
        <v>5.0</v>
      </c>
      <c r="FW112" s="293"/>
      <c r="FX112" s="293"/>
      <c r="FY112" s="293"/>
      <c r="FZ112" s="293"/>
      <c r="GA112" s="293"/>
      <c r="GB112" s="293"/>
      <c r="GC112" s="293"/>
      <c r="GD112" s="293"/>
      <c r="GE112" s="293"/>
      <c r="GF112" s="293"/>
      <c r="GG112" s="293"/>
      <c r="GH112" s="293"/>
      <c r="GI112" s="293"/>
      <c r="GJ112" s="293"/>
      <c r="GK112" s="212">
        <v>0.0</v>
      </c>
      <c r="GL112" s="212">
        <v>0.0</v>
      </c>
      <c r="GM112" s="207">
        <v>740.0</v>
      </c>
      <c r="GN112" s="207">
        <v>174.0</v>
      </c>
      <c r="GO112" s="213">
        <v>740.0</v>
      </c>
      <c r="GP112" s="213">
        <v>173.0</v>
      </c>
      <c r="GQ112" s="207"/>
      <c r="GR112" s="213">
        <v>6.0</v>
      </c>
      <c r="GS112" s="193">
        <v>1.0</v>
      </c>
      <c r="GT112" s="194">
        <f t="shared" si="25"/>
        <v>6</v>
      </c>
      <c r="GU112" s="194">
        <f t="shared" si="26"/>
        <v>1</v>
      </c>
      <c r="GV112" s="194">
        <f t="shared" si="27"/>
        <v>5</v>
      </c>
      <c r="GW112" s="207">
        <v>0.0</v>
      </c>
      <c r="GX112" s="207">
        <v>0.0</v>
      </c>
      <c r="GY112" s="207">
        <v>1.0</v>
      </c>
      <c r="GZ112" s="207">
        <v>5.0</v>
      </c>
      <c r="HA112" s="207">
        <v>0.0</v>
      </c>
      <c r="HB112" s="207">
        <v>0.0</v>
      </c>
      <c r="HC112" s="207">
        <v>0.0</v>
      </c>
      <c r="HD112" s="207">
        <v>0.0</v>
      </c>
      <c r="HE112" s="207">
        <v>0.0</v>
      </c>
      <c r="HF112" s="207">
        <v>0.0</v>
      </c>
      <c r="HG112" s="207">
        <v>0.0</v>
      </c>
      <c r="HH112" s="207">
        <v>0.0</v>
      </c>
      <c r="HI112" s="207">
        <v>0.0</v>
      </c>
      <c r="HJ112" s="207">
        <v>0.0</v>
      </c>
      <c r="HK112" s="207">
        <v>0.0</v>
      </c>
      <c r="HL112" s="207">
        <v>0.0</v>
      </c>
      <c r="HM112" s="207">
        <v>0.0</v>
      </c>
      <c r="HN112" s="207">
        <v>0.0</v>
      </c>
      <c r="HO112" s="222"/>
      <c r="HP112" s="222"/>
      <c r="HQ112" s="214"/>
      <c r="HR112" s="197"/>
      <c r="HS112" s="197"/>
      <c r="HT112" s="198">
        <f t="shared" si="28"/>
        <v>27</v>
      </c>
      <c r="HU112" s="198">
        <f t="shared" si="29"/>
        <v>19</v>
      </c>
      <c r="HV112" s="198">
        <f t="shared" si="30"/>
        <v>19</v>
      </c>
      <c r="HW112" s="198">
        <f t="shared" si="99"/>
        <v>11</v>
      </c>
      <c r="HX112" s="198">
        <f t="shared" si="32"/>
        <v>11</v>
      </c>
      <c r="HY112" s="198">
        <f t="shared" si="33"/>
        <v>23</v>
      </c>
      <c r="HZ112" s="198">
        <f t="shared" si="34"/>
        <v>12</v>
      </c>
      <c r="IA112" s="198">
        <f t="shared" si="35"/>
        <v>9</v>
      </c>
      <c r="IB112" s="198">
        <f t="shared" si="36"/>
        <v>7</v>
      </c>
      <c r="IC112" s="198">
        <f t="shared" si="37"/>
        <v>6</v>
      </c>
      <c r="ID112" s="198">
        <f t="shared" si="38"/>
        <v>6</v>
      </c>
      <c r="IE112" s="198">
        <f t="shared" si="39"/>
        <v>6</v>
      </c>
      <c r="IF112" s="197"/>
      <c r="IG112" s="197"/>
      <c r="IH112" s="197"/>
      <c r="II112" s="197"/>
      <c r="IJ112" s="197"/>
      <c r="IK112" s="197"/>
      <c r="IL112" s="197"/>
      <c r="IM112" s="197"/>
      <c r="IN112" s="197"/>
      <c r="IO112" s="197"/>
      <c r="IP112" s="197"/>
      <c r="IQ112" s="197"/>
      <c r="IR112" s="197"/>
      <c r="IS112" s="197"/>
      <c r="IT112" s="197"/>
      <c r="IU112" s="197"/>
      <c r="IV112" s="197"/>
      <c r="IW112" s="197"/>
      <c r="IX112" s="197"/>
      <c r="IY112" s="197"/>
      <c r="IZ112" s="197"/>
      <c r="JA112" s="199"/>
      <c r="JB112" s="200">
        <f t="shared" si="40"/>
        <v>27</v>
      </c>
      <c r="JC112" s="200">
        <f t="shared" si="41"/>
        <v>19</v>
      </c>
      <c r="JD112" s="200">
        <f t="shared" si="42"/>
        <v>19</v>
      </c>
      <c r="JE112" s="200">
        <f t="shared" si="43"/>
        <v>11</v>
      </c>
      <c r="JF112" s="200">
        <f t="shared" si="44"/>
        <v>11</v>
      </c>
      <c r="JG112" s="200">
        <f t="shared" si="45"/>
        <v>23</v>
      </c>
      <c r="JH112" s="200">
        <f t="shared" si="46"/>
        <v>12</v>
      </c>
      <c r="JI112" s="200">
        <f t="shared" si="47"/>
        <v>9</v>
      </c>
      <c r="JJ112" s="200">
        <f t="shared" si="48"/>
        <v>7</v>
      </c>
      <c r="JK112" s="200">
        <f t="shared" si="49"/>
        <v>7</v>
      </c>
      <c r="JL112" s="200">
        <f t="shared" si="50"/>
        <v>6</v>
      </c>
      <c r="JM112" s="200">
        <f t="shared" si="51"/>
        <v>6</v>
      </c>
      <c r="JN112" s="199"/>
      <c r="JO112" s="200">
        <f t="shared" si="52"/>
        <v>27</v>
      </c>
      <c r="JP112" s="202">
        <v>19.0</v>
      </c>
      <c r="JQ112" s="202">
        <v>19.0</v>
      </c>
      <c r="JR112" s="202">
        <v>11.0</v>
      </c>
      <c r="JS112" s="202">
        <v>11.0</v>
      </c>
      <c r="JT112" s="199"/>
      <c r="JU112" s="199"/>
      <c r="JV112" s="200">
        <f t="shared" ref="JV112:JX112" si="285">IA112-JI112</f>
        <v>0</v>
      </c>
      <c r="JW112" s="200">
        <f t="shared" si="285"/>
        <v>0</v>
      </c>
      <c r="JX112" s="200">
        <f t="shared" si="285"/>
        <v>-1</v>
      </c>
      <c r="JY112" s="199"/>
      <c r="JZ112" s="199"/>
      <c r="KA112" s="199"/>
      <c r="KB112" s="379">
        <f t="shared" ref="KB112:KM112" si="286">JB112-JO112</f>
        <v>0</v>
      </c>
      <c r="KC112" s="379">
        <f t="shared" si="286"/>
        <v>0</v>
      </c>
      <c r="KD112" s="379">
        <f t="shared" si="286"/>
        <v>0</v>
      </c>
      <c r="KE112" s="379">
        <f t="shared" si="286"/>
        <v>0</v>
      </c>
      <c r="KF112" s="379">
        <f t="shared" si="286"/>
        <v>0</v>
      </c>
      <c r="KG112" s="379">
        <f t="shared" si="286"/>
        <v>23</v>
      </c>
      <c r="KH112" s="379">
        <f t="shared" si="286"/>
        <v>12</v>
      </c>
      <c r="KI112" s="379">
        <f t="shared" si="286"/>
        <v>9</v>
      </c>
      <c r="KJ112" s="379">
        <f t="shared" si="286"/>
        <v>7</v>
      </c>
      <c r="KK112" s="379">
        <f t="shared" si="286"/>
        <v>8</v>
      </c>
      <c r="KL112" s="379">
        <f t="shared" si="286"/>
        <v>6</v>
      </c>
      <c r="KM112" s="379">
        <f t="shared" si="286"/>
        <v>6</v>
      </c>
      <c r="KN112" s="199"/>
      <c r="KO112" s="199"/>
      <c r="KP112" s="199"/>
      <c r="KQ112" s="199"/>
      <c r="KR112" s="199"/>
      <c r="KS112" s="199"/>
      <c r="KT112" s="199"/>
      <c r="KU112" s="199"/>
      <c r="KV112" s="199"/>
      <c r="KW112" s="199"/>
      <c r="KX112" s="199"/>
      <c r="KY112" s="199"/>
      <c r="KZ112" s="199"/>
      <c r="LA112" s="199"/>
      <c r="LB112" s="199"/>
      <c r="LC112" s="199"/>
      <c r="LD112" s="199"/>
      <c r="LE112" s="199"/>
      <c r="LF112" s="199"/>
      <c r="LG112" s="199"/>
    </row>
    <row r="113" ht="14.25" customHeight="1">
      <c r="A113" s="156">
        <v>106.0</v>
      </c>
      <c r="B113" s="264" t="s">
        <v>206</v>
      </c>
      <c r="C113" s="265">
        <v>3374030.0</v>
      </c>
      <c r="D113" s="265" t="s">
        <v>210</v>
      </c>
      <c r="E113" s="265" t="s">
        <v>211</v>
      </c>
      <c r="F113" s="267">
        <v>9.0</v>
      </c>
      <c r="G113" s="383">
        <v>275.0</v>
      </c>
      <c r="H113" s="384">
        <v>12.0</v>
      </c>
      <c r="I113" s="202">
        <v>0.0</v>
      </c>
      <c r="J113" s="202">
        <v>0.0</v>
      </c>
      <c r="K113" s="202">
        <v>4.0</v>
      </c>
      <c r="L113" s="202">
        <v>8.0</v>
      </c>
      <c r="M113" s="202">
        <v>1.0</v>
      </c>
      <c r="N113" s="202">
        <v>3.0</v>
      </c>
      <c r="O113" s="162">
        <f t="shared" si="213"/>
        <v>8</v>
      </c>
      <c r="P113" s="203">
        <v>12.0</v>
      </c>
      <c r="Q113" s="269">
        <v>0.0</v>
      </c>
      <c r="R113" s="269">
        <v>1.0</v>
      </c>
      <c r="S113" s="269">
        <v>4.0</v>
      </c>
      <c r="T113" s="270">
        <v>7.0</v>
      </c>
      <c r="U113" s="270">
        <v>0.0</v>
      </c>
      <c r="V113" s="270">
        <v>0.0</v>
      </c>
      <c r="W113" s="166">
        <f t="shared" si="225"/>
        <v>12</v>
      </c>
      <c r="X113" s="203">
        <v>12.0</v>
      </c>
      <c r="Y113" s="270">
        <v>0.0</v>
      </c>
      <c r="Z113" s="270">
        <v>0.0</v>
      </c>
      <c r="AA113" s="270">
        <v>3.0</v>
      </c>
      <c r="AB113" s="270">
        <v>9.0</v>
      </c>
      <c r="AC113" s="270">
        <v>0.0</v>
      </c>
      <c r="AD113" s="270">
        <v>0.0</v>
      </c>
      <c r="AE113" s="166">
        <f t="shared" si="214"/>
        <v>12</v>
      </c>
      <c r="AF113" s="167">
        <v>11.0</v>
      </c>
      <c r="AG113" s="270">
        <v>0.0</v>
      </c>
      <c r="AH113" s="270">
        <v>1.0</v>
      </c>
      <c r="AI113" s="270">
        <v>4.0</v>
      </c>
      <c r="AJ113" s="270">
        <v>6.0</v>
      </c>
      <c r="AK113" s="270">
        <v>0.0</v>
      </c>
      <c r="AL113" s="270">
        <v>0.0</v>
      </c>
      <c r="AM113" s="166">
        <f t="shared" si="215"/>
        <v>11</v>
      </c>
      <c r="AN113" s="167">
        <v>10.0</v>
      </c>
      <c r="AO113" s="270">
        <v>0.0</v>
      </c>
      <c r="AP113" s="270">
        <v>0.0</v>
      </c>
      <c r="AQ113" s="270">
        <v>2.0</v>
      </c>
      <c r="AR113" s="270">
        <v>8.0</v>
      </c>
      <c r="AS113" s="270">
        <v>0.0</v>
      </c>
      <c r="AT113" s="270">
        <v>0.0</v>
      </c>
      <c r="AU113" s="168">
        <f t="shared" si="216"/>
        <v>10</v>
      </c>
      <c r="AV113" s="169">
        <v>261.0</v>
      </c>
      <c r="AW113" s="204">
        <f t="shared" si="8"/>
        <v>11</v>
      </c>
      <c r="AX113" s="169">
        <v>0.0</v>
      </c>
      <c r="AY113" s="169">
        <v>0.0</v>
      </c>
      <c r="AZ113" s="169">
        <v>3.0</v>
      </c>
      <c r="BA113" s="169">
        <v>8.0</v>
      </c>
      <c r="BB113" s="169">
        <v>0.0</v>
      </c>
      <c r="BC113" s="169">
        <v>0.0</v>
      </c>
      <c r="BD113" s="169">
        <v>0.0</v>
      </c>
      <c r="BE113" s="169">
        <v>0.0</v>
      </c>
      <c r="BF113" s="169">
        <v>0.0</v>
      </c>
      <c r="BG113" s="169">
        <v>0.0</v>
      </c>
      <c r="BH113" s="169">
        <v>0.0</v>
      </c>
      <c r="BI113" s="169">
        <v>0.0</v>
      </c>
      <c r="BJ113" s="169">
        <v>0.0</v>
      </c>
      <c r="BK113" s="169">
        <v>0.0</v>
      </c>
      <c r="BL113" s="169">
        <v>1.0</v>
      </c>
      <c r="BM113" s="169">
        <v>0.0</v>
      </c>
      <c r="BN113" s="169">
        <v>0.0</v>
      </c>
      <c r="BO113" s="169">
        <v>0.0</v>
      </c>
      <c r="BP113" s="205">
        <f t="shared" si="131"/>
        <v>1</v>
      </c>
      <c r="BQ113" s="385">
        <v>279.0</v>
      </c>
      <c r="BR113" s="170">
        <f t="shared" si="10"/>
        <v>11</v>
      </c>
      <c r="BS113" s="385">
        <v>0.0</v>
      </c>
      <c r="BT113" s="385">
        <v>0.0</v>
      </c>
      <c r="BU113" s="385">
        <v>2.0</v>
      </c>
      <c r="BV113" s="385">
        <v>8.0</v>
      </c>
      <c r="BW113" s="385">
        <v>1.0</v>
      </c>
      <c r="BX113" s="385">
        <v>0.0</v>
      </c>
      <c r="BY113" s="385">
        <v>0.0</v>
      </c>
      <c r="BZ113" s="385">
        <v>0.0</v>
      </c>
      <c r="CA113" s="385">
        <v>0.0</v>
      </c>
      <c r="CB113" s="385">
        <v>0.0</v>
      </c>
      <c r="CC113" s="385">
        <v>0.0</v>
      </c>
      <c r="CD113" s="386">
        <v>0.0</v>
      </c>
      <c r="CE113" s="385">
        <v>0.0</v>
      </c>
      <c r="CF113" s="385">
        <v>0.0</v>
      </c>
      <c r="CG113" s="385">
        <v>0.0</v>
      </c>
      <c r="CH113" s="385">
        <v>0.0</v>
      </c>
      <c r="CI113" s="385">
        <v>0.0</v>
      </c>
      <c r="CJ113" s="385">
        <v>0.0</v>
      </c>
      <c r="CK113" s="172">
        <f t="shared" si="132"/>
        <v>0</v>
      </c>
      <c r="CL113" s="173">
        <v>263.0</v>
      </c>
      <c r="CM113" s="173">
        <v>87.0</v>
      </c>
      <c r="CN113" s="175">
        <f t="shared" si="12"/>
        <v>20</v>
      </c>
      <c r="CO113" s="387"/>
      <c r="CP113" s="388"/>
      <c r="CQ113" s="389">
        <v>1.0</v>
      </c>
      <c r="CR113" s="390">
        <v>8.0</v>
      </c>
      <c r="CS113" s="387"/>
      <c r="CT113" s="388"/>
      <c r="CU113" s="389">
        <v>3.0</v>
      </c>
      <c r="CV113" s="390">
        <v>8.0</v>
      </c>
      <c r="CW113" s="391">
        <v>0.0</v>
      </c>
      <c r="CX113" s="389">
        <v>0.0</v>
      </c>
      <c r="CY113" s="389">
        <v>1.0</v>
      </c>
      <c r="CZ113" s="390">
        <v>0.0</v>
      </c>
      <c r="DA113" s="173">
        <v>0.0</v>
      </c>
      <c r="DB113" s="173">
        <v>0.0</v>
      </c>
      <c r="DC113" s="173">
        <v>0.0</v>
      </c>
      <c r="DD113" s="173">
        <v>0.0</v>
      </c>
      <c r="DE113" s="173">
        <v>0.0</v>
      </c>
      <c r="DF113" s="173">
        <v>0.0</v>
      </c>
      <c r="DG113" s="176">
        <f t="shared" si="13"/>
        <v>1</v>
      </c>
      <c r="DH113" s="177">
        <v>286.0</v>
      </c>
      <c r="DI113" s="177">
        <v>112.0</v>
      </c>
      <c r="DJ113" s="178">
        <v>268.0</v>
      </c>
      <c r="DK113" s="178">
        <v>104.0</v>
      </c>
      <c r="DL113" s="179">
        <f t="shared" si="14"/>
        <v>19</v>
      </c>
      <c r="DM113" s="180">
        <f t="shared" si="15"/>
        <v>5</v>
      </c>
      <c r="DN113" s="180">
        <f t="shared" si="16"/>
        <v>14</v>
      </c>
      <c r="DO113" s="177">
        <v>0.0</v>
      </c>
      <c r="DP113" s="177">
        <v>0.0</v>
      </c>
      <c r="DQ113" s="177">
        <v>4.0</v>
      </c>
      <c r="DR113" s="177">
        <v>13.0</v>
      </c>
      <c r="DS113" s="177">
        <v>1.0</v>
      </c>
      <c r="DT113" s="177">
        <v>0.0</v>
      </c>
      <c r="DU113" s="177">
        <v>0.0</v>
      </c>
      <c r="DV113" s="177">
        <v>1.0</v>
      </c>
      <c r="DW113" s="177">
        <v>0.0</v>
      </c>
      <c r="DX113" s="177">
        <v>0.0</v>
      </c>
      <c r="DY113" s="177">
        <v>0.0</v>
      </c>
      <c r="DZ113" s="177">
        <v>3.0</v>
      </c>
      <c r="EA113" s="177">
        <v>0.0</v>
      </c>
      <c r="EB113" s="177">
        <v>0.0</v>
      </c>
      <c r="EC113" s="177">
        <v>0.0</v>
      </c>
      <c r="ED113" s="177">
        <v>0.0</v>
      </c>
      <c r="EE113" s="177">
        <v>0.0</v>
      </c>
      <c r="EF113" s="177">
        <v>0.0</v>
      </c>
      <c r="EG113" s="179">
        <f t="shared" si="17"/>
        <v>3</v>
      </c>
      <c r="EH113" s="179">
        <f t="shared" si="18"/>
        <v>0</v>
      </c>
      <c r="EI113" s="177">
        <v>312.0</v>
      </c>
      <c r="EJ113" s="177">
        <v>119.0</v>
      </c>
      <c r="EK113" s="178">
        <v>287.0</v>
      </c>
      <c r="EL113" s="178">
        <v>116.0</v>
      </c>
      <c r="EM113" s="185">
        <f t="shared" si="283"/>
        <v>18</v>
      </c>
      <c r="EN113" s="186">
        <f t="shared" si="202"/>
        <v>4</v>
      </c>
      <c r="EO113" s="186">
        <f t="shared" si="90"/>
        <v>14</v>
      </c>
      <c r="EP113" s="392">
        <v>0.0</v>
      </c>
      <c r="EQ113" s="392">
        <v>1.0</v>
      </c>
      <c r="ER113" s="392">
        <v>3.0</v>
      </c>
      <c r="ES113" s="392">
        <v>13.0</v>
      </c>
      <c r="ET113" s="392">
        <v>0.0</v>
      </c>
      <c r="EU113" s="392">
        <v>0.0</v>
      </c>
      <c r="EV113" s="392">
        <v>0.0</v>
      </c>
      <c r="EW113" s="392">
        <v>1.0</v>
      </c>
      <c r="EX113" s="392">
        <v>0.0</v>
      </c>
      <c r="EY113" s="392">
        <v>0.0</v>
      </c>
      <c r="EZ113" s="392">
        <v>0.0</v>
      </c>
      <c r="FA113" s="392">
        <v>2.0</v>
      </c>
      <c r="FB113" s="392">
        <v>0.0</v>
      </c>
      <c r="FC113" s="392">
        <v>0.0</v>
      </c>
      <c r="FD113" s="392">
        <v>0.0</v>
      </c>
      <c r="FE113" s="392">
        <v>0.0</v>
      </c>
      <c r="FF113" s="392">
        <v>0.0</v>
      </c>
      <c r="FG113" s="392">
        <v>0.0</v>
      </c>
      <c r="FH113" s="185">
        <f t="shared" si="22"/>
        <v>2</v>
      </c>
      <c r="FI113" s="185">
        <f t="shared" si="23"/>
        <v>0</v>
      </c>
      <c r="FJ113" s="177">
        <v>332.0</v>
      </c>
      <c r="FK113" s="177">
        <v>124.0</v>
      </c>
      <c r="FL113" s="177">
        <v>291.0</v>
      </c>
      <c r="FM113" s="177">
        <v>111.0</v>
      </c>
      <c r="FN113" s="210"/>
      <c r="FO113" s="210">
        <v>15.0</v>
      </c>
      <c r="FP113" s="188">
        <f t="shared" si="284"/>
        <v>15</v>
      </c>
      <c r="FQ113" s="211">
        <v>4.0</v>
      </c>
      <c r="FR113" s="212">
        <v>11.0</v>
      </c>
      <c r="FS113" s="206">
        <v>0.0</v>
      </c>
      <c r="FT113" s="207">
        <v>0.0</v>
      </c>
      <c r="FU113" s="207">
        <v>3.0</v>
      </c>
      <c r="FV113" s="207">
        <v>11.0</v>
      </c>
      <c r="FW113" s="207">
        <v>0.0</v>
      </c>
      <c r="FX113" s="207">
        <v>0.0</v>
      </c>
      <c r="FY113" s="207">
        <v>1.0</v>
      </c>
      <c r="FZ113" s="207">
        <v>0.0</v>
      </c>
      <c r="GA113" s="207">
        <v>1.0</v>
      </c>
      <c r="GB113" s="207">
        <v>0.0</v>
      </c>
      <c r="GC113" s="207">
        <v>0.0</v>
      </c>
      <c r="GD113" s="207">
        <v>1.0</v>
      </c>
      <c r="GE113" s="207">
        <v>0.0</v>
      </c>
      <c r="GF113" s="207">
        <v>0.0</v>
      </c>
      <c r="GG113" s="207">
        <v>0.0</v>
      </c>
      <c r="GH113" s="207">
        <v>0.0</v>
      </c>
      <c r="GI113" s="207">
        <v>2.0</v>
      </c>
      <c r="GJ113" s="207">
        <v>0.0</v>
      </c>
      <c r="GK113" s="212">
        <v>4.0</v>
      </c>
      <c r="GL113" s="212">
        <v>1.0</v>
      </c>
      <c r="GM113" s="207">
        <v>328.0</v>
      </c>
      <c r="GN113" s="207">
        <v>117.0</v>
      </c>
      <c r="GO113" s="213">
        <v>309.0</v>
      </c>
      <c r="GP113" s="213">
        <v>108.0</v>
      </c>
      <c r="GQ113" s="207"/>
      <c r="GR113" s="213">
        <v>15.0</v>
      </c>
      <c r="GS113" s="193">
        <v>4.0</v>
      </c>
      <c r="GT113" s="194">
        <f t="shared" si="25"/>
        <v>15</v>
      </c>
      <c r="GU113" s="194">
        <f t="shared" si="26"/>
        <v>4</v>
      </c>
      <c r="GV113" s="194">
        <f t="shared" si="27"/>
        <v>11</v>
      </c>
      <c r="GW113" s="393">
        <v>0.0</v>
      </c>
      <c r="GX113" s="393">
        <v>0.0</v>
      </c>
      <c r="GY113" s="393">
        <v>4.0</v>
      </c>
      <c r="GZ113" s="393">
        <v>11.0</v>
      </c>
      <c r="HA113" s="393">
        <v>0.0</v>
      </c>
      <c r="HB113" s="393">
        <v>0.0</v>
      </c>
      <c r="HC113" s="393">
        <v>0.0</v>
      </c>
      <c r="HD113" s="393">
        <v>0.0</v>
      </c>
      <c r="HE113" s="393">
        <v>0.0</v>
      </c>
      <c r="HF113" s="393">
        <v>0.0</v>
      </c>
      <c r="HG113" s="393">
        <v>0.0</v>
      </c>
      <c r="HH113" s="393">
        <v>0.0</v>
      </c>
      <c r="HI113" s="393">
        <v>0.0</v>
      </c>
      <c r="HJ113" s="393">
        <v>0.0</v>
      </c>
      <c r="HK113" s="393">
        <v>0.0</v>
      </c>
      <c r="HL113" s="393">
        <v>0.0</v>
      </c>
      <c r="HM113" s="393">
        <v>0.0</v>
      </c>
      <c r="HN113" s="393">
        <v>0.0</v>
      </c>
      <c r="HO113" s="222"/>
      <c r="HP113" s="222"/>
      <c r="HQ113" s="214"/>
      <c r="HR113" s="197"/>
      <c r="HS113" s="197"/>
      <c r="HT113" s="198">
        <f t="shared" si="28"/>
        <v>12</v>
      </c>
      <c r="HU113" s="198">
        <f t="shared" si="29"/>
        <v>12</v>
      </c>
      <c r="HV113" s="198">
        <f t="shared" si="30"/>
        <v>12</v>
      </c>
      <c r="HW113" s="198">
        <f t="shared" si="99"/>
        <v>11</v>
      </c>
      <c r="HX113" s="198">
        <f t="shared" si="32"/>
        <v>10</v>
      </c>
      <c r="HY113" s="198">
        <f t="shared" si="33"/>
        <v>11</v>
      </c>
      <c r="HZ113" s="198">
        <f t="shared" si="34"/>
        <v>11</v>
      </c>
      <c r="IA113" s="198">
        <f t="shared" si="35"/>
        <v>20</v>
      </c>
      <c r="IB113" s="198">
        <f t="shared" si="36"/>
        <v>19</v>
      </c>
      <c r="IC113" s="198">
        <f t="shared" si="37"/>
        <v>18</v>
      </c>
      <c r="ID113" s="198">
        <f t="shared" si="38"/>
        <v>15</v>
      </c>
      <c r="IE113" s="198">
        <f t="shared" si="39"/>
        <v>15</v>
      </c>
      <c r="IF113" s="197"/>
      <c r="IG113" s="197"/>
      <c r="IH113" s="197"/>
      <c r="II113" s="197"/>
      <c r="IJ113" s="197"/>
      <c r="IK113" s="197"/>
      <c r="IL113" s="197"/>
      <c r="IM113" s="197"/>
      <c r="IN113" s="197"/>
      <c r="IO113" s="197"/>
      <c r="IP113" s="197"/>
      <c r="IQ113" s="197"/>
      <c r="IR113" s="197"/>
      <c r="IS113" s="197"/>
      <c r="IT113" s="197"/>
      <c r="IU113" s="197"/>
      <c r="IV113" s="197"/>
      <c r="IW113" s="197"/>
      <c r="IX113" s="197"/>
      <c r="IY113" s="197"/>
      <c r="IZ113" s="197"/>
      <c r="JA113" s="394"/>
      <c r="JB113" s="395">
        <f t="shared" si="40"/>
        <v>12</v>
      </c>
      <c r="JC113" s="395">
        <f t="shared" si="41"/>
        <v>12</v>
      </c>
      <c r="JD113" s="395">
        <f t="shared" si="42"/>
        <v>12</v>
      </c>
      <c r="JE113" s="395">
        <f t="shared" si="43"/>
        <v>11</v>
      </c>
      <c r="JF113" s="395">
        <f t="shared" si="44"/>
        <v>10</v>
      </c>
      <c r="JG113" s="200">
        <f t="shared" si="45"/>
        <v>11</v>
      </c>
      <c r="JH113" s="200">
        <f t="shared" si="46"/>
        <v>11</v>
      </c>
      <c r="JI113" s="200">
        <f t="shared" si="47"/>
        <v>20</v>
      </c>
      <c r="JJ113" s="200">
        <f t="shared" si="48"/>
        <v>19</v>
      </c>
      <c r="JK113" s="200">
        <f t="shared" si="49"/>
        <v>20</v>
      </c>
      <c r="JL113" s="200">
        <f t="shared" si="50"/>
        <v>15</v>
      </c>
      <c r="JM113" s="200">
        <f t="shared" si="51"/>
        <v>15</v>
      </c>
      <c r="JN113" s="394"/>
      <c r="JO113" s="395">
        <f t="shared" si="52"/>
        <v>12</v>
      </c>
      <c r="JP113" s="202">
        <v>12.0</v>
      </c>
      <c r="JQ113" s="202">
        <v>12.0</v>
      </c>
      <c r="JR113" s="202">
        <v>11.0</v>
      </c>
      <c r="JS113" s="202">
        <v>10.0</v>
      </c>
      <c r="JT113" s="394"/>
      <c r="JU113" s="394"/>
      <c r="JV113" s="200">
        <f t="shared" ref="JV113:JX113" si="287">IA113-JI113</f>
        <v>0</v>
      </c>
      <c r="JW113" s="200">
        <f t="shared" si="287"/>
        <v>0</v>
      </c>
      <c r="JX113" s="200">
        <f t="shared" si="287"/>
        <v>-2</v>
      </c>
      <c r="JY113" s="394"/>
      <c r="JZ113" s="394"/>
      <c r="KA113" s="394"/>
      <c r="KB113" s="395">
        <f t="shared" ref="KB113:KM113" si="288">JB113-JO113</f>
        <v>0</v>
      </c>
      <c r="KC113" s="395">
        <f t="shared" si="288"/>
        <v>0</v>
      </c>
      <c r="KD113" s="395">
        <f t="shared" si="288"/>
        <v>0</v>
      </c>
      <c r="KE113" s="395">
        <f t="shared" si="288"/>
        <v>0</v>
      </c>
      <c r="KF113" s="395">
        <f t="shared" si="288"/>
        <v>0</v>
      </c>
      <c r="KG113" s="395">
        <f t="shared" si="288"/>
        <v>11</v>
      </c>
      <c r="KH113" s="200">
        <f t="shared" si="288"/>
        <v>11</v>
      </c>
      <c r="KI113" s="200">
        <f t="shared" si="288"/>
        <v>20</v>
      </c>
      <c r="KJ113" s="200">
        <f t="shared" si="288"/>
        <v>19</v>
      </c>
      <c r="KK113" s="200">
        <f t="shared" si="288"/>
        <v>22</v>
      </c>
      <c r="KL113" s="200">
        <f t="shared" si="288"/>
        <v>15</v>
      </c>
      <c r="KM113" s="200">
        <f t="shared" si="288"/>
        <v>15</v>
      </c>
      <c r="KN113" s="394"/>
      <c r="KO113" s="394"/>
      <c r="KP113" s="394"/>
      <c r="KQ113" s="394"/>
      <c r="KR113" s="394"/>
      <c r="KS113" s="394"/>
      <c r="KT113" s="394"/>
      <c r="KU113" s="394"/>
      <c r="KV113" s="394"/>
      <c r="KW113" s="394"/>
      <c r="KX113" s="394"/>
      <c r="KY113" s="394"/>
      <c r="KZ113" s="394"/>
      <c r="LA113" s="394"/>
      <c r="LB113" s="394"/>
      <c r="LC113" s="394"/>
      <c r="LD113" s="394"/>
      <c r="LE113" s="394"/>
      <c r="LF113" s="394"/>
      <c r="LG113" s="394"/>
    </row>
    <row r="114" ht="14.25" customHeight="1">
      <c r="A114" s="156">
        <v>107.0</v>
      </c>
      <c r="B114" s="264" t="s">
        <v>206</v>
      </c>
      <c r="C114" s="265">
        <v>3374030.0</v>
      </c>
      <c r="D114" s="265" t="s">
        <v>210</v>
      </c>
      <c r="E114" s="265" t="s">
        <v>212</v>
      </c>
      <c r="F114" s="267">
        <v>8.0</v>
      </c>
      <c r="G114" s="383">
        <v>406.0</v>
      </c>
      <c r="H114" s="384">
        <v>3.0</v>
      </c>
      <c r="I114" s="202">
        <v>0.0</v>
      </c>
      <c r="J114" s="202">
        <v>0.0</v>
      </c>
      <c r="K114" s="267">
        <v>0.0</v>
      </c>
      <c r="L114" s="267">
        <v>3.0</v>
      </c>
      <c r="M114" s="202">
        <v>0.0</v>
      </c>
      <c r="N114" s="202">
        <v>0.0</v>
      </c>
      <c r="O114" s="162">
        <f t="shared" si="213"/>
        <v>3</v>
      </c>
      <c r="P114" s="203">
        <v>3.0</v>
      </c>
      <c r="Q114" s="269">
        <v>0.0</v>
      </c>
      <c r="R114" s="269">
        <v>0.0</v>
      </c>
      <c r="S114" s="269">
        <v>0.0</v>
      </c>
      <c r="T114" s="270">
        <v>3.0</v>
      </c>
      <c r="U114" s="270">
        <v>0.0</v>
      </c>
      <c r="V114" s="270">
        <v>0.0</v>
      </c>
      <c r="W114" s="166">
        <f t="shared" si="225"/>
        <v>3</v>
      </c>
      <c r="X114" s="203">
        <v>3.0</v>
      </c>
      <c r="Y114" s="270">
        <v>0.0</v>
      </c>
      <c r="Z114" s="270">
        <v>0.0</v>
      </c>
      <c r="AA114" s="270">
        <v>0.0</v>
      </c>
      <c r="AB114" s="270">
        <v>3.0</v>
      </c>
      <c r="AC114" s="270">
        <v>0.0</v>
      </c>
      <c r="AD114" s="270">
        <v>0.0</v>
      </c>
      <c r="AE114" s="166">
        <f t="shared" si="214"/>
        <v>3</v>
      </c>
      <c r="AF114" s="167">
        <v>3.0</v>
      </c>
      <c r="AG114" s="270">
        <v>0.0</v>
      </c>
      <c r="AH114" s="270">
        <v>0.0</v>
      </c>
      <c r="AI114" s="270">
        <v>0.0</v>
      </c>
      <c r="AJ114" s="270">
        <v>3.0</v>
      </c>
      <c r="AK114" s="270">
        <v>0.0</v>
      </c>
      <c r="AL114" s="270">
        <v>0.0</v>
      </c>
      <c r="AM114" s="166">
        <f t="shared" si="215"/>
        <v>3</v>
      </c>
      <c r="AN114" s="167">
        <v>3.0</v>
      </c>
      <c r="AO114" s="270">
        <v>0.0</v>
      </c>
      <c r="AP114" s="270">
        <v>0.0</v>
      </c>
      <c r="AQ114" s="270">
        <v>0.0</v>
      </c>
      <c r="AR114" s="270">
        <v>3.0</v>
      </c>
      <c r="AS114" s="270">
        <v>0.0</v>
      </c>
      <c r="AT114" s="270">
        <v>0.0</v>
      </c>
      <c r="AU114" s="168">
        <f t="shared" si="216"/>
        <v>3</v>
      </c>
      <c r="AV114" s="169">
        <v>380.0</v>
      </c>
      <c r="AW114" s="204">
        <f t="shared" si="8"/>
        <v>3</v>
      </c>
      <c r="AX114" s="169">
        <v>0.0</v>
      </c>
      <c r="AY114" s="169">
        <v>0.0</v>
      </c>
      <c r="AZ114" s="169">
        <v>0.0</v>
      </c>
      <c r="BA114" s="169">
        <v>3.0</v>
      </c>
      <c r="BB114" s="169">
        <v>0.0</v>
      </c>
      <c r="BC114" s="169">
        <v>0.0</v>
      </c>
      <c r="BD114" s="169">
        <v>0.0</v>
      </c>
      <c r="BE114" s="169">
        <v>0.0</v>
      </c>
      <c r="BF114" s="169">
        <v>0.0</v>
      </c>
      <c r="BG114" s="169">
        <v>0.0</v>
      </c>
      <c r="BH114" s="169">
        <v>0.0</v>
      </c>
      <c r="BI114" s="169">
        <v>1.0</v>
      </c>
      <c r="BJ114" s="169">
        <v>0.0</v>
      </c>
      <c r="BK114" s="169">
        <v>0.0</v>
      </c>
      <c r="BL114" s="169">
        <v>0.0</v>
      </c>
      <c r="BM114" s="169">
        <v>0.0</v>
      </c>
      <c r="BN114" s="169">
        <v>0.0</v>
      </c>
      <c r="BO114" s="169">
        <v>0.0</v>
      </c>
      <c r="BP114" s="205">
        <f t="shared" si="131"/>
        <v>1</v>
      </c>
      <c r="BQ114" s="385">
        <v>415.0</v>
      </c>
      <c r="BR114" s="170">
        <f t="shared" si="10"/>
        <v>4</v>
      </c>
      <c r="BS114" s="385">
        <v>0.0</v>
      </c>
      <c r="BT114" s="385">
        <v>0.0</v>
      </c>
      <c r="BU114" s="385">
        <v>0.0</v>
      </c>
      <c r="BV114" s="385">
        <v>3.0</v>
      </c>
      <c r="BW114" s="385">
        <v>0.0</v>
      </c>
      <c r="BX114" s="385">
        <v>0.0</v>
      </c>
      <c r="BY114" s="385">
        <v>0.0</v>
      </c>
      <c r="BZ114" s="385">
        <v>1.0</v>
      </c>
      <c r="CA114" s="385">
        <v>0.0</v>
      </c>
      <c r="CB114" s="385">
        <v>0.0</v>
      </c>
      <c r="CC114" s="385">
        <v>0.0</v>
      </c>
      <c r="CD114" s="386">
        <v>0.0</v>
      </c>
      <c r="CE114" s="385">
        <v>0.0</v>
      </c>
      <c r="CF114" s="385">
        <v>0.0</v>
      </c>
      <c r="CG114" s="385">
        <v>0.0</v>
      </c>
      <c r="CH114" s="385">
        <v>0.0</v>
      </c>
      <c r="CI114" s="385">
        <v>0.0</v>
      </c>
      <c r="CJ114" s="385">
        <v>0.0</v>
      </c>
      <c r="CK114" s="172">
        <f t="shared" si="132"/>
        <v>0</v>
      </c>
      <c r="CL114" s="173">
        <v>429.0</v>
      </c>
      <c r="CM114" s="173">
        <v>116.0</v>
      </c>
      <c r="CN114" s="175">
        <f t="shared" si="12"/>
        <v>13</v>
      </c>
      <c r="CO114" s="387"/>
      <c r="CP114" s="388"/>
      <c r="CQ114" s="389">
        <v>1.0</v>
      </c>
      <c r="CR114" s="390">
        <v>3.0</v>
      </c>
      <c r="CS114" s="391">
        <v>1.0</v>
      </c>
      <c r="CT114" s="388"/>
      <c r="CU114" s="388"/>
      <c r="CV114" s="390">
        <v>8.0</v>
      </c>
      <c r="CW114" s="391">
        <v>0.0</v>
      </c>
      <c r="CX114" s="389">
        <v>0.0</v>
      </c>
      <c r="CY114" s="389">
        <v>0.0</v>
      </c>
      <c r="CZ114" s="390">
        <v>0.0</v>
      </c>
      <c r="DA114" s="391">
        <v>0.0</v>
      </c>
      <c r="DB114" s="389">
        <v>0.0</v>
      </c>
      <c r="DC114" s="389">
        <v>0.0</v>
      </c>
      <c r="DD114" s="390">
        <v>0.0</v>
      </c>
      <c r="DE114" s="173">
        <v>0.0</v>
      </c>
      <c r="DF114" s="173">
        <v>0.0</v>
      </c>
      <c r="DG114" s="176">
        <f t="shared" si="13"/>
        <v>0</v>
      </c>
      <c r="DH114" s="177">
        <v>417.0</v>
      </c>
      <c r="DI114" s="177">
        <v>139.0</v>
      </c>
      <c r="DJ114" s="178">
        <v>344.0</v>
      </c>
      <c r="DK114" s="178">
        <v>120.0</v>
      </c>
      <c r="DL114" s="179">
        <f t="shared" si="14"/>
        <v>9</v>
      </c>
      <c r="DM114" s="180">
        <f t="shared" si="15"/>
        <v>2</v>
      </c>
      <c r="DN114" s="180">
        <f t="shared" si="16"/>
        <v>7</v>
      </c>
      <c r="DO114" s="177">
        <v>1.0</v>
      </c>
      <c r="DP114" s="177">
        <v>0.0</v>
      </c>
      <c r="DQ114" s="177">
        <v>1.0</v>
      </c>
      <c r="DR114" s="177">
        <v>7.0</v>
      </c>
      <c r="DS114" s="177">
        <v>0.0</v>
      </c>
      <c r="DT114" s="177">
        <v>0.0</v>
      </c>
      <c r="DU114" s="177">
        <v>0.0</v>
      </c>
      <c r="DV114" s="177">
        <v>0.0</v>
      </c>
      <c r="DW114" s="177">
        <v>0.0</v>
      </c>
      <c r="DX114" s="177">
        <v>0.0</v>
      </c>
      <c r="DY114" s="177">
        <v>0.0</v>
      </c>
      <c r="DZ114" s="177">
        <v>2.0</v>
      </c>
      <c r="EA114" s="177">
        <v>0.0</v>
      </c>
      <c r="EB114" s="177">
        <v>0.0</v>
      </c>
      <c r="EC114" s="177">
        <v>0.0</v>
      </c>
      <c r="ED114" s="177">
        <v>1.0</v>
      </c>
      <c r="EE114" s="177">
        <v>0.0</v>
      </c>
      <c r="EF114" s="177">
        <v>0.0</v>
      </c>
      <c r="EG114" s="179">
        <f t="shared" si="17"/>
        <v>3</v>
      </c>
      <c r="EH114" s="179">
        <f t="shared" si="18"/>
        <v>0</v>
      </c>
      <c r="EI114" s="177">
        <v>398.0</v>
      </c>
      <c r="EJ114" s="177">
        <v>128.0</v>
      </c>
      <c r="EK114" s="178">
        <v>348.0</v>
      </c>
      <c r="EL114" s="178">
        <v>106.0</v>
      </c>
      <c r="EM114" s="185">
        <f t="shared" si="283"/>
        <v>7</v>
      </c>
      <c r="EN114" s="186">
        <f t="shared" si="202"/>
        <v>1</v>
      </c>
      <c r="EO114" s="186">
        <f t="shared" si="90"/>
        <v>6</v>
      </c>
      <c r="EP114" s="392">
        <v>1.0</v>
      </c>
      <c r="EQ114" s="392">
        <v>0.0</v>
      </c>
      <c r="ER114" s="392">
        <v>0.0</v>
      </c>
      <c r="ES114" s="392">
        <v>6.0</v>
      </c>
      <c r="ET114" s="392">
        <v>0.0</v>
      </c>
      <c r="EU114" s="392">
        <v>0.0</v>
      </c>
      <c r="EV114" s="392">
        <v>0.0</v>
      </c>
      <c r="EW114" s="392">
        <v>0.0</v>
      </c>
      <c r="EX114" s="392">
        <v>0.0</v>
      </c>
      <c r="EY114" s="392">
        <v>0.0</v>
      </c>
      <c r="EZ114" s="392">
        <v>1.0</v>
      </c>
      <c r="FA114" s="392">
        <v>0.0</v>
      </c>
      <c r="FB114" s="392">
        <v>0.0</v>
      </c>
      <c r="FC114" s="392">
        <v>0.0</v>
      </c>
      <c r="FD114" s="392">
        <v>0.0</v>
      </c>
      <c r="FE114" s="392">
        <v>1.0</v>
      </c>
      <c r="FF114" s="392">
        <v>0.0</v>
      </c>
      <c r="FG114" s="392">
        <v>0.0</v>
      </c>
      <c r="FH114" s="185">
        <f t="shared" si="22"/>
        <v>2</v>
      </c>
      <c r="FI114" s="185">
        <f t="shared" si="23"/>
        <v>1</v>
      </c>
      <c r="FJ114" s="177">
        <v>388.0</v>
      </c>
      <c r="FK114" s="177">
        <v>122.0</v>
      </c>
      <c r="FL114" s="177">
        <v>361.0</v>
      </c>
      <c r="FM114" s="177">
        <v>122.0</v>
      </c>
      <c r="FN114" s="210"/>
      <c r="FO114" s="210">
        <v>6.0</v>
      </c>
      <c r="FP114" s="188">
        <f t="shared" si="284"/>
        <v>6</v>
      </c>
      <c r="FQ114" s="211">
        <v>1.0</v>
      </c>
      <c r="FR114" s="212">
        <v>5.0</v>
      </c>
      <c r="FS114" s="206">
        <v>1.0</v>
      </c>
      <c r="FT114" s="207">
        <v>0.0</v>
      </c>
      <c r="FU114" s="207">
        <v>0.0</v>
      </c>
      <c r="FV114" s="207">
        <v>5.0</v>
      </c>
      <c r="FW114" s="207">
        <v>0.0</v>
      </c>
      <c r="FX114" s="207">
        <v>0.0</v>
      </c>
      <c r="FY114" s="207">
        <v>0.0</v>
      </c>
      <c r="FZ114" s="207">
        <v>0.0</v>
      </c>
      <c r="GA114" s="207">
        <v>0.0</v>
      </c>
      <c r="GB114" s="207">
        <v>0.0</v>
      </c>
      <c r="GC114" s="207">
        <v>0.0</v>
      </c>
      <c r="GD114" s="207">
        <v>1.0</v>
      </c>
      <c r="GE114" s="207">
        <v>0.0</v>
      </c>
      <c r="GF114" s="207">
        <v>0.0</v>
      </c>
      <c r="GG114" s="207">
        <v>0.0</v>
      </c>
      <c r="GH114" s="207">
        <v>0.0</v>
      </c>
      <c r="GI114" s="207">
        <v>0.0</v>
      </c>
      <c r="GJ114" s="207">
        <v>0.0</v>
      </c>
      <c r="GK114" s="212">
        <v>1.0</v>
      </c>
      <c r="GL114" s="212">
        <v>0.0</v>
      </c>
      <c r="GM114" s="207">
        <v>368.0</v>
      </c>
      <c r="GN114" s="207">
        <v>120.0</v>
      </c>
      <c r="GO114" s="213">
        <v>340.0</v>
      </c>
      <c r="GP114" s="213">
        <v>116.0</v>
      </c>
      <c r="GQ114" s="207"/>
      <c r="GR114" s="213">
        <v>6.0</v>
      </c>
      <c r="GS114" s="193">
        <v>1.0</v>
      </c>
      <c r="GT114" s="194">
        <f t="shared" si="25"/>
        <v>6</v>
      </c>
      <c r="GU114" s="194">
        <f t="shared" si="26"/>
        <v>1</v>
      </c>
      <c r="GV114" s="194">
        <f t="shared" si="27"/>
        <v>5</v>
      </c>
      <c r="GW114" s="393">
        <v>1.0</v>
      </c>
      <c r="GX114" s="393">
        <v>0.0</v>
      </c>
      <c r="GY114" s="393">
        <v>0.0</v>
      </c>
      <c r="GZ114" s="393">
        <v>5.0</v>
      </c>
      <c r="HA114" s="393">
        <v>0.0</v>
      </c>
      <c r="HB114" s="393">
        <v>0.0</v>
      </c>
      <c r="HC114" s="393">
        <v>0.0</v>
      </c>
      <c r="HD114" s="393">
        <v>0.0</v>
      </c>
      <c r="HE114" s="393">
        <v>0.0</v>
      </c>
      <c r="HF114" s="393">
        <v>0.0</v>
      </c>
      <c r="HG114" s="393">
        <v>0.0</v>
      </c>
      <c r="HH114" s="393">
        <v>0.0</v>
      </c>
      <c r="HI114" s="393">
        <v>0.0</v>
      </c>
      <c r="HJ114" s="393">
        <v>0.0</v>
      </c>
      <c r="HK114" s="393">
        <v>0.0</v>
      </c>
      <c r="HL114" s="393">
        <v>0.0</v>
      </c>
      <c r="HM114" s="393">
        <v>0.0</v>
      </c>
      <c r="HN114" s="393">
        <v>0.0</v>
      </c>
      <c r="HO114" s="222"/>
      <c r="HP114" s="222"/>
      <c r="HQ114" s="214"/>
      <c r="HR114" s="197"/>
      <c r="HS114" s="197"/>
      <c r="HT114" s="198">
        <f t="shared" si="28"/>
        <v>3</v>
      </c>
      <c r="HU114" s="198">
        <f t="shared" si="29"/>
        <v>3</v>
      </c>
      <c r="HV114" s="198">
        <f t="shared" si="30"/>
        <v>3</v>
      </c>
      <c r="HW114" s="198">
        <f t="shared" si="99"/>
        <v>3</v>
      </c>
      <c r="HX114" s="198">
        <f t="shared" si="32"/>
        <v>3</v>
      </c>
      <c r="HY114" s="198">
        <f t="shared" si="33"/>
        <v>3</v>
      </c>
      <c r="HZ114" s="198">
        <f t="shared" si="34"/>
        <v>4</v>
      </c>
      <c r="IA114" s="198">
        <f t="shared" si="35"/>
        <v>13</v>
      </c>
      <c r="IB114" s="198">
        <f t="shared" si="36"/>
        <v>9</v>
      </c>
      <c r="IC114" s="198">
        <f t="shared" si="37"/>
        <v>7</v>
      </c>
      <c r="ID114" s="198">
        <f t="shared" si="38"/>
        <v>6</v>
      </c>
      <c r="IE114" s="198">
        <f t="shared" si="39"/>
        <v>6</v>
      </c>
      <c r="IF114" s="197"/>
      <c r="IG114" s="197"/>
      <c r="IH114" s="197"/>
      <c r="II114" s="197"/>
      <c r="IJ114" s="197"/>
      <c r="IK114" s="197"/>
      <c r="IL114" s="197"/>
      <c r="IM114" s="197"/>
      <c r="IN114" s="197"/>
      <c r="IO114" s="197"/>
      <c r="IP114" s="197"/>
      <c r="IQ114" s="197"/>
      <c r="IR114" s="197"/>
      <c r="IS114" s="197"/>
      <c r="IT114" s="197"/>
      <c r="IU114" s="197"/>
      <c r="IV114" s="197"/>
      <c r="IW114" s="197"/>
      <c r="IX114" s="197"/>
      <c r="IY114" s="197"/>
      <c r="IZ114" s="197"/>
      <c r="JA114" s="199"/>
      <c r="JB114" s="200">
        <f t="shared" si="40"/>
        <v>3</v>
      </c>
      <c r="JC114" s="200">
        <f t="shared" si="41"/>
        <v>3</v>
      </c>
      <c r="JD114" s="200">
        <f t="shared" si="42"/>
        <v>3</v>
      </c>
      <c r="JE114" s="200">
        <f t="shared" si="43"/>
        <v>3</v>
      </c>
      <c r="JF114" s="200">
        <f t="shared" si="44"/>
        <v>3</v>
      </c>
      <c r="JG114" s="200">
        <f t="shared" si="45"/>
        <v>3</v>
      </c>
      <c r="JH114" s="200">
        <f t="shared" si="46"/>
        <v>4</v>
      </c>
      <c r="JI114" s="200">
        <f t="shared" si="47"/>
        <v>13</v>
      </c>
      <c r="JJ114" s="200">
        <f t="shared" si="48"/>
        <v>9</v>
      </c>
      <c r="JK114" s="200">
        <f t="shared" si="49"/>
        <v>8</v>
      </c>
      <c r="JL114" s="200">
        <f t="shared" si="50"/>
        <v>6</v>
      </c>
      <c r="JM114" s="200">
        <f t="shared" si="51"/>
        <v>6</v>
      </c>
      <c r="JN114" s="199"/>
      <c r="JO114" s="200">
        <f t="shared" si="52"/>
        <v>3</v>
      </c>
      <c r="JP114" s="202">
        <v>3.0</v>
      </c>
      <c r="JQ114" s="202">
        <v>3.0</v>
      </c>
      <c r="JR114" s="202">
        <v>3.0</v>
      </c>
      <c r="JS114" s="202">
        <v>3.0</v>
      </c>
      <c r="JT114" s="199"/>
      <c r="JU114" s="199"/>
      <c r="JV114" s="200">
        <f t="shared" ref="JV114:JX114" si="289">IA114-JI114</f>
        <v>0</v>
      </c>
      <c r="JW114" s="200">
        <f t="shared" si="289"/>
        <v>0</v>
      </c>
      <c r="JX114" s="200">
        <f t="shared" si="289"/>
        <v>-1</v>
      </c>
      <c r="JY114" s="199"/>
      <c r="JZ114" s="199"/>
      <c r="KA114" s="199"/>
      <c r="KB114" s="395">
        <f t="shared" ref="KB114:KM114" si="290">JB114-JO114</f>
        <v>0</v>
      </c>
      <c r="KC114" s="395">
        <f t="shared" si="290"/>
        <v>0</v>
      </c>
      <c r="KD114" s="395">
        <f t="shared" si="290"/>
        <v>0</v>
      </c>
      <c r="KE114" s="395">
        <f t="shared" si="290"/>
        <v>0</v>
      </c>
      <c r="KF114" s="395">
        <f t="shared" si="290"/>
        <v>0</v>
      </c>
      <c r="KG114" s="395">
        <f t="shared" si="290"/>
        <v>3</v>
      </c>
      <c r="KH114" s="200">
        <f t="shared" si="290"/>
        <v>4</v>
      </c>
      <c r="KI114" s="200">
        <f t="shared" si="290"/>
        <v>13</v>
      </c>
      <c r="KJ114" s="200">
        <f t="shared" si="290"/>
        <v>9</v>
      </c>
      <c r="KK114" s="200">
        <f t="shared" si="290"/>
        <v>9</v>
      </c>
      <c r="KL114" s="200">
        <f t="shared" si="290"/>
        <v>6</v>
      </c>
      <c r="KM114" s="200">
        <f t="shared" si="290"/>
        <v>6</v>
      </c>
      <c r="KN114" s="199"/>
      <c r="KO114" s="199"/>
      <c r="KP114" s="199"/>
      <c r="KQ114" s="199"/>
      <c r="KR114" s="199"/>
      <c r="KS114" s="199"/>
      <c r="KT114" s="199"/>
      <c r="KU114" s="199"/>
      <c r="KV114" s="199"/>
      <c r="KW114" s="199"/>
      <c r="KX114" s="199"/>
      <c r="KY114" s="199"/>
      <c r="KZ114" s="199"/>
      <c r="LA114" s="199"/>
      <c r="LB114" s="199"/>
      <c r="LC114" s="199"/>
      <c r="LD114" s="199"/>
      <c r="LE114" s="199"/>
      <c r="LF114" s="199"/>
      <c r="LG114" s="199"/>
    </row>
    <row r="115">
      <c r="A115" s="156">
        <v>108.0</v>
      </c>
      <c r="B115" s="396" t="s">
        <v>206</v>
      </c>
      <c r="C115" s="397">
        <v>3374030.0</v>
      </c>
      <c r="D115" s="397" t="s">
        <v>213</v>
      </c>
      <c r="E115" s="397" t="s">
        <v>214</v>
      </c>
      <c r="F115" s="398">
        <v>10.0</v>
      </c>
      <c r="G115" s="399">
        <v>791.0</v>
      </c>
      <c r="H115" s="400">
        <v>6.0</v>
      </c>
      <c r="I115" s="401"/>
      <c r="J115" s="401"/>
      <c r="K115" s="401">
        <v>2.0</v>
      </c>
      <c r="L115" s="401">
        <v>4.0</v>
      </c>
      <c r="M115" s="401"/>
      <c r="N115" s="401"/>
      <c r="O115" s="401">
        <f t="shared" si="213"/>
        <v>6</v>
      </c>
      <c r="P115" s="401">
        <v>11.0</v>
      </c>
      <c r="Q115" s="402"/>
      <c r="R115" s="402"/>
      <c r="S115" s="402"/>
      <c r="T115" s="403">
        <v>11.0</v>
      </c>
      <c r="U115" s="403">
        <v>4.0</v>
      </c>
      <c r="V115" s="403">
        <v>1.0</v>
      </c>
      <c r="W115" s="402">
        <f t="shared" si="225"/>
        <v>6</v>
      </c>
      <c r="X115" s="401">
        <v>6.0</v>
      </c>
      <c r="Y115" s="403"/>
      <c r="Z115" s="403"/>
      <c r="AA115" s="403">
        <v>1.0</v>
      </c>
      <c r="AB115" s="403">
        <v>5.0</v>
      </c>
      <c r="AC115" s="403"/>
      <c r="AD115" s="403"/>
      <c r="AE115" s="402">
        <f t="shared" si="214"/>
        <v>6</v>
      </c>
      <c r="AF115" s="403">
        <v>5.0</v>
      </c>
      <c r="AG115" s="403"/>
      <c r="AH115" s="403"/>
      <c r="AI115" s="403"/>
      <c r="AJ115" s="403">
        <v>5.0</v>
      </c>
      <c r="AK115" s="403"/>
      <c r="AL115" s="403">
        <v>1.0</v>
      </c>
      <c r="AM115" s="402">
        <f t="shared" si="215"/>
        <v>4</v>
      </c>
      <c r="AN115" s="403">
        <v>6.0</v>
      </c>
      <c r="AO115" s="403"/>
      <c r="AP115" s="403"/>
      <c r="AQ115" s="403">
        <v>2.0</v>
      </c>
      <c r="AR115" s="403">
        <v>4.0</v>
      </c>
      <c r="AS115" s="403"/>
      <c r="AT115" s="403"/>
      <c r="AU115" s="404">
        <f t="shared" si="216"/>
        <v>6</v>
      </c>
      <c r="AV115" s="405">
        <v>776.0</v>
      </c>
      <c r="AW115" s="406">
        <f t="shared" si="8"/>
        <v>10</v>
      </c>
      <c r="AX115" s="405">
        <v>0.0</v>
      </c>
      <c r="AY115" s="405">
        <v>0.0</v>
      </c>
      <c r="AZ115" s="403">
        <v>2.0</v>
      </c>
      <c r="BA115" s="403">
        <v>4.0</v>
      </c>
      <c r="BB115" s="405">
        <v>0.0</v>
      </c>
      <c r="BC115" s="405">
        <v>0.0</v>
      </c>
      <c r="BD115" s="405">
        <v>2.0</v>
      </c>
      <c r="BE115" s="405">
        <v>2.0</v>
      </c>
      <c r="BF115" s="405">
        <v>0.0</v>
      </c>
      <c r="BG115" s="405">
        <v>0.0</v>
      </c>
      <c r="BH115" s="405">
        <v>0.0</v>
      </c>
      <c r="BI115" s="405">
        <v>0.0</v>
      </c>
      <c r="BJ115" s="405">
        <v>0.0</v>
      </c>
      <c r="BK115" s="405">
        <v>0.0</v>
      </c>
      <c r="BL115" s="405">
        <v>0.0</v>
      </c>
      <c r="BM115" s="405">
        <v>0.0</v>
      </c>
      <c r="BN115" s="405">
        <v>0.0</v>
      </c>
      <c r="BO115" s="405">
        <v>0.0</v>
      </c>
      <c r="BP115" s="402">
        <f t="shared" si="131"/>
        <v>0</v>
      </c>
      <c r="BQ115" s="407">
        <v>777.0</v>
      </c>
      <c r="BR115" s="408">
        <f t="shared" si="10"/>
        <v>7</v>
      </c>
      <c r="BS115" s="407"/>
      <c r="BT115" s="407"/>
      <c r="BU115" s="407">
        <v>0.0</v>
      </c>
      <c r="BV115" s="407">
        <v>6.0</v>
      </c>
      <c r="BW115" s="407">
        <v>1.0</v>
      </c>
      <c r="BX115" s="407">
        <v>0.0</v>
      </c>
      <c r="BY115" s="407">
        <v>0.0</v>
      </c>
      <c r="BZ115" s="407">
        <v>0.0</v>
      </c>
      <c r="CA115" s="403"/>
      <c r="CB115" s="403"/>
      <c r="CC115" s="403"/>
      <c r="CD115" s="403"/>
      <c r="CE115" s="403"/>
      <c r="CF115" s="403"/>
      <c r="CG115" s="403"/>
      <c r="CH115" s="403"/>
      <c r="CI115" s="403"/>
      <c r="CJ115" s="403"/>
      <c r="CK115" s="403">
        <f t="shared" si="132"/>
        <v>0</v>
      </c>
      <c r="CL115" s="407">
        <v>806.0</v>
      </c>
      <c r="CM115" s="407">
        <v>243.0</v>
      </c>
      <c r="CN115" s="409">
        <v>10.0</v>
      </c>
      <c r="CO115" s="407">
        <v>1.0</v>
      </c>
      <c r="CP115" s="407">
        <v>2.0</v>
      </c>
      <c r="CQ115" s="407">
        <v>0.0</v>
      </c>
      <c r="CR115" s="407">
        <v>6.0</v>
      </c>
      <c r="CS115" s="407">
        <v>0.0</v>
      </c>
      <c r="CT115" s="407">
        <v>0.0</v>
      </c>
      <c r="CU115" s="407">
        <v>0.0</v>
      </c>
      <c r="CV115" s="407">
        <v>1.0</v>
      </c>
      <c r="CW115" s="407">
        <v>1.0</v>
      </c>
      <c r="CX115" s="403"/>
      <c r="CY115" s="403"/>
      <c r="CZ115" s="403"/>
      <c r="DA115" s="403"/>
      <c r="DB115" s="403"/>
      <c r="DC115" s="403"/>
      <c r="DD115" s="403"/>
      <c r="DE115" s="403"/>
      <c r="DF115" s="403"/>
      <c r="DG115" s="410">
        <f t="shared" si="13"/>
        <v>1</v>
      </c>
      <c r="DH115" s="177">
        <v>723.0</v>
      </c>
      <c r="DI115" s="177">
        <v>216.0</v>
      </c>
      <c r="DJ115" s="178">
        <v>679.0</v>
      </c>
      <c r="DK115" s="178">
        <v>216.0</v>
      </c>
      <c r="DL115" s="179">
        <f t="shared" si="14"/>
        <v>9</v>
      </c>
      <c r="DM115" s="180">
        <f t="shared" si="15"/>
        <v>2</v>
      </c>
      <c r="DN115" s="180">
        <f t="shared" si="16"/>
        <v>7</v>
      </c>
      <c r="DO115" s="306">
        <v>0.0</v>
      </c>
      <c r="DP115" s="177">
        <v>0.0</v>
      </c>
      <c r="DQ115" s="177">
        <v>1.0</v>
      </c>
      <c r="DR115" s="177">
        <v>4.0</v>
      </c>
      <c r="DS115" s="177">
        <v>0.0</v>
      </c>
      <c r="DT115" s="177">
        <v>1.0</v>
      </c>
      <c r="DU115" s="177">
        <v>0.0</v>
      </c>
      <c r="DV115" s="177">
        <v>3.0</v>
      </c>
      <c r="DW115" s="177">
        <v>0.0</v>
      </c>
      <c r="DX115" s="177">
        <v>0.0</v>
      </c>
      <c r="DY115" s="177">
        <v>1.0</v>
      </c>
      <c r="DZ115" s="177">
        <v>1.0</v>
      </c>
      <c r="EA115" s="177">
        <v>0.0</v>
      </c>
      <c r="EB115" s="177">
        <v>0.0</v>
      </c>
      <c r="EC115" s="177">
        <v>0.0</v>
      </c>
      <c r="ED115" s="177">
        <v>0.0</v>
      </c>
      <c r="EE115" s="177">
        <v>1.0</v>
      </c>
      <c r="EF115" s="177">
        <v>0.0</v>
      </c>
      <c r="EG115" s="179">
        <f t="shared" si="17"/>
        <v>3</v>
      </c>
      <c r="EH115" s="179">
        <f t="shared" si="18"/>
        <v>2</v>
      </c>
      <c r="EI115" s="177">
        <v>726.0</v>
      </c>
      <c r="EJ115" s="177">
        <v>220.0</v>
      </c>
      <c r="EK115" s="178">
        <v>719.0</v>
      </c>
      <c r="EL115" s="178">
        <v>220.0</v>
      </c>
      <c r="EM115" s="185">
        <f t="shared" si="283"/>
        <v>8</v>
      </c>
      <c r="EN115" s="186">
        <f t="shared" si="202"/>
        <v>2</v>
      </c>
      <c r="EO115" s="186">
        <f t="shared" si="90"/>
        <v>6</v>
      </c>
      <c r="EP115" s="306">
        <v>0.0</v>
      </c>
      <c r="EQ115" s="177">
        <v>0.0</v>
      </c>
      <c r="ER115" s="177">
        <v>0.0</v>
      </c>
      <c r="ES115" s="177">
        <v>5.0</v>
      </c>
      <c r="ET115" s="177">
        <v>0.0</v>
      </c>
      <c r="EU115" s="177">
        <v>0.0</v>
      </c>
      <c r="EV115" s="177">
        <v>2.0</v>
      </c>
      <c r="EW115" s="177">
        <v>1.0</v>
      </c>
      <c r="EX115" s="177">
        <v>0.0</v>
      </c>
      <c r="EY115" s="177">
        <v>0.0</v>
      </c>
      <c r="EZ115" s="177">
        <v>0.0</v>
      </c>
      <c r="FA115" s="177">
        <v>1.0</v>
      </c>
      <c r="FB115" s="227"/>
      <c r="FC115" s="227"/>
      <c r="FD115" s="227"/>
      <c r="FE115" s="227"/>
      <c r="FF115" s="227"/>
      <c r="FG115" s="227"/>
      <c r="FH115" s="185">
        <f t="shared" si="22"/>
        <v>1</v>
      </c>
      <c r="FI115" s="185">
        <f t="shared" si="23"/>
        <v>0</v>
      </c>
      <c r="FJ115" s="177">
        <v>718.0</v>
      </c>
      <c r="FK115" s="177">
        <v>208.0</v>
      </c>
      <c r="FL115" s="177">
        <v>691.0</v>
      </c>
      <c r="FM115" s="177">
        <v>208.0</v>
      </c>
      <c r="FN115" s="210"/>
      <c r="FO115" s="210">
        <v>11.0</v>
      </c>
      <c r="FP115" s="243">
        <v>11.0</v>
      </c>
      <c r="FQ115" s="211">
        <v>1.0</v>
      </c>
      <c r="FR115" s="212">
        <v>10.0</v>
      </c>
      <c r="FS115" s="206">
        <v>0.0</v>
      </c>
      <c r="FT115" s="207">
        <v>0.0</v>
      </c>
      <c r="FU115" s="207">
        <v>1.0</v>
      </c>
      <c r="FV115" s="207">
        <v>6.0</v>
      </c>
      <c r="FW115" s="207">
        <v>0.0</v>
      </c>
      <c r="FX115" s="207">
        <v>0.0</v>
      </c>
      <c r="FY115" s="207">
        <v>0.0</v>
      </c>
      <c r="FZ115" s="207">
        <v>4.0</v>
      </c>
      <c r="GA115" s="207">
        <v>0.0</v>
      </c>
      <c r="GB115" s="207">
        <v>0.0</v>
      </c>
      <c r="GC115" s="207">
        <v>1.0</v>
      </c>
      <c r="GD115" s="207">
        <v>0.0</v>
      </c>
      <c r="GE115" s="207">
        <v>0.0</v>
      </c>
      <c r="GF115" s="207">
        <v>0.0</v>
      </c>
      <c r="GG115" s="207">
        <v>0.0</v>
      </c>
      <c r="GH115" s="207">
        <v>0.0</v>
      </c>
      <c r="GI115" s="207">
        <v>0.0</v>
      </c>
      <c r="GJ115" s="207">
        <v>0.0</v>
      </c>
      <c r="GK115" s="212">
        <v>1.0</v>
      </c>
      <c r="GL115" s="212">
        <v>1.0</v>
      </c>
      <c r="GM115" s="207">
        <v>737.0</v>
      </c>
      <c r="GN115" s="207">
        <v>219.0</v>
      </c>
      <c r="GO115" s="213">
        <v>725.0</v>
      </c>
      <c r="GP115" s="213">
        <v>219.0</v>
      </c>
      <c r="GQ115" s="207"/>
      <c r="GR115" s="213">
        <v>9.0</v>
      </c>
      <c r="GS115" s="193">
        <v>0.0</v>
      </c>
      <c r="GT115" s="194">
        <f t="shared" si="25"/>
        <v>9</v>
      </c>
      <c r="GU115" s="194">
        <f t="shared" si="26"/>
        <v>0</v>
      </c>
      <c r="GV115" s="194">
        <f t="shared" si="27"/>
        <v>9</v>
      </c>
      <c r="GW115" s="207">
        <v>0.0</v>
      </c>
      <c r="GX115" s="207">
        <v>0.0</v>
      </c>
      <c r="GY115" s="207">
        <v>0.0</v>
      </c>
      <c r="GZ115" s="207">
        <v>8.0</v>
      </c>
      <c r="HA115" s="207">
        <v>0.0</v>
      </c>
      <c r="HB115" s="207">
        <v>0.0</v>
      </c>
      <c r="HC115" s="207">
        <v>0.0</v>
      </c>
      <c r="HD115" s="207">
        <v>1.0</v>
      </c>
      <c r="HE115" s="207">
        <v>0.0</v>
      </c>
      <c r="HF115" s="207">
        <v>0.0</v>
      </c>
      <c r="HG115" s="207">
        <v>1.0</v>
      </c>
      <c r="HH115" s="207">
        <v>2.0</v>
      </c>
      <c r="HI115" s="207">
        <v>0.0</v>
      </c>
      <c r="HJ115" s="207">
        <v>0.0</v>
      </c>
      <c r="HK115" s="207">
        <v>0.0</v>
      </c>
      <c r="HL115" s="207">
        <v>0.0</v>
      </c>
      <c r="HM115" s="207">
        <v>0.0</v>
      </c>
      <c r="HN115" s="207">
        <v>0.0</v>
      </c>
      <c r="HO115" s="222"/>
      <c r="HP115" s="222"/>
      <c r="HQ115" s="411"/>
      <c r="HR115" s="402"/>
      <c r="HS115" s="402"/>
      <c r="HT115" s="402">
        <f t="shared" si="28"/>
        <v>6</v>
      </c>
      <c r="HU115" s="402">
        <f t="shared" si="29"/>
        <v>11</v>
      </c>
      <c r="HV115" s="402">
        <f t="shared" si="30"/>
        <v>6</v>
      </c>
      <c r="HW115" s="402">
        <f t="shared" si="99"/>
        <v>5</v>
      </c>
      <c r="HX115" s="402">
        <f t="shared" si="32"/>
        <v>6</v>
      </c>
      <c r="HY115" s="402">
        <f t="shared" si="33"/>
        <v>10</v>
      </c>
      <c r="HZ115" s="402">
        <f t="shared" si="34"/>
        <v>7</v>
      </c>
      <c r="IA115" s="402">
        <f t="shared" si="35"/>
        <v>10</v>
      </c>
      <c r="IB115" s="198">
        <f t="shared" si="36"/>
        <v>9</v>
      </c>
      <c r="IC115" s="198">
        <f t="shared" si="37"/>
        <v>8</v>
      </c>
      <c r="ID115" s="198">
        <f t="shared" si="38"/>
        <v>11</v>
      </c>
      <c r="IE115" s="198">
        <f t="shared" si="39"/>
        <v>9</v>
      </c>
      <c r="IF115" s="402"/>
      <c r="IG115" s="197"/>
      <c r="IH115" s="402"/>
      <c r="II115" s="402"/>
      <c r="IJ115" s="402"/>
      <c r="IK115" s="402"/>
      <c r="IL115" s="402"/>
      <c r="IM115" s="402"/>
      <c r="IN115" s="402"/>
      <c r="IO115" s="402"/>
      <c r="IP115" s="402"/>
      <c r="IQ115" s="402"/>
      <c r="IR115" s="402"/>
      <c r="IS115" s="402"/>
      <c r="IT115" s="402"/>
      <c r="IU115" s="402"/>
      <c r="IV115" s="402"/>
      <c r="IW115" s="402"/>
      <c r="IX115" s="402"/>
      <c r="IY115" s="402"/>
      <c r="IZ115" s="402"/>
      <c r="JA115" s="412"/>
      <c r="JB115" s="379">
        <f t="shared" si="40"/>
        <v>6</v>
      </c>
      <c r="JC115" s="379">
        <f t="shared" si="41"/>
        <v>11</v>
      </c>
      <c r="JD115" s="379">
        <f t="shared" si="42"/>
        <v>6</v>
      </c>
      <c r="JE115" s="379">
        <f t="shared" si="43"/>
        <v>5</v>
      </c>
      <c r="JF115" s="379">
        <f t="shared" si="44"/>
        <v>6</v>
      </c>
      <c r="JG115" s="379">
        <f t="shared" si="45"/>
        <v>10</v>
      </c>
      <c r="JH115" s="379">
        <f t="shared" si="46"/>
        <v>7</v>
      </c>
      <c r="JI115" s="379">
        <f t="shared" si="47"/>
        <v>10</v>
      </c>
      <c r="JJ115" s="200">
        <f t="shared" si="48"/>
        <v>9</v>
      </c>
      <c r="JK115" s="200">
        <f t="shared" si="49"/>
        <v>9</v>
      </c>
      <c r="JL115" s="200">
        <f t="shared" si="50"/>
        <v>11</v>
      </c>
      <c r="JM115" s="200">
        <f t="shared" si="51"/>
        <v>9</v>
      </c>
      <c r="JN115" s="412"/>
      <c r="JO115" s="379">
        <f t="shared" si="52"/>
        <v>6</v>
      </c>
      <c r="JP115" s="401">
        <v>11.0</v>
      </c>
      <c r="JQ115" s="401">
        <v>6.0</v>
      </c>
      <c r="JR115" s="401">
        <v>5.0</v>
      </c>
      <c r="JS115" s="401">
        <v>6.0</v>
      </c>
      <c r="JT115" s="412"/>
      <c r="JU115" s="412"/>
      <c r="JV115" s="200">
        <f t="shared" ref="JV115:JX115" si="291">IA115-JI115</f>
        <v>0</v>
      </c>
      <c r="JW115" s="200">
        <f t="shared" si="291"/>
        <v>0</v>
      </c>
      <c r="JX115" s="200">
        <f t="shared" si="291"/>
        <v>-1</v>
      </c>
      <c r="JY115" s="412"/>
      <c r="JZ115" s="412"/>
      <c r="KA115" s="412"/>
      <c r="KB115" s="379">
        <f t="shared" ref="KB115:KM115" si="292">JB115-JO115</f>
        <v>0</v>
      </c>
      <c r="KC115" s="379">
        <f t="shared" si="292"/>
        <v>0</v>
      </c>
      <c r="KD115" s="379">
        <f t="shared" si="292"/>
        <v>0</v>
      </c>
      <c r="KE115" s="379">
        <f t="shared" si="292"/>
        <v>0</v>
      </c>
      <c r="KF115" s="379">
        <f t="shared" si="292"/>
        <v>0</v>
      </c>
      <c r="KG115" s="379">
        <f t="shared" si="292"/>
        <v>10</v>
      </c>
      <c r="KH115" s="379">
        <f t="shared" si="292"/>
        <v>7</v>
      </c>
      <c r="KI115" s="379">
        <f t="shared" si="292"/>
        <v>10</v>
      </c>
      <c r="KJ115" s="379">
        <f t="shared" si="292"/>
        <v>9</v>
      </c>
      <c r="KK115" s="379">
        <f t="shared" si="292"/>
        <v>10</v>
      </c>
      <c r="KL115" s="379">
        <f t="shared" si="292"/>
        <v>11</v>
      </c>
      <c r="KM115" s="379">
        <f t="shared" si="292"/>
        <v>9</v>
      </c>
      <c r="KN115" s="412"/>
      <c r="KO115" s="412"/>
      <c r="KP115" s="412"/>
      <c r="KQ115" s="412"/>
      <c r="KR115" s="412"/>
      <c r="KS115" s="412"/>
      <c r="KT115" s="412"/>
      <c r="KU115" s="412"/>
      <c r="KV115" s="412"/>
      <c r="KW115" s="412"/>
      <c r="KX115" s="412"/>
      <c r="KY115" s="412"/>
      <c r="KZ115" s="412"/>
      <c r="LA115" s="412"/>
      <c r="LB115" s="412"/>
      <c r="LC115" s="412"/>
      <c r="LD115" s="412"/>
      <c r="LE115" s="412"/>
      <c r="LF115" s="412"/>
      <c r="LG115" s="412"/>
      <c r="LH115" s="413"/>
      <c r="LI115" s="413"/>
      <c r="LJ115" s="413"/>
      <c r="LK115" s="413"/>
    </row>
    <row r="116" ht="14.25" customHeight="1">
      <c r="A116" s="156">
        <v>109.0</v>
      </c>
      <c r="B116" s="396" t="s">
        <v>206</v>
      </c>
      <c r="C116" s="397">
        <v>3374030.0</v>
      </c>
      <c r="D116" s="397" t="s">
        <v>213</v>
      </c>
      <c r="E116" s="397" t="s">
        <v>215</v>
      </c>
      <c r="F116" s="414">
        <v>11.0</v>
      </c>
      <c r="G116" s="399">
        <v>935.0</v>
      </c>
      <c r="H116" s="400">
        <v>8.0</v>
      </c>
      <c r="I116" s="401"/>
      <c r="J116" s="401"/>
      <c r="K116" s="401"/>
      <c r="L116" s="401">
        <v>8.0</v>
      </c>
      <c r="M116" s="401"/>
      <c r="N116" s="401"/>
      <c r="O116" s="401">
        <f t="shared" si="213"/>
        <v>8</v>
      </c>
      <c r="P116" s="401">
        <v>6.0</v>
      </c>
      <c r="Q116" s="402"/>
      <c r="R116" s="402"/>
      <c r="S116" s="402">
        <v>2.0</v>
      </c>
      <c r="T116" s="403">
        <v>4.0</v>
      </c>
      <c r="U116" s="403"/>
      <c r="V116" s="403"/>
      <c r="W116" s="402">
        <f t="shared" si="225"/>
        <v>6</v>
      </c>
      <c r="X116" s="401">
        <v>7.0</v>
      </c>
      <c r="Y116" s="403">
        <v>2.0</v>
      </c>
      <c r="Z116" s="403"/>
      <c r="AA116" s="403">
        <v>2.0</v>
      </c>
      <c r="AB116" s="403">
        <v>3.0</v>
      </c>
      <c r="AC116" s="403"/>
      <c r="AD116" s="403"/>
      <c r="AE116" s="402">
        <f t="shared" si="214"/>
        <v>7</v>
      </c>
      <c r="AF116" s="403">
        <v>9.0</v>
      </c>
      <c r="AG116" s="403">
        <v>1.0</v>
      </c>
      <c r="AH116" s="403"/>
      <c r="AI116" s="403">
        <v>3.0</v>
      </c>
      <c r="AJ116" s="403">
        <v>5.0</v>
      </c>
      <c r="AK116" s="403">
        <v>2.0</v>
      </c>
      <c r="AL116" s="403"/>
      <c r="AM116" s="402">
        <f t="shared" si="215"/>
        <v>7</v>
      </c>
      <c r="AN116" s="403">
        <v>5.0</v>
      </c>
      <c r="AO116" s="403"/>
      <c r="AP116" s="403"/>
      <c r="AQ116" s="403">
        <v>2.0</v>
      </c>
      <c r="AR116" s="403">
        <v>3.0</v>
      </c>
      <c r="AS116" s="403"/>
      <c r="AT116" s="403"/>
      <c r="AU116" s="404">
        <f t="shared" si="216"/>
        <v>5</v>
      </c>
      <c r="AV116" s="405">
        <v>932.0</v>
      </c>
      <c r="AW116" s="406">
        <f t="shared" si="8"/>
        <v>7</v>
      </c>
      <c r="AX116" s="405">
        <v>0.0</v>
      </c>
      <c r="AY116" s="405">
        <v>0.0</v>
      </c>
      <c r="AZ116" s="403">
        <v>2.0</v>
      </c>
      <c r="BA116" s="403">
        <v>3.0</v>
      </c>
      <c r="BB116" s="405">
        <v>0.0</v>
      </c>
      <c r="BC116" s="405">
        <v>0.0</v>
      </c>
      <c r="BD116" s="405">
        <v>2.0</v>
      </c>
      <c r="BE116" s="405">
        <v>0.0</v>
      </c>
      <c r="BF116" s="405">
        <v>0.0</v>
      </c>
      <c r="BG116" s="405">
        <v>0.0</v>
      </c>
      <c r="BH116" s="405">
        <v>0.0</v>
      </c>
      <c r="BI116" s="405">
        <v>0.0</v>
      </c>
      <c r="BJ116" s="405">
        <v>0.0</v>
      </c>
      <c r="BK116" s="405">
        <v>0.0</v>
      </c>
      <c r="BL116" s="405">
        <v>0.0</v>
      </c>
      <c r="BM116" s="405">
        <v>0.0</v>
      </c>
      <c r="BN116" s="405">
        <v>0.0</v>
      </c>
      <c r="BO116" s="405">
        <v>0.0</v>
      </c>
      <c r="BP116" s="402">
        <f t="shared" si="131"/>
        <v>0</v>
      </c>
      <c r="BQ116" s="407">
        <v>920.0</v>
      </c>
      <c r="BR116" s="408">
        <f t="shared" si="10"/>
        <v>3</v>
      </c>
      <c r="BS116" s="407"/>
      <c r="BT116" s="403"/>
      <c r="BU116" s="407">
        <v>1.0</v>
      </c>
      <c r="BV116" s="407">
        <v>2.0</v>
      </c>
      <c r="BW116" s="407">
        <v>0.0</v>
      </c>
      <c r="BX116" s="407">
        <v>0.0</v>
      </c>
      <c r="BY116" s="407">
        <v>0.0</v>
      </c>
      <c r="BZ116" s="407">
        <v>0.0</v>
      </c>
      <c r="CA116" s="403"/>
      <c r="CB116" s="403"/>
      <c r="CC116" s="403"/>
      <c r="CD116" s="403"/>
      <c r="CE116" s="403"/>
      <c r="CF116" s="403"/>
      <c r="CG116" s="403"/>
      <c r="CH116" s="403"/>
      <c r="CI116" s="403"/>
      <c r="CJ116" s="403"/>
      <c r="CK116" s="403">
        <f t="shared" si="132"/>
        <v>0</v>
      </c>
      <c r="CL116" s="407">
        <v>957.0</v>
      </c>
      <c r="CM116" s="407">
        <v>315.0</v>
      </c>
      <c r="CN116" s="410">
        <f t="shared" ref="CN116:CN184" si="295">SUM(CO116:CV116)</f>
        <v>3</v>
      </c>
      <c r="CO116" s="407">
        <v>0.0</v>
      </c>
      <c r="CP116" s="407">
        <v>0.0</v>
      </c>
      <c r="CQ116" s="407">
        <v>1.0</v>
      </c>
      <c r="CR116" s="407">
        <v>2.0</v>
      </c>
      <c r="CS116" s="407">
        <v>0.0</v>
      </c>
      <c r="CT116" s="407">
        <v>0.0</v>
      </c>
      <c r="CU116" s="407">
        <v>0.0</v>
      </c>
      <c r="CV116" s="407">
        <v>0.0</v>
      </c>
      <c r="CW116" s="415">
        <v>0.0</v>
      </c>
      <c r="CX116" s="403"/>
      <c r="CY116" s="403"/>
      <c r="CZ116" s="403"/>
      <c r="DA116" s="403"/>
      <c r="DB116" s="403"/>
      <c r="DC116" s="403"/>
      <c r="DD116" s="403"/>
      <c r="DE116" s="403"/>
      <c r="DF116" s="403"/>
      <c r="DG116" s="410">
        <f t="shared" si="13"/>
        <v>0</v>
      </c>
      <c r="DH116" s="177">
        <v>829.0</v>
      </c>
      <c r="DI116" s="177">
        <v>274.0</v>
      </c>
      <c r="DJ116" s="178">
        <v>762.0</v>
      </c>
      <c r="DK116" s="178">
        <v>273.0</v>
      </c>
      <c r="DL116" s="179">
        <f t="shared" si="14"/>
        <v>4</v>
      </c>
      <c r="DM116" s="180">
        <f t="shared" si="15"/>
        <v>1</v>
      </c>
      <c r="DN116" s="180">
        <f t="shared" si="16"/>
        <v>3</v>
      </c>
      <c r="DO116" s="306">
        <v>0.0</v>
      </c>
      <c r="DP116" s="177">
        <v>1.0</v>
      </c>
      <c r="DQ116" s="177">
        <v>0.0</v>
      </c>
      <c r="DR116" s="177">
        <v>2.0</v>
      </c>
      <c r="DS116" s="177">
        <v>0.0</v>
      </c>
      <c r="DT116" s="177">
        <v>0.0</v>
      </c>
      <c r="DU116" s="177">
        <v>0.0</v>
      </c>
      <c r="DV116" s="177">
        <v>1.0</v>
      </c>
      <c r="DW116" s="177">
        <v>0.0</v>
      </c>
      <c r="DX116" s="177">
        <v>1.0</v>
      </c>
      <c r="DY116" s="177"/>
      <c r="DZ116" s="177"/>
      <c r="EA116" s="177">
        <v>0.0</v>
      </c>
      <c r="EB116" s="177">
        <v>0.0</v>
      </c>
      <c r="EC116" s="177">
        <v>0.0</v>
      </c>
      <c r="ED116" s="177">
        <v>0.0</v>
      </c>
      <c r="EE116" s="177">
        <v>0.0</v>
      </c>
      <c r="EF116" s="177">
        <v>0.0</v>
      </c>
      <c r="EG116" s="179">
        <f t="shared" si="17"/>
        <v>1</v>
      </c>
      <c r="EH116" s="179">
        <f t="shared" si="18"/>
        <v>1</v>
      </c>
      <c r="EI116" s="177">
        <v>784.0</v>
      </c>
      <c r="EJ116" s="177">
        <v>272.0</v>
      </c>
      <c r="EK116" s="178">
        <v>783.0</v>
      </c>
      <c r="EL116" s="178">
        <v>272.0</v>
      </c>
      <c r="EM116" s="185">
        <f t="shared" si="283"/>
        <v>3</v>
      </c>
      <c r="EN116" s="186">
        <f t="shared" si="202"/>
        <v>1</v>
      </c>
      <c r="EO116" s="186">
        <f t="shared" si="90"/>
        <v>2</v>
      </c>
      <c r="EP116" s="306">
        <v>0.0</v>
      </c>
      <c r="EQ116" s="177">
        <v>0.0</v>
      </c>
      <c r="ER116" s="177">
        <v>0.0</v>
      </c>
      <c r="ES116" s="177">
        <v>2.0</v>
      </c>
      <c r="ET116" s="177">
        <v>0.0</v>
      </c>
      <c r="EU116" s="177">
        <v>0.0</v>
      </c>
      <c r="EV116" s="177">
        <v>1.0</v>
      </c>
      <c r="EW116" s="177">
        <v>0.0</v>
      </c>
      <c r="EX116" s="177">
        <v>0.0</v>
      </c>
      <c r="EY116" s="177">
        <v>0.0</v>
      </c>
      <c r="EZ116" s="177">
        <v>0.0</v>
      </c>
      <c r="FA116" s="177">
        <v>1.0</v>
      </c>
      <c r="FB116" s="227"/>
      <c r="FC116" s="227"/>
      <c r="FD116" s="227"/>
      <c r="FE116" s="227"/>
      <c r="FF116" s="227"/>
      <c r="FG116" s="227"/>
      <c r="FH116" s="185">
        <f t="shared" si="22"/>
        <v>1</v>
      </c>
      <c r="FI116" s="185">
        <f t="shared" si="23"/>
        <v>0</v>
      </c>
      <c r="FJ116" s="177">
        <v>770.0</v>
      </c>
      <c r="FK116" s="177">
        <v>252.0</v>
      </c>
      <c r="FL116" s="177">
        <v>770.0</v>
      </c>
      <c r="FM116" s="177">
        <v>252.0</v>
      </c>
      <c r="FN116" s="210"/>
      <c r="FO116" s="210">
        <v>3.0</v>
      </c>
      <c r="FP116" s="243">
        <v>3.0</v>
      </c>
      <c r="FQ116" s="211">
        <v>1.0</v>
      </c>
      <c r="FR116" s="212">
        <v>2.0</v>
      </c>
      <c r="FS116" s="206">
        <v>0.0</v>
      </c>
      <c r="FT116" s="207">
        <v>0.0</v>
      </c>
      <c r="FU116" s="207">
        <v>1.0</v>
      </c>
      <c r="FV116" s="207">
        <v>2.0</v>
      </c>
      <c r="FW116" s="207">
        <v>0.0</v>
      </c>
      <c r="FX116" s="207">
        <v>0.0</v>
      </c>
      <c r="FY116" s="207">
        <v>0.0</v>
      </c>
      <c r="FZ116" s="207">
        <v>0.0</v>
      </c>
      <c r="GA116" s="207">
        <v>0.0</v>
      </c>
      <c r="GB116" s="207">
        <v>0.0</v>
      </c>
      <c r="GC116" s="207">
        <v>0.0</v>
      </c>
      <c r="GD116" s="207">
        <v>0.0</v>
      </c>
      <c r="GE116" s="207">
        <v>0.0</v>
      </c>
      <c r="GF116" s="207">
        <v>0.0</v>
      </c>
      <c r="GG116" s="207">
        <v>0.0</v>
      </c>
      <c r="GH116" s="207">
        <v>0.0</v>
      </c>
      <c r="GI116" s="207">
        <v>1.0</v>
      </c>
      <c r="GJ116" s="207">
        <v>0.0</v>
      </c>
      <c r="GK116" s="212">
        <v>1.0</v>
      </c>
      <c r="GL116" s="212">
        <v>0.0</v>
      </c>
      <c r="GM116" s="207">
        <v>767.0</v>
      </c>
      <c r="GN116" s="207">
        <v>252.0</v>
      </c>
      <c r="GO116" s="213">
        <v>767.0</v>
      </c>
      <c r="GP116" s="213">
        <v>252.0</v>
      </c>
      <c r="GQ116" s="207"/>
      <c r="GR116" s="213">
        <v>4.0</v>
      </c>
      <c r="GS116" s="193">
        <v>1.0</v>
      </c>
      <c r="GT116" s="194">
        <f t="shared" si="25"/>
        <v>4</v>
      </c>
      <c r="GU116" s="194">
        <f t="shared" si="26"/>
        <v>1</v>
      </c>
      <c r="GV116" s="194">
        <f t="shared" si="27"/>
        <v>3</v>
      </c>
      <c r="GW116" s="207">
        <v>0.0</v>
      </c>
      <c r="GX116" s="207">
        <v>0.0</v>
      </c>
      <c r="GY116" s="207">
        <v>1.0</v>
      </c>
      <c r="GZ116" s="207">
        <v>2.0</v>
      </c>
      <c r="HA116" s="207">
        <v>0.0</v>
      </c>
      <c r="HB116" s="207">
        <v>0.0</v>
      </c>
      <c r="HC116" s="207">
        <v>0.0</v>
      </c>
      <c r="HD116" s="207">
        <v>1.0</v>
      </c>
      <c r="HE116" s="207">
        <v>0.0</v>
      </c>
      <c r="HF116" s="207">
        <v>0.0</v>
      </c>
      <c r="HG116" s="207">
        <v>0.0</v>
      </c>
      <c r="HH116" s="207">
        <v>0.0</v>
      </c>
      <c r="HI116" s="207">
        <v>0.0</v>
      </c>
      <c r="HJ116" s="207">
        <v>0.0</v>
      </c>
      <c r="HK116" s="207">
        <v>0.0</v>
      </c>
      <c r="HL116" s="207">
        <v>0.0</v>
      </c>
      <c r="HM116" s="207">
        <v>0.0</v>
      </c>
      <c r="HN116" s="207">
        <v>0.0</v>
      </c>
      <c r="HO116" s="222"/>
      <c r="HP116" s="222"/>
      <c r="HQ116" s="411"/>
      <c r="HR116" s="402"/>
      <c r="HS116" s="402"/>
      <c r="HT116" s="402">
        <f t="shared" si="28"/>
        <v>8</v>
      </c>
      <c r="HU116" s="402">
        <f t="shared" si="29"/>
        <v>6</v>
      </c>
      <c r="HV116" s="402">
        <f t="shared" si="30"/>
        <v>7</v>
      </c>
      <c r="HW116" s="402">
        <f t="shared" si="99"/>
        <v>9</v>
      </c>
      <c r="HX116" s="402">
        <f t="shared" si="32"/>
        <v>5</v>
      </c>
      <c r="HY116" s="402">
        <f t="shared" si="33"/>
        <v>7</v>
      </c>
      <c r="HZ116" s="402">
        <f t="shared" si="34"/>
        <v>3</v>
      </c>
      <c r="IA116" s="402">
        <f t="shared" si="35"/>
        <v>3</v>
      </c>
      <c r="IB116" s="198">
        <f t="shared" si="36"/>
        <v>4</v>
      </c>
      <c r="IC116" s="198">
        <f t="shared" si="37"/>
        <v>3</v>
      </c>
      <c r="ID116" s="198">
        <f t="shared" si="38"/>
        <v>3</v>
      </c>
      <c r="IE116" s="198">
        <f t="shared" si="39"/>
        <v>4</v>
      </c>
      <c r="IF116" s="402"/>
      <c r="IG116" s="197"/>
      <c r="IH116" s="402"/>
      <c r="II116" s="402"/>
      <c r="IJ116" s="402"/>
      <c r="IK116" s="402"/>
      <c r="IL116" s="402"/>
      <c r="IM116" s="402"/>
      <c r="IN116" s="402"/>
      <c r="IO116" s="402"/>
      <c r="IP116" s="402"/>
      <c r="IQ116" s="402"/>
      <c r="IR116" s="402"/>
      <c r="IS116" s="402"/>
      <c r="IT116" s="402"/>
      <c r="IU116" s="402"/>
      <c r="IV116" s="402"/>
      <c r="IW116" s="402"/>
      <c r="IX116" s="402"/>
      <c r="IY116" s="402"/>
      <c r="IZ116" s="402"/>
      <c r="JA116" s="412"/>
      <c r="JB116" s="379">
        <f t="shared" si="40"/>
        <v>8</v>
      </c>
      <c r="JC116" s="379">
        <f t="shared" si="41"/>
        <v>6</v>
      </c>
      <c r="JD116" s="379">
        <f t="shared" si="42"/>
        <v>7</v>
      </c>
      <c r="JE116" s="379">
        <f t="shared" si="43"/>
        <v>9</v>
      </c>
      <c r="JF116" s="379">
        <f t="shared" si="44"/>
        <v>5</v>
      </c>
      <c r="JG116" s="379">
        <f t="shared" si="45"/>
        <v>7</v>
      </c>
      <c r="JH116" s="379">
        <f t="shared" si="46"/>
        <v>3</v>
      </c>
      <c r="JI116" s="379">
        <f t="shared" si="47"/>
        <v>3</v>
      </c>
      <c r="JJ116" s="200">
        <f t="shared" si="48"/>
        <v>4</v>
      </c>
      <c r="JK116" s="200">
        <f t="shared" si="49"/>
        <v>4</v>
      </c>
      <c r="JL116" s="200">
        <f t="shared" si="50"/>
        <v>3</v>
      </c>
      <c r="JM116" s="200">
        <f t="shared" si="51"/>
        <v>4</v>
      </c>
      <c r="JN116" s="412"/>
      <c r="JO116" s="379">
        <f t="shared" si="52"/>
        <v>8</v>
      </c>
      <c r="JP116" s="401">
        <v>6.0</v>
      </c>
      <c r="JQ116" s="401">
        <v>7.0</v>
      </c>
      <c r="JR116" s="401">
        <v>9.0</v>
      </c>
      <c r="JS116" s="401">
        <v>5.0</v>
      </c>
      <c r="JT116" s="412"/>
      <c r="JU116" s="412"/>
      <c r="JV116" s="200">
        <f t="shared" ref="JV116:JX116" si="293">IA116-JI116</f>
        <v>0</v>
      </c>
      <c r="JW116" s="200">
        <f t="shared" si="293"/>
        <v>0</v>
      </c>
      <c r="JX116" s="200">
        <f t="shared" si="293"/>
        <v>-1</v>
      </c>
      <c r="JY116" s="412"/>
      <c r="JZ116" s="412"/>
      <c r="KA116" s="412"/>
      <c r="KB116" s="379">
        <f t="shared" ref="KB116:KM116" si="294">JB116-JO116</f>
        <v>0</v>
      </c>
      <c r="KC116" s="379">
        <f t="shared" si="294"/>
        <v>0</v>
      </c>
      <c r="KD116" s="379">
        <f t="shared" si="294"/>
        <v>0</v>
      </c>
      <c r="KE116" s="379">
        <f t="shared" si="294"/>
        <v>0</v>
      </c>
      <c r="KF116" s="379">
        <f t="shared" si="294"/>
        <v>0</v>
      </c>
      <c r="KG116" s="379">
        <f t="shared" si="294"/>
        <v>7</v>
      </c>
      <c r="KH116" s="379">
        <f t="shared" si="294"/>
        <v>3</v>
      </c>
      <c r="KI116" s="379">
        <f t="shared" si="294"/>
        <v>3</v>
      </c>
      <c r="KJ116" s="379">
        <f t="shared" si="294"/>
        <v>4</v>
      </c>
      <c r="KK116" s="379">
        <f t="shared" si="294"/>
        <v>5</v>
      </c>
      <c r="KL116" s="379">
        <f t="shared" si="294"/>
        <v>3</v>
      </c>
      <c r="KM116" s="379">
        <f t="shared" si="294"/>
        <v>4</v>
      </c>
      <c r="KN116" s="412"/>
      <c r="KO116" s="412"/>
      <c r="KP116" s="412"/>
      <c r="KQ116" s="412"/>
      <c r="KR116" s="412"/>
      <c r="KS116" s="412"/>
      <c r="KT116" s="412"/>
      <c r="KU116" s="412"/>
      <c r="KV116" s="412"/>
      <c r="KW116" s="412"/>
      <c r="KX116" s="412"/>
      <c r="KY116" s="412"/>
      <c r="KZ116" s="412"/>
      <c r="LA116" s="412"/>
      <c r="LB116" s="412"/>
      <c r="LC116" s="412"/>
      <c r="LD116" s="412"/>
      <c r="LE116" s="412"/>
      <c r="LF116" s="412"/>
      <c r="LG116" s="412"/>
      <c r="LH116" s="413"/>
      <c r="LI116" s="413"/>
      <c r="LJ116" s="413"/>
      <c r="LK116" s="413"/>
    </row>
    <row r="117" ht="14.25" customHeight="1">
      <c r="A117" s="156">
        <v>110.0</v>
      </c>
      <c r="B117" s="396" t="s">
        <v>206</v>
      </c>
      <c r="C117" s="397">
        <v>3374030.0</v>
      </c>
      <c r="D117" s="397" t="s">
        <v>213</v>
      </c>
      <c r="E117" s="397" t="s">
        <v>216</v>
      </c>
      <c r="F117" s="398">
        <v>23.0</v>
      </c>
      <c r="G117" s="399">
        <v>995.0</v>
      </c>
      <c r="H117" s="400">
        <v>4.0</v>
      </c>
      <c r="I117" s="401"/>
      <c r="J117" s="401">
        <v>1.0</v>
      </c>
      <c r="K117" s="401">
        <v>1.0</v>
      </c>
      <c r="L117" s="401">
        <v>2.0</v>
      </c>
      <c r="M117" s="401"/>
      <c r="N117" s="401"/>
      <c r="O117" s="401">
        <f t="shared" si="213"/>
        <v>4</v>
      </c>
      <c r="P117" s="401">
        <v>4.0</v>
      </c>
      <c r="Q117" s="402"/>
      <c r="R117" s="402"/>
      <c r="S117" s="402">
        <v>1.0</v>
      </c>
      <c r="T117" s="403">
        <v>3.0</v>
      </c>
      <c r="U117" s="403"/>
      <c r="V117" s="403"/>
      <c r="W117" s="402">
        <f t="shared" si="225"/>
        <v>4</v>
      </c>
      <c r="X117" s="401">
        <v>4.0</v>
      </c>
      <c r="Y117" s="403"/>
      <c r="Z117" s="403"/>
      <c r="AA117" s="403">
        <v>2.0</v>
      </c>
      <c r="AB117" s="403">
        <v>2.0</v>
      </c>
      <c r="AC117" s="403"/>
      <c r="AD117" s="403"/>
      <c r="AE117" s="402">
        <f t="shared" si="214"/>
        <v>4</v>
      </c>
      <c r="AF117" s="403">
        <v>8.0</v>
      </c>
      <c r="AG117" s="403"/>
      <c r="AH117" s="403"/>
      <c r="AI117" s="403">
        <v>3.0</v>
      </c>
      <c r="AJ117" s="403">
        <v>5.0</v>
      </c>
      <c r="AK117" s="403"/>
      <c r="AL117" s="403"/>
      <c r="AM117" s="402">
        <f t="shared" si="215"/>
        <v>8</v>
      </c>
      <c r="AN117" s="403">
        <v>5.0</v>
      </c>
      <c r="AO117" s="403"/>
      <c r="AP117" s="403"/>
      <c r="AQ117" s="403">
        <v>2.0</v>
      </c>
      <c r="AR117" s="403">
        <v>3.0</v>
      </c>
      <c r="AS117" s="403"/>
      <c r="AT117" s="403"/>
      <c r="AU117" s="404">
        <f t="shared" si="216"/>
        <v>5</v>
      </c>
      <c r="AV117" s="405">
        <v>985.0</v>
      </c>
      <c r="AW117" s="406">
        <f t="shared" si="8"/>
        <v>6</v>
      </c>
      <c r="AX117" s="405">
        <v>0.0</v>
      </c>
      <c r="AY117" s="405">
        <v>0.0</v>
      </c>
      <c r="AZ117" s="403">
        <v>2.0</v>
      </c>
      <c r="BA117" s="403">
        <v>3.0</v>
      </c>
      <c r="BB117" s="405">
        <v>0.0</v>
      </c>
      <c r="BC117" s="405">
        <v>0.0</v>
      </c>
      <c r="BD117" s="405">
        <v>1.0</v>
      </c>
      <c r="BE117" s="405">
        <v>0.0</v>
      </c>
      <c r="BF117" s="405">
        <v>0.0</v>
      </c>
      <c r="BG117" s="405">
        <v>0.0</v>
      </c>
      <c r="BH117" s="405">
        <v>0.0</v>
      </c>
      <c r="BI117" s="405">
        <v>1.0</v>
      </c>
      <c r="BJ117" s="405">
        <v>0.0</v>
      </c>
      <c r="BK117" s="405">
        <v>0.0</v>
      </c>
      <c r="BL117" s="405">
        <v>0.0</v>
      </c>
      <c r="BM117" s="405">
        <v>0.0</v>
      </c>
      <c r="BN117" s="405">
        <v>0.0</v>
      </c>
      <c r="BO117" s="405">
        <v>0.0</v>
      </c>
      <c r="BP117" s="402">
        <f t="shared" si="131"/>
        <v>1</v>
      </c>
      <c r="BQ117" s="407">
        <v>981.0</v>
      </c>
      <c r="BR117" s="408">
        <f t="shared" si="10"/>
        <v>4</v>
      </c>
      <c r="BS117" s="407"/>
      <c r="BT117" s="403"/>
      <c r="BU117" s="407">
        <v>3.0</v>
      </c>
      <c r="BV117" s="407">
        <v>1.0</v>
      </c>
      <c r="BW117" s="407">
        <v>0.0</v>
      </c>
      <c r="BX117" s="407">
        <v>0.0</v>
      </c>
      <c r="BY117" s="407">
        <v>0.0</v>
      </c>
      <c r="BZ117" s="407">
        <v>0.0</v>
      </c>
      <c r="CA117" s="403"/>
      <c r="CB117" s="403"/>
      <c r="CC117" s="403"/>
      <c r="CD117" s="403"/>
      <c r="CE117" s="403"/>
      <c r="CF117" s="403"/>
      <c r="CG117" s="403"/>
      <c r="CH117" s="403"/>
      <c r="CI117" s="403"/>
      <c r="CJ117" s="403"/>
      <c r="CK117" s="403">
        <f t="shared" si="132"/>
        <v>0</v>
      </c>
      <c r="CL117" s="407">
        <v>1025.0</v>
      </c>
      <c r="CM117" s="407">
        <v>310.0</v>
      </c>
      <c r="CN117" s="410">
        <f t="shared" si="295"/>
        <v>6</v>
      </c>
      <c r="CO117" s="407">
        <v>0.0</v>
      </c>
      <c r="CP117" s="407">
        <v>0.0</v>
      </c>
      <c r="CQ117" s="407">
        <v>3.0</v>
      </c>
      <c r="CR117" s="407">
        <v>1.0</v>
      </c>
      <c r="CS117" s="407">
        <v>0.0</v>
      </c>
      <c r="CT117" s="407">
        <v>0.0</v>
      </c>
      <c r="CU117" s="407">
        <v>2.0</v>
      </c>
      <c r="CV117" s="407">
        <v>0.0</v>
      </c>
      <c r="CW117" s="415">
        <v>0.0</v>
      </c>
      <c r="CX117" s="403"/>
      <c r="CY117" s="403"/>
      <c r="CZ117" s="403"/>
      <c r="DA117" s="403"/>
      <c r="DB117" s="403"/>
      <c r="DC117" s="403"/>
      <c r="DD117" s="403"/>
      <c r="DE117" s="403"/>
      <c r="DF117" s="403"/>
      <c r="DG117" s="410">
        <f t="shared" si="13"/>
        <v>0</v>
      </c>
      <c r="DH117" s="177">
        <v>891.0</v>
      </c>
      <c r="DI117" s="177">
        <v>258.0</v>
      </c>
      <c r="DJ117" s="178">
        <v>794.0</v>
      </c>
      <c r="DK117" s="178">
        <v>257.0</v>
      </c>
      <c r="DL117" s="179">
        <f t="shared" si="14"/>
        <v>6</v>
      </c>
      <c r="DM117" s="180">
        <f t="shared" si="15"/>
        <v>5</v>
      </c>
      <c r="DN117" s="180">
        <f t="shared" si="16"/>
        <v>1</v>
      </c>
      <c r="DO117" s="306">
        <v>0.0</v>
      </c>
      <c r="DP117" s="177">
        <v>0.0</v>
      </c>
      <c r="DQ117" s="177">
        <v>4.0</v>
      </c>
      <c r="DR117" s="177">
        <v>1.0</v>
      </c>
      <c r="DS117" s="177">
        <v>0.0</v>
      </c>
      <c r="DT117" s="177">
        <v>0.0</v>
      </c>
      <c r="DU117" s="177">
        <v>1.0</v>
      </c>
      <c r="DV117" s="177">
        <v>0.0</v>
      </c>
      <c r="DW117" s="177">
        <v>0.0</v>
      </c>
      <c r="DX117" s="177">
        <v>0.0</v>
      </c>
      <c r="DY117" s="177">
        <v>2.0</v>
      </c>
      <c r="DZ117" s="177"/>
      <c r="EA117" s="177">
        <v>0.0</v>
      </c>
      <c r="EB117" s="177">
        <v>0.0</v>
      </c>
      <c r="EC117" s="177">
        <v>0.0</v>
      </c>
      <c r="ED117" s="177">
        <v>0.0</v>
      </c>
      <c r="EE117" s="177">
        <v>0.0</v>
      </c>
      <c r="EF117" s="177">
        <v>0.0</v>
      </c>
      <c r="EG117" s="179">
        <f t="shared" si="17"/>
        <v>2</v>
      </c>
      <c r="EH117" s="179">
        <f t="shared" si="18"/>
        <v>2</v>
      </c>
      <c r="EI117" s="177">
        <v>886.0</v>
      </c>
      <c r="EJ117" s="177">
        <v>264.0</v>
      </c>
      <c r="EK117" s="178">
        <v>693.0</v>
      </c>
      <c r="EL117" s="178">
        <v>264.0</v>
      </c>
      <c r="EM117" s="185">
        <f t="shared" si="283"/>
        <v>10</v>
      </c>
      <c r="EN117" s="186">
        <f t="shared" si="202"/>
        <v>6</v>
      </c>
      <c r="EO117" s="186">
        <f t="shared" si="90"/>
        <v>4</v>
      </c>
      <c r="EP117" s="306">
        <v>0.0</v>
      </c>
      <c r="EQ117" s="177">
        <v>0.0</v>
      </c>
      <c r="ER117" s="177">
        <v>4.0</v>
      </c>
      <c r="ES117" s="177">
        <v>2.0</v>
      </c>
      <c r="ET117" s="177">
        <v>2.0</v>
      </c>
      <c r="EU117" s="177">
        <v>0.0</v>
      </c>
      <c r="EV117" s="177">
        <v>0.0</v>
      </c>
      <c r="EW117" s="177">
        <v>2.0</v>
      </c>
      <c r="EX117" s="177">
        <v>0.0</v>
      </c>
      <c r="EY117" s="177">
        <v>0.0</v>
      </c>
      <c r="EZ117" s="177">
        <v>0.0</v>
      </c>
      <c r="FA117" s="177">
        <v>0.0</v>
      </c>
      <c r="FB117" s="227"/>
      <c r="FC117" s="227"/>
      <c r="FD117" s="227"/>
      <c r="FE117" s="227"/>
      <c r="FF117" s="227"/>
      <c r="FG117" s="227"/>
      <c r="FH117" s="185">
        <f t="shared" si="22"/>
        <v>0</v>
      </c>
      <c r="FI117" s="185">
        <f t="shared" si="23"/>
        <v>0</v>
      </c>
      <c r="FJ117" s="177">
        <v>887.0</v>
      </c>
      <c r="FK117" s="177">
        <v>266.0</v>
      </c>
      <c r="FL117" s="177">
        <v>849.0</v>
      </c>
      <c r="FM117" s="177">
        <v>266.0</v>
      </c>
      <c r="FN117" s="210"/>
      <c r="FO117" s="210">
        <v>10.0</v>
      </c>
      <c r="FP117" s="243">
        <v>10.0</v>
      </c>
      <c r="FQ117" s="211">
        <v>6.0</v>
      </c>
      <c r="FR117" s="212">
        <v>4.0</v>
      </c>
      <c r="FS117" s="206">
        <v>2.0</v>
      </c>
      <c r="FT117" s="207">
        <v>0.0</v>
      </c>
      <c r="FU117" s="207">
        <v>4.0</v>
      </c>
      <c r="FV117" s="207">
        <v>4.0</v>
      </c>
      <c r="FW117" s="207">
        <v>0.0</v>
      </c>
      <c r="FX117" s="207">
        <v>0.0</v>
      </c>
      <c r="FY117" s="207">
        <v>0.0</v>
      </c>
      <c r="FZ117" s="207">
        <v>0.0</v>
      </c>
      <c r="GA117" s="207">
        <v>0.0</v>
      </c>
      <c r="GB117" s="207">
        <v>0.0</v>
      </c>
      <c r="GC117" s="207">
        <v>0.0</v>
      </c>
      <c r="GD117" s="207">
        <v>0.0</v>
      </c>
      <c r="GE117" s="207">
        <v>0.0</v>
      </c>
      <c r="GF117" s="207">
        <v>0.0</v>
      </c>
      <c r="GG117" s="207">
        <v>0.0</v>
      </c>
      <c r="GH117" s="207">
        <v>0.0</v>
      </c>
      <c r="GI117" s="207">
        <v>0.0</v>
      </c>
      <c r="GJ117" s="207">
        <v>0.0</v>
      </c>
      <c r="GK117" s="212">
        <v>0.0</v>
      </c>
      <c r="GL117" s="212">
        <v>0.0</v>
      </c>
      <c r="GM117" s="207">
        <v>909.0</v>
      </c>
      <c r="GN117" s="207">
        <v>275.0</v>
      </c>
      <c r="GO117" s="213">
        <v>813.0</v>
      </c>
      <c r="GP117" s="213">
        <v>275.0</v>
      </c>
      <c r="GQ117" s="207"/>
      <c r="GR117" s="213">
        <v>10.0</v>
      </c>
      <c r="GS117" s="193">
        <v>6.0</v>
      </c>
      <c r="GT117" s="194">
        <f t="shared" si="25"/>
        <v>10</v>
      </c>
      <c r="GU117" s="194">
        <f t="shared" si="26"/>
        <v>6</v>
      </c>
      <c r="GV117" s="194">
        <f t="shared" si="27"/>
        <v>4</v>
      </c>
      <c r="GW117" s="207">
        <v>0.0</v>
      </c>
      <c r="GX117" s="207">
        <v>2.0</v>
      </c>
      <c r="GY117" s="207">
        <v>3.0</v>
      </c>
      <c r="GZ117" s="207">
        <v>4.0</v>
      </c>
      <c r="HA117" s="207">
        <v>1.0</v>
      </c>
      <c r="HB117" s="207">
        <v>0.0</v>
      </c>
      <c r="HC117" s="207">
        <v>0.0</v>
      </c>
      <c r="HD117" s="207">
        <v>0.0</v>
      </c>
      <c r="HE117" s="207">
        <v>0.0</v>
      </c>
      <c r="HF117" s="207">
        <v>0.0</v>
      </c>
      <c r="HG117" s="207">
        <v>0.0</v>
      </c>
      <c r="HH117" s="207">
        <v>1.0</v>
      </c>
      <c r="HI117" s="207">
        <v>0.0</v>
      </c>
      <c r="HJ117" s="207">
        <v>0.0</v>
      </c>
      <c r="HK117" s="207">
        <v>0.0</v>
      </c>
      <c r="HL117" s="207">
        <v>0.0</v>
      </c>
      <c r="HM117" s="207">
        <v>0.0</v>
      </c>
      <c r="HN117" s="207">
        <v>0.0</v>
      </c>
      <c r="HO117" s="222"/>
      <c r="HP117" s="222"/>
      <c r="HQ117" s="411"/>
      <c r="HR117" s="402"/>
      <c r="HS117" s="402"/>
      <c r="HT117" s="402">
        <f t="shared" si="28"/>
        <v>4</v>
      </c>
      <c r="HU117" s="402">
        <f t="shared" si="29"/>
        <v>4</v>
      </c>
      <c r="HV117" s="402">
        <f t="shared" si="30"/>
        <v>4</v>
      </c>
      <c r="HW117" s="402">
        <f t="shared" si="99"/>
        <v>8</v>
      </c>
      <c r="HX117" s="402">
        <f t="shared" si="32"/>
        <v>5</v>
      </c>
      <c r="HY117" s="402">
        <f t="shared" si="33"/>
        <v>6</v>
      </c>
      <c r="HZ117" s="402">
        <f t="shared" si="34"/>
        <v>4</v>
      </c>
      <c r="IA117" s="402">
        <f t="shared" si="35"/>
        <v>6</v>
      </c>
      <c r="IB117" s="198">
        <f t="shared" si="36"/>
        <v>6</v>
      </c>
      <c r="IC117" s="198">
        <f t="shared" si="37"/>
        <v>10</v>
      </c>
      <c r="ID117" s="198">
        <f t="shared" si="38"/>
        <v>10</v>
      </c>
      <c r="IE117" s="198">
        <f t="shared" si="39"/>
        <v>10</v>
      </c>
      <c r="IF117" s="402"/>
      <c r="IG117" s="197"/>
      <c r="IH117" s="402"/>
      <c r="II117" s="402"/>
      <c r="IJ117" s="402"/>
      <c r="IK117" s="402"/>
      <c r="IL117" s="402"/>
      <c r="IM117" s="402"/>
      <c r="IN117" s="402"/>
      <c r="IO117" s="402"/>
      <c r="IP117" s="402"/>
      <c r="IQ117" s="402"/>
      <c r="IR117" s="402"/>
      <c r="IS117" s="402"/>
      <c r="IT117" s="402"/>
      <c r="IU117" s="402"/>
      <c r="IV117" s="402"/>
      <c r="IW117" s="402"/>
      <c r="IX117" s="402"/>
      <c r="IY117" s="402"/>
      <c r="IZ117" s="402"/>
      <c r="JA117" s="412"/>
      <c r="JB117" s="379">
        <f t="shared" si="40"/>
        <v>4</v>
      </c>
      <c r="JC117" s="379">
        <f t="shared" si="41"/>
        <v>4</v>
      </c>
      <c r="JD117" s="379">
        <f t="shared" si="42"/>
        <v>4</v>
      </c>
      <c r="JE117" s="379">
        <f t="shared" si="43"/>
        <v>8</v>
      </c>
      <c r="JF117" s="379">
        <f t="shared" si="44"/>
        <v>5</v>
      </c>
      <c r="JG117" s="379">
        <f t="shared" si="45"/>
        <v>6</v>
      </c>
      <c r="JH117" s="379">
        <f t="shared" si="46"/>
        <v>4</v>
      </c>
      <c r="JI117" s="379">
        <f t="shared" si="47"/>
        <v>6</v>
      </c>
      <c r="JJ117" s="200">
        <f t="shared" si="48"/>
        <v>6</v>
      </c>
      <c r="JK117" s="200">
        <f t="shared" si="49"/>
        <v>10</v>
      </c>
      <c r="JL117" s="200">
        <f t="shared" si="50"/>
        <v>10</v>
      </c>
      <c r="JM117" s="200">
        <f t="shared" si="51"/>
        <v>10</v>
      </c>
      <c r="JN117" s="412"/>
      <c r="JO117" s="379">
        <f t="shared" si="52"/>
        <v>4</v>
      </c>
      <c r="JP117" s="401">
        <v>4.0</v>
      </c>
      <c r="JQ117" s="401">
        <v>4.0</v>
      </c>
      <c r="JR117" s="401">
        <v>8.0</v>
      </c>
      <c r="JS117" s="401">
        <v>5.0</v>
      </c>
      <c r="JT117" s="412"/>
      <c r="JU117" s="412"/>
      <c r="JV117" s="200">
        <f t="shared" ref="JV117:JX117" si="296">IA117-JI117</f>
        <v>0</v>
      </c>
      <c r="JW117" s="200">
        <f t="shared" si="296"/>
        <v>0</v>
      </c>
      <c r="JX117" s="200">
        <f t="shared" si="296"/>
        <v>0</v>
      </c>
      <c r="JY117" s="412"/>
      <c r="JZ117" s="412"/>
      <c r="KA117" s="412"/>
      <c r="KB117" s="379">
        <f t="shared" ref="KB117:KM117" si="297">JB117-JO117</f>
        <v>0</v>
      </c>
      <c r="KC117" s="379">
        <f t="shared" si="297"/>
        <v>0</v>
      </c>
      <c r="KD117" s="379">
        <f t="shared" si="297"/>
        <v>0</v>
      </c>
      <c r="KE117" s="379">
        <f t="shared" si="297"/>
        <v>0</v>
      </c>
      <c r="KF117" s="379">
        <f t="shared" si="297"/>
        <v>0</v>
      </c>
      <c r="KG117" s="379">
        <f t="shared" si="297"/>
        <v>6</v>
      </c>
      <c r="KH117" s="379">
        <f t="shared" si="297"/>
        <v>4</v>
      </c>
      <c r="KI117" s="379">
        <f t="shared" si="297"/>
        <v>6</v>
      </c>
      <c r="KJ117" s="379">
        <f t="shared" si="297"/>
        <v>6</v>
      </c>
      <c r="KK117" s="379">
        <f t="shared" si="297"/>
        <v>10</v>
      </c>
      <c r="KL117" s="379">
        <f t="shared" si="297"/>
        <v>10</v>
      </c>
      <c r="KM117" s="379">
        <f t="shared" si="297"/>
        <v>10</v>
      </c>
      <c r="KN117" s="412"/>
      <c r="KO117" s="412"/>
      <c r="KP117" s="412"/>
      <c r="KQ117" s="412"/>
      <c r="KR117" s="412"/>
      <c r="KS117" s="412"/>
      <c r="KT117" s="412"/>
      <c r="KU117" s="412"/>
      <c r="KV117" s="412"/>
      <c r="KW117" s="412"/>
      <c r="KX117" s="412"/>
      <c r="KY117" s="412"/>
      <c r="KZ117" s="412"/>
      <c r="LA117" s="412"/>
      <c r="LB117" s="412"/>
      <c r="LC117" s="412"/>
      <c r="LD117" s="412"/>
      <c r="LE117" s="412"/>
      <c r="LF117" s="412"/>
      <c r="LG117" s="412"/>
      <c r="LH117" s="413"/>
      <c r="LI117" s="413"/>
      <c r="LJ117" s="413"/>
      <c r="LK117" s="413"/>
    </row>
    <row r="118" ht="14.25" customHeight="1">
      <c r="A118" s="156">
        <v>111.0</v>
      </c>
      <c r="B118" s="157" t="s">
        <v>206</v>
      </c>
      <c r="C118" s="158">
        <v>3374030.0</v>
      </c>
      <c r="D118" s="416" t="s">
        <v>217</v>
      </c>
      <c r="E118" s="416" t="s">
        <v>218</v>
      </c>
      <c r="F118" s="417">
        <v>13.0</v>
      </c>
      <c r="G118" s="418">
        <v>902.0</v>
      </c>
      <c r="H118" s="419">
        <v>1.0</v>
      </c>
      <c r="I118" s="420">
        <v>0.0</v>
      </c>
      <c r="J118" s="420">
        <v>0.0</v>
      </c>
      <c r="K118" s="420">
        <v>0.0</v>
      </c>
      <c r="L118" s="420">
        <v>1.0</v>
      </c>
      <c r="M118" s="420">
        <v>0.0</v>
      </c>
      <c r="N118" s="420">
        <v>0.0</v>
      </c>
      <c r="O118" s="420">
        <f t="shared" si="213"/>
        <v>1</v>
      </c>
      <c r="P118" s="420">
        <v>8.0</v>
      </c>
      <c r="Q118" s="421">
        <v>1.0</v>
      </c>
      <c r="R118" s="421">
        <v>1.0</v>
      </c>
      <c r="S118" s="421">
        <v>2.0</v>
      </c>
      <c r="T118" s="422">
        <v>4.0</v>
      </c>
      <c r="U118" s="422">
        <v>7.0</v>
      </c>
      <c r="V118" s="422">
        <v>0.0</v>
      </c>
      <c r="W118" s="421">
        <f t="shared" si="225"/>
        <v>1</v>
      </c>
      <c r="X118" s="420">
        <v>21.0</v>
      </c>
      <c r="Y118" s="422">
        <v>1.0</v>
      </c>
      <c r="Z118" s="422">
        <v>0.0</v>
      </c>
      <c r="AA118" s="422">
        <v>6.0</v>
      </c>
      <c r="AB118" s="422">
        <v>14.0</v>
      </c>
      <c r="AC118" s="422">
        <v>13.0</v>
      </c>
      <c r="AD118" s="422">
        <v>0.0</v>
      </c>
      <c r="AE118" s="421">
        <f t="shared" si="214"/>
        <v>8</v>
      </c>
      <c r="AF118" s="422">
        <v>8.0</v>
      </c>
      <c r="AG118" s="422">
        <v>0.0</v>
      </c>
      <c r="AH118" s="422">
        <v>3.0</v>
      </c>
      <c r="AI118" s="422">
        <v>4.0</v>
      </c>
      <c r="AJ118" s="422">
        <v>1.0</v>
      </c>
      <c r="AK118" s="422">
        <v>0.0</v>
      </c>
      <c r="AL118" s="422">
        <v>0.0</v>
      </c>
      <c r="AM118" s="421">
        <f t="shared" si="215"/>
        <v>8</v>
      </c>
      <c r="AN118" s="422">
        <v>9.0</v>
      </c>
      <c r="AO118" s="422">
        <v>3.0</v>
      </c>
      <c r="AP118" s="422">
        <v>1.0</v>
      </c>
      <c r="AQ118" s="422">
        <v>2.0</v>
      </c>
      <c r="AR118" s="422">
        <v>3.0</v>
      </c>
      <c r="AS118" s="422">
        <v>1.0</v>
      </c>
      <c r="AT118" s="422">
        <v>0.0</v>
      </c>
      <c r="AU118" s="423">
        <f t="shared" si="216"/>
        <v>8</v>
      </c>
      <c r="AV118" s="424">
        <v>902.0</v>
      </c>
      <c r="AW118" s="425">
        <f t="shared" si="8"/>
        <v>9</v>
      </c>
      <c r="AX118" s="424">
        <v>1.0</v>
      </c>
      <c r="AY118" s="424">
        <v>2.0</v>
      </c>
      <c r="AZ118" s="424">
        <v>2.0</v>
      </c>
      <c r="BA118" s="424">
        <v>3.0</v>
      </c>
      <c r="BB118" s="424">
        <v>0.0</v>
      </c>
      <c r="BC118" s="424">
        <v>1.0</v>
      </c>
      <c r="BD118" s="424">
        <v>0.0</v>
      </c>
      <c r="BE118" s="424">
        <v>0.0</v>
      </c>
      <c r="BF118" s="424">
        <v>0.0</v>
      </c>
      <c r="BG118" s="424">
        <v>0.0</v>
      </c>
      <c r="BH118" s="424">
        <v>0.0</v>
      </c>
      <c r="BI118" s="424">
        <v>0.0</v>
      </c>
      <c r="BJ118" s="424">
        <v>0.0</v>
      </c>
      <c r="BK118" s="424">
        <v>0.0</v>
      </c>
      <c r="BL118" s="424">
        <v>0.0</v>
      </c>
      <c r="BM118" s="424">
        <v>0.0</v>
      </c>
      <c r="BN118" s="424">
        <v>0.0</v>
      </c>
      <c r="BO118" s="424">
        <v>0.0</v>
      </c>
      <c r="BP118" s="421">
        <f t="shared" si="131"/>
        <v>0</v>
      </c>
      <c r="BQ118" s="426">
        <v>888.0</v>
      </c>
      <c r="BR118" s="427">
        <f t="shared" si="10"/>
        <v>7</v>
      </c>
      <c r="BS118" s="426">
        <v>1.0</v>
      </c>
      <c r="BT118" s="426">
        <v>2.0</v>
      </c>
      <c r="BU118" s="426">
        <v>1.0</v>
      </c>
      <c r="BV118" s="426">
        <v>3.0</v>
      </c>
      <c r="BW118" s="422"/>
      <c r="BX118" s="422"/>
      <c r="BY118" s="422"/>
      <c r="BZ118" s="422"/>
      <c r="CA118" s="426">
        <v>0.0</v>
      </c>
      <c r="CB118" s="426">
        <v>1.0</v>
      </c>
      <c r="CC118" s="426">
        <v>1.0</v>
      </c>
      <c r="CD118" s="426">
        <v>0.0</v>
      </c>
      <c r="CE118" s="426">
        <v>0.0</v>
      </c>
      <c r="CF118" s="426">
        <v>0.0</v>
      </c>
      <c r="CG118" s="426">
        <v>0.0</v>
      </c>
      <c r="CH118" s="426">
        <v>0.0</v>
      </c>
      <c r="CI118" s="426">
        <v>0.0</v>
      </c>
      <c r="CJ118" s="426">
        <v>0.0</v>
      </c>
      <c r="CK118" s="422">
        <f t="shared" si="132"/>
        <v>2</v>
      </c>
      <c r="CL118" s="426">
        <v>888.0</v>
      </c>
      <c r="CM118" s="426">
        <v>262.0</v>
      </c>
      <c r="CN118" s="428">
        <f t="shared" si="295"/>
        <v>9</v>
      </c>
      <c r="CO118" s="426">
        <v>1.0</v>
      </c>
      <c r="CP118" s="426">
        <v>1.0</v>
      </c>
      <c r="CQ118" s="426">
        <v>1.0</v>
      </c>
      <c r="CR118" s="426">
        <v>2.0</v>
      </c>
      <c r="CS118" s="426">
        <v>2.0</v>
      </c>
      <c r="CT118" s="426">
        <v>0.0</v>
      </c>
      <c r="CU118" s="426">
        <v>2.0</v>
      </c>
      <c r="CV118" s="426">
        <v>0.0</v>
      </c>
      <c r="CW118" s="426">
        <v>0.0</v>
      </c>
      <c r="CX118" s="426">
        <v>1.0</v>
      </c>
      <c r="CY118" s="426">
        <v>1.0</v>
      </c>
      <c r="CZ118" s="426">
        <v>0.0</v>
      </c>
      <c r="DA118" s="426">
        <v>0.0</v>
      </c>
      <c r="DB118" s="426">
        <v>0.0</v>
      </c>
      <c r="DC118" s="426">
        <v>0.0</v>
      </c>
      <c r="DD118" s="426">
        <v>0.0</v>
      </c>
      <c r="DE118" s="426">
        <v>0.0</v>
      </c>
      <c r="DF118" s="426">
        <v>0.0</v>
      </c>
      <c r="DG118" s="428">
        <f t="shared" si="13"/>
        <v>2</v>
      </c>
      <c r="DH118" s="426">
        <v>732.0</v>
      </c>
      <c r="DI118" s="426">
        <v>226.0</v>
      </c>
      <c r="DJ118" s="426">
        <v>732.0</v>
      </c>
      <c r="DK118" s="426">
        <v>226.0</v>
      </c>
      <c r="DL118" s="422">
        <f t="shared" si="14"/>
        <v>6</v>
      </c>
      <c r="DM118" s="426">
        <f t="shared" si="15"/>
        <v>5</v>
      </c>
      <c r="DN118" s="426">
        <f t="shared" si="16"/>
        <v>1</v>
      </c>
      <c r="DO118" s="426">
        <v>0.0</v>
      </c>
      <c r="DP118" s="426">
        <v>1.0</v>
      </c>
      <c r="DQ118" s="426">
        <v>3.0</v>
      </c>
      <c r="DR118" s="426">
        <v>1.0</v>
      </c>
      <c r="DS118" s="426">
        <v>0.0</v>
      </c>
      <c r="DT118" s="426">
        <v>0.0</v>
      </c>
      <c r="DU118" s="426">
        <v>1.0</v>
      </c>
      <c r="DV118" s="426">
        <v>0.0</v>
      </c>
      <c r="DW118" s="426">
        <v>2.0</v>
      </c>
      <c r="DX118" s="426">
        <v>0.0</v>
      </c>
      <c r="DY118" s="426">
        <v>0.0</v>
      </c>
      <c r="DZ118" s="426">
        <v>2.0</v>
      </c>
      <c r="EA118" s="426">
        <v>0.0</v>
      </c>
      <c r="EB118" s="426">
        <v>0.0</v>
      </c>
      <c r="EC118" s="426">
        <v>0.0</v>
      </c>
      <c r="ED118" s="426">
        <v>0.0</v>
      </c>
      <c r="EE118" s="426">
        <v>0.0</v>
      </c>
      <c r="EF118" s="426">
        <v>0.0</v>
      </c>
      <c r="EG118" s="179">
        <f t="shared" si="17"/>
        <v>4</v>
      </c>
      <c r="EH118" s="179">
        <f t="shared" si="18"/>
        <v>2</v>
      </c>
      <c r="EI118" s="426">
        <v>727.0</v>
      </c>
      <c r="EJ118" s="426">
        <v>217.0</v>
      </c>
      <c r="EK118" s="426">
        <v>727.0</v>
      </c>
      <c r="EL118" s="426">
        <v>217.0</v>
      </c>
      <c r="EM118" s="422">
        <f t="shared" si="283"/>
        <v>7</v>
      </c>
      <c r="EN118" s="426">
        <f t="shared" si="202"/>
        <v>3</v>
      </c>
      <c r="EO118" s="426">
        <f t="shared" si="90"/>
        <v>4</v>
      </c>
      <c r="EP118" s="429">
        <v>0.0</v>
      </c>
      <c r="EQ118" s="429">
        <v>1.0</v>
      </c>
      <c r="ER118" s="429">
        <v>1.0</v>
      </c>
      <c r="ES118" s="429">
        <v>3.0</v>
      </c>
      <c r="ET118" s="429">
        <v>1.0</v>
      </c>
      <c r="EU118" s="429">
        <v>0.0</v>
      </c>
      <c r="EV118" s="426">
        <v>0.0</v>
      </c>
      <c r="EW118" s="426">
        <v>1.0</v>
      </c>
      <c r="EX118" s="429">
        <v>0.0</v>
      </c>
      <c r="EY118" s="429">
        <v>0.0</v>
      </c>
      <c r="EZ118" s="429">
        <v>1.0</v>
      </c>
      <c r="FA118" s="429">
        <v>0.0</v>
      </c>
      <c r="FB118" s="429">
        <v>0.0</v>
      </c>
      <c r="FC118" s="429">
        <v>0.0</v>
      </c>
      <c r="FD118" s="429">
        <v>0.0</v>
      </c>
      <c r="FE118" s="429">
        <v>0.0</v>
      </c>
      <c r="FF118" s="429">
        <v>0.0</v>
      </c>
      <c r="FG118" s="429">
        <v>0.0</v>
      </c>
      <c r="FH118" s="422">
        <f t="shared" si="22"/>
        <v>1</v>
      </c>
      <c r="FI118" s="422">
        <f t="shared" si="23"/>
        <v>1</v>
      </c>
      <c r="FJ118" s="426">
        <v>723.0</v>
      </c>
      <c r="FK118" s="426">
        <v>219.0</v>
      </c>
      <c r="FL118" s="426">
        <v>717.0</v>
      </c>
      <c r="FM118" s="426">
        <v>219.0</v>
      </c>
      <c r="FN118" s="180"/>
      <c r="FO118" s="180">
        <v>7.0</v>
      </c>
      <c r="FP118" s="422">
        <f t="shared" ref="FP118:FP127" si="300">SUM(FS118:FZ118)</f>
        <v>7</v>
      </c>
      <c r="FQ118" s="211">
        <v>3.0</v>
      </c>
      <c r="FR118" s="212">
        <v>4.0</v>
      </c>
      <c r="FS118" s="430">
        <v>0.0</v>
      </c>
      <c r="FT118" s="431">
        <v>2.0</v>
      </c>
      <c r="FU118" s="431">
        <v>1.0</v>
      </c>
      <c r="FV118" s="431">
        <v>4.0</v>
      </c>
      <c r="FW118" s="431">
        <v>0.0</v>
      </c>
      <c r="FX118" s="431">
        <v>0.0</v>
      </c>
      <c r="FY118" s="431">
        <v>0.0</v>
      </c>
      <c r="FZ118" s="431">
        <v>0.0</v>
      </c>
      <c r="GA118" s="431">
        <v>0.0</v>
      </c>
      <c r="GB118" s="431">
        <v>0.0</v>
      </c>
      <c r="GC118" s="431">
        <v>0.0</v>
      </c>
      <c r="GD118" s="431">
        <v>0.0</v>
      </c>
      <c r="GE118" s="431">
        <v>0.0</v>
      </c>
      <c r="GF118" s="431">
        <v>0.0</v>
      </c>
      <c r="GG118" s="431">
        <v>0.0</v>
      </c>
      <c r="GH118" s="431">
        <v>0.0</v>
      </c>
      <c r="GI118" s="431">
        <v>0.0</v>
      </c>
      <c r="GJ118" s="431">
        <v>0.0</v>
      </c>
      <c r="GK118" s="431">
        <v>0.0</v>
      </c>
      <c r="GL118" s="431">
        <v>0.0</v>
      </c>
      <c r="GM118" s="207">
        <v>707.0</v>
      </c>
      <c r="GN118" s="207">
        <v>214.0</v>
      </c>
      <c r="GO118" s="213">
        <v>706.0</v>
      </c>
      <c r="GP118" s="213">
        <v>213.0</v>
      </c>
      <c r="GQ118" s="207"/>
      <c r="GR118" s="213">
        <v>8.0</v>
      </c>
      <c r="GS118" s="193">
        <v>3.0</v>
      </c>
      <c r="GT118" s="194">
        <f t="shared" si="25"/>
        <v>8</v>
      </c>
      <c r="GU118" s="194">
        <f t="shared" si="26"/>
        <v>3</v>
      </c>
      <c r="GV118" s="194">
        <f t="shared" si="27"/>
        <v>5</v>
      </c>
      <c r="GW118" s="207">
        <v>1.0</v>
      </c>
      <c r="GX118" s="207">
        <v>1.0</v>
      </c>
      <c r="GY118" s="207">
        <v>1.0</v>
      </c>
      <c r="GZ118" s="207">
        <v>4.0</v>
      </c>
      <c r="HA118" s="207">
        <v>0.0</v>
      </c>
      <c r="HB118" s="207">
        <v>0.0</v>
      </c>
      <c r="HC118" s="207">
        <v>0.0</v>
      </c>
      <c r="HD118" s="207">
        <v>1.0</v>
      </c>
      <c r="HE118" s="207">
        <v>0.0</v>
      </c>
      <c r="HF118" s="207">
        <v>0.0</v>
      </c>
      <c r="HG118" s="207">
        <v>0.0</v>
      </c>
      <c r="HH118" s="207">
        <v>0.0</v>
      </c>
      <c r="HI118" s="207">
        <v>0.0</v>
      </c>
      <c r="HJ118" s="207">
        <v>0.0</v>
      </c>
      <c r="HK118" s="207">
        <v>0.0</v>
      </c>
      <c r="HL118" s="207">
        <v>0.0</v>
      </c>
      <c r="HM118" s="207">
        <v>0.0</v>
      </c>
      <c r="HN118" s="207">
        <v>0.0</v>
      </c>
      <c r="HO118" s="222"/>
      <c r="HP118" s="222"/>
      <c r="HQ118" s="214"/>
      <c r="HR118" s="197"/>
      <c r="HS118" s="197"/>
      <c r="HT118" s="198">
        <f t="shared" si="28"/>
        <v>1</v>
      </c>
      <c r="HU118" s="198">
        <f t="shared" si="29"/>
        <v>8</v>
      </c>
      <c r="HV118" s="198">
        <f t="shared" si="30"/>
        <v>21</v>
      </c>
      <c r="HW118" s="198">
        <f t="shared" si="99"/>
        <v>8</v>
      </c>
      <c r="HX118" s="198">
        <f t="shared" si="32"/>
        <v>9</v>
      </c>
      <c r="HY118" s="198">
        <f t="shared" si="33"/>
        <v>9</v>
      </c>
      <c r="HZ118" s="198">
        <f t="shared" si="34"/>
        <v>7</v>
      </c>
      <c r="IA118" s="198">
        <f t="shared" si="35"/>
        <v>9</v>
      </c>
      <c r="IB118" s="198">
        <f t="shared" si="36"/>
        <v>6</v>
      </c>
      <c r="IC118" s="198">
        <f t="shared" si="37"/>
        <v>7</v>
      </c>
      <c r="ID118" s="198">
        <f t="shared" si="38"/>
        <v>7</v>
      </c>
      <c r="IE118" s="198">
        <f t="shared" si="39"/>
        <v>8</v>
      </c>
      <c r="IF118" s="197"/>
      <c r="IG118" s="197"/>
      <c r="IH118" s="197"/>
      <c r="II118" s="197"/>
      <c r="IJ118" s="197"/>
      <c r="IK118" s="197"/>
      <c r="IL118" s="197"/>
      <c r="IM118" s="197"/>
      <c r="IN118" s="197"/>
      <c r="IO118" s="197"/>
      <c r="IP118" s="197"/>
      <c r="IQ118" s="197"/>
      <c r="IR118" s="197"/>
      <c r="IS118" s="197"/>
      <c r="IT118" s="197"/>
      <c r="IU118" s="197"/>
      <c r="IV118" s="197"/>
      <c r="IW118" s="197"/>
      <c r="IX118" s="197"/>
      <c r="IY118" s="197"/>
      <c r="IZ118" s="197"/>
      <c r="JA118" s="199"/>
      <c r="JB118" s="200">
        <f t="shared" si="40"/>
        <v>1</v>
      </c>
      <c r="JC118" s="200">
        <f t="shared" si="41"/>
        <v>8</v>
      </c>
      <c r="JD118" s="200">
        <f t="shared" si="42"/>
        <v>21</v>
      </c>
      <c r="JE118" s="200">
        <f t="shared" si="43"/>
        <v>8</v>
      </c>
      <c r="JF118" s="200">
        <f t="shared" si="44"/>
        <v>9</v>
      </c>
      <c r="JG118" s="200">
        <f t="shared" si="45"/>
        <v>9</v>
      </c>
      <c r="JH118" s="200">
        <f t="shared" si="46"/>
        <v>7</v>
      </c>
      <c r="JI118" s="200">
        <f t="shared" si="47"/>
        <v>9</v>
      </c>
      <c r="JJ118" s="200">
        <f t="shared" si="48"/>
        <v>6</v>
      </c>
      <c r="JK118" s="200">
        <f t="shared" si="49"/>
        <v>8</v>
      </c>
      <c r="JL118" s="200">
        <f t="shared" si="50"/>
        <v>7</v>
      </c>
      <c r="JM118" s="200">
        <f t="shared" si="51"/>
        <v>8</v>
      </c>
      <c r="JN118" s="199"/>
      <c r="JO118" s="200">
        <f t="shared" si="52"/>
        <v>1</v>
      </c>
      <c r="JP118" s="202">
        <v>8.0</v>
      </c>
      <c r="JQ118" s="202">
        <v>21.0</v>
      </c>
      <c r="JR118" s="202">
        <v>8.0</v>
      </c>
      <c r="JS118" s="202">
        <v>9.0</v>
      </c>
      <c r="JT118" s="199"/>
      <c r="JU118" s="199"/>
      <c r="JV118" s="200">
        <f t="shared" ref="JV118:JX118" si="298">IA118-JI118</f>
        <v>0</v>
      </c>
      <c r="JW118" s="200">
        <f t="shared" si="298"/>
        <v>0</v>
      </c>
      <c r="JX118" s="200">
        <f t="shared" si="298"/>
        <v>-1</v>
      </c>
      <c r="JY118" s="199"/>
      <c r="JZ118" s="199"/>
      <c r="KA118" s="199"/>
      <c r="KB118" s="200">
        <f t="shared" ref="KB118:KM118" si="299">JB118-JO118</f>
        <v>0</v>
      </c>
      <c r="KC118" s="200">
        <f t="shared" si="299"/>
        <v>0</v>
      </c>
      <c r="KD118" s="200">
        <f t="shared" si="299"/>
        <v>0</v>
      </c>
      <c r="KE118" s="200">
        <f t="shared" si="299"/>
        <v>0</v>
      </c>
      <c r="KF118" s="200">
        <f t="shared" si="299"/>
        <v>0</v>
      </c>
      <c r="KG118" s="200">
        <f t="shared" si="299"/>
        <v>9</v>
      </c>
      <c r="KH118" s="200">
        <f t="shared" si="299"/>
        <v>7</v>
      </c>
      <c r="KI118" s="200">
        <f t="shared" si="299"/>
        <v>9</v>
      </c>
      <c r="KJ118" s="200">
        <f t="shared" si="299"/>
        <v>6</v>
      </c>
      <c r="KK118" s="200">
        <f t="shared" si="299"/>
        <v>9</v>
      </c>
      <c r="KL118" s="200">
        <f t="shared" si="299"/>
        <v>7</v>
      </c>
      <c r="KM118" s="200">
        <f t="shared" si="299"/>
        <v>8</v>
      </c>
      <c r="KN118" s="199"/>
      <c r="KO118" s="199"/>
      <c r="KP118" s="199"/>
      <c r="KQ118" s="199"/>
      <c r="KR118" s="199"/>
      <c r="KS118" s="199"/>
      <c r="KT118" s="199"/>
      <c r="KU118" s="199"/>
      <c r="KV118" s="199"/>
      <c r="KW118" s="199"/>
      <c r="KX118" s="199"/>
      <c r="KY118" s="199"/>
      <c r="KZ118" s="199"/>
      <c r="LA118" s="199"/>
      <c r="LB118" s="199"/>
      <c r="LC118" s="199"/>
      <c r="LD118" s="199"/>
      <c r="LE118" s="199"/>
      <c r="LF118" s="199"/>
      <c r="LG118" s="199"/>
    </row>
    <row r="119" ht="14.25" customHeight="1">
      <c r="A119" s="432">
        <v>112.0</v>
      </c>
      <c r="B119" s="433" t="s">
        <v>206</v>
      </c>
      <c r="C119" s="416">
        <v>3374030.0</v>
      </c>
      <c r="D119" s="416" t="s">
        <v>217</v>
      </c>
      <c r="E119" s="416" t="s">
        <v>219</v>
      </c>
      <c r="F119" s="417">
        <v>8.0</v>
      </c>
      <c r="G119" s="418">
        <v>651.0</v>
      </c>
      <c r="H119" s="419">
        <v>8.0</v>
      </c>
      <c r="I119" s="420">
        <v>0.0</v>
      </c>
      <c r="J119" s="420">
        <v>3.0</v>
      </c>
      <c r="K119" s="420">
        <v>1.0</v>
      </c>
      <c r="L119" s="420">
        <v>4.0</v>
      </c>
      <c r="M119" s="420">
        <v>0.0</v>
      </c>
      <c r="N119" s="420">
        <v>0.0</v>
      </c>
      <c r="O119" s="420">
        <f t="shared" si="213"/>
        <v>8</v>
      </c>
      <c r="P119" s="420">
        <v>9.0</v>
      </c>
      <c r="Q119" s="421">
        <v>1.0</v>
      </c>
      <c r="R119" s="421">
        <v>1.0</v>
      </c>
      <c r="S119" s="421">
        <v>2.0</v>
      </c>
      <c r="T119" s="422">
        <v>5.0</v>
      </c>
      <c r="U119" s="422">
        <v>1.0</v>
      </c>
      <c r="V119" s="422">
        <v>0.0</v>
      </c>
      <c r="W119" s="421">
        <f t="shared" si="225"/>
        <v>8</v>
      </c>
      <c r="X119" s="420">
        <v>10.0</v>
      </c>
      <c r="Y119" s="422">
        <v>0.0</v>
      </c>
      <c r="Z119" s="422">
        <v>1.0</v>
      </c>
      <c r="AA119" s="422">
        <v>4.0</v>
      </c>
      <c r="AB119" s="422">
        <v>5.0</v>
      </c>
      <c r="AC119" s="422">
        <v>1.0</v>
      </c>
      <c r="AD119" s="422">
        <v>0.0</v>
      </c>
      <c r="AE119" s="421">
        <f t="shared" si="214"/>
        <v>9</v>
      </c>
      <c r="AF119" s="422">
        <v>6.0</v>
      </c>
      <c r="AG119" s="422">
        <v>0.0</v>
      </c>
      <c r="AH119" s="422">
        <v>0.0</v>
      </c>
      <c r="AI119" s="422">
        <v>2.0</v>
      </c>
      <c r="AJ119" s="422">
        <v>4.0</v>
      </c>
      <c r="AK119" s="422">
        <v>0.0</v>
      </c>
      <c r="AL119" s="422">
        <v>4.0</v>
      </c>
      <c r="AM119" s="421">
        <f t="shared" si="215"/>
        <v>2</v>
      </c>
      <c r="AN119" s="422">
        <v>8.0</v>
      </c>
      <c r="AO119" s="422">
        <v>1.0</v>
      </c>
      <c r="AP119" s="422">
        <v>2.0</v>
      </c>
      <c r="AQ119" s="422">
        <v>2.0</v>
      </c>
      <c r="AR119" s="422">
        <v>3.0</v>
      </c>
      <c r="AS119" s="422">
        <v>2.0</v>
      </c>
      <c r="AT119" s="422">
        <v>0.0</v>
      </c>
      <c r="AU119" s="423">
        <f t="shared" si="216"/>
        <v>6</v>
      </c>
      <c r="AV119" s="424">
        <v>651.0</v>
      </c>
      <c r="AW119" s="425">
        <f t="shared" si="8"/>
        <v>9</v>
      </c>
      <c r="AX119" s="424">
        <v>1.0</v>
      </c>
      <c r="AY119" s="424">
        <v>2.0</v>
      </c>
      <c r="AZ119" s="424">
        <v>1.0</v>
      </c>
      <c r="BA119" s="424">
        <v>3.0</v>
      </c>
      <c r="BB119" s="424">
        <v>0.0</v>
      </c>
      <c r="BC119" s="424">
        <v>0.0</v>
      </c>
      <c r="BD119" s="424">
        <v>0.0</v>
      </c>
      <c r="BE119" s="424">
        <v>2.0</v>
      </c>
      <c r="BF119" s="424">
        <v>0.0</v>
      </c>
      <c r="BG119" s="424">
        <v>0.0</v>
      </c>
      <c r="BH119" s="424">
        <v>0.0</v>
      </c>
      <c r="BI119" s="424">
        <v>0.0</v>
      </c>
      <c r="BJ119" s="424">
        <v>0.0</v>
      </c>
      <c r="BK119" s="424">
        <v>0.0</v>
      </c>
      <c r="BL119" s="424">
        <v>0.0</v>
      </c>
      <c r="BM119" s="424">
        <v>0.0</v>
      </c>
      <c r="BN119" s="424">
        <v>1.0</v>
      </c>
      <c r="BO119" s="424">
        <v>0.0</v>
      </c>
      <c r="BP119" s="421">
        <f t="shared" si="131"/>
        <v>1</v>
      </c>
      <c r="BQ119" s="426">
        <v>642.0</v>
      </c>
      <c r="BR119" s="427">
        <f t="shared" si="10"/>
        <v>9</v>
      </c>
      <c r="BS119" s="426">
        <v>1.0</v>
      </c>
      <c r="BT119" s="426">
        <v>2.0</v>
      </c>
      <c r="BU119" s="426">
        <v>1.0</v>
      </c>
      <c r="BV119" s="426">
        <v>5.0</v>
      </c>
      <c r="BW119" s="426">
        <v>0.0</v>
      </c>
      <c r="BX119" s="426">
        <v>0.0</v>
      </c>
      <c r="BY119" s="426">
        <v>0.0</v>
      </c>
      <c r="BZ119" s="426">
        <v>0.0</v>
      </c>
      <c r="CA119" s="426">
        <v>0.0</v>
      </c>
      <c r="CB119" s="426">
        <v>0.0</v>
      </c>
      <c r="CC119" s="426">
        <v>0.0</v>
      </c>
      <c r="CD119" s="426">
        <v>0.0</v>
      </c>
      <c r="CE119" s="426">
        <v>0.0</v>
      </c>
      <c r="CF119" s="426">
        <v>0.0</v>
      </c>
      <c r="CG119" s="426">
        <v>0.0</v>
      </c>
      <c r="CH119" s="426">
        <v>0.0</v>
      </c>
      <c r="CI119" s="426">
        <v>0.0</v>
      </c>
      <c r="CJ119" s="426">
        <v>0.0</v>
      </c>
      <c r="CK119" s="422">
        <f t="shared" si="132"/>
        <v>0</v>
      </c>
      <c r="CL119" s="426">
        <v>624.0</v>
      </c>
      <c r="CM119" s="426">
        <v>175.0</v>
      </c>
      <c r="CN119" s="428">
        <f t="shared" si="295"/>
        <v>8</v>
      </c>
      <c r="CO119" s="426">
        <v>0.0</v>
      </c>
      <c r="CP119" s="426">
        <v>0.0</v>
      </c>
      <c r="CQ119" s="426">
        <v>1.0</v>
      </c>
      <c r="CR119" s="426">
        <v>3.0</v>
      </c>
      <c r="CS119" s="426">
        <v>0.0</v>
      </c>
      <c r="CT119" s="426">
        <v>1.0</v>
      </c>
      <c r="CU119" s="426">
        <v>2.0</v>
      </c>
      <c r="CV119" s="426">
        <v>1.0</v>
      </c>
      <c r="CW119" s="426">
        <v>0.0</v>
      </c>
      <c r="CX119" s="426">
        <v>0.0</v>
      </c>
      <c r="CY119" s="426">
        <v>0.0</v>
      </c>
      <c r="CZ119" s="426">
        <v>6.0</v>
      </c>
      <c r="DA119" s="426">
        <v>0.0</v>
      </c>
      <c r="DB119" s="426">
        <v>0.0</v>
      </c>
      <c r="DC119" s="426">
        <v>0.0</v>
      </c>
      <c r="DD119" s="426">
        <v>0.0</v>
      </c>
      <c r="DE119" s="426">
        <v>0.0</v>
      </c>
      <c r="DF119" s="422"/>
      <c r="DG119" s="428">
        <f t="shared" si="13"/>
        <v>6</v>
      </c>
      <c r="DH119" s="426">
        <v>538.0</v>
      </c>
      <c r="DI119" s="426">
        <v>174.0</v>
      </c>
      <c r="DJ119" s="426">
        <v>538.0</v>
      </c>
      <c r="DK119" s="426">
        <v>174.0</v>
      </c>
      <c r="DL119" s="422">
        <f t="shared" si="14"/>
        <v>7</v>
      </c>
      <c r="DM119" s="426">
        <f t="shared" si="15"/>
        <v>2</v>
      </c>
      <c r="DN119" s="426">
        <f t="shared" si="16"/>
        <v>5</v>
      </c>
      <c r="DO119" s="426">
        <v>0.0</v>
      </c>
      <c r="DP119" s="426">
        <v>0.0</v>
      </c>
      <c r="DQ119" s="426">
        <v>2.0</v>
      </c>
      <c r="DR119" s="426">
        <v>4.0</v>
      </c>
      <c r="DS119" s="426">
        <v>0.0</v>
      </c>
      <c r="DT119" s="426">
        <v>0.0</v>
      </c>
      <c r="DU119" s="426">
        <v>0.0</v>
      </c>
      <c r="DV119" s="426">
        <v>1.0</v>
      </c>
      <c r="DW119" s="426">
        <v>0.0</v>
      </c>
      <c r="DX119" s="426">
        <v>1.0</v>
      </c>
      <c r="DY119" s="426">
        <v>1.0</v>
      </c>
      <c r="DZ119" s="426">
        <v>0.0</v>
      </c>
      <c r="EA119" s="426">
        <v>0.0</v>
      </c>
      <c r="EB119" s="426">
        <v>0.0</v>
      </c>
      <c r="EC119" s="426">
        <v>0.0</v>
      </c>
      <c r="ED119" s="426">
        <v>0.0</v>
      </c>
      <c r="EE119" s="426">
        <v>0.0</v>
      </c>
      <c r="EF119" s="426">
        <v>0.0</v>
      </c>
      <c r="EG119" s="179">
        <f t="shared" si="17"/>
        <v>2</v>
      </c>
      <c r="EH119" s="179">
        <f t="shared" si="18"/>
        <v>2</v>
      </c>
      <c r="EI119" s="426">
        <v>544.0</v>
      </c>
      <c r="EJ119" s="426">
        <v>171.0</v>
      </c>
      <c r="EK119" s="426">
        <v>544.0</v>
      </c>
      <c r="EL119" s="426">
        <v>171.0</v>
      </c>
      <c r="EM119" s="422">
        <f t="shared" si="283"/>
        <v>8</v>
      </c>
      <c r="EN119" s="426">
        <f t="shared" si="202"/>
        <v>2</v>
      </c>
      <c r="EO119" s="426">
        <f t="shared" si="90"/>
        <v>6</v>
      </c>
      <c r="EP119" s="426">
        <v>0.0</v>
      </c>
      <c r="EQ119" s="426">
        <v>0.0</v>
      </c>
      <c r="ER119" s="426">
        <v>2.0</v>
      </c>
      <c r="ES119" s="426">
        <v>5.0</v>
      </c>
      <c r="ET119" s="426">
        <v>0.0</v>
      </c>
      <c r="EU119" s="426">
        <v>0.0</v>
      </c>
      <c r="EV119" s="426">
        <v>0.0</v>
      </c>
      <c r="EW119" s="426">
        <v>1.0</v>
      </c>
      <c r="EX119" s="426">
        <v>0.0</v>
      </c>
      <c r="EY119" s="426">
        <v>0.0</v>
      </c>
      <c r="EZ119" s="426">
        <v>0.0</v>
      </c>
      <c r="FA119" s="426">
        <v>0.0</v>
      </c>
      <c r="FB119" s="426">
        <v>0.0</v>
      </c>
      <c r="FC119" s="426">
        <v>0.0</v>
      </c>
      <c r="FD119" s="426">
        <v>0.0</v>
      </c>
      <c r="FE119" s="426">
        <v>0.0</v>
      </c>
      <c r="FF119" s="426">
        <v>0.0</v>
      </c>
      <c r="FG119" s="426">
        <v>0.0</v>
      </c>
      <c r="FH119" s="422">
        <f t="shared" si="22"/>
        <v>0</v>
      </c>
      <c r="FI119" s="422">
        <f t="shared" si="23"/>
        <v>0</v>
      </c>
      <c r="FJ119" s="426">
        <v>549.0</v>
      </c>
      <c r="FK119" s="426">
        <v>174.0</v>
      </c>
      <c r="FL119" s="426">
        <v>546.0</v>
      </c>
      <c r="FM119" s="426">
        <v>174.0</v>
      </c>
      <c r="FN119" s="180"/>
      <c r="FO119" s="180">
        <v>8.0</v>
      </c>
      <c r="FP119" s="422">
        <f t="shared" si="300"/>
        <v>8</v>
      </c>
      <c r="FQ119" s="211">
        <v>2.0</v>
      </c>
      <c r="FR119" s="212">
        <v>6.0</v>
      </c>
      <c r="FS119" s="430">
        <v>0.0</v>
      </c>
      <c r="FT119" s="431">
        <v>0.0</v>
      </c>
      <c r="FU119" s="431">
        <v>2.0</v>
      </c>
      <c r="FV119" s="431">
        <v>6.0</v>
      </c>
      <c r="FW119" s="431">
        <v>0.0</v>
      </c>
      <c r="FX119" s="431">
        <v>0.0</v>
      </c>
      <c r="FY119" s="431">
        <v>0.0</v>
      </c>
      <c r="FZ119" s="431">
        <v>0.0</v>
      </c>
      <c r="GA119" s="431">
        <v>0.0</v>
      </c>
      <c r="GB119" s="431">
        <v>0.0</v>
      </c>
      <c r="GC119" s="431">
        <v>0.0</v>
      </c>
      <c r="GD119" s="431">
        <v>0.0</v>
      </c>
      <c r="GE119" s="431">
        <v>0.0</v>
      </c>
      <c r="GF119" s="431">
        <v>0.0</v>
      </c>
      <c r="GG119" s="431">
        <v>0.0</v>
      </c>
      <c r="GH119" s="431">
        <v>0.0</v>
      </c>
      <c r="GI119" s="431">
        <v>0.0</v>
      </c>
      <c r="GJ119" s="431">
        <v>0.0</v>
      </c>
      <c r="GK119" s="431">
        <v>0.0</v>
      </c>
      <c r="GL119" s="431">
        <v>0.0</v>
      </c>
      <c r="GM119" s="207">
        <v>536.0</v>
      </c>
      <c r="GN119" s="207">
        <v>170.0</v>
      </c>
      <c r="GO119" s="213">
        <v>536.0</v>
      </c>
      <c r="GP119" s="213">
        <v>170.0</v>
      </c>
      <c r="GQ119" s="207"/>
      <c r="GR119" s="213">
        <v>9.0</v>
      </c>
      <c r="GS119" s="193">
        <v>3.0</v>
      </c>
      <c r="GT119" s="194">
        <f t="shared" si="25"/>
        <v>9</v>
      </c>
      <c r="GU119" s="194">
        <f t="shared" si="26"/>
        <v>3</v>
      </c>
      <c r="GV119" s="194">
        <f t="shared" si="27"/>
        <v>6</v>
      </c>
      <c r="GW119" s="207">
        <v>0.0</v>
      </c>
      <c r="GX119" s="207">
        <v>0.0</v>
      </c>
      <c r="GY119" s="207">
        <v>2.0</v>
      </c>
      <c r="GZ119" s="207">
        <v>6.0</v>
      </c>
      <c r="HA119" s="207">
        <v>0.0</v>
      </c>
      <c r="HB119" s="207">
        <v>1.0</v>
      </c>
      <c r="HC119" s="207">
        <v>0.0</v>
      </c>
      <c r="HD119" s="207">
        <v>0.0</v>
      </c>
      <c r="HE119" s="207">
        <v>0.0</v>
      </c>
      <c r="HF119" s="207">
        <v>0.0</v>
      </c>
      <c r="HG119" s="207">
        <v>0.0</v>
      </c>
      <c r="HH119" s="207">
        <v>0.0</v>
      </c>
      <c r="HI119" s="207">
        <v>0.0</v>
      </c>
      <c r="HJ119" s="207">
        <v>0.0</v>
      </c>
      <c r="HK119" s="207">
        <v>0.0</v>
      </c>
      <c r="HL119" s="207">
        <v>0.0</v>
      </c>
      <c r="HM119" s="207">
        <v>0.0</v>
      </c>
      <c r="HN119" s="207">
        <v>0.0</v>
      </c>
      <c r="HO119" s="222"/>
      <c r="HP119" s="222"/>
      <c r="HQ119" s="214"/>
      <c r="HR119" s="197"/>
      <c r="HS119" s="197"/>
      <c r="HT119" s="198">
        <f t="shared" si="28"/>
        <v>8</v>
      </c>
      <c r="HU119" s="198">
        <f t="shared" si="29"/>
        <v>9</v>
      </c>
      <c r="HV119" s="198">
        <f t="shared" si="30"/>
        <v>10</v>
      </c>
      <c r="HW119" s="198">
        <f t="shared" si="99"/>
        <v>6</v>
      </c>
      <c r="HX119" s="198">
        <f t="shared" si="32"/>
        <v>8</v>
      </c>
      <c r="HY119" s="198">
        <f t="shared" si="33"/>
        <v>9</v>
      </c>
      <c r="HZ119" s="198">
        <f t="shared" si="34"/>
        <v>9</v>
      </c>
      <c r="IA119" s="198">
        <f t="shared" si="35"/>
        <v>8</v>
      </c>
      <c r="IB119" s="198">
        <f t="shared" si="36"/>
        <v>7</v>
      </c>
      <c r="IC119" s="198">
        <f t="shared" si="37"/>
        <v>8</v>
      </c>
      <c r="ID119" s="198">
        <f t="shared" si="38"/>
        <v>8</v>
      </c>
      <c r="IE119" s="198">
        <f t="shared" si="39"/>
        <v>9</v>
      </c>
      <c r="IF119" s="197"/>
      <c r="IG119" s="197"/>
      <c r="IH119" s="197"/>
      <c r="II119" s="197"/>
      <c r="IJ119" s="197"/>
      <c r="IK119" s="197"/>
      <c r="IL119" s="197"/>
      <c r="IM119" s="197"/>
      <c r="IN119" s="197"/>
      <c r="IO119" s="197"/>
      <c r="IP119" s="197"/>
      <c r="IQ119" s="197"/>
      <c r="IR119" s="197"/>
      <c r="IS119" s="197"/>
      <c r="IT119" s="197"/>
      <c r="IU119" s="197"/>
      <c r="IV119" s="197"/>
      <c r="IW119" s="197"/>
      <c r="IX119" s="197"/>
      <c r="IY119" s="197"/>
      <c r="IZ119" s="197"/>
      <c r="JA119" s="199"/>
      <c r="JB119" s="200">
        <f t="shared" si="40"/>
        <v>8</v>
      </c>
      <c r="JC119" s="200">
        <f t="shared" si="41"/>
        <v>9</v>
      </c>
      <c r="JD119" s="200">
        <f t="shared" si="42"/>
        <v>10</v>
      </c>
      <c r="JE119" s="200">
        <f t="shared" si="43"/>
        <v>6</v>
      </c>
      <c r="JF119" s="200">
        <f t="shared" si="44"/>
        <v>8</v>
      </c>
      <c r="JG119" s="200">
        <f t="shared" si="45"/>
        <v>9</v>
      </c>
      <c r="JH119" s="200">
        <f t="shared" si="46"/>
        <v>9</v>
      </c>
      <c r="JI119" s="200">
        <f t="shared" si="47"/>
        <v>8</v>
      </c>
      <c r="JJ119" s="200">
        <f t="shared" si="48"/>
        <v>7</v>
      </c>
      <c r="JK119" s="200">
        <f t="shared" si="49"/>
        <v>8</v>
      </c>
      <c r="JL119" s="200">
        <f t="shared" si="50"/>
        <v>8</v>
      </c>
      <c r="JM119" s="200">
        <f t="shared" si="51"/>
        <v>9</v>
      </c>
      <c r="JN119" s="199"/>
      <c r="JO119" s="200">
        <f t="shared" si="52"/>
        <v>8</v>
      </c>
      <c r="JP119" s="202">
        <v>9.0</v>
      </c>
      <c r="JQ119" s="202">
        <v>10.0</v>
      </c>
      <c r="JR119" s="202">
        <v>6.0</v>
      </c>
      <c r="JS119" s="202">
        <v>8.0</v>
      </c>
      <c r="JT119" s="199"/>
      <c r="JU119" s="199"/>
      <c r="JV119" s="200">
        <f t="shared" ref="JV119:JX119" si="301">IA119-JI119</f>
        <v>0</v>
      </c>
      <c r="JW119" s="200">
        <f t="shared" si="301"/>
        <v>0</v>
      </c>
      <c r="JX119" s="200">
        <f t="shared" si="301"/>
        <v>0</v>
      </c>
      <c r="JY119" s="199"/>
      <c r="JZ119" s="199"/>
      <c r="KA119" s="199"/>
      <c r="KB119" s="200">
        <f t="shared" ref="KB119:KM119" si="302">JB119-JO119</f>
        <v>0</v>
      </c>
      <c r="KC119" s="200">
        <f t="shared" si="302"/>
        <v>0</v>
      </c>
      <c r="KD119" s="200">
        <f t="shared" si="302"/>
        <v>0</v>
      </c>
      <c r="KE119" s="200">
        <f t="shared" si="302"/>
        <v>0</v>
      </c>
      <c r="KF119" s="200">
        <f t="shared" si="302"/>
        <v>0</v>
      </c>
      <c r="KG119" s="200">
        <f t="shared" si="302"/>
        <v>9</v>
      </c>
      <c r="KH119" s="200">
        <f t="shared" si="302"/>
        <v>9</v>
      </c>
      <c r="KI119" s="200">
        <f t="shared" si="302"/>
        <v>8</v>
      </c>
      <c r="KJ119" s="200">
        <f t="shared" si="302"/>
        <v>7</v>
      </c>
      <c r="KK119" s="200">
        <f t="shared" si="302"/>
        <v>8</v>
      </c>
      <c r="KL119" s="200">
        <f t="shared" si="302"/>
        <v>8</v>
      </c>
      <c r="KM119" s="200">
        <f t="shared" si="302"/>
        <v>9</v>
      </c>
      <c r="KN119" s="199"/>
      <c r="KO119" s="199"/>
      <c r="KP119" s="199"/>
      <c r="KQ119" s="199"/>
      <c r="KR119" s="199"/>
      <c r="KS119" s="199"/>
      <c r="KT119" s="199"/>
      <c r="KU119" s="199"/>
      <c r="KV119" s="199"/>
      <c r="KW119" s="199"/>
      <c r="KX119" s="199"/>
      <c r="KY119" s="199"/>
      <c r="KZ119" s="199"/>
      <c r="LA119" s="199"/>
      <c r="LB119" s="199"/>
      <c r="LC119" s="199"/>
      <c r="LD119" s="199"/>
      <c r="LE119" s="199"/>
      <c r="LF119" s="199"/>
      <c r="LG119" s="199"/>
    </row>
    <row r="120" ht="14.25" customHeight="1">
      <c r="A120" s="156">
        <v>113.0</v>
      </c>
      <c r="B120" s="264" t="s">
        <v>206</v>
      </c>
      <c r="C120" s="265">
        <v>3374030.0</v>
      </c>
      <c r="D120" s="265" t="s">
        <v>210</v>
      </c>
      <c r="E120" s="265" t="s">
        <v>220</v>
      </c>
      <c r="F120" s="267">
        <v>16.0</v>
      </c>
      <c r="G120" s="383">
        <v>498.0</v>
      </c>
      <c r="H120" s="384">
        <v>15.0</v>
      </c>
      <c r="I120" s="202">
        <v>0.0</v>
      </c>
      <c r="J120" s="202">
        <v>0.0</v>
      </c>
      <c r="K120" s="202">
        <v>2.0</v>
      </c>
      <c r="L120" s="202">
        <v>13.0</v>
      </c>
      <c r="M120" s="202">
        <v>0.0</v>
      </c>
      <c r="N120" s="202">
        <v>0.0</v>
      </c>
      <c r="O120" s="162">
        <f t="shared" si="213"/>
        <v>15</v>
      </c>
      <c r="P120" s="203">
        <v>15.0</v>
      </c>
      <c r="Q120" s="269">
        <v>0.0</v>
      </c>
      <c r="R120" s="269">
        <v>0.0</v>
      </c>
      <c r="S120" s="269">
        <v>5.0</v>
      </c>
      <c r="T120" s="270">
        <v>10.0</v>
      </c>
      <c r="U120" s="270">
        <v>3.0</v>
      </c>
      <c r="V120" s="270">
        <v>1.0</v>
      </c>
      <c r="W120" s="166">
        <f t="shared" si="225"/>
        <v>11</v>
      </c>
      <c r="X120" s="203">
        <v>19.0</v>
      </c>
      <c r="Y120" s="270">
        <v>0.0</v>
      </c>
      <c r="Z120" s="270">
        <v>0.0</v>
      </c>
      <c r="AA120" s="270">
        <v>6.0</v>
      </c>
      <c r="AB120" s="270">
        <v>13.0</v>
      </c>
      <c r="AC120" s="270">
        <v>0.0</v>
      </c>
      <c r="AD120" s="270">
        <v>0.0</v>
      </c>
      <c r="AE120" s="166">
        <f t="shared" si="214"/>
        <v>19</v>
      </c>
      <c r="AF120" s="167">
        <v>20.0</v>
      </c>
      <c r="AG120" s="270">
        <v>1.0</v>
      </c>
      <c r="AH120" s="270">
        <v>1.0</v>
      </c>
      <c r="AI120" s="270">
        <v>6.0</v>
      </c>
      <c r="AJ120" s="270">
        <v>12.0</v>
      </c>
      <c r="AK120" s="270">
        <v>0.0</v>
      </c>
      <c r="AL120" s="270">
        <v>0.0</v>
      </c>
      <c r="AM120" s="166">
        <f t="shared" si="215"/>
        <v>20</v>
      </c>
      <c r="AN120" s="167">
        <v>17.0</v>
      </c>
      <c r="AO120" s="270">
        <v>0.0</v>
      </c>
      <c r="AP120" s="270">
        <v>0.0</v>
      </c>
      <c r="AQ120" s="270">
        <v>4.0</v>
      </c>
      <c r="AR120" s="270">
        <v>13.0</v>
      </c>
      <c r="AS120" s="270">
        <v>1.0</v>
      </c>
      <c r="AT120" s="270">
        <v>0.0</v>
      </c>
      <c r="AU120" s="168">
        <f t="shared" si="216"/>
        <v>16</v>
      </c>
      <c r="AV120" s="169">
        <v>484.0</v>
      </c>
      <c r="AW120" s="204">
        <f t="shared" si="8"/>
        <v>16</v>
      </c>
      <c r="AX120" s="169">
        <v>0.0</v>
      </c>
      <c r="AY120" s="169">
        <v>0.0</v>
      </c>
      <c r="AZ120" s="169">
        <v>3.0</v>
      </c>
      <c r="BA120" s="169">
        <v>12.0</v>
      </c>
      <c r="BB120" s="169">
        <v>0.0</v>
      </c>
      <c r="BC120" s="169">
        <v>1.0</v>
      </c>
      <c r="BD120" s="169">
        <v>0.0</v>
      </c>
      <c r="BE120" s="169">
        <v>0.0</v>
      </c>
      <c r="BF120" s="169">
        <v>0.0</v>
      </c>
      <c r="BG120" s="169">
        <v>1.0</v>
      </c>
      <c r="BH120" s="169">
        <v>1.0</v>
      </c>
      <c r="BI120" s="169">
        <v>5.0</v>
      </c>
      <c r="BJ120" s="169">
        <v>0.0</v>
      </c>
      <c r="BK120" s="169">
        <v>0.0</v>
      </c>
      <c r="BL120" s="169">
        <v>0.0</v>
      </c>
      <c r="BM120" s="169">
        <v>0.0</v>
      </c>
      <c r="BN120" s="169">
        <v>0.0</v>
      </c>
      <c r="BO120" s="169">
        <v>0.0</v>
      </c>
      <c r="BP120" s="205">
        <f t="shared" si="131"/>
        <v>7</v>
      </c>
      <c r="BQ120" s="385">
        <v>486.0</v>
      </c>
      <c r="BR120" s="170">
        <f t="shared" si="10"/>
        <v>17</v>
      </c>
      <c r="BS120" s="385">
        <v>0.0</v>
      </c>
      <c r="BT120" s="385">
        <v>1.0</v>
      </c>
      <c r="BU120" s="385">
        <v>3.0</v>
      </c>
      <c r="BV120" s="385">
        <v>11.0</v>
      </c>
      <c r="BW120" s="385">
        <v>1.0</v>
      </c>
      <c r="BX120" s="385">
        <v>0.0</v>
      </c>
      <c r="BY120" s="385">
        <v>0.0</v>
      </c>
      <c r="BZ120" s="385">
        <v>1.0</v>
      </c>
      <c r="CA120" s="173">
        <v>0.0</v>
      </c>
      <c r="CB120" s="173">
        <v>0.0</v>
      </c>
      <c r="CC120" s="173">
        <v>0.0</v>
      </c>
      <c r="CD120" s="173">
        <v>0.0</v>
      </c>
      <c r="CE120" s="173">
        <v>0.0</v>
      </c>
      <c r="CF120" s="173">
        <v>0.0</v>
      </c>
      <c r="CG120" s="173">
        <v>0.0</v>
      </c>
      <c r="CH120" s="173">
        <v>0.0</v>
      </c>
      <c r="CI120" s="173">
        <v>0.0</v>
      </c>
      <c r="CJ120" s="173">
        <v>0.0</v>
      </c>
      <c r="CK120" s="172">
        <f t="shared" si="132"/>
        <v>0</v>
      </c>
      <c r="CL120" s="173">
        <v>492.0</v>
      </c>
      <c r="CM120" s="173">
        <v>138.0</v>
      </c>
      <c r="CN120" s="175">
        <f t="shared" si="295"/>
        <v>21</v>
      </c>
      <c r="CO120" s="391">
        <v>1.0</v>
      </c>
      <c r="CP120" s="389">
        <v>0.0</v>
      </c>
      <c r="CQ120" s="389">
        <v>2.0</v>
      </c>
      <c r="CR120" s="390">
        <v>11.0</v>
      </c>
      <c r="CS120" s="391">
        <v>0.0</v>
      </c>
      <c r="CT120" s="389">
        <v>0.0</v>
      </c>
      <c r="CU120" s="389">
        <v>1.0</v>
      </c>
      <c r="CV120" s="390">
        <v>6.0</v>
      </c>
      <c r="CW120" s="434">
        <v>0.0</v>
      </c>
      <c r="CX120" s="434">
        <v>0.0</v>
      </c>
      <c r="CY120" s="434">
        <v>0.0</v>
      </c>
      <c r="CZ120" s="435">
        <v>2.0</v>
      </c>
      <c r="DA120" s="391">
        <v>0.0</v>
      </c>
      <c r="DB120" s="391">
        <v>0.0</v>
      </c>
      <c r="DC120" s="391">
        <v>0.0</v>
      </c>
      <c r="DD120" s="390">
        <v>1.0</v>
      </c>
      <c r="DE120" s="173">
        <v>2.0</v>
      </c>
      <c r="DF120" s="173">
        <v>0.0</v>
      </c>
      <c r="DG120" s="176">
        <f t="shared" si="13"/>
        <v>5</v>
      </c>
      <c r="DH120" s="177">
        <v>472.0</v>
      </c>
      <c r="DI120" s="177">
        <v>144.0</v>
      </c>
      <c r="DJ120" s="178">
        <v>457.0</v>
      </c>
      <c r="DK120" s="178">
        <v>132.0</v>
      </c>
      <c r="DL120" s="179">
        <f t="shared" si="14"/>
        <v>17</v>
      </c>
      <c r="DM120" s="180">
        <f t="shared" si="15"/>
        <v>1</v>
      </c>
      <c r="DN120" s="180">
        <f t="shared" si="16"/>
        <v>16</v>
      </c>
      <c r="DO120" s="177">
        <v>0.0</v>
      </c>
      <c r="DP120" s="177">
        <v>0.0</v>
      </c>
      <c r="DQ120" s="177">
        <v>0.0</v>
      </c>
      <c r="DR120" s="177">
        <v>16.0</v>
      </c>
      <c r="DS120" s="177">
        <v>1.0</v>
      </c>
      <c r="DT120" s="177">
        <v>0.0</v>
      </c>
      <c r="DU120" s="177">
        <v>0.0</v>
      </c>
      <c r="DV120" s="177">
        <v>0.0</v>
      </c>
      <c r="DW120" s="177">
        <v>1.0</v>
      </c>
      <c r="DX120" s="177">
        <v>0.0</v>
      </c>
      <c r="DY120" s="177">
        <v>1.0</v>
      </c>
      <c r="DZ120" s="177">
        <v>1.0</v>
      </c>
      <c r="EA120" s="177">
        <v>0.0</v>
      </c>
      <c r="EB120" s="177">
        <v>0.0</v>
      </c>
      <c r="EC120" s="177">
        <v>0.0</v>
      </c>
      <c r="ED120" s="177">
        <v>0.0</v>
      </c>
      <c r="EE120" s="177">
        <v>1.0</v>
      </c>
      <c r="EF120" s="177">
        <v>0.0</v>
      </c>
      <c r="EG120" s="179">
        <f t="shared" si="17"/>
        <v>4</v>
      </c>
      <c r="EH120" s="179">
        <f t="shared" si="18"/>
        <v>3</v>
      </c>
      <c r="EI120" s="177">
        <v>455.0</v>
      </c>
      <c r="EJ120" s="177">
        <v>133.0</v>
      </c>
      <c r="EK120" s="178">
        <v>425.0</v>
      </c>
      <c r="EL120" s="178">
        <v>128.0</v>
      </c>
      <c r="EM120" s="185">
        <f t="shared" si="283"/>
        <v>17</v>
      </c>
      <c r="EN120" s="186">
        <f t="shared" si="202"/>
        <v>1</v>
      </c>
      <c r="EO120" s="186">
        <f t="shared" si="90"/>
        <v>16</v>
      </c>
      <c r="EP120" s="392">
        <v>1.0</v>
      </c>
      <c r="EQ120" s="392">
        <v>0.0</v>
      </c>
      <c r="ER120" s="392">
        <v>0.0</v>
      </c>
      <c r="ES120" s="392">
        <v>16.0</v>
      </c>
      <c r="ET120" s="392">
        <v>0.0</v>
      </c>
      <c r="EU120" s="392">
        <v>0.0</v>
      </c>
      <c r="EV120" s="392">
        <v>0.0</v>
      </c>
      <c r="EW120" s="392">
        <v>0.0</v>
      </c>
      <c r="EX120" s="392">
        <v>0.0</v>
      </c>
      <c r="EY120" s="392">
        <v>0.0</v>
      </c>
      <c r="EZ120" s="392">
        <v>0.0</v>
      </c>
      <c r="FA120" s="392">
        <v>0.0</v>
      </c>
      <c r="FB120" s="392">
        <v>0.0</v>
      </c>
      <c r="FC120" s="392">
        <v>0.0</v>
      </c>
      <c r="FD120" s="392">
        <v>0.0</v>
      </c>
      <c r="FE120" s="392">
        <v>0.0</v>
      </c>
      <c r="FF120" s="392">
        <v>0.0</v>
      </c>
      <c r="FG120" s="392">
        <v>0.0</v>
      </c>
      <c r="FH120" s="185">
        <f t="shared" si="22"/>
        <v>0</v>
      </c>
      <c r="FI120" s="185">
        <f t="shared" si="23"/>
        <v>0</v>
      </c>
      <c r="FJ120" s="177">
        <v>442.0</v>
      </c>
      <c r="FK120" s="177">
        <v>134.0</v>
      </c>
      <c r="FL120" s="177">
        <v>439.0</v>
      </c>
      <c r="FM120" s="177">
        <v>131.0</v>
      </c>
      <c r="FN120" s="210"/>
      <c r="FO120" s="210">
        <v>15.0</v>
      </c>
      <c r="FP120" s="188">
        <f t="shared" si="300"/>
        <v>15</v>
      </c>
      <c r="FQ120" s="211">
        <v>1.0</v>
      </c>
      <c r="FR120" s="212">
        <v>14.0</v>
      </c>
      <c r="FS120" s="206">
        <v>1.0</v>
      </c>
      <c r="FT120" s="207">
        <v>0.0</v>
      </c>
      <c r="FU120" s="207">
        <v>0.0</v>
      </c>
      <c r="FV120" s="207">
        <v>14.0</v>
      </c>
      <c r="FW120" s="207">
        <v>0.0</v>
      </c>
      <c r="FX120" s="207">
        <v>0.0</v>
      </c>
      <c r="FY120" s="207">
        <v>0.0</v>
      </c>
      <c r="FZ120" s="207">
        <v>0.0</v>
      </c>
      <c r="GA120" s="207">
        <v>0.0</v>
      </c>
      <c r="GB120" s="207">
        <v>0.0</v>
      </c>
      <c r="GC120" s="207">
        <v>0.0</v>
      </c>
      <c r="GD120" s="207">
        <v>1.0</v>
      </c>
      <c r="GE120" s="207">
        <v>0.0</v>
      </c>
      <c r="GF120" s="207">
        <v>0.0</v>
      </c>
      <c r="GG120" s="207">
        <v>0.0</v>
      </c>
      <c r="GH120" s="207">
        <v>0.0</v>
      </c>
      <c r="GI120" s="207">
        <v>1.0</v>
      </c>
      <c r="GJ120" s="207">
        <v>0.0</v>
      </c>
      <c r="GK120" s="212">
        <v>2.0</v>
      </c>
      <c r="GL120" s="212">
        <v>0.0</v>
      </c>
      <c r="GM120" s="207">
        <v>447.0</v>
      </c>
      <c r="GN120" s="207">
        <v>139.0</v>
      </c>
      <c r="GO120" s="213">
        <v>443.0</v>
      </c>
      <c r="GP120" s="213">
        <v>130.0</v>
      </c>
      <c r="GQ120" s="207"/>
      <c r="GR120" s="213">
        <v>14.0</v>
      </c>
      <c r="GS120" s="193">
        <v>1.0</v>
      </c>
      <c r="GT120" s="194">
        <f t="shared" si="25"/>
        <v>14</v>
      </c>
      <c r="GU120" s="194">
        <f t="shared" si="26"/>
        <v>1</v>
      </c>
      <c r="GV120" s="194">
        <f t="shared" si="27"/>
        <v>13</v>
      </c>
      <c r="GW120" s="393">
        <v>1.0</v>
      </c>
      <c r="GX120" s="393">
        <v>0.0</v>
      </c>
      <c r="GY120" s="393">
        <v>0.0</v>
      </c>
      <c r="GZ120" s="393">
        <v>13.0</v>
      </c>
      <c r="HA120" s="393">
        <v>0.0</v>
      </c>
      <c r="HB120" s="393">
        <v>0.0</v>
      </c>
      <c r="HC120" s="393">
        <v>0.0</v>
      </c>
      <c r="HD120" s="393">
        <v>0.0</v>
      </c>
      <c r="HE120" s="393">
        <v>0.0</v>
      </c>
      <c r="HF120" s="393">
        <v>0.0</v>
      </c>
      <c r="HG120" s="393">
        <v>0.0</v>
      </c>
      <c r="HH120" s="393">
        <v>0.0</v>
      </c>
      <c r="HI120" s="393">
        <v>0.0</v>
      </c>
      <c r="HJ120" s="393">
        <v>0.0</v>
      </c>
      <c r="HK120" s="393">
        <v>0.0</v>
      </c>
      <c r="HL120" s="393">
        <v>0.0</v>
      </c>
      <c r="HM120" s="393">
        <v>1.0</v>
      </c>
      <c r="HN120" s="393">
        <v>0.0</v>
      </c>
      <c r="HO120" s="222"/>
      <c r="HP120" s="222"/>
      <c r="HQ120" s="214"/>
      <c r="HR120" s="197"/>
      <c r="HS120" s="197"/>
      <c r="HT120" s="198">
        <f t="shared" si="28"/>
        <v>15</v>
      </c>
      <c r="HU120" s="198">
        <f t="shared" si="29"/>
        <v>15</v>
      </c>
      <c r="HV120" s="198">
        <f t="shared" si="30"/>
        <v>19</v>
      </c>
      <c r="HW120" s="198">
        <f t="shared" si="99"/>
        <v>20</v>
      </c>
      <c r="HX120" s="198">
        <f t="shared" si="32"/>
        <v>17</v>
      </c>
      <c r="HY120" s="198">
        <f t="shared" si="33"/>
        <v>16</v>
      </c>
      <c r="HZ120" s="198">
        <f t="shared" si="34"/>
        <v>17</v>
      </c>
      <c r="IA120" s="198">
        <f t="shared" si="35"/>
        <v>21</v>
      </c>
      <c r="IB120" s="198">
        <f t="shared" si="36"/>
        <v>17</v>
      </c>
      <c r="IC120" s="198">
        <f t="shared" si="37"/>
        <v>17</v>
      </c>
      <c r="ID120" s="198">
        <f t="shared" si="38"/>
        <v>15</v>
      </c>
      <c r="IE120" s="198">
        <f t="shared" si="39"/>
        <v>14</v>
      </c>
      <c r="IF120" s="197"/>
      <c r="IG120" s="197"/>
      <c r="IH120" s="197"/>
      <c r="II120" s="197"/>
      <c r="IJ120" s="197"/>
      <c r="IK120" s="197"/>
      <c r="IL120" s="197"/>
      <c r="IM120" s="197"/>
      <c r="IN120" s="197"/>
      <c r="IO120" s="197"/>
      <c r="IP120" s="197"/>
      <c r="IQ120" s="197"/>
      <c r="IR120" s="197"/>
      <c r="IS120" s="197"/>
      <c r="IT120" s="197"/>
      <c r="IU120" s="197"/>
      <c r="IV120" s="197"/>
      <c r="IW120" s="197"/>
      <c r="IX120" s="197"/>
      <c r="IY120" s="197"/>
      <c r="IZ120" s="197"/>
      <c r="JA120" s="199"/>
      <c r="JB120" s="200">
        <f t="shared" si="40"/>
        <v>15</v>
      </c>
      <c r="JC120" s="200">
        <f t="shared" si="41"/>
        <v>15</v>
      </c>
      <c r="JD120" s="200">
        <f t="shared" si="42"/>
        <v>19</v>
      </c>
      <c r="JE120" s="200">
        <f t="shared" si="43"/>
        <v>20</v>
      </c>
      <c r="JF120" s="200">
        <f t="shared" si="44"/>
        <v>17</v>
      </c>
      <c r="JG120" s="200">
        <f t="shared" si="45"/>
        <v>16</v>
      </c>
      <c r="JH120" s="200">
        <f t="shared" si="46"/>
        <v>17</v>
      </c>
      <c r="JI120" s="200">
        <f t="shared" si="47"/>
        <v>21</v>
      </c>
      <c r="JJ120" s="200">
        <f t="shared" si="48"/>
        <v>17</v>
      </c>
      <c r="JK120" s="200">
        <f t="shared" si="49"/>
        <v>17</v>
      </c>
      <c r="JL120" s="200">
        <f t="shared" si="50"/>
        <v>15</v>
      </c>
      <c r="JM120" s="200">
        <f t="shared" si="51"/>
        <v>14</v>
      </c>
      <c r="JN120" s="199"/>
      <c r="JO120" s="200">
        <f t="shared" si="52"/>
        <v>15</v>
      </c>
      <c r="JP120" s="202">
        <v>15.0</v>
      </c>
      <c r="JQ120" s="202">
        <v>19.0</v>
      </c>
      <c r="JR120" s="202">
        <v>20.0</v>
      </c>
      <c r="JS120" s="202">
        <v>17.0</v>
      </c>
      <c r="JT120" s="199"/>
      <c r="JU120" s="199"/>
      <c r="JV120" s="200">
        <f t="shared" ref="JV120:JX120" si="303">IA120-JI120</f>
        <v>0</v>
      </c>
      <c r="JW120" s="200">
        <f t="shared" si="303"/>
        <v>0</v>
      </c>
      <c r="JX120" s="200">
        <f t="shared" si="303"/>
        <v>0</v>
      </c>
      <c r="JY120" s="199"/>
      <c r="JZ120" s="199"/>
      <c r="KA120" s="199"/>
      <c r="KB120" s="395">
        <f t="shared" ref="KB120:KM120" si="304">JB120-JO120</f>
        <v>0</v>
      </c>
      <c r="KC120" s="395">
        <f t="shared" si="304"/>
        <v>0</v>
      </c>
      <c r="KD120" s="395">
        <f t="shared" si="304"/>
        <v>0</v>
      </c>
      <c r="KE120" s="395">
        <f t="shared" si="304"/>
        <v>0</v>
      </c>
      <c r="KF120" s="395">
        <f t="shared" si="304"/>
        <v>0</v>
      </c>
      <c r="KG120" s="395">
        <f t="shared" si="304"/>
        <v>16</v>
      </c>
      <c r="KH120" s="200">
        <f t="shared" si="304"/>
        <v>17</v>
      </c>
      <c r="KI120" s="200">
        <f t="shared" si="304"/>
        <v>21</v>
      </c>
      <c r="KJ120" s="200">
        <f t="shared" si="304"/>
        <v>17</v>
      </c>
      <c r="KK120" s="200">
        <f t="shared" si="304"/>
        <v>17</v>
      </c>
      <c r="KL120" s="200">
        <f t="shared" si="304"/>
        <v>15</v>
      </c>
      <c r="KM120" s="200">
        <f t="shared" si="304"/>
        <v>14</v>
      </c>
      <c r="KN120" s="199"/>
      <c r="KO120" s="199"/>
      <c r="KP120" s="199"/>
      <c r="KQ120" s="199"/>
      <c r="KR120" s="199"/>
      <c r="KS120" s="199"/>
      <c r="KT120" s="199"/>
      <c r="KU120" s="199"/>
      <c r="KV120" s="199"/>
      <c r="KW120" s="199"/>
      <c r="KX120" s="199"/>
      <c r="KY120" s="199"/>
      <c r="KZ120" s="199"/>
      <c r="LA120" s="199"/>
      <c r="LB120" s="199"/>
      <c r="LC120" s="199"/>
      <c r="LD120" s="199"/>
      <c r="LE120" s="199"/>
      <c r="LF120" s="199"/>
      <c r="LG120" s="199"/>
    </row>
    <row r="121" ht="14.25" customHeight="1">
      <c r="A121" s="432">
        <v>114.0</v>
      </c>
      <c r="B121" s="433" t="s">
        <v>206</v>
      </c>
      <c r="C121" s="416">
        <v>3374030.0</v>
      </c>
      <c r="D121" s="416" t="s">
        <v>217</v>
      </c>
      <c r="E121" s="416" t="s">
        <v>221</v>
      </c>
      <c r="F121" s="417">
        <v>6.0</v>
      </c>
      <c r="G121" s="418">
        <v>381.0</v>
      </c>
      <c r="H121" s="419">
        <v>8.0</v>
      </c>
      <c r="I121" s="420">
        <v>0.0</v>
      </c>
      <c r="J121" s="420">
        <v>0.0</v>
      </c>
      <c r="K121" s="420">
        <v>1.0</v>
      </c>
      <c r="L121" s="420">
        <v>7.0</v>
      </c>
      <c r="M121" s="420">
        <v>0.0</v>
      </c>
      <c r="N121" s="420">
        <v>0.0</v>
      </c>
      <c r="O121" s="420">
        <f t="shared" si="213"/>
        <v>8</v>
      </c>
      <c r="P121" s="420">
        <v>11.0</v>
      </c>
      <c r="Q121" s="421">
        <v>1.0</v>
      </c>
      <c r="R121" s="421">
        <v>1.0</v>
      </c>
      <c r="S121" s="421">
        <v>3.0</v>
      </c>
      <c r="T121" s="422">
        <v>6.0</v>
      </c>
      <c r="U121" s="422">
        <v>3.0</v>
      </c>
      <c r="V121" s="422">
        <v>0.0</v>
      </c>
      <c r="W121" s="421">
        <f t="shared" si="225"/>
        <v>8</v>
      </c>
      <c r="X121" s="420">
        <v>11.0</v>
      </c>
      <c r="Y121" s="422">
        <v>0.0</v>
      </c>
      <c r="Z121" s="422">
        <v>0.0</v>
      </c>
      <c r="AA121" s="422">
        <v>4.0</v>
      </c>
      <c r="AB121" s="422">
        <v>7.0</v>
      </c>
      <c r="AC121" s="422">
        <v>0.0</v>
      </c>
      <c r="AD121" s="422">
        <v>0.0</v>
      </c>
      <c r="AE121" s="421">
        <f t="shared" si="214"/>
        <v>11</v>
      </c>
      <c r="AF121" s="422">
        <v>7.0</v>
      </c>
      <c r="AG121" s="422">
        <v>0.0</v>
      </c>
      <c r="AH121" s="422">
        <v>0.0</v>
      </c>
      <c r="AI121" s="422">
        <v>1.0</v>
      </c>
      <c r="AJ121" s="422">
        <v>6.0</v>
      </c>
      <c r="AK121" s="422">
        <v>0.0</v>
      </c>
      <c r="AL121" s="422">
        <v>4.0</v>
      </c>
      <c r="AM121" s="421">
        <f t="shared" si="215"/>
        <v>3</v>
      </c>
      <c r="AN121" s="422">
        <v>5.0</v>
      </c>
      <c r="AO121" s="422">
        <v>0.0</v>
      </c>
      <c r="AP121" s="422">
        <v>0.0</v>
      </c>
      <c r="AQ121" s="422">
        <v>1.0</v>
      </c>
      <c r="AR121" s="422">
        <v>4.0</v>
      </c>
      <c r="AS121" s="422">
        <v>0.0</v>
      </c>
      <c r="AT121" s="422">
        <v>2.0</v>
      </c>
      <c r="AU121" s="423">
        <f t="shared" si="216"/>
        <v>3</v>
      </c>
      <c r="AV121" s="424">
        <v>381.0</v>
      </c>
      <c r="AW121" s="425">
        <f t="shared" si="8"/>
        <v>4</v>
      </c>
      <c r="AX121" s="424">
        <v>0.0</v>
      </c>
      <c r="AY121" s="424">
        <v>0.0</v>
      </c>
      <c r="AZ121" s="424">
        <v>0.0</v>
      </c>
      <c r="BA121" s="424">
        <v>4.0</v>
      </c>
      <c r="BB121" s="424">
        <v>0.0</v>
      </c>
      <c r="BC121" s="424">
        <v>0.0</v>
      </c>
      <c r="BD121" s="424">
        <v>0.0</v>
      </c>
      <c r="BE121" s="424">
        <v>0.0</v>
      </c>
      <c r="BF121" s="424">
        <v>0.0</v>
      </c>
      <c r="BG121" s="424">
        <v>0.0</v>
      </c>
      <c r="BH121" s="424">
        <v>0.0</v>
      </c>
      <c r="BI121" s="424">
        <v>1.0</v>
      </c>
      <c r="BJ121" s="424">
        <v>0.0</v>
      </c>
      <c r="BK121" s="424">
        <v>0.0</v>
      </c>
      <c r="BL121" s="424">
        <v>0.0</v>
      </c>
      <c r="BM121" s="424">
        <v>0.0</v>
      </c>
      <c r="BN121" s="424">
        <v>0.0</v>
      </c>
      <c r="BO121" s="424">
        <v>0.0</v>
      </c>
      <c r="BP121" s="421">
        <f t="shared" si="131"/>
        <v>1</v>
      </c>
      <c r="BQ121" s="426">
        <v>377.0</v>
      </c>
      <c r="BR121" s="427">
        <f t="shared" si="10"/>
        <v>7</v>
      </c>
      <c r="BS121" s="426">
        <v>0.0</v>
      </c>
      <c r="BT121" s="426">
        <v>0.0</v>
      </c>
      <c r="BU121" s="426">
        <v>0.0</v>
      </c>
      <c r="BV121" s="426">
        <v>3.0</v>
      </c>
      <c r="BW121" s="426">
        <v>0.0</v>
      </c>
      <c r="BX121" s="426">
        <v>0.0</v>
      </c>
      <c r="BY121" s="426">
        <v>0.0</v>
      </c>
      <c r="BZ121" s="426">
        <v>4.0</v>
      </c>
      <c r="CA121" s="426">
        <v>0.0</v>
      </c>
      <c r="CB121" s="426">
        <v>0.0</v>
      </c>
      <c r="CC121" s="426">
        <v>0.0</v>
      </c>
      <c r="CD121" s="426">
        <v>0.0</v>
      </c>
      <c r="CE121" s="426">
        <v>0.0</v>
      </c>
      <c r="CF121" s="426">
        <v>0.0</v>
      </c>
      <c r="CG121" s="426">
        <v>0.0</v>
      </c>
      <c r="CH121" s="426">
        <v>0.0</v>
      </c>
      <c r="CI121" s="426">
        <v>1.0</v>
      </c>
      <c r="CJ121" s="426">
        <v>0.0</v>
      </c>
      <c r="CK121" s="422">
        <f t="shared" si="132"/>
        <v>1</v>
      </c>
      <c r="CL121" s="426">
        <v>373.0</v>
      </c>
      <c r="CM121" s="426">
        <v>108.0</v>
      </c>
      <c r="CN121" s="428">
        <f t="shared" si="295"/>
        <v>8</v>
      </c>
      <c r="CO121" s="426">
        <v>0.0</v>
      </c>
      <c r="CP121" s="426">
        <v>0.0</v>
      </c>
      <c r="CQ121" s="426">
        <v>0.0</v>
      </c>
      <c r="CR121" s="426">
        <v>8.0</v>
      </c>
      <c r="CS121" s="426">
        <v>0.0</v>
      </c>
      <c r="CT121" s="426">
        <v>0.0</v>
      </c>
      <c r="CU121" s="426">
        <v>0.0</v>
      </c>
      <c r="CV121" s="426">
        <v>0.0</v>
      </c>
      <c r="CW121" s="426">
        <v>0.0</v>
      </c>
      <c r="CX121" s="426">
        <v>0.0</v>
      </c>
      <c r="CY121" s="426">
        <v>0.0</v>
      </c>
      <c r="CZ121" s="426">
        <v>0.0</v>
      </c>
      <c r="DA121" s="426">
        <v>0.0</v>
      </c>
      <c r="DB121" s="426">
        <v>0.0</v>
      </c>
      <c r="DC121" s="426">
        <v>0.0</v>
      </c>
      <c r="DD121" s="426">
        <v>0.0</v>
      </c>
      <c r="DE121" s="426">
        <v>0.0</v>
      </c>
      <c r="DF121" s="426">
        <v>0.0</v>
      </c>
      <c r="DG121" s="428">
        <f t="shared" si="13"/>
        <v>0</v>
      </c>
      <c r="DH121" s="426">
        <v>323.0</v>
      </c>
      <c r="DI121" s="426">
        <v>96.0</v>
      </c>
      <c r="DJ121" s="426">
        <v>323.0</v>
      </c>
      <c r="DK121" s="426">
        <v>96.0</v>
      </c>
      <c r="DL121" s="422">
        <f t="shared" si="14"/>
        <v>9</v>
      </c>
      <c r="DM121" s="426">
        <f t="shared" si="15"/>
        <v>0</v>
      </c>
      <c r="DN121" s="426">
        <f t="shared" si="16"/>
        <v>9</v>
      </c>
      <c r="DO121" s="426">
        <v>0.0</v>
      </c>
      <c r="DP121" s="426">
        <v>0.0</v>
      </c>
      <c r="DQ121" s="426">
        <v>0.0</v>
      </c>
      <c r="DR121" s="426">
        <v>8.0</v>
      </c>
      <c r="DS121" s="426">
        <v>0.0</v>
      </c>
      <c r="DT121" s="426">
        <v>0.0</v>
      </c>
      <c r="DU121" s="426">
        <v>0.0</v>
      </c>
      <c r="DV121" s="426">
        <v>1.0</v>
      </c>
      <c r="DW121" s="426">
        <v>0.0</v>
      </c>
      <c r="DX121" s="426">
        <v>0.0</v>
      </c>
      <c r="DY121" s="426">
        <v>0.0</v>
      </c>
      <c r="DZ121" s="426">
        <v>0.0</v>
      </c>
      <c r="EA121" s="426">
        <v>0.0</v>
      </c>
      <c r="EB121" s="426">
        <v>0.0</v>
      </c>
      <c r="EC121" s="426">
        <v>0.0</v>
      </c>
      <c r="ED121" s="426">
        <v>0.0</v>
      </c>
      <c r="EE121" s="426">
        <v>0.0</v>
      </c>
      <c r="EF121" s="426">
        <v>0.0</v>
      </c>
      <c r="EG121" s="179">
        <f t="shared" si="17"/>
        <v>0</v>
      </c>
      <c r="EH121" s="179">
        <f t="shared" si="18"/>
        <v>0</v>
      </c>
      <c r="EI121" s="426">
        <v>320.0</v>
      </c>
      <c r="EJ121" s="426">
        <v>97.0</v>
      </c>
      <c r="EK121" s="426">
        <v>320.0</v>
      </c>
      <c r="EL121" s="426">
        <v>97.0</v>
      </c>
      <c r="EM121" s="422">
        <f t="shared" si="283"/>
        <v>9</v>
      </c>
      <c r="EN121" s="426">
        <f t="shared" si="202"/>
        <v>0</v>
      </c>
      <c r="EO121" s="426">
        <f t="shared" si="90"/>
        <v>9</v>
      </c>
      <c r="EP121" s="426">
        <v>0.0</v>
      </c>
      <c r="EQ121" s="426">
        <v>0.0</v>
      </c>
      <c r="ER121" s="426">
        <v>0.0</v>
      </c>
      <c r="ES121" s="426">
        <v>9.0</v>
      </c>
      <c r="ET121" s="426">
        <v>0.0</v>
      </c>
      <c r="EU121" s="426">
        <v>0.0</v>
      </c>
      <c r="EV121" s="426">
        <v>0.0</v>
      </c>
      <c r="EW121" s="426">
        <v>0.0</v>
      </c>
      <c r="EX121" s="426">
        <v>0.0</v>
      </c>
      <c r="EY121" s="426">
        <v>0.0</v>
      </c>
      <c r="EZ121" s="426">
        <v>0.0</v>
      </c>
      <c r="FA121" s="426">
        <v>0.0</v>
      </c>
      <c r="FB121" s="426">
        <v>0.0</v>
      </c>
      <c r="FC121" s="426">
        <v>0.0</v>
      </c>
      <c r="FD121" s="426">
        <v>0.0</v>
      </c>
      <c r="FE121" s="426">
        <v>0.0</v>
      </c>
      <c r="FF121" s="426">
        <v>0.0</v>
      </c>
      <c r="FG121" s="426">
        <v>0.0</v>
      </c>
      <c r="FH121" s="422">
        <f t="shared" si="22"/>
        <v>0</v>
      </c>
      <c r="FI121" s="422">
        <f t="shared" si="23"/>
        <v>0</v>
      </c>
      <c r="FJ121" s="426">
        <v>314.0</v>
      </c>
      <c r="FK121" s="426">
        <v>94.0</v>
      </c>
      <c r="FL121" s="426">
        <v>310.0</v>
      </c>
      <c r="FM121" s="426">
        <v>94.0</v>
      </c>
      <c r="FN121" s="180"/>
      <c r="FO121" s="180">
        <v>10.0</v>
      </c>
      <c r="FP121" s="422">
        <f t="shared" si="300"/>
        <v>10</v>
      </c>
      <c r="FQ121" s="211">
        <v>0.0</v>
      </c>
      <c r="FR121" s="212">
        <v>10.0</v>
      </c>
      <c r="FS121" s="430">
        <v>0.0</v>
      </c>
      <c r="FT121" s="431">
        <v>0.0</v>
      </c>
      <c r="FU121" s="431">
        <v>0.0</v>
      </c>
      <c r="FV121" s="431">
        <v>9.0</v>
      </c>
      <c r="FW121" s="431">
        <v>0.0</v>
      </c>
      <c r="FX121" s="431">
        <v>0.0</v>
      </c>
      <c r="FY121" s="431">
        <v>0.0</v>
      </c>
      <c r="FZ121" s="431">
        <v>1.0</v>
      </c>
      <c r="GA121" s="431">
        <v>0.0</v>
      </c>
      <c r="GB121" s="431">
        <v>0.0</v>
      </c>
      <c r="GC121" s="431">
        <v>0.0</v>
      </c>
      <c r="GD121" s="431">
        <v>0.0</v>
      </c>
      <c r="GE121" s="431">
        <v>0.0</v>
      </c>
      <c r="GF121" s="431">
        <v>0.0</v>
      </c>
      <c r="GG121" s="431">
        <v>0.0</v>
      </c>
      <c r="GH121" s="431">
        <v>0.0</v>
      </c>
      <c r="GI121" s="431">
        <v>0.0</v>
      </c>
      <c r="GJ121" s="431">
        <v>0.0</v>
      </c>
      <c r="GK121" s="431">
        <v>0.0</v>
      </c>
      <c r="GL121" s="431">
        <v>0.0</v>
      </c>
      <c r="GM121" s="207">
        <v>305.0</v>
      </c>
      <c r="GN121" s="207">
        <v>96.0</v>
      </c>
      <c r="GO121" s="213">
        <v>305.0</v>
      </c>
      <c r="GP121" s="213">
        <v>96.0</v>
      </c>
      <c r="GQ121" s="207"/>
      <c r="GR121" s="213">
        <v>10.0</v>
      </c>
      <c r="GS121" s="193">
        <v>0.0</v>
      </c>
      <c r="GT121" s="194">
        <f t="shared" si="25"/>
        <v>10</v>
      </c>
      <c r="GU121" s="194">
        <f t="shared" si="26"/>
        <v>0</v>
      </c>
      <c r="GV121" s="194">
        <f t="shared" si="27"/>
        <v>10</v>
      </c>
      <c r="GW121" s="207">
        <v>0.0</v>
      </c>
      <c r="GX121" s="207">
        <v>0.0</v>
      </c>
      <c r="GY121" s="207">
        <v>0.0</v>
      </c>
      <c r="GZ121" s="207">
        <v>10.0</v>
      </c>
      <c r="HA121" s="207">
        <v>0.0</v>
      </c>
      <c r="HB121" s="207">
        <v>0.0</v>
      </c>
      <c r="HC121" s="207">
        <v>0.0</v>
      </c>
      <c r="HD121" s="207">
        <v>0.0</v>
      </c>
      <c r="HE121" s="207">
        <v>0.0</v>
      </c>
      <c r="HF121" s="207">
        <v>0.0</v>
      </c>
      <c r="HG121" s="207">
        <v>0.0</v>
      </c>
      <c r="HH121" s="207">
        <v>0.0</v>
      </c>
      <c r="HI121" s="207">
        <v>0.0</v>
      </c>
      <c r="HJ121" s="207">
        <v>0.0</v>
      </c>
      <c r="HK121" s="207">
        <v>0.0</v>
      </c>
      <c r="HL121" s="207">
        <v>0.0</v>
      </c>
      <c r="HM121" s="207">
        <v>0.0</v>
      </c>
      <c r="HN121" s="207">
        <v>0.0</v>
      </c>
      <c r="HO121" s="222"/>
      <c r="HP121" s="222"/>
      <c r="HQ121" s="214"/>
      <c r="HR121" s="197"/>
      <c r="HS121" s="197"/>
      <c r="HT121" s="198">
        <f t="shared" si="28"/>
        <v>8</v>
      </c>
      <c r="HU121" s="198">
        <f t="shared" si="29"/>
        <v>11</v>
      </c>
      <c r="HV121" s="198">
        <f t="shared" si="30"/>
        <v>11</v>
      </c>
      <c r="HW121" s="198">
        <f t="shared" si="99"/>
        <v>7</v>
      </c>
      <c r="HX121" s="198">
        <f t="shared" si="32"/>
        <v>5</v>
      </c>
      <c r="HY121" s="198">
        <f t="shared" si="33"/>
        <v>4</v>
      </c>
      <c r="HZ121" s="198">
        <f t="shared" si="34"/>
        <v>7</v>
      </c>
      <c r="IA121" s="198">
        <f t="shared" si="35"/>
        <v>8</v>
      </c>
      <c r="IB121" s="198">
        <f t="shared" si="36"/>
        <v>9</v>
      </c>
      <c r="IC121" s="198">
        <f t="shared" si="37"/>
        <v>9</v>
      </c>
      <c r="ID121" s="198">
        <f t="shared" si="38"/>
        <v>10</v>
      </c>
      <c r="IE121" s="198">
        <f t="shared" si="39"/>
        <v>10</v>
      </c>
      <c r="IF121" s="197"/>
      <c r="IG121" s="197"/>
      <c r="IH121" s="197"/>
      <c r="II121" s="197"/>
      <c r="IJ121" s="197"/>
      <c r="IK121" s="197"/>
      <c r="IL121" s="197"/>
      <c r="IM121" s="197"/>
      <c r="IN121" s="197"/>
      <c r="IO121" s="197"/>
      <c r="IP121" s="197"/>
      <c r="IQ121" s="197"/>
      <c r="IR121" s="197"/>
      <c r="IS121" s="197"/>
      <c r="IT121" s="197"/>
      <c r="IU121" s="197"/>
      <c r="IV121" s="197"/>
      <c r="IW121" s="197"/>
      <c r="IX121" s="197"/>
      <c r="IY121" s="197"/>
      <c r="IZ121" s="197"/>
      <c r="JA121" s="199"/>
      <c r="JB121" s="200">
        <f t="shared" si="40"/>
        <v>8</v>
      </c>
      <c r="JC121" s="200">
        <f t="shared" si="41"/>
        <v>11</v>
      </c>
      <c r="JD121" s="200">
        <f t="shared" si="42"/>
        <v>11</v>
      </c>
      <c r="JE121" s="200">
        <f t="shared" si="43"/>
        <v>7</v>
      </c>
      <c r="JF121" s="200">
        <f t="shared" si="44"/>
        <v>5</v>
      </c>
      <c r="JG121" s="200">
        <f t="shared" si="45"/>
        <v>4</v>
      </c>
      <c r="JH121" s="200">
        <f t="shared" si="46"/>
        <v>7</v>
      </c>
      <c r="JI121" s="200">
        <f t="shared" si="47"/>
        <v>8</v>
      </c>
      <c r="JJ121" s="200">
        <f t="shared" si="48"/>
        <v>9</v>
      </c>
      <c r="JK121" s="200">
        <f t="shared" si="49"/>
        <v>9</v>
      </c>
      <c r="JL121" s="200">
        <f t="shared" si="50"/>
        <v>10</v>
      </c>
      <c r="JM121" s="200">
        <f t="shared" si="51"/>
        <v>10</v>
      </c>
      <c r="JN121" s="199"/>
      <c r="JO121" s="200">
        <f t="shared" si="52"/>
        <v>8</v>
      </c>
      <c r="JP121" s="202">
        <v>11.0</v>
      </c>
      <c r="JQ121" s="202">
        <v>11.0</v>
      </c>
      <c r="JR121" s="202">
        <v>7.0</v>
      </c>
      <c r="JS121" s="202">
        <v>5.0</v>
      </c>
      <c r="JT121" s="199"/>
      <c r="JU121" s="199"/>
      <c r="JV121" s="200">
        <f t="shared" ref="JV121:JX121" si="305">IA121-JI121</f>
        <v>0</v>
      </c>
      <c r="JW121" s="200">
        <f t="shared" si="305"/>
        <v>0</v>
      </c>
      <c r="JX121" s="200">
        <f t="shared" si="305"/>
        <v>0</v>
      </c>
      <c r="JY121" s="199"/>
      <c r="JZ121" s="199"/>
      <c r="KA121" s="199"/>
      <c r="KB121" s="200">
        <f t="shared" ref="KB121:KM121" si="306">JB121-JO121</f>
        <v>0</v>
      </c>
      <c r="KC121" s="200">
        <f t="shared" si="306"/>
        <v>0</v>
      </c>
      <c r="KD121" s="200">
        <f t="shared" si="306"/>
        <v>0</v>
      </c>
      <c r="KE121" s="200">
        <f t="shared" si="306"/>
        <v>0</v>
      </c>
      <c r="KF121" s="200">
        <f t="shared" si="306"/>
        <v>0</v>
      </c>
      <c r="KG121" s="200">
        <f t="shared" si="306"/>
        <v>4</v>
      </c>
      <c r="KH121" s="200">
        <f t="shared" si="306"/>
        <v>7</v>
      </c>
      <c r="KI121" s="200">
        <f t="shared" si="306"/>
        <v>8</v>
      </c>
      <c r="KJ121" s="200">
        <f t="shared" si="306"/>
        <v>9</v>
      </c>
      <c r="KK121" s="200">
        <f t="shared" si="306"/>
        <v>9</v>
      </c>
      <c r="KL121" s="200">
        <f t="shared" si="306"/>
        <v>10</v>
      </c>
      <c r="KM121" s="200">
        <f t="shared" si="306"/>
        <v>10</v>
      </c>
      <c r="KN121" s="199"/>
      <c r="KO121" s="199"/>
      <c r="KP121" s="199"/>
      <c r="KQ121" s="199"/>
      <c r="KR121" s="199"/>
      <c r="KS121" s="199"/>
      <c r="KT121" s="199"/>
      <c r="KU121" s="199"/>
      <c r="KV121" s="199"/>
      <c r="KW121" s="199"/>
      <c r="KX121" s="199"/>
      <c r="KY121" s="199"/>
      <c r="KZ121" s="199"/>
      <c r="LA121" s="199"/>
      <c r="LB121" s="199"/>
      <c r="LC121" s="199"/>
      <c r="LD121" s="199"/>
      <c r="LE121" s="199"/>
      <c r="LF121" s="199"/>
      <c r="LG121" s="199"/>
    </row>
    <row r="122" ht="14.25" customHeight="1">
      <c r="A122" s="156">
        <v>115.0</v>
      </c>
      <c r="B122" s="436" t="s">
        <v>222</v>
      </c>
      <c r="C122" s="437">
        <v>3374020.0</v>
      </c>
      <c r="D122" s="437" t="s">
        <v>222</v>
      </c>
      <c r="E122" s="437" t="s">
        <v>223</v>
      </c>
      <c r="F122" s="438">
        <v>7.0</v>
      </c>
      <c r="G122" s="439">
        <v>402.0</v>
      </c>
      <c r="H122" s="440">
        <v>3.0</v>
      </c>
      <c r="I122" s="223">
        <v>0.0</v>
      </c>
      <c r="J122" s="223">
        <v>1.0</v>
      </c>
      <c r="K122" s="161">
        <v>1.0</v>
      </c>
      <c r="L122" s="223">
        <v>0.0</v>
      </c>
      <c r="M122" s="223">
        <v>0.0</v>
      </c>
      <c r="N122" s="223">
        <v>0.0</v>
      </c>
      <c r="O122" s="162">
        <f t="shared" si="213"/>
        <v>3</v>
      </c>
      <c r="P122" s="203">
        <v>2.0</v>
      </c>
      <c r="Q122" s="164"/>
      <c r="R122" s="164">
        <v>1.0</v>
      </c>
      <c r="S122" s="164">
        <v>1.0</v>
      </c>
      <c r="T122" s="165"/>
      <c r="U122" s="165"/>
      <c r="V122" s="165"/>
      <c r="W122" s="166">
        <f t="shared" si="225"/>
        <v>2</v>
      </c>
      <c r="X122" s="203">
        <v>2.0</v>
      </c>
      <c r="Y122" s="164"/>
      <c r="Z122" s="164">
        <v>1.0</v>
      </c>
      <c r="AA122" s="164">
        <v>1.0</v>
      </c>
      <c r="AB122" s="165"/>
      <c r="AC122" s="165"/>
      <c r="AD122" s="165"/>
      <c r="AE122" s="166">
        <f t="shared" si="214"/>
        <v>2</v>
      </c>
      <c r="AF122" s="167">
        <v>2.0</v>
      </c>
      <c r="AG122" s="165"/>
      <c r="AH122" s="164">
        <v>1.0</v>
      </c>
      <c r="AI122" s="164">
        <v>1.0</v>
      </c>
      <c r="AJ122" s="165"/>
      <c r="AK122" s="165"/>
      <c r="AL122" s="165"/>
      <c r="AM122" s="166">
        <f t="shared" si="215"/>
        <v>2</v>
      </c>
      <c r="AN122" s="167">
        <v>2.0</v>
      </c>
      <c r="AO122" s="165"/>
      <c r="AP122" s="164"/>
      <c r="AQ122" s="164">
        <v>2.0</v>
      </c>
      <c r="AR122" s="165"/>
      <c r="AS122" s="165"/>
      <c r="AT122" s="165"/>
      <c r="AU122" s="168">
        <f t="shared" si="216"/>
        <v>2</v>
      </c>
      <c r="AV122" s="169">
        <v>405.0</v>
      </c>
      <c r="AW122" s="204">
        <f t="shared" si="8"/>
        <v>2</v>
      </c>
      <c r="AX122" s="169">
        <v>0.0</v>
      </c>
      <c r="AY122" s="169">
        <v>0.0</v>
      </c>
      <c r="AZ122" s="169">
        <v>2.0</v>
      </c>
      <c r="BA122" s="169">
        <v>0.0</v>
      </c>
      <c r="BB122" s="169">
        <v>0.0</v>
      </c>
      <c r="BC122" s="169">
        <v>0.0</v>
      </c>
      <c r="BD122" s="169">
        <v>0.0</v>
      </c>
      <c r="BE122" s="169">
        <v>0.0</v>
      </c>
      <c r="BF122" s="169">
        <v>0.0</v>
      </c>
      <c r="BG122" s="169">
        <v>0.0</v>
      </c>
      <c r="BH122" s="169">
        <v>0.0</v>
      </c>
      <c r="BI122" s="169">
        <v>0.0</v>
      </c>
      <c r="BJ122" s="169">
        <v>0.0</v>
      </c>
      <c r="BK122" s="169">
        <v>0.0</v>
      </c>
      <c r="BL122" s="169">
        <v>0.0</v>
      </c>
      <c r="BM122" s="169">
        <v>0.0</v>
      </c>
      <c r="BN122" s="169">
        <v>0.0</v>
      </c>
      <c r="BO122" s="169">
        <v>0.0</v>
      </c>
      <c r="BP122" s="205">
        <f t="shared" si="131"/>
        <v>0</v>
      </c>
      <c r="BQ122" s="173">
        <v>400.0</v>
      </c>
      <c r="BR122" s="170">
        <f t="shared" si="10"/>
        <v>2</v>
      </c>
      <c r="BS122" s="173">
        <v>0.0</v>
      </c>
      <c r="BT122" s="173">
        <v>0.0</v>
      </c>
      <c r="BU122" s="173">
        <v>2.0</v>
      </c>
      <c r="BV122" s="173">
        <v>0.0</v>
      </c>
      <c r="BW122" s="173">
        <v>0.0</v>
      </c>
      <c r="BX122" s="173">
        <v>0.0</v>
      </c>
      <c r="BY122" s="173">
        <v>0.0</v>
      </c>
      <c r="BZ122" s="173">
        <v>0.0</v>
      </c>
      <c r="CA122" s="173">
        <v>0.0</v>
      </c>
      <c r="CB122" s="173">
        <v>0.0</v>
      </c>
      <c r="CC122" s="173">
        <v>0.0</v>
      </c>
      <c r="CD122" s="173">
        <v>0.0</v>
      </c>
      <c r="CE122" s="173">
        <v>0.0</v>
      </c>
      <c r="CF122" s="173">
        <v>0.0</v>
      </c>
      <c r="CG122" s="173">
        <v>0.0</v>
      </c>
      <c r="CH122" s="173">
        <v>0.0</v>
      </c>
      <c r="CI122" s="173">
        <v>0.0</v>
      </c>
      <c r="CJ122" s="173">
        <v>0.0</v>
      </c>
      <c r="CK122" s="172">
        <f t="shared" si="132"/>
        <v>0</v>
      </c>
      <c r="CL122" s="441">
        <v>399.0</v>
      </c>
      <c r="CM122" s="441">
        <v>108.0</v>
      </c>
      <c r="CN122" s="175">
        <f t="shared" si="295"/>
        <v>3</v>
      </c>
      <c r="CO122" s="441">
        <v>0.0</v>
      </c>
      <c r="CP122" s="441">
        <v>0.0</v>
      </c>
      <c r="CQ122" s="441">
        <v>2.0</v>
      </c>
      <c r="CR122" s="441">
        <v>0.0</v>
      </c>
      <c r="CS122" s="441">
        <v>0.0</v>
      </c>
      <c r="CT122" s="441">
        <v>1.0</v>
      </c>
      <c r="CU122" s="441">
        <v>0.0</v>
      </c>
      <c r="CV122" s="441">
        <v>0.0</v>
      </c>
      <c r="CW122" s="441">
        <v>0.0</v>
      </c>
      <c r="CX122" s="441">
        <v>0.0</v>
      </c>
      <c r="CY122" s="441">
        <v>0.0</v>
      </c>
      <c r="CZ122" s="441">
        <v>0.0</v>
      </c>
      <c r="DA122" s="441">
        <v>0.0</v>
      </c>
      <c r="DB122" s="441">
        <v>0.0</v>
      </c>
      <c r="DC122" s="441">
        <v>0.0</v>
      </c>
      <c r="DD122" s="441">
        <v>0.0</v>
      </c>
      <c r="DE122" s="441">
        <v>0.0</v>
      </c>
      <c r="DF122" s="441">
        <v>0.0</v>
      </c>
      <c r="DG122" s="442">
        <f t="shared" si="13"/>
        <v>0</v>
      </c>
      <c r="DH122" s="177">
        <v>383.0</v>
      </c>
      <c r="DI122" s="177">
        <v>106.0</v>
      </c>
      <c r="DJ122" s="178">
        <v>370.0</v>
      </c>
      <c r="DK122" s="178">
        <v>101.0</v>
      </c>
      <c r="DL122" s="179">
        <f t="shared" si="14"/>
        <v>3</v>
      </c>
      <c r="DM122" s="180">
        <f t="shared" si="15"/>
        <v>2</v>
      </c>
      <c r="DN122" s="180">
        <f t="shared" si="16"/>
        <v>1</v>
      </c>
      <c r="DO122" s="177">
        <v>0.0</v>
      </c>
      <c r="DP122" s="177">
        <v>0.0</v>
      </c>
      <c r="DQ122" s="177">
        <v>1.0</v>
      </c>
      <c r="DR122" s="177">
        <v>1.0</v>
      </c>
      <c r="DS122" s="177">
        <v>0.0</v>
      </c>
      <c r="DT122" s="177">
        <v>1.0</v>
      </c>
      <c r="DU122" s="177">
        <v>0.0</v>
      </c>
      <c r="DV122" s="177">
        <v>0.0</v>
      </c>
      <c r="DW122" s="177">
        <v>0.0</v>
      </c>
      <c r="DX122" s="177">
        <v>0.0</v>
      </c>
      <c r="DY122" s="177">
        <v>0.0</v>
      </c>
      <c r="DZ122" s="177">
        <v>0.0</v>
      </c>
      <c r="EA122" s="177">
        <v>0.0</v>
      </c>
      <c r="EB122" s="177">
        <v>0.0</v>
      </c>
      <c r="EC122" s="177">
        <v>0.0</v>
      </c>
      <c r="ED122" s="177">
        <v>0.0</v>
      </c>
      <c r="EE122" s="177">
        <v>0.0</v>
      </c>
      <c r="EF122" s="177">
        <v>0.0</v>
      </c>
      <c r="EG122" s="179">
        <f t="shared" si="17"/>
        <v>0</v>
      </c>
      <c r="EH122" s="179">
        <f t="shared" si="18"/>
        <v>0</v>
      </c>
      <c r="EI122" s="443">
        <v>376.0</v>
      </c>
      <c r="EJ122" s="443">
        <v>103.0</v>
      </c>
      <c r="EK122" s="443">
        <v>376.0</v>
      </c>
      <c r="EL122" s="443">
        <v>103.0</v>
      </c>
      <c r="EM122" s="185">
        <f t="shared" si="283"/>
        <v>3</v>
      </c>
      <c r="EN122" s="186">
        <f t="shared" si="202"/>
        <v>2</v>
      </c>
      <c r="EO122" s="186">
        <f t="shared" si="90"/>
        <v>1</v>
      </c>
      <c r="EP122" s="177">
        <v>0.0</v>
      </c>
      <c r="EQ122" s="177">
        <v>0.0</v>
      </c>
      <c r="ER122" s="177">
        <v>2.0</v>
      </c>
      <c r="ES122" s="177">
        <v>1.0</v>
      </c>
      <c r="ET122" s="177">
        <v>0.0</v>
      </c>
      <c r="EU122" s="177">
        <v>0.0</v>
      </c>
      <c r="EV122" s="177">
        <v>0.0</v>
      </c>
      <c r="EW122" s="177">
        <v>0.0</v>
      </c>
      <c r="EX122" s="177">
        <v>0.0</v>
      </c>
      <c r="EY122" s="177">
        <v>0.0</v>
      </c>
      <c r="EZ122" s="177">
        <v>0.0</v>
      </c>
      <c r="FA122" s="177">
        <v>0.0</v>
      </c>
      <c r="FB122" s="177">
        <v>0.0</v>
      </c>
      <c r="FC122" s="177">
        <v>0.0</v>
      </c>
      <c r="FD122" s="177">
        <v>0.0</v>
      </c>
      <c r="FE122" s="177">
        <v>0.0</v>
      </c>
      <c r="FF122" s="177">
        <v>0.0</v>
      </c>
      <c r="FG122" s="177">
        <v>0.0</v>
      </c>
      <c r="FH122" s="185">
        <f t="shared" si="22"/>
        <v>0</v>
      </c>
      <c r="FI122" s="185">
        <f t="shared" si="23"/>
        <v>0</v>
      </c>
      <c r="FJ122" s="177">
        <v>371.0</v>
      </c>
      <c r="FK122" s="177">
        <v>86.0</v>
      </c>
      <c r="FL122" s="177">
        <v>371.0</v>
      </c>
      <c r="FM122" s="177">
        <v>86.0</v>
      </c>
      <c r="FN122" s="180"/>
      <c r="FO122" s="180">
        <v>2.0</v>
      </c>
      <c r="FP122" s="188">
        <f t="shared" si="300"/>
        <v>2</v>
      </c>
      <c r="FQ122" s="211">
        <v>1.0</v>
      </c>
      <c r="FR122" s="212">
        <v>1.0</v>
      </c>
      <c r="FS122" s="206">
        <v>0.0</v>
      </c>
      <c r="FT122" s="207">
        <v>0.0</v>
      </c>
      <c r="FU122" s="207">
        <v>1.0</v>
      </c>
      <c r="FV122" s="207">
        <v>1.0</v>
      </c>
      <c r="FW122" s="207">
        <v>0.0</v>
      </c>
      <c r="FX122" s="207">
        <v>0.0</v>
      </c>
      <c r="FY122" s="207">
        <v>0.0</v>
      </c>
      <c r="FZ122" s="207">
        <v>0.0</v>
      </c>
      <c r="GA122" s="207">
        <v>0.0</v>
      </c>
      <c r="GB122" s="207">
        <v>0.0</v>
      </c>
      <c r="GC122" s="207">
        <v>0.0</v>
      </c>
      <c r="GD122" s="207">
        <v>0.0</v>
      </c>
      <c r="GE122" s="207">
        <v>0.0</v>
      </c>
      <c r="GF122" s="207">
        <v>0.0</v>
      </c>
      <c r="GG122" s="207">
        <v>0.0</v>
      </c>
      <c r="GH122" s="207">
        <v>0.0</v>
      </c>
      <c r="GI122" s="207">
        <v>0.0</v>
      </c>
      <c r="GJ122" s="207">
        <v>0.0</v>
      </c>
      <c r="GK122" s="212">
        <v>0.0</v>
      </c>
      <c r="GL122" s="212">
        <v>0.0</v>
      </c>
      <c r="GM122" s="207">
        <v>368.0</v>
      </c>
      <c r="GN122" s="207">
        <v>104.0</v>
      </c>
      <c r="GO122" s="213">
        <v>368.0</v>
      </c>
      <c r="GP122" s="213">
        <v>104.0</v>
      </c>
      <c r="GQ122" s="207"/>
      <c r="GR122" s="213">
        <v>2.0</v>
      </c>
      <c r="GS122" s="193">
        <v>1.0</v>
      </c>
      <c r="GT122" s="194">
        <f t="shared" si="25"/>
        <v>2</v>
      </c>
      <c r="GU122" s="194">
        <f t="shared" si="26"/>
        <v>1</v>
      </c>
      <c r="GV122" s="194">
        <f t="shared" si="27"/>
        <v>1</v>
      </c>
      <c r="GW122" s="444">
        <v>0.0</v>
      </c>
      <c r="GX122" s="444">
        <v>0.0</v>
      </c>
      <c r="GY122" s="444">
        <v>1.0</v>
      </c>
      <c r="GZ122" s="444">
        <v>1.0</v>
      </c>
      <c r="HA122" s="445">
        <v>0.0</v>
      </c>
      <c r="HB122" s="445">
        <v>0.0</v>
      </c>
      <c r="HC122" s="445">
        <v>0.0</v>
      </c>
      <c r="HD122" s="445">
        <v>0.0</v>
      </c>
      <c r="HE122" s="445">
        <v>0.0</v>
      </c>
      <c r="HF122" s="445">
        <v>0.0</v>
      </c>
      <c r="HG122" s="445">
        <v>0.0</v>
      </c>
      <c r="HH122" s="445">
        <v>0.0</v>
      </c>
      <c r="HI122" s="445">
        <v>0.0</v>
      </c>
      <c r="HJ122" s="445">
        <v>0.0</v>
      </c>
      <c r="HK122" s="445">
        <v>0.0</v>
      </c>
      <c r="HL122" s="445">
        <v>0.0</v>
      </c>
      <c r="HM122" s="445">
        <v>0.0</v>
      </c>
      <c r="HN122" s="445">
        <v>0.0</v>
      </c>
      <c r="HO122" s="222"/>
      <c r="HP122" s="222"/>
      <c r="HQ122" s="214"/>
      <c r="HR122" s="197"/>
      <c r="HS122" s="197"/>
      <c r="HT122" s="198">
        <f t="shared" si="28"/>
        <v>3</v>
      </c>
      <c r="HU122" s="198">
        <f t="shared" si="29"/>
        <v>2</v>
      </c>
      <c r="HV122" s="198">
        <f t="shared" si="30"/>
        <v>2</v>
      </c>
      <c r="HW122" s="198">
        <f t="shared" si="99"/>
        <v>2</v>
      </c>
      <c r="HX122" s="198">
        <f t="shared" si="32"/>
        <v>2</v>
      </c>
      <c r="HY122" s="198">
        <f t="shared" si="33"/>
        <v>2</v>
      </c>
      <c r="HZ122" s="198">
        <f t="shared" si="34"/>
        <v>2</v>
      </c>
      <c r="IA122" s="198">
        <f t="shared" si="35"/>
        <v>3</v>
      </c>
      <c r="IB122" s="198">
        <f t="shared" si="36"/>
        <v>3</v>
      </c>
      <c r="IC122" s="198">
        <f t="shared" si="37"/>
        <v>3</v>
      </c>
      <c r="ID122" s="198">
        <f t="shared" si="38"/>
        <v>2</v>
      </c>
      <c r="IE122" s="198">
        <f t="shared" si="39"/>
        <v>2</v>
      </c>
      <c r="IF122" s="197"/>
      <c r="IG122" s="197"/>
      <c r="IH122" s="197"/>
      <c r="II122" s="197"/>
      <c r="IJ122" s="197"/>
      <c r="IK122" s="197"/>
      <c r="IL122" s="197"/>
      <c r="IM122" s="197"/>
      <c r="IN122" s="197"/>
      <c r="IO122" s="197"/>
      <c r="IP122" s="197"/>
      <c r="IQ122" s="197"/>
      <c r="IR122" s="197"/>
      <c r="IS122" s="197"/>
      <c r="IT122" s="197"/>
      <c r="IU122" s="197"/>
      <c r="IV122" s="197"/>
      <c r="IW122" s="197"/>
      <c r="IX122" s="197"/>
      <c r="IY122" s="197"/>
      <c r="IZ122" s="197"/>
      <c r="JA122" s="199"/>
      <c r="JB122" s="200">
        <f t="shared" si="40"/>
        <v>2</v>
      </c>
      <c r="JC122" s="200">
        <f t="shared" si="41"/>
        <v>2</v>
      </c>
      <c r="JD122" s="200">
        <f t="shared" si="42"/>
        <v>2</v>
      </c>
      <c r="JE122" s="200">
        <f t="shared" si="43"/>
        <v>2</v>
      </c>
      <c r="JF122" s="200">
        <f t="shared" si="44"/>
        <v>2</v>
      </c>
      <c r="JG122" s="200">
        <f t="shared" si="45"/>
        <v>2</v>
      </c>
      <c r="JH122" s="200">
        <f t="shared" si="46"/>
        <v>2</v>
      </c>
      <c r="JI122" s="200">
        <f t="shared" si="47"/>
        <v>3</v>
      </c>
      <c r="JJ122" s="200">
        <f t="shared" si="48"/>
        <v>3</v>
      </c>
      <c r="JK122" s="200">
        <f t="shared" si="49"/>
        <v>3</v>
      </c>
      <c r="JL122" s="200">
        <f t="shared" si="50"/>
        <v>2</v>
      </c>
      <c r="JM122" s="200">
        <f t="shared" si="51"/>
        <v>2</v>
      </c>
      <c r="JN122" s="199"/>
      <c r="JO122" s="200">
        <f t="shared" si="52"/>
        <v>3</v>
      </c>
      <c r="JP122" s="202">
        <v>2.0</v>
      </c>
      <c r="JQ122" s="202">
        <v>2.0</v>
      </c>
      <c r="JR122" s="202">
        <v>2.0</v>
      </c>
      <c r="JS122" s="202">
        <v>2.0</v>
      </c>
      <c r="JT122" s="199"/>
      <c r="JU122" s="199"/>
      <c r="JV122" s="200">
        <f t="shared" ref="JV122:JX122" si="307">IA122-JI122</f>
        <v>0</v>
      </c>
      <c r="JW122" s="200">
        <f t="shared" si="307"/>
        <v>0</v>
      </c>
      <c r="JX122" s="200">
        <f t="shared" si="307"/>
        <v>0</v>
      </c>
      <c r="JY122" s="199"/>
      <c r="JZ122" s="199"/>
      <c r="KA122" s="199"/>
      <c r="KB122" s="446">
        <f t="shared" ref="KB122:KM122" si="308">JB122-JO122</f>
        <v>-1</v>
      </c>
      <c r="KC122" s="446">
        <f t="shared" si="308"/>
        <v>0</v>
      </c>
      <c r="KD122" s="446">
        <f t="shared" si="308"/>
        <v>0</v>
      </c>
      <c r="KE122" s="446">
        <f t="shared" si="308"/>
        <v>0</v>
      </c>
      <c r="KF122" s="446">
        <f t="shared" si="308"/>
        <v>0</v>
      </c>
      <c r="KG122" s="200">
        <f t="shared" si="308"/>
        <v>2</v>
      </c>
      <c r="KH122" s="200">
        <f t="shared" si="308"/>
        <v>2</v>
      </c>
      <c r="KI122" s="200">
        <f t="shared" si="308"/>
        <v>3</v>
      </c>
      <c r="KJ122" s="200">
        <f t="shared" si="308"/>
        <v>3</v>
      </c>
      <c r="KK122" s="200">
        <f t="shared" si="308"/>
        <v>3</v>
      </c>
      <c r="KL122" s="200">
        <f t="shared" si="308"/>
        <v>2</v>
      </c>
      <c r="KM122" s="200">
        <f t="shared" si="308"/>
        <v>2</v>
      </c>
      <c r="KN122" s="199"/>
      <c r="KO122" s="199"/>
      <c r="KP122" s="199"/>
      <c r="KQ122" s="199"/>
      <c r="KR122" s="199"/>
      <c r="KS122" s="199"/>
      <c r="KT122" s="199"/>
      <c r="KU122" s="199"/>
      <c r="KV122" s="199"/>
      <c r="KW122" s="199"/>
      <c r="KX122" s="199"/>
      <c r="KY122" s="199"/>
      <c r="KZ122" s="199"/>
      <c r="LA122" s="199"/>
      <c r="LB122" s="199"/>
      <c r="LC122" s="199"/>
      <c r="LD122" s="199"/>
      <c r="LE122" s="199"/>
      <c r="LF122" s="199"/>
      <c r="LG122" s="199"/>
    </row>
    <row r="123" ht="14.25" customHeight="1">
      <c r="A123" s="156">
        <v>116.0</v>
      </c>
      <c r="B123" s="436" t="s">
        <v>222</v>
      </c>
      <c r="C123" s="437">
        <v>3374020.0</v>
      </c>
      <c r="D123" s="437" t="s">
        <v>222</v>
      </c>
      <c r="E123" s="437" t="s">
        <v>224</v>
      </c>
      <c r="F123" s="438">
        <v>6.0</v>
      </c>
      <c r="G123" s="439">
        <v>279.0</v>
      </c>
      <c r="H123" s="160">
        <v>1.0</v>
      </c>
      <c r="I123" s="223">
        <v>0.0</v>
      </c>
      <c r="J123" s="223">
        <v>0.0</v>
      </c>
      <c r="K123" s="223">
        <v>0.0</v>
      </c>
      <c r="L123" s="161">
        <v>1.0</v>
      </c>
      <c r="M123" s="223">
        <v>0.0</v>
      </c>
      <c r="N123" s="223">
        <v>0.0</v>
      </c>
      <c r="O123" s="162">
        <f t="shared" si="213"/>
        <v>1</v>
      </c>
      <c r="P123" s="203">
        <v>1.0</v>
      </c>
      <c r="Q123" s="164"/>
      <c r="R123" s="164"/>
      <c r="S123" s="164"/>
      <c r="T123" s="165">
        <v>1.0</v>
      </c>
      <c r="U123" s="165"/>
      <c r="V123" s="165"/>
      <c r="W123" s="166">
        <f t="shared" si="225"/>
        <v>1</v>
      </c>
      <c r="X123" s="203">
        <v>1.0</v>
      </c>
      <c r="Y123" s="164"/>
      <c r="Z123" s="164"/>
      <c r="AA123" s="164"/>
      <c r="AB123" s="165">
        <v>1.0</v>
      </c>
      <c r="AC123" s="165"/>
      <c r="AD123" s="165"/>
      <c r="AE123" s="166">
        <f t="shared" si="214"/>
        <v>1</v>
      </c>
      <c r="AF123" s="167">
        <v>1.0</v>
      </c>
      <c r="AG123" s="165"/>
      <c r="AH123" s="164"/>
      <c r="AI123" s="164"/>
      <c r="AJ123" s="165">
        <v>1.0</v>
      </c>
      <c r="AK123" s="165"/>
      <c r="AL123" s="165"/>
      <c r="AM123" s="166">
        <f t="shared" si="215"/>
        <v>1</v>
      </c>
      <c r="AN123" s="167">
        <v>1.0</v>
      </c>
      <c r="AO123" s="165"/>
      <c r="AP123" s="164"/>
      <c r="AQ123" s="164"/>
      <c r="AR123" s="165">
        <v>1.0</v>
      </c>
      <c r="AS123" s="165"/>
      <c r="AT123" s="165"/>
      <c r="AU123" s="168">
        <f t="shared" si="216"/>
        <v>1</v>
      </c>
      <c r="AV123" s="169">
        <v>284.0</v>
      </c>
      <c r="AW123" s="204">
        <f t="shared" si="8"/>
        <v>1</v>
      </c>
      <c r="AX123" s="169">
        <v>0.0</v>
      </c>
      <c r="AY123" s="169">
        <v>0.0</v>
      </c>
      <c r="AZ123" s="169">
        <v>0.0</v>
      </c>
      <c r="BA123" s="169">
        <v>1.0</v>
      </c>
      <c r="BB123" s="169">
        <v>0.0</v>
      </c>
      <c r="BC123" s="169">
        <v>0.0</v>
      </c>
      <c r="BD123" s="169">
        <v>0.0</v>
      </c>
      <c r="BE123" s="169">
        <v>0.0</v>
      </c>
      <c r="BF123" s="169">
        <v>0.0</v>
      </c>
      <c r="BG123" s="169">
        <v>0.0</v>
      </c>
      <c r="BH123" s="169">
        <v>0.0</v>
      </c>
      <c r="BI123" s="169">
        <v>0.0</v>
      </c>
      <c r="BJ123" s="169">
        <v>0.0</v>
      </c>
      <c r="BK123" s="169">
        <v>0.0</v>
      </c>
      <c r="BL123" s="169">
        <v>0.0</v>
      </c>
      <c r="BM123" s="169">
        <v>0.0</v>
      </c>
      <c r="BN123" s="169">
        <v>0.0</v>
      </c>
      <c r="BO123" s="169">
        <v>0.0</v>
      </c>
      <c r="BP123" s="205">
        <f t="shared" si="131"/>
        <v>0</v>
      </c>
      <c r="BQ123" s="173">
        <v>283.0</v>
      </c>
      <c r="BR123" s="170">
        <f t="shared" si="10"/>
        <v>1</v>
      </c>
      <c r="BS123" s="173">
        <v>0.0</v>
      </c>
      <c r="BT123" s="173">
        <v>0.0</v>
      </c>
      <c r="BU123" s="173">
        <v>0.0</v>
      </c>
      <c r="BV123" s="173">
        <v>1.0</v>
      </c>
      <c r="BW123" s="173">
        <v>0.0</v>
      </c>
      <c r="BX123" s="173">
        <v>0.0</v>
      </c>
      <c r="BY123" s="173">
        <v>0.0</v>
      </c>
      <c r="BZ123" s="173">
        <v>0.0</v>
      </c>
      <c r="CA123" s="173">
        <v>0.0</v>
      </c>
      <c r="CB123" s="173">
        <v>0.0</v>
      </c>
      <c r="CC123" s="173">
        <v>0.0</v>
      </c>
      <c r="CD123" s="173">
        <v>0.0</v>
      </c>
      <c r="CE123" s="173">
        <v>0.0</v>
      </c>
      <c r="CF123" s="173">
        <v>0.0</v>
      </c>
      <c r="CG123" s="173">
        <v>0.0</v>
      </c>
      <c r="CH123" s="173">
        <v>0.0</v>
      </c>
      <c r="CI123" s="173">
        <v>0.0</v>
      </c>
      <c r="CJ123" s="173">
        <v>0.0</v>
      </c>
      <c r="CK123" s="172">
        <f t="shared" si="132"/>
        <v>0</v>
      </c>
      <c r="CL123" s="441">
        <v>271.0</v>
      </c>
      <c r="CM123" s="441">
        <v>80.0</v>
      </c>
      <c r="CN123" s="175">
        <f t="shared" si="295"/>
        <v>1</v>
      </c>
      <c r="CO123" s="441">
        <v>0.0</v>
      </c>
      <c r="CP123" s="441">
        <v>0.0</v>
      </c>
      <c r="CQ123" s="441">
        <v>0.0</v>
      </c>
      <c r="CR123" s="441">
        <v>1.0</v>
      </c>
      <c r="CS123" s="441">
        <v>0.0</v>
      </c>
      <c r="CT123" s="441">
        <v>0.0</v>
      </c>
      <c r="CU123" s="441">
        <v>0.0</v>
      </c>
      <c r="CV123" s="441">
        <v>0.0</v>
      </c>
      <c r="CW123" s="441">
        <v>0.0</v>
      </c>
      <c r="CX123" s="441">
        <v>0.0</v>
      </c>
      <c r="CY123" s="441">
        <v>0.0</v>
      </c>
      <c r="CZ123" s="441">
        <v>0.0</v>
      </c>
      <c r="DA123" s="441">
        <v>0.0</v>
      </c>
      <c r="DB123" s="441">
        <v>0.0</v>
      </c>
      <c r="DC123" s="441">
        <v>0.0</v>
      </c>
      <c r="DD123" s="441">
        <v>0.0</v>
      </c>
      <c r="DE123" s="441">
        <v>0.0</v>
      </c>
      <c r="DF123" s="441">
        <v>0.0</v>
      </c>
      <c r="DG123" s="442">
        <f t="shared" si="13"/>
        <v>0</v>
      </c>
      <c r="DH123" s="177">
        <v>263.0</v>
      </c>
      <c r="DI123" s="177">
        <v>80.0</v>
      </c>
      <c r="DJ123" s="178">
        <v>245.0</v>
      </c>
      <c r="DK123" s="178">
        <v>73.0</v>
      </c>
      <c r="DL123" s="179">
        <f t="shared" si="14"/>
        <v>1</v>
      </c>
      <c r="DM123" s="180">
        <f t="shared" si="15"/>
        <v>0</v>
      </c>
      <c r="DN123" s="180">
        <f t="shared" si="16"/>
        <v>1</v>
      </c>
      <c r="DO123" s="177">
        <v>0.0</v>
      </c>
      <c r="DP123" s="177">
        <v>0.0</v>
      </c>
      <c r="DQ123" s="177">
        <v>0.0</v>
      </c>
      <c r="DR123" s="177">
        <v>1.0</v>
      </c>
      <c r="DS123" s="177">
        <v>0.0</v>
      </c>
      <c r="DT123" s="177">
        <v>0.0</v>
      </c>
      <c r="DU123" s="177">
        <v>0.0</v>
      </c>
      <c r="DV123" s="177">
        <v>0.0</v>
      </c>
      <c r="DW123" s="177">
        <v>0.0</v>
      </c>
      <c r="DX123" s="177">
        <v>0.0</v>
      </c>
      <c r="DY123" s="177">
        <v>0.0</v>
      </c>
      <c r="DZ123" s="177">
        <v>0.0</v>
      </c>
      <c r="EA123" s="177">
        <v>0.0</v>
      </c>
      <c r="EB123" s="177">
        <v>0.0</v>
      </c>
      <c r="EC123" s="177">
        <v>0.0</v>
      </c>
      <c r="ED123" s="177">
        <v>0.0</v>
      </c>
      <c r="EE123" s="177">
        <v>0.0</v>
      </c>
      <c r="EF123" s="177">
        <v>0.0</v>
      </c>
      <c r="EG123" s="179">
        <f t="shared" si="17"/>
        <v>0</v>
      </c>
      <c r="EH123" s="179">
        <f t="shared" si="18"/>
        <v>0</v>
      </c>
      <c r="EI123" s="443">
        <v>264.0</v>
      </c>
      <c r="EJ123" s="443">
        <v>78.0</v>
      </c>
      <c r="EK123" s="443">
        <v>264.0</v>
      </c>
      <c r="EL123" s="443">
        <v>78.0</v>
      </c>
      <c r="EM123" s="185">
        <f t="shared" si="283"/>
        <v>1</v>
      </c>
      <c r="EN123" s="186">
        <f t="shared" si="202"/>
        <v>0</v>
      </c>
      <c r="EO123" s="186">
        <f t="shared" si="90"/>
        <v>1</v>
      </c>
      <c r="EP123" s="177">
        <v>0.0</v>
      </c>
      <c r="EQ123" s="177">
        <v>0.0</v>
      </c>
      <c r="ER123" s="177">
        <v>0.0</v>
      </c>
      <c r="ES123" s="177">
        <v>1.0</v>
      </c>
      <c r="ET123" s="177">
        <v>0.0</v>
      </c>
      <c r="EU123" s="177">
        <v>0.0</v>
      </c>
      <c r="EV123" s="177">
        <v>0.0</v>
      </c>
      <c r="EW123" s="177">
        <v>0.0</v>
      </c>
      <c r="EX123" s="177">
        <v>0.0</v>
      </c>
      <c r="EY123" s="177">
        <v>0.0</v>
      </c>
      <c r="EZ123" s="177">
        <v>0.0</v>
      </c>
      <c r="FA123" s="177">
        <v>0.0</v>
      </c>
      <c r="FB123" s="177">
        <v>0.0</v>
      </c>
      <c r="FC123" s="177">
        <v>0.0</v>
      </c>
      <c r="FD123" s="177">
        <v>0.0</v>
      </c>
      <c r="FE123" s="177">
        <v>0.0</v>
      </c>
      <c r="FF123" s="177">
        <v>0.0</v>
      </c>
      <c r="FG123" s="177">
        <v>0.0</v>
      </c>
      <c r="FH123" s="185">
        <f t="shared" si="22"/>
        <v>0</v>
      </c>
      <c r="FI123" s="185">
        <f t="shared" si="23"/>
        <v>0</v>
      </c>
      <c r="FJ123" s="177">
        <v>263.0</v>
      </c>
      <c r="FK123" s="177">
        <v>66.0</v>
      </c>
      <c r="FL123" s="177">
        <v>263.0</v>
      </c>
      <c r="FM123" s="177">
        <v>66.0</v>
      </c>
      <c r="FN123" s="180"/>
      <c r="FO123" s="180">
        <v>1.0</v>
      </c>
      <c r="FP123" s="188">
        <f t="shared" si="300"/>
        <v>1</v>
      </c>
      <c r="FQ123" s="211">
        <v>0.0</v>
      </c>
      <c r="FR123" s="212">
        <v>1.0</v>
      </c>
      <c r="FS123" s="206">
        <v>0.0</v>
      </c>
      <c r="FT123" s="207">
        <v>0.0</v>
      </c>
      <c r="FU123" s="207">
        <v>0.0</v>
      </c>
      <c r="FV123" s="207">
        <v>1.0</v>
      </c>
      <c r="FW123" s="207">
        <v>0.0</v>
      </c>
      <c r="FX123" s="207">
        <v>0.0</v>
      </c>
      <c r="FY123" s="207">
        <v>0.0</v>
      </c>
      <c r="FZ123" s="207">
        <v>0.0</v>
      </c>
      <c r="GA123" s="207">
        <v>0.0</v>
      </c>
      <c r="GB123" s="207">
        <v>0.0</v>
      </c>
      <c r="GC123" s="207">
        <v>0.0</v>
      </c>
      <c r="GD123" s="207">
        <v>0.0</v>
      </c>
      <c r="GE123" s="207">
        <v>0.0</v>
      </c>
      <c r="GF123" s="207">
        <v>0.0</v>
      </c>
      <c r="GG123" s="207">
        <v>0.0</v>
      </c>
      <c r="GH123" s="207">
        <v>0.0</v>
      </c>
      <c r="GI123" s="207">
        <v>0.0</v>
      </c>
      <c r="GJ123" s="207">
        <v>0.0</v>
      </c>
      <c r="GK123" s="212">
        <v>0.0</v>
      </c>
      <c r="GL123" s="212">
        <v>0.0</v>
      </c>
      <c r="GM123" s="207">
        <v>260.0</v>
      </c>
      <c r="GN123" s="207">
        <v>74.0</v>
      </c>
      <c r="GO123" s="213">
        <v>260.0</v>
      </c>
      <c r="GP123" s="213">
        <v>74.0</v>
      </c>
      <c r="GQ123" s="207"/>
      <c r="GR123" s="213">
        <v>1.0</v>
      </c>
      <c r="GS123" s="193">
        <v>0.0</v>
      </c>
      <c r="GT123" s="194">
        <f t="shared" si="25"/>
        <v>1</v>
      </c>
      <c r="GU123" s="194">
        <f t="shared" si="26"/>
        <v>0</v>
      </c>
      <c r="GV123" s="194">
        <f t="shared" si="27"/>
        <v>1</v>
      </c>
      <c r="GW123" s="444">
        <v>0.0</v>
      </c>
      <c r="GX123" s="444">
        <v>0.0</v>
      </c>
      <c r="GY123" s="444">
        <v>0.0</v>
      </c>
      <c r="GZ123" s="444">
        <v>1.0</v>
      </c>
      <c r="HA123" s="445">
        <v>0.0</v>
      </c>
      <c r="HB123" s="445">
        <v>0.0</v>
      </c>
      <c r="HC123" s="445">
        <v>0.0</v>
      </c>
      <c r="HD123" s="445">
        <v>0.0</v>
      </c>
      <c r="HE123" s="445">
        <v>0.0</v>
      </c>
      <c r="HF123" s="445">
        <v>0.0</v>
      </c>
      <c r="HG123" s="445">
        <v>0.0</v>
      </c>
      <c r="HH123" s="445">
        <v>0.0</v>
      </c>
      <c r="HI123" s="445">
        <v>0.0</v>
      </c>
      <c r="HJ123" s="445">
        <v>0.0</v>
      </c>
      <c r="HK123" s="445">
        <v>0.0</v>
      </c>
      <c r="HL123" s="445">
        <v>0.0</v>
      </c>
      <c r="HM123" s="445">
        <v>0.0</v>
      </c>
      <c r="HN123" s="445">
        <v>0.0</v>
      </c>
      <c r="HO123" s="222"/>
      <c r="HP123" s="222"/>
      <c r="HQ123" s="214"/>
      <c r="HR123" s="197"/>
      <c r="HS123" s="197"/>
      <c r="HT123" s="198">
        <f t="shared" si="28"/>
        <v>1</v>
      </c>
      <c r="HU123" s="198">
        <f t="shared" si="29"/>
        <v>1</v>
      </c>
      <c r="HV123" s="198">
        <f t="shared" si="30"/>
        <v>1</v>
      </c>
      <c r="HW123" s="198">
        <f t="shared" si="99"/>
        <v>1</v>
      </c>
      <c r="HX123" s="198">
        <f t="shared" si="32"/>
        <v>1</v>
      </c>
      <c r="HY123" s="198">
        <f t="shared" si="33"/>
        <v>1</v>
      </c>
      <c r="HZ123" s="198">
        <f t="shared" si="34"/>
        <v>1</v>
      </c>
      <c r="IA123" s="198">
        <f t="shared" si="35"/>
        <v>1</v>
      </c>
      <c r="IB123" s="198">
        <f t="shared" si="36"/>
        <v>1</v>
      </c>
      <c r="IC123" s="198">
        <f t="shared" si="37"/>
        <v>1</v>
      </c>
      <c r="ID123" s="198">
        <f t="shared" si="38"/>
        <v>1</v>
      </c>
      <c r="IE123" s="198">
        <f t="shared" si="39"/>
        <v>1</v>
      </c>
      <c r="IF123" s="197"/>
      <c r="IG123" s="197"/>
      <c r="IH123" s="197"/>
      <c r="II123" s="197"/>
      <c r="IJ123" s="197"/>
      <c r="IK123" s="197"/>
      <c r="IL123" s="197"/>
      <c r="IM123" s="197"/>
      <c r="IN123" s="197"/>
      <c r="IO123" s="197"/>
      <c r="IP123" s="197"/>
      <c r="IQ123" s="197"/>
      <c r="IR123" s="197"/>
      <c r="IS123" s="197"/>
      <c r="IT123" s="197"/>
      <c r="IU123" s="197"/>
      <c r="IV123" s="197"/>
      <c r="IW123" s="197"/>
      <c r="IX123" s="197"/>
      <c r="IY123" s="197"/>
      <c r="IZ123" s="197"/>
      <c r="JA123" s="199"/>
      <c r="JB123" s="200">
        <f t="shared" si="40"/>
        <v>1</v>
      </c>
      <c r="JC123" s="200">
        <f t="shared" si="41"/>
        <v>1</v>
      </c>
      <c r="JD123" s="200">
        <f t="shared" si="42"/>
        <v>1</v>
      </c>
      <c r="JE123" s="200">
        <f t="shared" si="43"/>
        <v>1</v>
      </c>
      <c r="JF123" s="200">
        <f t="shared" si="44"/>
        <v>1</v>
      </c>
      <c r="JG123" s="200">
        <f t="shared" si="45"/>
        <v>1</v>
      </c>
      <c r="JH123" s="200">
        <f t="shared" si="46"/>
        <v>1</v>
      </c>
      <c r="JI123" s="200">
        <f t="shared" si="47"/>
        <v>1</v>
      </c>
      <c r="JJ123" s="200">
        <f t="shared" si="48"/>
        <v>1</v>
      </c>
      <c r="JK123" s="200">
        <f t="shared" si="49"/>
        <v>1</v>
      </c>
      <c r="JL123" s="200">
        <f t="shared" si="50"/>
        <v>1</v>
      </c>
      <c r="JM123" s="200">
        <f t="shared" si="51"/>
        <v>1</v>
      </c>
      <c r="JN123" s="199"/>
      <c r="JO123" s="200">
        <f t="shared" si="52"/>
        <v>1</v>
      </c>
      <c r="JP123" s="202">
        <v>1.0</v>
      </c>
      <c r="JQ123" s="202">
        <v>1.0</v>
      </c>
      <c r="JR123" s="202">
        <v>1.0</v>
      </c>
      <c r="JS123" s="202">
        <v>1.0</v>
      </c>
      <c r="JT123" s="199"/>
      <c r="JU123" s="199"/>
      <c r="JV123" s="200">
        <f t="shared" ref="JV123:JX123" si="309">IA123-JI123</f>
        <v>0</v>
      </c>
      <c r="JW123" s="200">
        <f t="shared" si="309"/>
        <v>0</v>
      </c>
      <c r="JX123" s="200">
        <f t="shared" si="309"/>
        <v>0</v>
      </c>
      <c r="JY123" s="199"/>
      <c r="JZ123" s="199"/>
      <c r="KA123" s="199"/>
      <c r="KB123" s="446">
        <f t="shared" ref="KB123:KM123" si="310">JB123-JO123</f>
        <v>0</v>
      </c>
      <c r="KC123" s="446">
        <f t="shared" si="310"/>
        <v>0</v>
      </c>
      <c r="KD123" s="446">
        <f t="shared" si="310"/>
        <v>0</v>
      </c>
      <c r="KE123" s="446">
        <f t="shared" si="310"/>
        <v>0</v>
      </c>
      <c r="KF123" s="446">
        <f t="shared" si="310"/>
        <v>0</v>
      </c>
      <c r="KG123" s="200">
        <f t="shared" si="310"/>
        <v>1</v>
      </c>
      <c r="KH123" s="200">
        <f t="shared" si="310"/>
        <v>1</v>
      </c>
      <c r="KI123" s="200">
        <f t="shared" si="310"/>
        <v>1</v>
      </c>
      <c r="KJ123" s="200">
        <f t="shared" si="310"/>
        <v>1</v>
      </c>
      <c r="KK123" s="200">
        <f t="shared" si="310"/>
        <v>1</v>
      </c>
      <c r="KL123" s="200">
        <f t="shared" si="310"/>
        <v>1</v>
      </c>
      <c r="KM123" s="200">
        <f t="shared" si="310"/>
        <v>1</v>
      </c>
      <c r="KN123" s="199"/>
      <c r="KO123" s="199"/>
      <c r="KP123" s="199"/>
      <c r="KQ123" s="199"/>
      <c r="KR123" s="199"/>
      <c r="KS123" s="199"/>
      <c r="KT123" s="199"/>
      <c r="KU123" s="199"/>
      <c r="KV123" s="199"/>
      <c r="KW123" s="199"/>
      <c r="KX123" s="199"/>
      <c r="KY123" s="199"/>
      <c r="KZ123" s="199"/>
      <c r="LA123" s="199"/>
      <c r="LB123" s="199"/>
      <c r="LC123" s="199"/>
      <c r="LD123" s="199"/>
      <c r="LE123" s="199"/>
      <c r="LF123" s="199"/>
      <c r="LG123" s="199"/>
    </row>
    <row r="124" ht="14.25" customHeight="1">
      <c r="A124" s="156">
        <v>117.0</v>
      </c>
      <c r="B124" s="436" t="s">
        <v>222</v>
      </c>
      <c r="C124" s="437">
        <v>3374020.0</v>
      </c>
      <c r="D124" s="437" t="s">
        <v>222</v>
      </c>
      <c r="E124" s="437" t="s">
        <v>225</v>
      </c>
      <c r="F124" s="447">
        <v>7.0</v>
      </c>
      <c r="G124" s="439">
        <v>206.0</v>
      </c>
      <c r="H124" s="160">
        <v>2.0</v>
      </c>
      <c r="I124" s="161">
        <v>1.0</v>
      </c>
      <c r="J124" s="161">
        <v>1.0</v>
      </c>
      <c r="K124" s="223">
        <v>0.0</v>
      </c>
      <c r="L124" s="223">
        <v>0.0</v>
      </c>
      <c r="M124" s="223">
        <v>0.0</v>
      </c>
      <c r="N124" s="223">
        <v>0.0</v>
      </c>
      <c r="O124" s="162">
        <f t="shared" si="213"/>
        <v>2</v>
      </c>
      <c r="P124" s="203">
        <v>2.0</v>
      </c>
      <c r="Q124" s="164">
        <v>1.0</v>
      </c>
      <c r="R124" s="164">
        <v>1.0</v>
      </c>
      <c r="S124" s="164"/>
      <c r="T124" s="165"/>
      <c r="U124" s="165"/>
      <c r="V124" s="165"/>
      <c r="W124" s="166">
        <f t="shared" si="225"/>
        <v>2</v>
      </c>
      <c r="X124" s="203">
        <v>2.0</v>
      </c>
      <c r="Y124" s="164">
        <v>1.0</v>
      </c>
      <c r="Z124" s="164">
        <v>1.0</v>
      </c>
      <c r="AA124" s="164"/>
      <c r="AB124" s="165"/>
      <c r="AC124" s="165"/>
      <c r="AD124" s="165"/>
      <c r="AE124" s="166">
        <f t="shared" si="214"/>
        <v>2</v>
      </c>
      <c r="AF124" s="167">
        <v>2.0</v>
      </c>
      <c r="AG124" s="165"/>
      <c r="AH124" s="164">
        <v>2.0</v>
      </c>
      <c r="AI124" s="164"/>
      <c r="AJ124" s="165"/>
      <c r="AK124" s="165"/>
      <c r="AL124" s="165"/>
      <c r="AM124" s="166">
        <f t="shared" si="215"/>
        <v>2</v>
      </c>
      <c r="AN124" s="167">
        <v>2.0</v>
      </c>
      <c r="AO124" s="165"/>
      <c r="AP124" s="164">
        <v>2.0</v>
      </c>
      <c r="AQ124" s="164"/>
      <c r="AR124" s="165"/>
      <c r="AS124" s="165"/>
      <c r="AT124" s="165"/>
      <c r="AU124" s="168">
        <f t="shared" si="216"/>
        <v>2</v>
      </c>
      <c r="AV124" s="169">
        <v>213.0</v>
      </c>
      <c r="AW124" s="204">
        <f t="shared" si="8"/>
        <v>2</v>
      </c>
      <c r="AX124" s="169">
        <v>0.0</v>
      </c>
      <c r="AY124" s="169">
        <v>1.0</v>
      </c>
      <c r="AZ124" s="169">
        <v>1.0</v>
      </c>
      <c r="BA124" s="169">
        <v>0.0</v>
      </c>
      <c r="BB124" s="169">
        <v>0.0</v>
      </c>
      <c r="BC124" s="169">
        <v>0.0</v>
      </c>
      <c r="BD124" s="169">
        <v>0.0</v>
      </c>
      <c r="BE124" s="169">
        <v>0.0</v>
      </c>
      <c r="BF124" s="169">
        <v>0.0</v>
      </c>
      <c r="BG124" s="169">
        <v>0.0</v>
      </c>
      <c r="BH124" s="169">
        <v>0.0</v>
      </c>
      <c r="BI124" s="169">
        <v>0.0</v>
      </c>
      <c r="BJ124" s="169">
        <v>0.0</v>
      </c>
      <c r="BK124" s="169">
        <v>0.0</v>
      </c>
      <c r="BL124" s="169">
        <v>0.0</v>
      </c>
      <c r="BM124" s="169">
        <v>0.0</v>
      </c>
      <c r="BN124" s="169">
        <v>0.0</v>
      </c>
      <c r="BO124" s="169">
        <v>0.0</v>
      </c>
      <c r="BP124" s="205">
        <f t="shared" si="131"/>
        <v>0</v>
      </c>
      <c r="BQ124" s="173">
        <v>206.0</v>
      </c>
      <c r="BR124" s="170">
        <f t="shared" si="10"/>
        <v>2</v>
      </c>
      <c r="BS124" s="173">
        <v>0.0</v>
      </c>
      <c r="BT124" s="173">
        <v>1.0</v>
      </c>
      <c r="BU124" s="173">
        <v>1.0</v>
      </c>
      <c r="BV124" s="173">
        <v>0.0</v>
      </c>
      <c r="BW124" s="173">
        <v>0.0</v>
      </c>
      <c r="BX124" s="173">
        <v>0.0</v>
      </c>
      <c r="BY124" s="173">
        <v>0.0</v>
      </c>
      <c r="BZ124" s="173">
        <v>0.0</v>
      </c>
      <c r="CA124" s="173">
        <v>0.0</v>
      </c>
      <c r="CB124" s="173">
        <v>0.0</v>
      </c>
      <c r="CC124" s="173">
        <v>0.0</v>
      </c>
      <c r="CD124" s="173">
        <v>0.0</v>
      </c>
      <c r="CE124" s="173">
        <v>0.0</v>
      </c>
      <c r="CF124" s="173">
        <v>0.0</v>
      </c>
      <c r="CG124" s="173">
        <v>0.0</v>
      </c>
      <c r="CH124" s="173">
        <v>0.0</v>
      </c>
      <c r="CI124" s="173">
        <v>0.0</v>
      </c>
      <c r="CJ124" s="173">
        <v>0.0</v>
      </c>
      <c r="CK124" s="172">
        <f t="shared" si="132"/>
        <v>0</v>
      </c>
      <c r="CL124" s="441">
        <v>207.0</v>
      </c>
      <c r="CM124" s="441">
        <v>59.0</v>
      </c>
      <c r="CN124" s="175">
        <f t="shared" si="295"/>
        <v>2</v>
      </c>
      <c r="CO124" s="441">
        <v>0.0</v>
      </c>
      <c r="CP124" s="441">
        <v>0.0</v>
      </c>
      <c r="CQ124" s="441">
        <v>2.0</v>
      </c>
      <c r="CR124" s="441">
        <v>0.0</v>
      </c>
      <c r="CS124" s="441">
        <v>0.0</v>
      </c>
      <c r="CT124" s="441">
        <v>0.0</v>
      </c>
      <c r="CU124" s="441">
        <v>0.0</v>
      </c>
      <c r="CV124" s="441">
        <v>0.0</v>
      </c>
      <c r="CW124" s="441">
        <v>0.0</v>
      </c>
      <c r="CX124" s="441">
        <v>0.0</v>
      </c>
      <c r="CY124" s="441">
        <v>0.0</v>
      </c>
      <c r="CZ124" s="441">
        <v>0.0</v>
      </c>
      <c r="DA124" s="441">
        <v>0.0</v>
      </c>
      <c r="DB124" s="441">
        <v>0.0</v>
      </c>
      <c r="DC124" s="441">
        <v>0.0</v>
      </c>
      <c r="DD124" s="441">
        <v>0.0</v>
      </c>
      <c r="DE124" s="441">
        <v>0.0</v>
      </c>
      <c r="DF124" s="441">
        <v>0.0</v>
      </c>
      <c r="DG124" s="442">
        <f t="shared" si="13"/>
        <v>0</v>
      </c>
      <c r="DH124" s="177">
        <v>270.0</v>
      </c>
      <c r="DI124" s="177">
        <v>68.0</v>
      </c>
      <c r="DJ124" s="178">
        <v>256.0</v>
      </c>
      <c r="DK124" s="178">
        <v>66.0</v>
      </c>
      <c r="DL124" s="179">
        <f t="shared" si="14"/>
        <v>2</v>
      </c>
      <c r="DM124" s="180">
        <f t="shared" si="15"/>
        <v>2</v>
      </c>
      <c r="DN124" s="180">
        <f t="shared" si="16"/>
        <v>0</v>
      </c>
      <c r="DO124" s="177">
        <v>0.0</v>
      </c>
      <c r="DP124" s="177">
        <v>0.0</v>
      </c>
      <c r="DQ124" s="177">
        <v>2.0</v>
      </c>
      <c r="DR124" s="177">
        <v>0.0</v>
      </c>
      <c r="DS124" s="177">
        <v>0.0</v>
      </c>
      <c r="DT124" s="177">
        <v>0.0</v>
      </c>
      <c r="DU124" s="177">
        <v>0.0</v>
      </c>
      <c r="DV124" s="177">
        <v>0.0</v>
      </c>
      <c r="DW124" s="177">
        <v>0.0</v>
      </c>
      <c r="DX124" s="177">
        <v>0.0</v>
      </c>
      <c r="DY124" s="177">
        <v>0.0</v>
      </c>
      <c r="DZ124" s="177">
        <v>0.0</v>
      </c>
      <c r="EA124" s="177">
        <v>0.0</v>
      </c>
      <c r="EB124" s="177">
        <v>0.0</v>
      </c>
      <c r="EC124" s="177">
        <v>0.0</v>
      </c>
      <c r="ED124" s="177">
        <v>0.0</v>
      </c>
      <c r="EE124" s="177">
        <v>0.0</v>
      </c>
      <c r="EF124" s="177">
        <v>0.0</v>
      </c>
      <c r="EG124" s="179">
        <f t="shared" si="17"/>
        <v>0</v>
      </c>
      <c r="EH124" s="179">
        <f t="shared" si="18"/>
        <v>0</v>
      </c>
      <c r="EI124" s="443">
        <v>266.0</v>
      </c>
      <c r="EJ124" s="443">
        <v>68.0</v>
      </c>
      <c r="EK124" s="443">
        <v>266.0</v>
      </c>
      <c r="EL124" s="443">
        <v>68.0</v>
      </c>
      <c r="EM124" s="185">
        <f t="shared" si="283"/>
        <v>2</v>
      </c>
      <c r="EN124" s="186">
        <f t="shared" si="202"/>
        <v>2</v>
      </c>
      <c r="EO124" s="186">
        <f t="shared" si="90"/>
        <v>0</v>
      </c>
      <c r="EP124" s="177">
        <v>0.0</v>
      </c>
      <c r="EQ124" s="177">
        <v>0.0</v>
      </c>
      <c r="ER124" s="177">
        <v>2.0</v>
      </c>
      <c r="ES124" s="177">
        <v>0.0</v>
      </c>
      <c r="ET124" s="177">
        <v>0.0</v>
      </c>
      <c r="EU124" s="177">
        <v>0.0</v>
      </c>
      <c r="EV124" s="177">
        <v>0.0</v>
      </c>
      <c r="EW124" s="177">
        <v>0.0</v>
      </c>
      <c r="EX124" s="177">
        <v>0.0</v>
      </c>
      <c r="EY124" s="177">
        <v>0.0</v>
      </c>
      <c r="EZ124" s="177">
        <v>0.0</v>
      </c>
      <c r="FA124" s="177">
        <v>0.0</v>
      </c>
      <c r="FB124" s="177">
        <v>0.0</v>
      </c>
      <c r="FC124" s="177">
        <v>0.0</v>
      </c>
      <c r="FD124" s="177">
        <v>0.0</v>
      </c>
      <c r="FE124" s="177">
        <v>0.0</v>
      </c>
      <c r="FF124" s="177">
        <v>0.0</v>
      </c>
      <c r="FG124" s="177">
        <v>0.0</v>
      </c>
      <c r="FH124" s="185">
        <f t="shared" si="22"/>
        <v>0</v>
      </c>
      <c r="FI124" s="185">
        <f t="shared" si="23"/>
        <v>0</v>
      </c>
      <c r="FJ124" s="177">
        <v>264.0</v>
      </c>
      <c r="FK124" s="177">
        <v>61.0</v>
      </c>
      <c r="FL124" s="177">
        <v>264.0</v>
      </c>
      <c r="FM124" s="177">
        <v>61.0</v>
      </c>
      <c r="FN124" s="180"/>
      <c r="FO124" s="180">
        <v>2.0</v>
      </c>
      <c r="FP124" s="188">
        <f t="shared" si="300"/>
        <v>2</v>
      </c>
      <c r="FQ124" s="211">
        <v>2.0</v>
      </c>
      <c r="FR124" s="212">
        <v>0.0</v>
      </c>
      <c r="FS124" s="206">
        <v>0.0</v>
      </c>
      <c r="FT124" s="207">
        <v>0.0</v>
      </c>
      <c r="FU124" s="207">
        <v>2.0</v>
      </c>
      <c r="FV124" s="207">
        <v>0.0</v>
      </c>
      <c r="FW124" s="207">
        <v>0.0</v>
      </c>
      <c r="FX124" s="207">
        <v>0.0</v>
      </c>
      <c r="FY124" s="207">
        <v>0.0</v>
      </c>
      <c r="FZ124" s="207">
        <v>0.0</v>
      </c>
      <c r="GA124" s="207">
        <v>0.0</v>
      </c>
      <c r="GB124" s="207">
        <v>0.0</v>
      </c>
      <c r="GC124" s="207">
        <v>0.0</v>
      </c>
      <c r="GD124" s="207">
        <v>0.0</v>
      </c>
      <c r="GE124" s="207">
        <v>0.0</v>
      </c>
      <c r="GF124" s="207">
        <v>0.0</v>
      </c>
      <c r="GG124" s="207">
        <v>0.0</v>
      </c>
      <c r="GH124" s="207">
        <v>0.0</v>
      </c>
      <c r="GI124" s="207">
        <v>0.0</v>
      </c>
      <c r="GJ124" s="207">
        <v>0.0</v>
      </c>
      <c r="GK124" s="212">
        <v>0.0</v>
      </c>
      <c r="GL124" s="212">
        <v>0.0</v>
      </c>
      <c r="GM124" s="207">
        <v>268.0</v>
      </c>
      <c r="GN124" s="207">
        <v>76.0</v>
      </c>
      <c r="GO124" s="213">
        <v>268.0</v>
      </c>
      <c r="GP124" s="213">
        <v>76.0</v>
      </c>
      <c r="GQ124" s="207"/>
      <c r="GR124" s="213">
        <v>2.0</v>
      </c>
      <c r="GS124" s="193">
        <v>2.0</v>
      </c>
      <c r="GT124" s="194">
        <f t="shared" si="25"/>
        <v>2</v>
      </c>
      <c r="GU124" s="194">
        <f t="shared" si="26"/>
        <v>2</v>
      </c>
      <c r="GV124" s="194">
        <f t="shared" si="27"/>
        <v>0</v>
      </c>
      <c r="GW124" s="444">
        <v>0.0</v>
      </c>
      <c r="GX124" s="444">
        <v>0.0</v>
      </c>
      <c r="GY124" s="444">
        <v>2.0</v>
      </c>
      <c r="GZ124" s="444">
        <v>0.0</v>
      </c>
      <c r="HA124" s="445">
        <v>0.0</v>
      </c>
      <c r="HB124" s="445">
        <v>0.0</v>
      </c>
      <c r="HC124" s="445">
        <v>0.0</v>
      </c>
      <c r="HD124" s="445">
        <v>0.0</v>
      </c>
      <c r="HE124" s="445">
        <v>0.0</v>
      </c>
      <c r="HF124" s="445">
        <v>0.0</v>
      </c>
      <c r="HG124" s="445">
        <v>0.0</v>
      </c>
      <c r="HH124" s="445">
        <v>0.0</v>
      </c>
      <c r="HI124" s="445">
        <v>0.0</v>
      </c>
      <c r="HJ124" s="445">
        <v>0.0</v>
      </c>
      <c r="HK124" s="445">
        <v>0.0</v>
      </c>
      <c r="HL124" s="445">
        <v>0.0</v>
      </c>
      <c r="HM124" s="445">
        <v>0.0</v>
      </c>
      <c r="HN124" s="445">
        <v>0.0</v>
      </c>
      <c r="HO124" s="222"/>
      <c r="HP124" s="222"/>
      <c r="HQ124" s="214"/>
      <c r="HR124" s="197"/>
      <c r="HS124" s="197"/>
      <c r="HT124" s="198">
        <f t="shared" si="28"/>
        <v>2</v>
      </c>
      <c r="HU124" s="198">
        <f t="shared" si="29"/>
        <v>2</v>
      </c>
      <c r="HV124" s="198">
        <f t="shared" si="30"/>
        <v>2</v>
      </c>
      <c r="HW124" s="198">
        <f t="shared" si="99"/>
        <v>2</v>
      </c>
      <c r="HX124" s="198">
        <f t="shared" si="32"/>
        <v>2</v>
      </c>
      <c r="HY124" s="198">
        <f t="shared" si="33"/>
        <v>2</v>
      </c>
      <c r="HZ124" s="198">
        <f t="shared" si="34"/>
        <v>2</v>
      </c>
      <c r="IA124" s="198">
        <f t="shared" si="35"/>
        <v>2</v>
      </c>
      <c r="IB124" s="198">
        <f t="shared" si="36"/>
        <v>2</v>
      </c>
      <c r="IC124" s="198">
        <f t="shared" si="37"/>
        <v>2</v>
      </c>
      <c r="ID124" s="198">
        <f t="shared" si="38"/>
        <v>2</v>
      </c>
      <c r="IE124" s="198">
        <f t="shared" si="39"/>
        <v>2</v>
      </c>
      <c r="IF124" s="197"/>
      <c r="IG124" s="197"/>
      <c r="IH124" s="197"/>
      <c r="II124" s="197"/>
      <c r="IJ124" s="197"/>
      <c r="IK124" s="197"/>
      <c r="IL124" s="197"/>
      <c r="IM124" s="197"/>
      <c r="IN124" s="197"/>
      <c r="IO124" s="197"/>
      <c r="IP124" s="197"/>
      <c r="IQ124" s="197"/>
      <c r="IR124" s="197"/>
      <c r="IS124" s="197"/>
      <c r="IT124" s="197"/>
      <c r="IU124" s="197"/>
      <c r="IV124" s="197"/>
      <c r="IW124" s="197"/>
      <c r="IX124" s="197"/>
      <c r="IY124" s="197"/>
      <c r="IZ124" s="197"/>
      <c r="JA124" s="199"/>
      <c r="JB124" s="200">
        <f t="shared" si="40"/>
        <v>2</v>
      </c>
      <c r="JC124" s="200">
        <f t="shared" si="41"/>
        <v>2</v>
      </c>
      <c r="JD124" s="200">
        <f t="shared" si="42"/>
        <v>2</v>
      </c>
      <c r="JE124" s="200">
        <f t="shared" si="43"/>
        <v>2</v>
      </c>
      <c r="JF124" s="200">
        <f t="shared" si="44"/>
        <v>2</v>
      </c>
      <c r="JG124" s="200">
        <f t="shared" si="45"/>
        <v>2</v>
      </c>
      <c r="JH124" s="200">
        <f t="shared" si="46"/>
        <v>2</v>
      </c>
      <c r="JI124" s="200">
        <f t="shared" si="47"/>
        <v>2</v>
      </c>
      <c r="JJ124" s="200">
        <f t="shared" si="48"/>
        <v>2</v>
      </c>
      <c r="JK124" s="200">
        <f t="shared" si="49"/>
        <v>2</v>
      </c>
      <c r="JL124" s="200">
        <f t="shared" si="50"/>
        <v>2</v>
      </c>
      <c r="JM124" s="200">
        <f t="shared" si="51"/>
        <v>2</v>
      </c>
      <c r="JN124" s="199"/>
      <c r="JO124" s="200">
        <f t="shared" si="52"/>
        <v>2</v>
      </c>
      <c r="JP124" s="202">
        <v>2.0</v>
      </c>
      <c r="JQ124" s="202">
        <v>2.0</v>
      </c>
      <c r="JR124" s="202">
        <v>2.0</v>
      </c>
      <c r="JS124" s="202">
        <v>2.0</v>
      </c>
      <c r="JT124" s="199"/>
      <c r="JU124" s="199"/>
      <c r="JV124" s="200">
        <f t="shared" ref="JV124:JX124" si="311">IA124-JI124</f>
        <v>0</v>
      </c>
      <c r="JW124" s="200">
        <f t="shared" si="311"/>
        <v>0</v>
      </c>
      <c r="JX124" s="200">
        <f t="shared" si="311"/>
        <v>0</v>
      </c>
      <c r="JY124" s="199"/>
      <c r="JZ124" s="199"/>
      <c r="KA124" s="199"/>
      <c r="KB124" s="446">
        <f t="shared" ref="KB124:KM124" si="312">JB124-JO124</f>
        <v>0</v>
      </c>
      <c r="KC124" s="446">
        <f t="shared" si="312"/>
        <v>0</v>
      </c>
      <c r="KD124" s="446">
        <f t="shared" si="312"/>
        <v>0</v>
      </c>
      <c r="KE124" s="446">
        <f t="shared" si="312"/>
        <v>0</v>
      </c>
      <c r="KF124" s="446">
        <f t="shared" si="312"/>
        <v>0</v>
      </c>
      <c r="KG124" s="200">
        <f t="shared" si="312"/>
        <v>2</v>
      </c>
      <c r="KH124" s="200">
        <f t="shared" si="312"/>
        <v>2</v>
      </c>
      <c r="KI124" s="200">
        <f t="shared" si="312"/>
        <v>2</v>
      </c>
      <c r="KJ124" s="200">
        <f t="shared" si="312"/>
        <v>2</v>
      </c>
      <c r="KK124" s="200">
        <f t="shared" si="312"/>
        <v>2</v>
      </c>
      <c r="KL124" s="200">
        <f t="shared" si="312"/>
        <v>2</v>
      </c>
      <c r="KM124" s="200">
        <f t="shared" si="312"/>
        <v>2</v>
      </c>
      <c r="KN124" s="199"/>
      <c r="KO124" s="199"/>
      <c r="KP124" s="199"/>
      <c r="KQ124" s="199"/>
      <c r="KR124" s="199"/>
      <c r="KS124" s="199"/>
      <c r="KT124" s="199"/>
      <c r="KU124" s="199"/>
      <c r="KV124" s="199"/>
      <c r="KW124" s="199"/>
      <c r="KX124" s="199"/>
      <c r="KY124" s="199"/>
      <c r="KZ124" s="199"/>
      <c r="LA124" s="199"/>
      <c r="LB124" s="199"/>
      <c r="LC124" s="199"/>
      <c r="LD124" s="199"/>
      <c r="LE124" s="199"/>
      <c r="LF124" s="199"/>
      <c r="LG124" s="199"/>
    </row>
    <row r="125" ht="14.25" customHeight="1">
      <c r="A125" s="156">
        <v>118.0</v>
      </c>
      <c r="B125" s="436" t="s">
        <v>222</v>
      </c>
      <c r="C125" s="437">
        <v>3374020.0</v>
      </c>
      <c r="D125" s="437" t="s">
        <v>222</v>
      </c>
      <c r="E125" s="437" t="s">
        <v>226</v>
      </c>
      <c r="F125" s="438">
        <v>12.0</v>
      </c>
      <c r="G125" s="439">
        <v>511.0</v>
      </c>
      <c r="H125" s="160">
        <v>3.0</v>
      </c>
      <c r="I125" s="223">
        <v>0.0</v>
      </c>
      <c r="J125" s="223">
        <v>0.0</v>
      </c>
      <c r="K125" s="223">
        <v>0.0</v>
      </c>
      <c r="L125" s="161">
        <v>3.0</v>
      </c>
      <c r="M125" s="223">
        <v>0.0</v>
      </c>
      <c r="N125" s="223">
        <v>0.0</v>
      </c>
      <c r="O125" s="162">
        <f t="shared" si="213"/>
        <v>3</v>
      </c>
      <c r="P125" s="203">
        <v>3.0</v>
      </c>
      <c r="Q125" s="164"/>
      <c r="R125" s="164"/>
      <c r="S125" s="164"/>
      <c r="T125" s="165">
        <v>3.0</v>
      </c>
      <c r="U125" s="165"/>
      <c r="V125" s="165"/>
      <c r="W125" s="166">
        <f t="shared" si="225"/>
        <v>3</v>
      </c>
      <c r="X125" s="203">
        <v>3.0</v>
      </c>
      <c r="Y125" s="164"/>
      <c r="Z125" s="164"/>
      <c r="AA125" s="164"/>
      <c r="AB125" s="165">
        <v>3.0</v>
      </c>
      <c r="AC125" s="165"/>
      <c r="AD125" s="165"/>
      <c r="AE125" s="166">
        <f t="shared" si="214"/>
        <v>3</v>
      </c>
      <c r="AF125" s="167">
        <v>2.0</v>
      </c>
      <c r="AG125" s="165"/>
      <c r="AH125" s="164"/>
      <c r="AI125" s="164"/>
      <c r="AJ125" s="165">
        <v>2.0</v>
      </c>
      <c r="AK125" s="165"/>
      <c r="AL125" s="165">
        <v>1.0</v>
      </c>
      <c r="AM125" s="166">
        <f t="shared" si="215"/>
        <v>1</v>
      </c>
      <c r="AN125" s="167">
        <v>2.0</v>
      </c>
      <c r="AO125" s="165"/>
      <c r="AP125" s="164"/>
      <c r="AQ125" s="164"/>
      <c r="AR125" s="165">
        <v>2.0</v>
      </c>
      <c r="AS125" s="165"/>
      <c r="AT125" s="165"/>
      <c r="AU125" s="168">
        <f t="shared" si="216"/>
        <v>2</v>
      </c>
      <c r="AV125" s="169">
        <v>503.0</v>
      </c>
      <c r="AW125" s="204">
        <f t="shared" si="8"/>
        <v>1</v>
      </c>
      <c r="AX125" s="169">
        <v>0.0</v>
      </c>
      <c r="AY125" s="169">
        <v>0.0</v>
      </c>
      <c r="AZ125" s="169">
        <v>0.0</v>
      </c>
      <c r="BA125" s="169">
        <v>1.0</v>
      </c>
      <c r="BB125" s="169">
        <v>0.0</v>
      </c>
      <c r="BC125" s="169">
        <v>0.0</v>
      </c>
      <c r="BD125" s="169">
        <v>0.0</v>
      </c>
      <c r="BE125" s="169">
        <v>0.0</v>
      </c>
      <c r="BF125" s="169">
        <v>0.0</v>
      </c>
      <c r="BG125" s="169">
        <v>0.0</v>
      </c>
      <c r="BH125" s="169">
        <v>0.0</v>
      </c>
      <c r="BI125" s="169">
        <v>0.0</v>
      </c>
      <c r="BJ125" s="169">
        <v>0.0</v>
      </c>
      <c r="BK125" s="169">
        <v>0.0</v>
      </c>
      <c r="BL125" s="169">
        <v>0.0</v>
      </c>
      <c r="BM125" s="169">
        <v>0.0</v>
      </c>
      <c r="BN125" s="169">
        <v>0.0</v>
      </c>
      <c r="BO125" s="169">
        <v>0.0</v>
      </c>
      <c r="BP125" s="205">
        <f t="shared" si="131"/>
        <v>0</v>
      </c>
      <c r="BQ125" s="173">
        <v>482.0</v>
      </c>
      <c r="BR125" s="170">
        <f t="shared" si="10"/>
        <v>1</v>
      </c>
      <c r="BS125" s="173">
        <v>0.0</v>
      </c>
      <c r="BT125" s="173">
        <v>0.0</v>
      </c>
      <c r="BU125" s="173">
        <v>0.0</v>
      </c>
      <c r="BV125" s="173">
        <v>1.0</v>
      </c>
      <c r="BW125" s="173">
        <v>0.0</v>
      </c>
      <c r="BX125" s="173">
        <v>0.0</v>
      </c>
      <c r="BY125" s="173">
        <v>0.0</v>
      </c>
      <c r="BZ125" s="173">
        <v>0.0</v>
      </c>
      <c r="CA125" s="173">
        <v>0.0</v>
      </c>
      <c r="CB125" s="173">
        <v>0.0</v>
      </c>
      <c r="CC125" s="173">
        <v>0.0</v>
      </c>
      <c r="CD125" s="173">
        <v>0.0</v>
      </c>
      <c r="CE125" s="173">
        <v>0.0</v>
      </c>
      <c r="CF125" s="173">
        <v>0.0</v>
      </c>
      <c r="CG125" s="173">
        <v>0.0</v>
      </c>
      <c r="CH125" s="173">
        <v>0.0</v>
      </c>
      <c r="CI125" s="173">
        <v>0.0</v>
      </c>
      <c r="CJ125" s="173">
        <v>0.0</v>
      </c>
      <c r="CK125" s="172">
        <f t="shared" si="132"/>
        <v>0</v>
      </c>
      <c r="CL125" s="441">
        <v>467.0</v>
      </c>
      <c r="CM125" s="441">
        <v>164.0</v>
      </c>
      <c r="CN125" s="175">
        <f t="shared" si="295"/>
        <v>1</v>
      </c>
      <c r="CO125" s="441">
        <v>0.0</v>
      </c>
      <c r="CP125" s="441">
        <v>0.0</v>
      </c>
      <c r="CQ125" s="441">
        <v>0.0</v>
      </c>
      <c r="CR125" s="441">
        <v>1.0</v>
      </c>
      <c r="CS125" s="441">
        <v>0.0</v>
      </c>
      <c r="CT125" s="441">
        <v>0.0</v>
      </c>
      <c r="CU125" s="441">
        <v>0.0</v>
      </c>
      <c r="CV125" s="441">
        <v>0.0</v>
      </c>
      <c r="CW125" s="441">
        <v>0.0</v>
      </c>
      <c r="CX125" s="441">
        <v>0.0</v>
      </c>
      <c r="CY125" s="441">
        <v>0.0</v>
      </c>
      <c r="CZ125" s="441">
        <v>0.0</v>
      </c>
      <c r="DA125" s="441">
        <v>0.0</v>
      </c>
      <c r="DB125" s="441">
        <v>0.0</v>
      </c>
      <c r="DC125" s="441">
        <v>0.0</v>
      </c>
      <c r="DD125" s="441">
        <v>0.0</v>
      </c>
      <c r="DE125" s="441">
        <v>0.0</v>
      </c>
      <c r="DF125" s="441">
        <v>0.0</v>
      </c>
      <c r="DG125" s="442">
        <f t="shared" si="13"/>
        <v>0</v>
      </c>
      <c r="DH125" s="177">
        <v>523.0</v>
      </c>
      <c r="DI125" s="177">
        <v>194.0</v>
      </c>
      <c r="DJ125" s="178">
        <v>503.0</v>
      </c>
      <c r="DK125" s="178">
        <v>192.0</v>
      </c>
      <c r="DL125" s="179">
        <f t="shared" si="14"/>
        <v>2</v>
      </c>
      <c r="DM125" s="180">
        <f t="shared" si="15"/>
        <v>1</v>
      </c>
      <c r="DN125" s="180">
        <f t="shared" si="16"/>
        <v>1</v>
      </c>
      <c r="DO125" s="177">
        <v>0.0</v>
      </c>
      <c r="DP125" s="177">
        <v>0.0</v>
      </c>
      <c r="DQ125" s="177">
        <v>0.0</v>
      </c>
      <c r="DR125" s="177">
        <v>1.0</v>
      </c>
      <c r="DS125" s="177">
        <v>0.0</v>
      </c>
      <c r="DT125" s="177">
        <v>0.0</v>
      </c>
      <c r="DU125" s="177">
        <v>1.0</v>
      </c>
      <c r="DV125" s="177">
        <v>0.0</v>
      </c>
      <c r="DW125" s="177">
        <v>0.0</v>
      </c>
      <c r="DX125" s="177">
        <v>0.0</v>
      </c>
      <c r="DY125" s="177">
        <v>0.0</v>
      </c>
      <c r="DZ125" s="177">
        <v>0.0</v>
      </c>
      <c r="EA125" s="177">
        <v>0.0</v>
      </c>
      <c r="EB125" s="177">
        <v>0.0</v>
      </c>
      <c r="EC125" s="177">
        <v>0.0</v>
      </c>
      <c r="ED125" s="177">
        <v>0.0</v>
      </c>
      <c r="EE125" s="177">
        <v>0.0</v>
      </c>
      <c r="EF125" s="177">
        <v>0.0</v>
      </c>
      <c r="EG125" s="179">
        <f t="shared" si="17"/>
        <v>0</v>
      </c>
      <c r="EH125" s="179">
        <f t="shared" si="18"/>
        <v>0</v>
      </c>
      <c r="EI125" s="443">
        <v>512.0</v>
      </c>
      <c r="EJ125" s="443">
        <v>194.0</v>
      </c>
      <c r="EK125" s="443">
        <v>512.0</v>
      </c>
      <c r="EL125" s="443">
        <v>194.0</v>
      </c>
      <c r="EM125" s="185">
        <f t="shared" si="283"/>
        <v>2</v>
      </c>
      <c r="EN125" s="186">
        <f t="shared" si="202"/>
        <v>1</v>
      </c>
      <c r="EO125" s="186">
        <f t="shared" si="90"/>
        <v>1</v>
      </c>
      <c r="EP125" s="177">
        <v>0.0</v>
      </c>
      <c r="EQ125" s="177">
        <v>0.0</v>
      </c>
      <c r="ER125" s="177">
        <v>1.0</v>
      </c>
      <c r="ES125" s="177">
        <v>1.0</v>
      </c>
      <c r="ET125" s="177">
        <v>0.0</v>
      </c>
      <c r="EU125" s="177">
        <v>0.0</v>
      </c>
      <c r="EV125" s="177">
        <v>0.0</v>
      </c>
      <c r="EW125" s="177">
        <v>0.0</v>
      </c>
      <c r="EX125" s="177">
        <v>0.0</v>
      </c>
      <c r="EY125" s="177">
        <v>0.0</v>
      </c>
      <c r="EZ125" s="177">
        <v>0.0</v>
      </c>
      <c r="FA125" s="177">
        <v>0.0</v>
      </c>
      <c r="FB125" s="177">
        <v>0.0</v>
      </c>
      <c r="FC125" s="177">
        <v>0.0</v>
      </c>
      <c r="FD125" s="177">
        <v>0.0</v>
      </c>
      <c r="FE125" s="177">
        <v>0.0</v>
      </c>
      <c r="FF125" s="177">
        <v>0.0</v>
      </c>
      <c r="FG125" s="177">
        <v>0.0</v>
      </c>
      <c r="FH125" s="185">
        <f t="shared" si="22"/>
        <v>0</v>
      </c>
      <c r="FI125" s="185">
        <f t="shared" si="23"/>
        <v>0</v>
      </c>
      <c r="FJ125" s="177">
        <v>515.0</v>
      </c>
      <c r="FK125" s="177">
        <v>155.0</v>
      </c>
      <c r="FL125" s="177">
        <v>515.0</v>
      </c>
      <c r="FM125" s="177">
        <v>155.0</v>
      </c>
      <c r="FN125" s="180"/>
      <c r="FO125" s="180">
        <v>0.0</v>
      </c>
      <c r="FP125" s="188">
        <f t="shared" si="300"/>
        <v>0</v>
      </c>
      <c r="FQ125" s="211">
        <v>0.0</v>
      </c>
      <c r="FR125" s="212">
        <v>0.0</v>
      </c>
      <c r="FS125" s="206">
        <v>0.0</v>
      </c>
      <c r="FT125" s="207">
        <v>0.0</v>
      </c>
      <c r="FU125" s="207">
        <v>0.0</v>
      </c>
      <c r="FV125" s="207">
        <v>0.0</v>
      </c>
      <c r="FW125" s="207">
        <v>0.0</v>
      </c>
      <c r="FX125" s="207">
        <v>0.0</v>
      </c>
      <c r="FY125" s="207">
        <v>0.0</v>
      </c>
      <c r="FZ125" s="207">
        <v>0.0</v>
      </c>
      <c r="GA125" s="207">
        <v>0.0</v>
      </c>
      <c r="GB125" s="207">
        <v>0.0</v>
      </c>
      <c r="GC125" s="207">
        <v>0.0</v>
      </c>
      <c r="GD125" s="207">
        <v>1.0</v>
      </c>
      <c r="GE125" s="207">
        <v>0.0</v>
      </c>
      <c r="GF125" s="207">
        <v>0.0</v>
      </c>
      <c r="GG125" s="207">
        <v>0.0</v>
      </c>
      <c r="GH125" s="207">
        <v>0.0</v>
      </c>
      <c r="GI125" s="207">
        <v>0.0</v>
      </c>
      <c r="GJ125" s="207">
        <v>0.0</v>
      </c>
      <c r="GK125" s="212">
        <v>1.0</v>
      </c>
      <c r="GL125" s="212">
        <v>0.0</v>
      </c>
      <c r="GM125" s="207">
        <v>516.0</v>
      </c>
      <c r="GN125" s="207">
        <v>190.0</v>
      </c>
      <c r="GO125" s="213">
        <v>516.0</v>
      </c>
      <c r="GP125" s="213">
        <v>190.0</v>
      </c>
      <c r="GQ125" s="207"/>
      <c r="GR125" s="213">
        <v>1.0</v>
      </c>
      <c r="GS125" s="193">
        <v>1.0</v>
      </c>
      <c r="GT125" s="194">
        <f t="shared" si="25"/>
        <v>1</v>
      </c>
      <c r="GU125" s="194">
        <f t="shared" si="26"/>
        <v>1</v>
      </c>
      <c r="GV125" s="194">
        <f t="shared" si="27"/>
        <v>0</v>
      </c>
      <c r="GW125" s="444">
        <v>0.0</v>
      </c>
      <c r="GX125" s="444">
        <v>0.0</v>
      </c>
      <c r="GY125" s="444">
        <v>0.0</v>
      </c>
      <c r="GZ125" s="444">
        <v>0.0</v>
      </c>
      <c r="HA125" s="444">
        <v>1.0</v>
      </c>
      <c r="HB125" s="445">
        <v>0.0</v>
      </c>
      <c r="HC125" s="445">
        <v>0.0</v>
      </c>
      <c r="HD125" s="445">
        <v>0.0</v>
      </c>
      <c r="HE125" s="445">
        <v>0.0</v>
      </c>
      <c r="HF125" s="445">
        <v>0.0</v>
      </c>
      <c r="HG125" s="445">
        <v>0.0</v>
      </c>
      <c r="HH125" s="445">
        <v>0.0</v>
      </c>
      <c r="HI125" s="445">
        <v>0.0</v>
      </c>
      <c r="HJ125" s="445">
        <v>0.0</v>
      </c>
      <c r="HK125" s="445">
        <v>0.0</v>
      </c>
      <c r="HL125" s="445">
        <v>0.0</v>
      </c>
      <c r="HM125" s="445">
        <v>0.0</v>
      </c>
      <c r="HN125" s="445">
        <v>0.0</v>
      </c>
      <c r="HO125" s="222"/>
      <c r="HP125" s="222"/>
      <c r="HQ125" s="214"/>
      <c r="HR125" s="197"/>
      <c r="HS125" s="197"/>
      <c r="HT125" s="198">
        <f t="shared" si="28"/>
        <v>3</v>
      </c>
      <c r="HU125" s="198">
        <f t="shared" si="29"/>
        <v>3</v>
      </c>
      <c r="HV125" s="198">
        <f t="shared" si="30"/>
        <v>3</v>
      </c>
      <c r="HW125" s="198">
        <f t="shared" si="99"/>
        <v>2</v>
      </c>
      <c r="HX125" s="198">
        <f t="shared" si="32"/>
        <v>2</v>
      </c>
      <c r="HY125" s="198">
        <f t="shared" si="33"/>
        <v>1</v>
      </c>
      <c r="HZ125" s="198">
        <f t="shared" si="34"/>
        <v>1</v>
      </c>
      <c r="IA125" s="198">
        <f t="shared" si="35"/>
        <v>1</v>
      </c>
      <c r="IB125" s="198">
        <f t="shared" si="36"/>
        <v>2</v>
      </c>
      <c r="IC125" s="198">
        <f t="shared" si="37"/>
        <v>2</v>
      </c>
      <c r="ID125" s="198">
        <f t="shared" si="38"/>
        <v>0</v>
      </c>
      <c r="IE125" s="198">
        <f t="shared" si="39"/>
        <v>1</v>
      </c>
      <c r="IF125" s="197"/>
      <c r="IG125" s="197"/>
      <c r="IH125" s="197"/>
      <c r="II125" s="197"/>
      <c r="IJ125" s="197"/>
      <c r="IK125" s="197"/>
      <c r="IL125" s="197"/>
      <c r="IM125" s="197"/>
      <c r="IN125" s="197"/>
      <c r="IO125" s="197"/>
      <c r="IP125" s="197"/>
      <c r="IQ125" s="197"/>
      <c r="IR125" s="197"/>
      <c r="IS125" s="197"/>
      <c r="IT125" s="197"/>
      <c r="IU125" s="197"/>
      <c r="IV125" s="197"/>
      <c r="IW125" s="197"/>
      <c r="IX125" s="197"/>
      <c r="IY125" s="197"/>
      <c r="IZ125" s="197"/>
      <c r="JA125" s="199"/>
      <c r="JB125" s="200">
        <f t="shared" si="40"/>
        <v>3</v>
      </c>
      <c r="JC125" s="200">
        <f t="shared" si="41"/>
        <v>3</v>
      </c>
      <c r="JD125" s="200">
        <f t="shared" si="42"/>
        <v>3</v>
      </c>
      <c r="JE125" s="200">
        <f t="shared" si="43"/>
        <v>2</v>
      </c>
      <c r="JF125" s="200">
        <f t="shared" si="44"/>
        <v>2</v>
      </c>
      <c r="JG125" s="200">
        <f t="shared" si="45"/>
        <v>1</v>
      </c>
      <c r="JH125" s="200">
        <f t="shared" si="46"/>
        <v>1</v>
      </c>
      <c r="JI125" s="200">
        <f t="shared" si="47"/>
        <v>1</v>
      </c>
      <c r="JJ125" s="200">
        <f t="shared" si="48"/>
        <v>2</v>
      </c>
      <c r="JK125" s="200">
        <f t="shared" si="49"/>
        <v>2</v>
      </c>
      <c r="JL125" s="200">
        <f t="shared" si="50"/>
        <v>0</v>
      </c>
      <c r="JM125" s="200">
        <f t="shared" si="51"/>
        <v>1</v>
      </c>
      <c r="JN125" s="199"/>
      <c r="JO125" s="200">
        <f t="shared" si="52"/>
        <v>3</v>
      </c>
      <c r="JP125" s="202">
        <v>3.0</v>
      </c>
      <c r="JQ125" s="202">
        <v>3.0</v>
      </c>
      <c r="JR125" s="202">
        <v>2.0</v>
      </c>
      <c r="JS125" s="202">
        <v>2.0</v>
      </c>
      <c r="JT125" s="199"/>
      <c r="JU125" s="199"/>
      <c r="JV125" s="200">
        <f t="shared" ref="JV125:JX125" si="313">IA125-JI125</f>
        <v>0</v>
      </c>
      <c r="JW125" s="200">
        <f t="shared" si="313"/>
        <v>0</v>
      </c>
      <c r="JX125" s="200">
        <f t="shared" si="313"/>
        <v>0</v>
      </c>
      <c r="JY125" s="199"/>
      <c r="JZ125" s="199"/>
      <c r="KA125" s="199"/>
      <c r="KB125" s="446">
        <f t="shared" ref="KB125:KM125" si="314">JB125-JO125</f>
        <v>0</v>
      </c>
      <c r="KC125" s="446">
        <f t="shared" si="314"/>
        <v>0</v>
      </c>
      <c r="KD125" s="446">
        <f t="shared" si="314"/>
        <v>0</v>
      </c>
      <c r="KE125" s="446">
        <f t="shared" si="314"/>
        <v>0</v>
      </c>
      <c r="KF125" s="446">
        <f t="shared" si="314"/>
        <v>0</v>
      </c>
      <c r="KG125" s="200">
        <f t="shared" si="314"/>
        <v>1</v>
      </c>
      <c r="KH125" s="200">
        <f t="shared" si="314"/>
        <v>1</v>
      </c>
      <c r="KI125" s="200">
        <f t="shared" si="314"/>
        <v>1</v>
      </c>
      <c r="KJ125" s="200">
        <f t="shared" si="314"/>
        <v>2</v>
      </c>
      <c r="KK125" s="200">
        <f t="shared" si="314"/>
        <v>2</v>
      </c>
      <c r="KL125" s="200">
        <f t="shared" si="314"/>
        <v>0</v>
      </c>
      <c r="KM125" s="200">
        <f t="shared" si="314"/>
        <v>1</v>
      </c>
      <c r="KN125" s="199"/>
      <c r="KO125" s="199"/>
      <c r="KP125" s="199"/>
      <c r="KQ125" s="199"/>
      <c r="KR125" s="199"/>
      <c r="KS125" s="199"/>
      <c r="KT125" s="199"/>
      <c r="KU125" s="199"/>
      <c r="KV125" s="199"/>
      <c r="KW125" s="199"/>
      <c r="KX125" s="199"/>
      <c r="KY125" s="199"/>
      <c r="KZ125" s="199"/>
      <c r="LA125" s="199"/>
      <c r="LB125" s="199"/>
      <c r="LC125" s="199"/>
      <c r="LD125" s="199"/>
      <c r="LE125" s="199"/>
      <c r="LF125" s="199"/>
      <c r="LG125" s="199"/>
    </row>
    <row r="126" ht="14.25" customHeight="1">
      <c r="A126" s="156">
        <v>119.0</v>
      </c>
      <c r="B126" s="436" t="s">
        <v>222</v>
      </c>
      <c r="C126" s="437">
        <v>3374020.0</v>
      </c>
      <c r="D126" s="437" t="s">
        <v>222</v>
      </c>
      <c r="E126" s="437" t="s">
        <v>227</v>
      </c>
      <c r="F126" s="438">
        <v>5.0</v>
      </c>
      <c r="G126" s="439">
        <v>250.0</v>
      </c>
      <c r="H126" s="160">
        <v>2.0</v>
      </c>
      <c r="I126" s="223">
        <v>0.0</v>
      </c>
      <c r="J126" s="223">
        <v>0.0</v>
      </c>
      <c r="K126" s="161">
        <v>1.0</v>
      </c>
      <c r="L126" s="161">
        <v>1.0</v>
      </c>
      <c r="M126" s="223">
        <v>0.0</v>
      </c>
      <c r="N126" s="223">
        <v>0.0</v>
      </c>
      <c r="O126" s="162">
        <f t="shared" si="213"/>
        <v>2</v>
      </c>
      <c r="P126" s="203">
        <v>2.0</v>
      </c>
      <c r="Q126" s="164"/>
      <c r="R126" s="164"/>
      <c r="S126" s="164">
        <v>1.0</v>
      </c>
      <c r="T126" s="165">
        <v>1.0</v>
      </c>
      <c r="U126" s="165">
        <v>1.0</v>
      </c>
      <c r="V126" s="165"/>
      <c r="W126" s="166">
        <f t="shared" si="225"/>
        <v>1</v>
      </c>
      <c r="X126" s="203">
        <v>3.0</v>
      </c>
      <c r="Y126" s="164"/>
      <c r="Z126" s="164">
        <v>1.0</v>
      </c>
      <c r="AA126" s="164">
        <v>1.0</v>
      </c>
      <c r="AB126" s="165">
        <v>1.0</v>
      </c>
      <c r="AC126" s="165"/>
      <c r="AD126" s="165"/>
      <c r="AE126" s="166">
        <f t="shared" si="214"/>
        <v>3</v>
      </c>
      <c r="AF126" s="167">
        <v>1.0</v>
      </c>
      <c r="AG126" s="165"/>
      <c r="AH126" s="164"/>
      <c r="AI126" s="164">
        <v>1.0</v>
      </c>
      <c r="AJ126" s="165"/>
      <c r="AK126" s="165"/>
      <c r="AL126" s="165"/>
      <c r="AM126" s="166">
        <f t="shared" si="215"/>
        <v>1</v>
      </c>
      <c r="AN126" s="167">
        <v>1.0</v>
      </c>
      <c r="AO126" s="165"/>
      <c r="AP126" s="164"/>
      <c r="AQ126" s="164">
        <v>1.0</v>
      </c>
      <c r="AR126" s="165"/>
      <c r="AS126" s="165"/>
      <c r="AT126" s="165"/>
      <c r="AU126" s="168">
        <f t="shared" si="216"/>
        <v>1</v>
      </c>
      <c r="AV126" s="169">
        <v>297.0</v>
      </c>
      <c r="AW126" s="204">
        <f t="shared" si="8"/>
        <v>1</v>
      </c>
      <c r="AX126" s="169">
        <v>0.0</v>
      </c>
      <c r="AY126" s="169">
        <v>0.0</v>
      </c>
      <c r="AZ126" s="169">
        <v>1.0</v>
      </c>
      <c r="BA126" s="169">
        <v>0.0</v>
      </c>
      <c r="BB126" s="169">
        <v>0.0</v>
      </c>
      <c r="BC126" s="169">
        <v>0.0</v>
      </c>
      <c r="BD126" s="169">
        <v>0.0</v>
      </c>
      <c r="BE126" s="169">
        <v>0.0</v>
      </c>
      <c r="BF126" s="169">
        <v>0.0</v>
      </c>
      <c r="BG126" s="169">
        <v>1.0</v>
      </c>
      <c r="BH126" s="169">
        <v>0.0</v>
      </c>
      <c r="BI126" s="169">
        <v>1.0</v>
      </c>
      <c r="BJ126" s="169">
        <v>0.0</v>
      </c>
      <c r="BK126" s="169">
        <v>0.0</v>
      </c>
      <c r="BL126" s="169">
        <v>0.0</v>
      </c>
      <c r="BM126" s="169">
        <v>0.0</v>
      </c>
      <c r="BN126" s="169">
        <v>0.0</v>
      </c>
      <c r="BO126" s="169">
        <v>0.0</v>
      </c>
      <c r="BP126" s="205">
        <f t="shared" si="131"/>
        <v>2</v>
      </c>
      <c r="BQ126" s="173">
        <v>290.0</v>
      </c>
      <c r="BR126" s="170">
        <f t="shared" si="10"/>
        <v>1</v>
      </c>
      <c r="BS126" s="173">
        <v>0.0</v>
      </c>
      <c r="BT126" s="173">
        <v>0.0</v>
      </c>
      <c r="BU126" s="173">
        <v>1.0</v>
      </c>
      <c r="BV126" s="173">
        <v>0.0</v>
      </c>
      <c r="BW126" s="173">
        <v>0.0</v>
      </c>
      <c r="BX126" s="173">
        <v>0.0</v>
      </c>
      <c r="BY126" s="173">
        <v>0.0</v>
      </c>
      <c r="BZ126" s="173">
        <v>0.0</v>
      </c>
      <c r="CA126" s="173">
        <v>0.0</v>
      </c>
      <c r="CB126" s="173">
        <v>0.0</v>
      </c>
      <c r="CC126" s="173">
        <v>0.0</v>
      </c>
      <c r="CD126" s="173">
        <v>0.0</v>
      </c>
      <c r="CE126" s="173">
        <v>0.0</v>
      </c>
      <c r="CF126" s="173">
        <v>0.0</v>
      </c>
      <c r="CG126" s="173">
        <v>0.0</v>
      </c>
      <c r="CH126" s="173">
        <v>0.0</v>
      </c>
      <c r="CI126" s="173">
        <v>0.0</v>
      </c>
      <c r="CJ126" s="173">
        <v>0.0</v>
      </c>
      <c r="CK126" s="172">
        <f t="shared" si="132"/>
        <v>0</v>
      </c>
      <c r="CL126" s="441">
        <v>325.0</v>
      </c>
      <c r="CM126" s="441">
        <v>91.0</v>
      </c>
      <c r="CN126" s="175">
        <f t="shared" si="295"/>
        <v>1</v>
      </c>
      <c r="CO126" s="441">
        <v>0.0</v>
      </c>
      <c r="CP126" s="441">
        <v>0.0</v>
      </c>
      <c r="CQ126" s="441">
        <v>0.0</v>
      </c>
      <c r="CR126" s="441">
        <v>1.0</v>
      </c>
      <c r="CS126" s="441">
        <v>0.0</v>
      </c>
      <c r="CT126" s="441">
        <v>0.0</v>
      </c>
      <c r="CU126" s="441">
        <v>0.0</v>
      </c>
      <c r="CV126" s="441">
        <v>0.0</v>
      </c>
      <c r="CW126" s="441">
        <v>0.0</v>
      </c>
      <c r="CX126" s="441">
        <v>0.0</v>
      </c>
      <c r="CY126" s="441">
        <v>0.0</v>
      </c>
      <c r="CZ126" s="441">
        <v>0.0</v>
      </c>
      <c r="DA126" s="441">
        <v>0.0</v>
      </c>
      <c r="DB126" s="441">
        <v>0.0</v>
      </c>
      <c r="DC126" s="441">
        <v>0.0</v>
      </c>
      <c r="DD126" s="441">
        <v>0.0</v>
      </c>
      <c r="DE126" s="441">
        <v>0.0</v>
      </c>
      <c r="DF126" s="441">
        <v>0.0</v>
      </c>
      <c r="DG126" s="442">
        <f t="shared" si="13"/>
        <v>0</v>
      </c>
      <c r="DH126" s="177">
        <v>315.0</v>
      </c>
      <c r="DI126" s="177">
        <v>87.0</v>
      </c>
      <c r="DJ126" s="178">
        <v>315.0</v>
      </c>
      <c r="DK126" s="178">
        <v>87.0</v>
      </c>
      <c r="DL126" s="179">
        <f t="shared" si="14"/>
        <v>1</v>
      </c>
      <c r="DM126" s="180">
        <f t="shared" si="15"/>
        <v>0</v>
      </c>
      <c r="DN126" s="180">
        <f t="shared" si="16"/>
        <v>1</v>
      </c>
      <c r="DO126" s="177">
        <v>0.0</v>
      </c>
      <c r="DP126" s="177">
        <v>0.0</v>
      </c>
      <c r="DQ126" s="177">
        <v>0.0</v>
      </c>
      <c r="DR126" s="177">
        <v>1.0</v>
      </c>
      <c r="DS126" s="177">
        <v>0.0</v>
      </c>
      <c r="DT126" s="177">
        <v>0.0</v>
      </c>
      <c r="DU126" s="177">
        <v>0.0</v>
      </c>
      <c r="DV126" s="177">
        <v>0.0</v>
      </c>
      <c r="DW126" s="177">
        <v>0.0</v>
      </c>
      <c r="DX126" s="177">
        <v>0.0</v>
      </c>
      <c r="DY126" s="177">
        <v>0.0</v>
      </c>
      <c r="DZ126" s="177">
        <v>0.0</v>
      </c>
      <c r="EA126" s="177">
        <v>0.0</v>
      </c>
      <c r="EB126" s="177">
        <v>0.0</v>
      </c>
      <c r="EC126" s="177">
        <v>0.0</v>
      </c>
      <c r="ED126" s="177">
        <v>0.0</v>
      </c>
      <c r="EE126" s="177">
        <v>0.0</v>
      </c>
      <c r="EF126" s="177">
        <v>0.0</v>
      </c>
      <c r="EG126" s="179">
        <f t="shared" si="17"/>
        <v>0</v>
      </c>
      <c r="EH126" s="179">
        <f t="shared" si="18"/>
        <v>0</v>
      </c>
      <c r="EI126" s="443">
        <v>313.0</v>
      </c>
      <c r="EJ126" s="443">
        <v>87.0</v>
      </c>
      <c r="EK126" s="443">
        <v>313.0</v>
      </c>
      <c r="EL126" s="443">
        <v>87.0</v>
      </c>
      <c r="EM126" s="185">
        <f t="shared" si="283"/>
        <v>1</v>
      </c>
      <c r="EN126" s="186">
        <f t="shared" si="202"/>
        <v>0</v>
      </c>
      <c r="EO126" s="186">
        <f t="shared" si="90"/>
        <v>1</v>
      </c>
      <c r="EP126" s="177">
        <v>0.0</v>
      </c>
      <c r="EQ126" s="177">
        <v>0.0</v>
      </c>
      <c r="ER126" s="177">
        <v>0.0</v>
      </c>
      <c r="ES126" s="177">
        <v>1.0</v>
      </c>
      <c r="ET126" s="177">
        <v>0.0</v>
      </c>
      <c r="EU126" s="177">
        <v>0.0</v>
      </c>
      <c r="EV126" s="177">
        <v>0.0</v>
      </c>
      <c r="EW126" s="177">
        <v>0.0</v>
      </c>
      <c r="EX126" s="177">
        <v>0.0</v>
      </c>
      <c r="EY126" s="177">
        <v>0.0</v>
      </c>
      <c r="EZ126" s="177">
        <v>0.0</v>
      </c>
      <c r="FA126" s="177">
        <v>0.0</v>
      </c>
      <c r="FB126" s="177">
        <v>0.0</v>
      </c>
      <c r="FC126" s="177">
        <v>0.0</v>
      </c>
      <c r="FD126" s="177">
        <v>0.0</v>
      </c>
      <c r="FE126" s="177">
        <v>0.0</v>
      </c>
      <c r="FF126" s="177">
        <v>0.0</v>
      </c>
      <c r="FG126" s="177">
        <v>0.0</v>
      </c>
      <c r="FH126" s="185">
        <f t="shared" si="22"/>
        <v>0</v>
      </c>
      <c r="FI126" s="185">
        <f t="shared" si="23"/>
        <v>0</v>
      </c>
      <c r="FJ126" s="177">
        <v>319.0</v>
      </c>
      <c r="FK126" s="177">
        <v>77.0</v>
      </c>
      <c r="FL126" s="177">
        <v>319.0</v>
      </c>
      <c r="FM126" s="177">
        <v>77.0</v>
      </c>
      <c r="FN126" s="180"/>
      <c r="FO126" s="180">
        <v>1.0</v>
      </c>
      <c r="FP126" s="188">
        <f t="shared" si="300"/>
        <v>1</v>
      </c>
      <c r="FQ126" s="211">
        <v>0.0</v>
      </c>
      <c r="FR126" s="212">
        <v>1.0</v>
      </c>
      <c r="FS126" s="206">
        <v>0.0</v>
      </c>
      <c r="FT126" s="207">
        <v>0.0</v>
      </c>
      <c r="FU126" s="207">
        <v>0.0</v>
      </c>
      <c r="FV126" s="207">
        <v>1.0</v>
      </c>
      <c r="FW126" s="207">
        <v>0.0</v>
      </c>
      <c r="FX126" s="207">
        <v>0.0</v>
      </c>
      <c r="FY126" s="207">
        <v>0.0</v>
      </c>
      <c r="FZ126" s="207">
        <v>0.0</v>
      </c>
      <c r="GA126" s="207">
        <v>0.0</v>
      </c>
      <c r="GB126" s="207">
        <v>0.0</v>
      </c>
      <c r="GC126" s="207">
        <v>0.0</v>
      </c>
      <c r="GD126" s="207">
        <v>0.0</v>
      </c>
      <c r="GE126" s="207">
        <v>0.0</v>
      </c>
      <c r="GF126" s="207">
        <v>0.0</v>
      </c>
      <c r="GG126" s="207">
        <v>0.0</v>
      </c>
      <c r="GH126" s="207">
        <v>0.0</v>
      </c>
      <c r="GI126" s="207">
        <v>0.0</v>
      </c>
      <c r="GJ126" s="207">
        <v>0.0</v>
      </c>
      <c r="GK126" s="212">
        <v>0.0</v>
      </c>
      <c r="GL126" s="212">
        <v>0.0</v>
      </c>
      <c r="GM126" s="207">
        <v>320.0</v>
      </c>
      <c r="GN126" s="207">
        <v>81.0</v>
      </c>
      <c r="GO126" s="213">
        <v>320.0</v>
      </c>
      <c r="GP126" s="213">
        <v>81.0</v>
      </c>
      <c r="GQ126" s="207"/>
      <c r="GR126" s="213">
        <v>1.0</v>
      </c>
      <c r="GS126" s="193">
        <v>0.0</v>
      </c>
      <c r="GT126" s="194">
        <f t="shared" si="25"/>
        <v>1</v>
      </c>
      <c r="GU126" s="194">
        <f t="shared" si="26"/>
        <v>0</v>
      </c>
      <c r="GV126" s="194">
        <f t="shared" si="27"/>
        <v>1</v>
      </c>
      <c r="GW126" s="444">
        <v>0.0</v>
      </c>
      <c r="GX126" s="444">
        <v>0.0</v>
      </c>
      <c r="GY126" s="444">
        <v>0.0</v>
      </c>
      <c r="GZ126" s="444">
        <v>1.0</v>
      </c>
      <c r="HA126" s="445">
        <v>0.0</v>
      </c>
      <c r="HB126" s="445">
        <v>0.0</v>
      </c>
      <c r="HC126" s="445">
        <v>0.0</v>
      </c>
      <c r="HD126" s="445">
        <v>0.0</v>
      </c>
      <c r="HE126" s="445">
        <v>0.0</v>
      </c>
      <c r="HF126" s="445">
        <v>0.0</v>
      </c>
      <c r="HG126" s="445">
        <v>0.0</v>
      </c>
      <c r="HH126" s="445">
        <v>0.0</v>
      </c>
      <c r="HI126" s="445">
        <v>0.0</v>
      </c>
      <c r="HJ126" s="445">
        <v>0.0</v>
      </c>
      <c r="HK126" s="445">
        <v>0.0</v>
      </c>
      <c r="HL126" s="445">
        <v>0.0</v>
      </c>
      <c r="HM126" s="445">
        <v>0.0</v>
      </c>
      <c r="HN126" s="445">
        <v>0.0</v>
      </c>
      <c r="HO126" s="222"/>
      <c r="HP126" s="222"/>
      <c r="HQ126" s="214"/>
      <c r="HR126" s="197"/>
      <c r="HS126" s="197"/>
      <c r="HT126" s="198">
        <f t="shared" si="28"/>
        <v>2</v>
      </c>
      <c r="HU126" s="198">
        <f t="shared" si="29"/>
        <v>2</v>
      </c>
      <c r="HV126" s="198">
        <f t="shared" si="30"/>
        <v>3</v>
      </c>
      <c r="HW126" s="198">
        <f t="shared" si="99"/>
        <v>1</v>
      </c>
      <c r="HX126" s="198">
        <f t="shared" si="32"/>
        <v>1</v>
      </c>
      <c r="HY126" s="198">
        <f t="shared" si="33"/>
        <v>1</v>
      </c>
      <c r="HZ126" s="198">
        <f t="shared" si="34"/>
        <v>1</v>
      </c>
      <c r="IA126" s="198">
        <f t="shared" si="35"/>
        <v>1</v>
      </c>
      <c r="IB126" s="198">
        <f t="shared" si="36"/>
        <v>1</v>
      </c>
      <c r="IC126" s="198">
        <f t="shared" si="37"/>
        <v>1</v>
      </c>
      <c r="ID126" s="198">
        <f t="shared" si="38"/>
        <v>1</v>
      </c>
      <c r="IE126" s="198">
        <f t="shared" si="39"/>
        <v>1</v>
      </c>
      <c r="IF126" s="197"/>
      <c r="IG126" s="197"/>
      <c r="IH126" s="197"/>
      <c r="II126" s="197"/>
      <c r="IJ126" s="197"/>
      <c r="IK126" s="197"/>
      <c r="IL126" s="197"/>
      <c r="IM126" s="197"/>
      <c r="IN126" s="197"/>
      <c r="IO126" s="197"/>
      <c r="IP126" s="197"/>
      <c r="IQ126" s="197"/>
      <c r="IR126" s="197"/>
      <c r="IS126" s="197"/>
      <c r="IT126" s="197"/>
      <c r="IU126" s="197"/>
      <c r="IV126" s="197"/>
      <c r="IW126" s="197"/>
      <c r="IX126" s="197"/>
      <c r="IY126" s="197"/>
      <c r="IZ126" s="197"/>
      <c r="JA126" s="199"/>
      <c r="JB126" s="200">
        <f t="shared" si="40"/>
        <v>2</v>
      </c>
      <c r="JC126" s="200">
        <f t="shared" si="41"/>
        <v>2</v>
      </c>
      <c r="JD126" s="200">
        <f t="shared" si="42"/>
        <v>3</v>
      </c>
      <c r="JE126" s="200">
        <f t="shared" si="43"/>
        <v>1</v>
      </c>
      <c r="JF126" s="200">
        <f t="shared" si="44"/>
        <v>1</v>
      </c>
      <c r="JG126" s="200">
        <f t="shared" si="45"/>
        <v>1</v>
      </c>
      <c r="JH126" s="200">
        <f t="shared" si="46"/>
        <v>1</v>
      </c>
      <c r="JI126" s="200">
        <f t="shared" si="47"/>
        <v>1</v>
      </c>
      <c r="JJ126" s="200">
        <f t="shared" si="48"/>
        <v>1</v>
      </c>
      <c r="JK126" s="200">
        <f t="shared" si="49"/>
        <v>1</v>
      </c>
      <c r="JL126" s="200">
        <f t="shared" si="50"/>
        <v>1</v>
      </c>
      <c r="JM126" s="200">
        <f t="shared" si="51"/>
        <v>1</v>
      </c>
      <c r="JN126" s="199"/>
      <c r="JO126" s="200">
        <f t="shared" si="52"/>
        <v>2</v>
      </c>
      <c r="JP126" s="202">
        <v>2.0</v>
      </c>
      <c r="JQ126" s="202">
        <v>3.0</v>
      </c>
      <c r="JR126" s="202">
        <v>1.0</v>
      </c>
      <c r="JS126" s="202">
        <v>1.0</v>
      </c>
      <c r="JT126" s="199"/>
      <c r="JU126" s="199"/>
      <c r="JV126" s="200">
        <f t="shared" ref="JV126:JX126" si="315">IA126-JI126</f>
        <v>0</v>
      </c>
      <c r="JW126" s="200">
        <f t="shared" si="315"/>
        <v>0</v>
      </c>
      <c r="JX126" s="200">
        <f t="shared" si="315"/>
        <v>0</v>
      </c>
      <c r="JY126" s="199"/>
      <c r="JZ126" s="199"/>
      <c r="KA126" s="199"/>
      <c r="KB126" s="446">
        <f t="shared" ref="KB126:KM126" si="316">JB126-JO126</f>
        <v>0</v>
      </c>
      <c r="KC126" s="446">
        <f t="shared" si="316"/>
        <v>0</v>
      </c>
      <c r="KD126" s="446">
        <f t="shared" si="316"/>
        <v>0</v>
      </c>
      <c r="KE126" s="446">
        <f t="shared" si="316"/>
        <v>0</v>
      </c>
      <c r="KF126" s="446">
        <f t="shared" si="316"/>
        <v>0</v>
      </c>
      <c r="KG126" s="200">
        <f t="shared" si="316"/>
        <v>1</v>
      </c>
      <c r="KH126" s="200">
        <f t="shared" si="316"/>
        <v>1</v>
      </c>
      <c r="KI126" s="200">
        <f t="shared" si="316"/>
        <v>1</v>
      </c>
      <c r="KJ126" s="200">
        <f t="shared" si="316"/>
        <v>1</v>
      </c>
      <c r="KK126" s="200">
        <f t="shared" si="316"/>
        <v>1</v>
      </c>
      <c r="KL126" s="200">
        <f t="shared" si="316"/>
        <v>1</v>
      </c>
      <c r="KM126" s="200">
        <f t="shared" si="316"/>
        <v>1</v>
      </c>
      <c r="KN126" s="199"/>
      <c r="KO126" s="199"/>
      <c r="KP126" s="199"/>
      <c r="KQ126" s="199"/>
      <c r="KR126" s="199"/>
      <c r="KS126" s="199"/>
      <c r="KT126" s="199"/>
      <c r="KU126" s="199"/>
      <c r="KV126" s="199"/>
      <c r="KW126" s="199"/>
      <c r="KX126" s="199"/>
      <c r="KY126" s="199"/>
      <c r="KZ126" s="199"/>
      <c r="LA126" s="199"/>
      <c r="LB126" s="199"/>
      <c r="LC126" s="199"/>
      <c r="LD126" s="199"/>
      <c r="LE126" s="199"/>
      <c r="LF126" s="199"/>
      <c r="LG126" s="199"/>
    </row>
    <row r="127" ht="14.25" customHeight="1">
      <c r="A127" s="156">
        <v>120.0</v>
      </c>
      <c r="B127" s="436" t="s">
        <v>222</v>
      </c>
      <c r="C127" s="437">
        <v>3374020.0</v>
      </c>
      <c r="D127" s="437" t="s">
        <v>222</v>
      </c>
      <c r="E127" s="437" t="s">
        <v>228</v>
      </c>
      <c r="F127" s="438">
        <v>7.0</v>
      </c>
      <c r="G127" s="439">
        <v>301.0</v>
      </c>
      <c r="H127" s="160">
        <v>2.0</v>
      </c>
      <c r="I127" s="223">
        <v>0.0</v>
      </c>
      <c r="J127" s="223">
        <v>0.0</v>
      </c>
      <c r="K127" s="161">
        <v>1.0</v>
      </c>
      <c r="L127" s="161">
        <v>1.0</v>
      </c>
      <c r="M127" s="223">
        <v>0.0</v>
      </c>
      <c r="N127" s="223">
        <v>0.0</v>
      </c>
      <c r="O127" s="162">
        <f t="shared" si="213"/>
        <v>2</v>
      </c>
      <c r="P127" s="203">
        <v>2.0</v>
      </c>
      <c r="Q127" s="164"/>
      <c r="R127" s="164"/>
      <c r="S127" s="164">
        <v>1.0</v>
      </c>
      <c r="T127" s="165">
        <v>1.0</v>
      </c>
      <c r="U127" s="165"/>
      <c r="V127" s="165"/>
      <c r="W127" s="166">
        <f t="shared" si="225"/>
        <v>2</v>
      </c>
      <c r="X127" s="203">
        <v>2.0</v>
      </c>
      <c r="Y127" s="164"/>
      <c r="Z127" s="164"/>
      <c r="AA127" s="164">
        <v>1.0</v>
      </c>
      <c r="AB127" s="165">
        <v>1.0</v>
      </c>
      <c r="AC127" s="165"/>
      <c r="AD127" s="165"/>
      <c r="AE127" s="166">
        <f t="shared" si="214"/>
        <v>2</v>
      </c>
      <c r="AF127" s="167">
        <v>2.0</v>
      </c>
      <c r="AG127" s="165"/>
      <c r="AH127" s="164"/>
      <c r="AI127" s="164">
        <v>1.0</v>
      </c>
      <c r="AJ127" s="165">
        <v>1.0</v>
      </c>
      <c r="AK127" s="165"/>
      <c r="AL127" s="165"/>
      <c r="AM127" s="166">
        <f t="shared" si="215"/>
        <v>2</v>
      </c>
      <c r="AN127" s="167">
        <v>2.0</v>
      </c>
      <c r="AO127" s="165"/>
      <c r="AP127" s="164"/>
      <c r="AQ127" s="164">
        <v>1.0</v>
      </c>
      <c r="AR127" s="165">
        <v>1.0</v>
      </c>
      <c r="AS127" s="165"/>
      <c r="AT127" s="165"/>
      <c r="AU127" s="168">
        <f t="shared" si="216"/>
        <v>2</v>
      </c>
      <c r="AV127" s="169">
        <v>301.0</v>
      </c>
      <c r="AW127" s="204">
        <f t="shared" si="8"/>
        <v>2</v>
      </c>
      <c r="AX127" s="169">
        <v>0.0</v>
      </c>
      <c r="AY127" s="169">
        <v>0.0</v>
      </c>
      <c r="AZ127" s="169">
        <v>0.0</v>
      </c>
      <c r="BA127" s="169">
        <v>2.0</v>
      </c>
      <c r="BB127" s="169">
        <v>0.0</v>
      </c>
      <c r="BC127" s="169">
        <v>0.0</v>
      </c>
      <c r="BD127" s="169">
        <v>0.0</v>
      </c>
      <c r="BE127" s="169">
        <v>0.0</v>
      </c>
      <c r="BF127" s="169">
        <v>0.0</v>
      </c>
      <c r="BG127" s="169">
        <v>0.0</v>
      </c>
      <c r="BH127" s="169">
        <v>0.0</v>
      </c>
      <c r="BI127" s="169">
        <v>0.0</v>
      </c>
      <c r="BJ127" s="169">
        <v>0.0</v>
      </c>
      <c r="BK127" s="169">
        <v>0.0</v>
      </c>
      <c r="BL127" s="169">
        <v>0.0</v>
      </c>
      <c r="BM127" s="169">
        <v>0.0</v>
      </c>
      <c r="BN127" s="169">
        <v>0.0</v>
      </c>
      <c r="BO127" s="169">
        <v>0.0</v>
      </c>
      <c r="BP127" s="205">
        <f t="shared" si="131"/>
        <v>0</v>
      </c>
      <c r="BQ127" s="173">
        <v>303.0</v>
      </c>
      <c r="BR127" s="170">
        <f t="shared" si="10"/>
        <v>2</v>
      </c>
      <c r="BS127" s="173">
        <v>0.0</v>
      </c>
      <c r="BT127" s="173">
        <v>0.0</v>
      </c>
      <c r="BU127" s="173">
        <v>0.0</v>
      </c>
      <c r="BV127" s="173">
        <v>2.0</v>
      </c>
      <c r="BW127" s="173">
        <v>0.0</v>
      </c>
      <c r="BX127" s="173">
        <v>0.0</v>
      </c>
      <c r="BY127" s="173">
        <v>0.0</v>
      </c>
      <c r="BZ127" s="173">
        <v>0.0</v>
      </c>
      <c r="CA127" s="173">
        <v>0.0</v>
      </c>
      <c r="CB127" s="173">
        <v>0.0</v>
      </c>
      <c r="CC127" s="173">
        <v>0.0</v>
      </c>
      <c r="CD127" s="173">
        <v>0.0</v>
      </c>
      <c r="CE127" s="173">
        <v>0.0</v>
      </c>
      <c r="CF127" s="173">
        <v>0.0</v>
      </c>
      <c r="CG127" s="173">
        <v>0.0</v>
      </c>
      <c r="CH127" s="173">
        <v>0.0</v>
      </c>
      <c r="CI127" s="173">
        <v>0.0</v>
      </c>
      <c r="CJ127" s="173">
        <v>0.0</v>
      </c>
      <c r="CK127" s="172">
        <f t="shared" si="132"/>
        <v>0</v>
      </c>
      <c r="CL127" s="441">
        <v>292.0</v>
      </c>
      <c r="CM127" s="441">
        <v>75.0</v>
      </c>
      <c r="CN127" s="175">
        <f t="shared" si="295"/>
        <v>2</v>
      </c>
      <c r="CO127" s="441">
        <v>0.0</v>
      </c>
      <c r="CP127" s="441">
        <v>0.0</v>
      </c>
      <c r="CQ127" s="441">
        <v>0.0</v>
      </c>
      <c r="CR127" s="441">
        <v>2.0</v>
      </c>
      <c r="CS127" s="441">
        <v>0.0</v>
      </c>
      <c r="CT127" s="441">
        <v>0.0</v>
      </c>
      <c r="CU127" s="441">
        <v>0.0</v>
      </c>
      <c r="CV127" s="441">
        <v>0.0</v>
      </c>
      <c r="CW127" s="441">
        <v>0.0</v>
      </c>
      <c r="CX127" s="441">
        <v>0.0</v>
      </c>
      <c r="CY127" s="441">
        <v>0.0</v>
      </c>
      <c r="CZ127" s="441">
        <v>0.0</v>
      </c>
      <c r="DA127" s="441">
        <v>0.0</v>
      </c>
      <c r="DB127" s="441">
        <v>0.0</v>
      </c>
      <c r="DC127" s="441">
        <v>0.0</v>
      </c>
      <c r="DD127" s="441">
        <v>0.0</v>
      </c>
      <c r="DE127" s="441">
        <v>0.0</v>
      </c>
      <c r="DF127" s="441">
        <v>0.0</v>
      </c>
      <c r="DG127" s="442">
        <f t="shared" si="13"/>
        <v>0</v>
      </c>
      <c r="DH127" s="177">
        <v>311.0</v>
      </c>
      <c r="DI127" s="177">
        <v>88.0</v>
      </c>
      <c r="DJ127" s="178">
        <v>296.0</v>
      </c>
      <c r="DK127" s="178">
        <v>88.0</v>
      </c>
      <c r="DL127" s="179">
        <f t="shared" si="14"/>
        <v>2</v>
      </c>
      <c r="DM127" s="180">
        <f t="shared" si="15"/>
        <v>0</v>
      </c>
      <c r="DN127" s="180">
        <f t="shared" si="16"/>
        <v>2</v>
      </c>
      <c r="DO127" s="177">
        <v>0.0</v>
      </c>
      <c r="DP127" s="177">
        <v>0.0</v>
      </c>
      <c r="DQ127" s="177">
        <v>0.0</v>
      </c>
      <c r="DR127" s="177">
        <v>2.0</v>
      </c>
      <c r="DS127" s="177">
        <v>0.0</v>
      </c>
      <c r="DT127" s="177">
        <v>0.0</v>
      </c>
      <c r="DU127" s="177">
        <v>0.0</v>
      </c>
      <c r="DV127" s="177">
        <v>0.0</v>
      </c>
      <c r="DW127" s="177">
        <v>0.0</v>
      </c>
      <c r="DX127" s="177">
        <v>0.0</v>
      </c>
      <c r="DY127" s="177">
        <v>0.0</v>
      </c>
      <c r="DZ127" s="177">
        <v>0.0</v>
      </c>
      <c r="EA127" s="177">
        <v>0.0</v>
      </c>
      <c r="EB127" s="177">
        <v>0.0</v>
      </c>
      <c r="EC127" s="177">
        <v>0.0</v>
      </c>
      <c r="ED127" s="177">
        <v>0.0</v>
      </c>
      <c r="EE127" s="177">
        <v>0.0</v>
      </c>
      <c r="EF127" s="177">
        <v>0.0</v>
      </c>
      <c r="EG127" s="179">
        <f t="shared" si="17"/>
        <v>0</v>
      </c>
      <c r="EH127" s="179">
        <f t="shared" si="18"/>
        <v>0</v>
      </c>
      <c r="EI127" s="443">
        <v>305.0</v>
      </c>
      <c r="EJ127" s="443">
        <v>81.0</v>
      </c>
      <c r="EK127" s="443">
        <v>305.0</v>
      </c>
      <c r="EL127" s="443">
        <v>81.0</v>
      </c>
      <c r="EM127" s="185">
        <f t="shared" si="283"/>
        <v>1</v>
      </c>
      <c r="EN127" s="186">
        <f t="shared" si="202"/>
        <v>0</v>
      </c>
      <c r="EO127" s="186">
        <f t="shared" si="90"/>
        <v>1</v>
      </c>
      <c r="EP127" s="177">
        <v>0.0</v>
      </c>
      <c r="EQ127" s="177">
        <v>0.0</v>
      </c>
      <c r="ER127" s="177">
        <v>0.0</v>
      </c>
      <c r="ES127" s="177">
        <v>1.0</v>
      </c>
      <c r="ET127" s="177">
        <v>0.0</v>
      </c>
      <c r="EU127" s="177">
        <v>0.0</v>
      </c>
      <c r="EV127" s="177">
        <v>0.0</v>
      </c>
      <c r="EW127" s="177">
        <v>0.0</v>
      </c>
      <c r="EX127" s="177">
        <v>0.0</v>
      </c>
      <c r="EY127" s="177">
        <v>0.0</v>
      </c>
      <c r="EZ127" s="177">
        <v>0.0</v>
      </c>
      <c r="FA127" s="177">
        <v>0.0</v>
      </c>
      <c r="FB127" s="177">
        <v>0.0</v>
      </c>
      <c r="FC127" s="177">
        <v>0.0</v>
      </c>
      <c r="FD127" s="177">
        <v>0.0</v>
      </c>
      <c r="FE127" s="177">
        <v>0.0</v>
      </c>
      <c r="FF127" s="177">
        <v>1.0</v>
      </c>
      <c r="FG127" s="177">
        <v>0.0</v>
      </c>
      <c r="FH127" s="185">
        <f t="shared" si="22"/>
        <v>1</v>
      </c>
      <c r="FI127" s="185">
        <f t="shared" si="23"/>
        <v>0</v>
      </c>
      <c r="FJ127" s="177">
        <v>301.0</v>
      </c>
      <c r="FK127" s="177">
        <v>71.0</v>
      </c>
      <c r="FL127" s="177">
        <v>301.0</v>
      </c>
      <c r="FM127" s="177">
        <v>71.0</v>
      </c>
      <c r="FN127" s="180"/>
      <c r="FO127" s="180">
        <v>2.0</v>
      </c>
      <c r="FP127" s="188">
        <f t="shared" si="300"/>
        <v>2</v>
      </c>
      <c r="FQ127" s="211">
        <v>0.0</v>
      </c>
      <c r="FR127" s="212">
        <v>2.0</v>
      </c>
      <c r="FS127" s="206">
        <v>0.0</v>
      </c>
      <c r="FT127" s="207">
        <v>0.0</v>
      </c>
      <c r="FU127" s="207">
        <v>0.0</v>
      </c>
      <c r="FV127" s="207">
        <v>2.0</v>
      </c>
      <c r="FW127" s="207">
        <v>0.0</v>
      </c>
      <c r="FX127" s="207">
        <v>0.0</v>
      </c>
      <c r="FY127" s="207">
        <v>0.0</v>
      </c>
      <c r="FZ127" s="207">
        <v>0.0</v>
      </c>
      <c r="GA127" s="207">
        <v>0.0</v>
      </c>
      <c r="GB127" s="207">
        <v>0.0</v>
      </c>
      <c r="GC127" s="207">
        <v>0.0</v>
      </c>
      <c r="GD127" s="207">
        <v>0.0</v>
      </c>
      <c r="GE127" s="207">
        <v>0.0</v>
      </c>
      <c r="GF127" s="207">
        <v>0.0</v>
      </c>
      <c r="GG127" s="207">
        <v>0.0</v>
      </c>
      <c r="GH127" s="207">
        <v>0.0</v>
      </c>
      <c r="GI127" s="207">
        <v>0.0</v>
      </c>
      <c r="GJ127" s="207">
        <v>0.0</v>
      </c>
      <c r="GK127" s="212">
        <v>0.0</v>
      </c>
      <c r="GL127" s="212">
        <v>0.0</v>
      </c>
      <c r="GM127" s="207">
        <v>301.0</v>
      </c>
      <c r="GN127" s="207">
        <v>81.0</v>
      </c>
      <c r="GO127" s="213">
        <v>301.0</v>
      </c>
      <c r="GP127" s="213">
        <v>81.0</v>
      </c>
      <c r="GQ127" s="207"/>
      <c r="GR127" s="213">
        <v>2.0</v>
      </c>
      <c r="GS127" s="193">
        <v>0.0</v>
      </c>
      <c r="GT127" s="194">
        <f t="shared" si="25"/>
        <v>2</v>
      </c>
      <c r="GU127" s="194">
        <f t="shared" si="26"/>
        <v>0</v>
      </c>
      <c r="GV127" s="194">
        <f t="shared" si="27"/>
        <v>2</v>
      </c>
      <c r="GW127" s="444">
        <v>0.0</v>
      </c>
      <c r="GX127" s="444">
        <v>0.0</v>
      </c>
      <c r="GY127" s="444">
        <v>0.0</v>
      </c>
      <c r="GZ127" s="444">
        <v>2.0</v>
      </c>
      <c r="HA127" s="445">
        <v>0.0</v>
      </c>
      <c r="HB127" s="445">
        <v>0.0</v>
      </c>
      <c r="HC127" s="445">
        <v>0.0</v>
      </c>
      <c r="HD127" s="445">
        <v>0.0</v>
      </c>
      <c r="HE127" s="445">
        <v>0.0</v>
      </c>
      <c r="HF127" s="445">
        <v>0.0</v>
      </c>
      <c r="HG127" s="445">
        <v>0.0</v>
      </c>
      <c r="HH127" s="445">
        <v>0.0</v>
      </c>
      <c r="HI127" s="445">
        <v>0.0</v>
      </c>
      <c r="HJ127" s="445">
        <v>0.0</v>
      </c>
      <c r="HK127" s="445">
        <v>0.0</v>
      </c>
      <c r="HL127" s="445">
        <v>0.0</v>
      </c>
      <c r="HM127" s="445">
        <v>0.0</v>
      </c>
      <c r="HN127" s="445">
        <v>0.0</v>
      </c>
      <c r="HO127" s="222"/>
      <c r="HP127" s="222"/>
      <c r="HQ127" s="214"/>
      <c r="HR127" s="197"/>
      <c r="HS127" s="197"/>
      <c r="HT127" s="198">
        <f t="shared" si="28"/>
        <v>2</v>
      </c>
      <c r="HU127" s="198">
        <f t="shared" si="29"/>
        <v>2</v>
      </c>
      <c r="HV127" s="198">
        <f t="shared" si="30"/>
        <v>2</v>
      </c>
      <c r="HW127" s="198">
        <f t="shared" si="99"/>
        <v>2</v>
      </c>
      <c r="HX127" s="198">
        <f t="shared" si="32"/>
        <v>2</v>
      </c>
      <c r="HY127" s="198">
        <f t="shared" si="33"/>
        <v>2</v>
      </c>
      <c r="HZ127" s="198">
        <f t="shared" si="34"/>
        <v>2</v>
      </c>
      <c r="IA127" s="198">
        <f t="shared" si="35"/>
        <v>2</v>
      </c>
      <c r="IB127" s="198">
        <f t="shared" si="36"/>
        <v>2</v>
      </c>
      <c r="IC127" s="198">
        <f t="shared" si="37"/>
        <v>1</v>
      </c>
      <c r="ID127" s="198">
        <f t="shared" si="38"/>
        <v>2</v>
      </c>
      <c r="IE127" s="198">
        <f t="shared" si="39"/>
        <v>2</v>
      </c>
      <c r="IF127" s="197"/>
      <c r="IG127" s="197"/>
      <c r="IH127" s="197"/>
      <c r="II127" s="197"/>
      <c r="IJ127" s="197"/>
      <c r="IK127" s="197"/>
      <c r="IL127" s="197"/>
      <c r="IM127" s="197"/>
      <c r="IN127" s="197"/>
      <c r="IO127" s="197"/>
      <c r="IP127" s="197"/>
      <c r="IQ127" s="197"/>
      <c r="IR127" s="197"/>
      <c r="IS127" s="197"/>
      <c r="IT127" s="197"/>
      <c r="IU127" s="197"/>
      <c r="IV127" s="197"/>
      <c r="IW127" s="197"/>
      <c r="IX127" s="197"/>
      <c r="IY127" s="197"/>
      <c r="IZ127" s="197"/>
      <c r="JA127" s="199"/>
      <c r="JB127" s="200">
        <f t="shared" si="40"/>
        <v>2</v>
      </c>
      <c r="JC127" s="200">
        <f t="shared" si="41"/>
        <v>2</v>
      </c>
      <c r="JD127" s="200">
        <f t="shared" si="42"/>
        <v>2</v>
      </c>
      <c r="JE127" s="200">
        <f t="shared" si="43"/>
        <v>2</v>
      </c>
      <c r="JF127" s="200">
        <f t="shared" si="44"/>
        <v>2</v>
      </c>
      <c r="JG127" s="200">
        <f t="shared" si="45"/>
        <v>2</v>
      </c>
      <c r="JH127" s="200">
        <f t="shared" si="46"/>
        <v>2</v>
      </c>
      <c r="JI127" s="200">
        <f t="shared" si="47"/>
        <v>2</v>
      </c>
      <c r="JJ127" s="200">
        <f t="shared" si="48"/>
        <v>2</v>
      </c>
      <c r="JK127" s="200">
        <f t="shared" si="49"/>
        <v>1</v>
      </c>
      <c r="JL127" s="200">
        <f t="shared" si="50"/>
        <v>2</v>
      </c>
      <c r="JM127" s="200">
        <f t="shared" si="51"/>
        <v>2</v>
      </c>
      <c r="JN127" s="199"/>
      <c r="JO127" s="200">
        <f t="shared" si="52"/>
        <v>2</v>
      </c>
      <c r="JP127" s="202">
        <v>2.0</v>
      </c>
      <c r="JQ127" s="202">
        <v>2.0</v>
      </c>
      <c r="JR127" s="202">
        <v>2.0</v>
      </c>
      <c r="JS127" s="202">
        <v>2.0</v>
      </c>
      <c r="JT127" s="199"/>
      <c r="JU127" s="199"/>
      <c r="JV127" s="200">
        <f t="shared" ref="JV127:JX127" si="317">IA127-JI127</f>
        <v>0</v>
      </c>
      <c r="JW127" s="200">
        <f t="shared" si="317"/>
        <v>0</v>
      </c>
      <c r="JX127" s="200">
        <f t="shared" si="317"/>
        <v>0</v>
      </c>
      <c r="JY127" s="199"/>
      <c r="JZ127" s="199"/>
      <c r="KA127" s="199"/>
      <c r="KB127" s="446">
        <f t="shared" ref="KB127:KM127" si="318">JB127-JO127</f>
        <v>0</v>
      </c>
      <c r="KC127" s="446">
        <f t="shared" si="318"/>
        <v>0</v>
      </c>
      <c r="KD127" s="446">
        <f t="shared" si="318"/>
        <v>0</v>
      </c>
      <c r="KE127" s="446">
        <f t="shared" si="318"/>
        <v>0</v>
      </c>
      <c r="KF127" s="446">
        <f t="shared" si="318"/>
        <v>0</v>
      </c>
      <c r="KG127" s="200">
        <f t="shared" si="318"/>
        <v>2</v>
      </c>
      <c r="KH127" s="200">
        <f t="shared" si="318"/>
        <v>2</v>
      </c>
      <c r="KI127" s="200">
        <f t="shared" si="318"/>
        <v>2</v>
      </c>
      <c r="KJ127" s="200">
        <f t="shared" si="318"/>
        <v>2</v>
      </c>
      <c r="KK127" s="200">
        <f t="shared" si="318"/>
        <v>1</v>
      </c>
      <c r="KL127" s="200">
        <f t="shared" si="318"/>
        <v>2</v>
      </c>
      <c r="KM127" s="200">
        <f t="shared" si="318"/>
        <v>2</v>
      </c>
      <c r="KN127" s="199"/>
      <c r="KO127" s="199"/>
      <c r="KP127" s="199"/>
      <c r="KQ127" s="199"/>
      <c r="KR127" s="199"/>
      <c r="KS127" s="199"/>
      <c r="KT127" s="199"/>
      <c r="KU127" s="199"/>
      <c r="KV127" s="199"/>
      <c r="KW127" s="199"/>
      <c r="KX127" s="199"/>
      <c r="KY127" s="199"/>
      <c r="KZ127" s="199"/>
      <c r="LA127" s="199"/>
      <c r="LB127" s="199"/>
      <c r="LC127" s="199"/>
      <c r="LD127" s="199"/>
      <c r="LE127" s="199"/>
      <c r="LF127" s="199"/>
      <c r="LG127" s="199"/>
    </row>
    <row r="128" ht="14.25" customHeight="1">
      <c r="A128" s="156">
        <v>121.0</v>
      </c>
      <c r="B128" s="157" t="s">
        <v>222</v>
      </c>
      <c r="C128" s="158">
        <v>3374020.0</v>
      </c>
      <c r="D128" s="158" t="s">
        <v>229</v>
      </c>
      <c r="E128" s="256" t="s">
        <v>230</v>
      </c>
      <c r="F128" s="159">
        <v>10.0</v>
      </c>
      <c r="G128" s="285">
        <v>357.0</v>
      </c>
      <c r="H128" s="160">
        <v>7.0</v>
      </c>
      <c r="I128" s="161">
        <v>0.0</v>
      </c>
      <c r="J128" s="161">
        <v>0.0</v>
      </c>
      <c r="K128" s="161">
        <v>3.0</v>
      </c>
      <c r="L128" s="161">
        <v>4.0</v>
      </c>
      <c r="M128" s="161"/>
      <c r="N128" s="161"/>
      <c r="O128" s="162">
        <f t="shared" si="213"/>
        <v>7</v>
      </c>
      <c r="P128" s="203">
        <v>7.0</v>
      </c>
      <c r="Q128" s="164">
        <v>0.0</v>
      </c>
      <c r="R128" s="164">
        <v>0.0</v>
      </c>
      <c r="S128" s="164">
        <v>1.0</v>
      </c>
      <c r="T128" s="165">
        <v>6.0</v>
      </c>
      <c r="U128" s="165">
        <v>2.0</v>
      </c>
      <c r="V128" s="165"/>
      <c r="W128" s="166">
        <f t="shared" si="225"/>
        <v>5</v>
      </c>
      <c r="X128" s="203">
        <v>4.0</v>
      </c>
      <c r="Y128" s="164">
        <v>0.0</v>
      </c>
      <c r="Z128" s="164">
        <v>0.0</v>
      </c>
      <c r="AA128" s="164">
        <v>2.0</v>
      </c>
      <c r="AB128" s="165">
        <v>2.0</v>
      </c>
      <c r="AC128" s="165">
        <v>1.0</v>
      </c>
      <c r="AD128" s="165"/>
      <c r="AE128" s="166">
        <f t="shared" si="214"/>
        <v>3</v>
      </c>
      <c r="AF128" s="167">
        <v>12.0</v>
      </c>
      <c r="AG128" s="165">
        <v>0.0</v>
      </c>
      <c r="AH128" s="164">
        <v>0.0</v>
      </c>
      <c r="AI128" s="164">
        <v>1.0</v>
      </c>
      <c r="AJ128" s="165">
        <v>11.0</v>
      </c>
      <c r="AK128" s="165">
        <v>2.0</v>
      </c>
      <c r="AL128" s="165"/>
      <c r="AM128" s="166">
        <f t="shared" si="215"/>
        <v>10</v>
      </c>
      <c r="AN128" s="167">
        <v>15.0</v>
      </c>
      <c r="AO128" s="165">
        <v>0.0</v>
      </c>
      <c r="AP128" s="164">
        <v>0.0</v>
      </c>
      <c r="AQ128" s="164">
        <v>6.0</v>
      </c>
      <c r="AR128" s="165">
        <v>9.0</v>
      </c>
      <c r="AS128" s="165">
        <v>2.0</v>
      </c>
      <c r="AT128" s="165"/>
      <c r="AU128" s="168">
        <f t="shared" si="216"/>
        <v>13</v>
      </c>
      <c r="AV128" s="169">
        <v>372.0</v>
      </c>
      <c r="AW128" s="170">
        <f t="shared" si="8"/>
        <v>4</v>
      </c>
      <c r="AX128" s="254">
        <v>0.0</v>
      </c>
      <c r="AY128" s="448">
        <v>0.0</v>
      </c>
      <c r="AZ128" s="449">
        <v>0.0</v>
      </c>
      <c r="BA128" s="450">
        <v>4.0</v>
      </c>
      <c r="BB128" s="451">
        <v>0.0</v>
      </c>
      <c r="BC128" s="451">
        <v>0.0</v>
      </c>
      <c r="BD128" s="451">
        <v>0.0</v>
      </c>
      <c r="BE128" s="451">
        <v>0.0</v>
      </c>
      <c r="BF128" s="451">
        <v>0.0</v>
      </c>
      <c r="BG128" s="451">
        <v>0.0</v>
      </c>
      <c r="BH128" s="451"/>
      <c r="BI128" s="451"/>
      <c r="BJ128" s="169">
        <v>0.0</v>
      </c>
      <c r="BK128" s="169">
        <v>0.0</v>
      </c>
      <c r="BL128" s="169">
        <v>0.0</v>
      </c>
      <c r="BM128" s="169">
        <v>0.0</v>
      </c>
      <c r="BN128" s="169">
        <v>0.0</v>
      </c>
      <c r="BO128" s="169">
        <v>0.0</v>
      </c>
      <c r="BP128" s="205">
        <f t="shared" si="131"/>
        <v>0</v>
      </c>
      <c r="BQ128" s="169">
        <v>413.0</v>
      </c>
      <c r="BR128" s="170">
        <f t="shared" si="10"/>
        <v>9</v>
      </c>
      <c r="BS128" s="173">
        <v>0.0</v>
      </c>
      <c r="BT128" s="173">
        <v>0.0</v>
      </c>
      <c r="BU128" s="173">
        <v>0.0</v>
      </c>
      <c r="BV128" s="173">
        <v>4.0</v>
      </c>
      <c r="BW128" s="173">
        <v>0.0</v>
      </c>
      <c r="BX128" s="173">
        <v>0.0</v>
      </c>
      <c r="BY128" s="173">
        <v>3.0</v>
      </c>
      <c r="BZ128" s="173">
        <v>2.0</v>
      </c>
      <c r="CA128" s="173">
        <v>0.0</v>
      </c>
      <c r="CB128" s="173">
        <v>0.0</v>
      </c>
      <c r="CC128" s="173">
        <v>0.0</v>
      </c>
      <c r="CD128" s="173">
        <v>0.0</v>
      </c>
      <c r="CE128" s="173">
        <v>0.0</v>
      </c>
      <c r="CF128" s="173">
        <v>0.0</v>
      </c>
      <c r="CG128" s="173">
        <v>0.0</v>
      </c>
      <c r="CH128" s="173">
        <v>0.0</v>
      </c>
      <c r="CI128" s="173">
        <v>0.0</v>
      </c>
      <c r="CJ128" s="173">
        <v>0.0</v>
      </c>
      <c r="CK128" s="172">
        <f t="shared" si="132"/>
        <v>0</v>
      </c>
      <c r="CL128" s="173">
        <v>430.0</v>
      </c>
      <c r="CM128" s="173">
        <v>128.0</v>
      </c>
      <c r="CN128" s="175">
        <f t="shared" si="295"/>
        <v>21</v>
      </c>
      <c r="CO128" s="173">
        <v>0.0</v>
      </c>
      <c r="CP128" s="173">
        <v>0.0</v>
      </c>
      <c r="CQ128" s="173">
        <v>3.0</v>
      </c>
      <c r="CR128" s="173">
        <v>6.0</v>
      </c>
      <c r="CS128" s="173">
        <v>0.0</v>
      </c>
      <c r="CT128" s="173">
        <v>1.0</v>
      </c>
      <c r="CU128" s="173">
        <v>2.0</v>
      </c>
      <c r="CV128" s="173">
        <v>9.0</v>
      </c>
      <c r="CW128" s="173">
        <v>0.0</v>
      </c>
      <c r="CX128" s="173">
        <v>0.0</v>
      </c>
      <c r="CY128" s="173">
        <v>0.0</v>
      </c>
      <c r="CZ128" s="173">
        <v>0.0</v>
      </c>
      <c r="DA128" s="173">
        <v>0.0</v>
      </c>
      <c r="DB128" s="173">
        <v>0.0</v>
      </c>
      <c r="DC128" s="173">
        <v>0.0</v>
      </c>
      <c r="DD128" s="173">
        <v>0.0</v>
      </c>
      <c r="DE128" s="173">
        <v>0.0</v>
      </c>
      <c r="DF128" s="173">
        <v>0.0</v>
      </c>
      <c r="DG128" s="176">
        <f t="shared" si="13"/>
        <v>0</v>
      </c>
      <c r="DH128" s="276">
        <v>411.0</v>
      </c>
      <c r="DI128" s="276">
        <v>143.0</v>
      </c>
      <c r="DJ128" s="178">
        <v>401.0</v>
      </c>
      <c r="DK128" s="178">
        <v>134.0</v>
      </c>
      <c r="DL128" s="179">
        <f t="shared" si="14"/>
        <v>19</v>
      </c>
      <c r="DM128" s="180">
        <f t="shared" si="15"/>
        <v>5</v>
      </c>
      <c r="DN128" s="180">
        <f t="shared" si="16"/>
        <v>14</v>
      </c>
      <c r="DO128" s="177">
        <v>0.0</v>
      </c>
      <c r="DP128" s="177">
        <v>0.0</v>
      </c>
      <c r="DQ128" s="177">
        <v>5.0</v>
      </c>
      <c r="DR128" s="177">
        <v>14.0</v>
      </c>
      <c r="DS128" s="177">
        <v>0.0</v>
      </c>
      <c r="DT128" s="177">
        <v>0.0</v>
      </c>
      <c r="DU128" s="177">
        <v>0.0</v>
      </c>
      <c r="DV128" s="177">
        <v>0.0</v>
      </c>
      <c r="DW128" s="177">
        <v>0.0</v>
      </c>
      <c r="DX128" s="177">
        <v>1.0</v>
      </c>
      <c r="DY128" s="177">
        <v>0.0</v>
      </c>
      <c r="DZ128" s="177">
        <v>0.0</v>
      </c>
      <c r="EA128" s="177">
        <v>0.0</v>
      </c>
      <c r="EB128" s="177">
        <v>0.0</v>
      </c>
      <c r="EC128" s="177">
        <v>0.0</v>
      </c>
      <c r="ED128" s="177">
        <v>1.0</v>
      </c>
      <c r="EE128" s="177">
        <v>0.0</v>
      </c>
      <c r="EF128" s="177">
        <v>0.0</v>
      </c>
      <c r="EG128" s="179">
        <f t="shared" si="17"/>
        <v>2</v>
      </c>
      <c r="EH128" s="179">
        <f t="shared" si="18"/>
        <v>1</v>
      </c>
      <c r="EI128" s="276">
        <v>446.0</v>
      </c>
      <c r="EJ128" s="276">
        <v>164.0</v>
      </c>
      <c r="EK128" s="178">
        <v>445.0</v>
      </c>
      <c r="EL128" s="276">
        <v>143.0</v>
      </c>
      <c r="EM128" s="186">
        <v>18.0</v>
      </c>
      <c r="EN128" s="186">
        <f t="shared" si="202"/>
        <v>4</v>
      </c>
      <c r="EO128" s="186">
        <f t="shared" si="90"/>
        <v>14</v>
      </c>
      <c r="EP128" s="177">
        <v>0.0</v>
      </c>
      <c r="EQ128" s="177">
        <v>0.0</v>
      </c>
      <c r="ER128" s="177">
        <v>4.0</v>
      </c>
      <c r="ES128" s="177">
        <v>14.0</v>
      </c>
      <c r="ET128" s="177">
        <v>0.0</v>
      </c>
      <c r="EU128" s="177">
        <v>0.0</v>
      </c>
      <c r="EV128" s="177">
        <v>0.0</v>
      </c>
      <c r="EW128" s="177">
        <v>0.0</v>
      </c>
      <c r="EX128" s="177">
        <v>0.0</v>
      </c>
      <c r="EY128" s="177">
        <v>0.0</v>
      </c>
      <c r="EZ128" s="177">
        <v>0.0</v>
      </c>
      <c r="FA128" s="177">
        <v>0.0</v>
      </c>
      <c r="FB128" s="177">
        <v>0.0</v>
      </c>
      <c r="FC128" s="177">
        <v>0.0</v>
      </c>
      <c r="FD128" s="177">
        <v>0.0</v>
      </c>
      <c r="FE128" s="177">
        <v>0.0</v>
      </c>
      <c r="FF128" s="177">
        <v>0.0</v>
      </c>
      <c r="FG128" s="177">
        <v>0.0</v>
      </c>
      <c r="FH128" s="185">
        <f t="shared" si="22"/>
        <v>0</v>
      </c>
      <c r="FI128" s="185">
        <f t="shared" si="23"/>
        <v>0</v>
      </c>
      <c r="FJ128" s="177">
        <v>476.0</v>
      </c>
      <c r="FK128" s="177">
        <v>174.0</v>
      </c>
      <c r="FL128" s="177">
        <v>432.0</v>
      </c>
      <c r="FM128" s="177">
        <v>130.0</v>
      </c>
      <c r="FN128" s="180"/>
      <c r="FO128" s="180">
        <v>19.0</v>
      </c>
      <c r="FP128" s="243">
        <v>19.0</v>
      </c>
      <c r="FQ128" s="211">
        <v>2.0</v>
      </c>
      <c r="FR128" s="212">
        <v>17.0</v>
      </c>
      <c r="FS128" s="206">
        <v>0.0</v>
      </c>
      <c r="FT128" s="207">
        <v>0.0</v>
      </c>
      <c r="FU128" s="207">
        <v>2.0</v>
      </c>
      <c r="FV128" s="207">
        <v>17.0</v>
      </c>
      <c r="FW128" s="207">
        <v>0.0</v>
      </c>
      <c r="FX128" s="207">
        <v>0.0</v>
      </c>
      <c r="FY128" s="207">
        <v>0.0</v>
      </c>
      <c r="FZ128" s="207">
        <v>0.0</v>
      </c>
      <c r="GA128" s="207">
        <v>0.0</v>
      </c>
      <c r="GB128" s="207">
        <v>0.0</v>
      </c>
      <c r="GC128" s="207">
        <v>0.0</v>
      </c>
      <c r="GD128" s="207">
        <v>0.0</v>
      </c>
      <c r="GE128" s="207">
        <v>0.0</v>
      </c>
      <c r="GF128" s="207">
        <v>0.0</v>
      </c>
      <c r="GG128" s="207">
        <v>0.0</v>
      </c>
      <c r="GH128" s="207">
        <v>0.0</v>
      </c>
      <c r="GI128" s="207">
        <v>0.0</v>
      </c>
      <c r="GJ128" s="207">
        <v>0.0</v>
      </c>
      <c r="GK128" s="212">
        <v>0.0</v>
      </c>
      <c r="GL128" s="212">
        <v>0.0</v>
      </c>
      <c r="GM128" s="207">
        <v>460.0</v>
      </c>
      <c r="GN128" s="207">
        <v>184.0</v>
      </c>
      <c r="GO128" s="213">
        <v>430.0</v>
      </c>
      <c r="GP128" s="213">
        <v>154.0</v>
      </c>
      <c r="GQ128" s="207"/>
      <c r="GR128" s="213">
        <v>18.0</v>
      </c>
      <c r="GS128" s="193">
        <v>2.0</v>
      </c>
      <c r="GT128" s="194">
        <f t="shared" si="25"/>
        <v>18</v>
      </c>
      <c r="GU128" s="194">
        <f t="shared" si="26"/>
        <v>2</v>
      </c>
      <c r="GV128" s="194">
        <f t="shared" si="27"/>
        <v>16</v>
      </c>
      <c r="GW128" s="206">
        <v>0.0</v>
      </c>
      <c r="GX128" s="207">
        <v>0.0</v>
      </c>
      <c r="GY128" s="207">
        <v>2.0</v>
      </c>
      <c r="GZ128" s="207">
        <v>16.0</v>
      </c>
      <c r="HA128" s="177">
        <v>0.0</v>
      </c>
      <c r="HB128" s="177">
        <v>0.0</v>
      </c>
      <c r="HC128" s="177">
        <v>0.0</v>
      </c>
      <c r="HD128" s="177">
        <v>0.0</v>
      </c>
      <c r="HE128" s="177">
        <v>0.0</v>
      </c>
      <c r="HF128" s="177">
        <v>0.0</v>
      </c>
      <c r="HG128" s="177">
        <v>0.0</v>
      </c>
      <c r="HH128" s="177">
        <v>0.0</v>
      </c>
      <c r="HI128" s="177">
        <v>0.0</v>
      </c>
      <c r="HJ128" s="177">
        <v>0.0</v>
      </c>
      <c r="HK128" s="177">
        <v>0.0</v>
      </c>
      <c r="HL128" s="177">
        <v>0.0</v>
      </c>
      <c r="HM128" s="207">
        <v>1.0</v>
      </c>
      <c r="HN128" s="177">
        <v>0.0</v>
      </c>
      <c r="HO128" s="222"/>
      <c r="HP128" s="222"/>
      <c r="HQ128" s="214"/>
      <c r="HR128" s="197"/>
      <c r="HS128" s="197"/>
      <c r="HT128" s="198">
        <f t="shared" si="28"/>
        <v>7</v>
      </c>
      <c r="HU128" s="198">
        <f t="shared" si="29"/>
        <v>7</v>
      </c>
      <c r="HV128" s="198">
        <f t="shared" si="30"/>
        <v>4</v>
      </c>
      <c r="HW128" s="198">
        <f t="shared" si="99"/>
        <v>12</v>
      </c>
      <c r="HX128" s="198">
        <f t="shared" si="32"/>
        <v>15</v>
      </c>
      <c r="HY128" s="198">
        <f t="shared" si="33"/>
        <v>4</v>
      </c>
      <c r="HZ128" s="198">
        <f t="shared" si="34"/>
        <v>9</v>
      </c>
      <c r="IA128" s="198">
        <f t="shared" si="35"/>
        <v>21</v>
      </c>
      <c r="IB128" s="198">
        <f t="shared" si="36"/>
        <v>19</v>
      </c>
      <c r="IC128" s="198">
        <f t="shared" si="37"/>
        <v>18</v>
      </c>
      <c r="ID128" s="198">
        <f t="shared" si="38"/>
        <v>19</v>
      </c>
      <c r="IE128" s="198">
        <f t="shared" si="39"/>
        <v>18</v>
      </c>
      <c r="IF128" s="197"/>
      <c r="IG128" s="197"/>
      <c r="IH128" s="197"/>
      <c r="II128" s="197"/>
      <c r="IJ128" s="197"/>
      <c r="IK128" s="197"/>
      <c r="IL128" s="197"/>
      <c r="IM128" s="197"/>
      <c r="IN128" s="197"/>
      <c r="IO128" s="197"/>
      <c r="IP128" s="197"/>
      <c r="IQ128" s="197"/>
      <c r="IR128" s="197"/>
      <c r="IS128" s="197"/>
      <c r="IT128" s="197"/>
      <c r="IU128" s="197"/>
      <c r="IV128" s="197"/>
      <c r="IW128" s="197"/>
      <c r="IX128" s="197"/>
      <c r="IY128" s="197"/>
      <c r="IZ128" s="197"/>
      <c r="JA128" s="199"/>
      <c r="JB128" s="200">
        <f t="shared" si="40"/>
        <v>7</v>
      </c>
      <c r="JC128" s="200">
        <f t="shared" si="41"/>
        <v>7</v>
      </c>
      <c r="JD128" s="200">
        <f t="shared" si="42"/>
        <v>4</v>
      </c>
      <c r="JE128" s="200">
        <f t="shared" si="43"/>
        <v>12</v>
      </c>
      <c r="JF128" s="200">
        <f t="shared" si="44"/>
        <v>15</v>
      </c>
      <c r="JG128" s="200">
        <f t="shared" si="45"/>
        <v>4</v>
      </c>
      <c r="JH128" s="200">
        <f t="shared" si="46"/>
        <v>9</v>
      </c>
      <c r="JI128" s="200">
        <f t="shared" si="47"/>
        <v>21</v>
      </c>
      <c r="JJ128" s="200">
        <f t="shared" si="48"/>
        <v>19</v>
      </c>
      <c r="JK128" s="200">
        <f t="shared" si="49"/>
        <v>18</v>
      </c>
      <c r="JL128" s="200">
        <f t="shared" si="50"/>
        <v>19</v>
      </c>
      <c r="JM128" s="200">
        <f t="shared" si="51"/>
        <v>18</v>
      </c>
      <c r="JN128" s="199"/>
      <c r="JO128" s="200">
        <f t="shared" si="52"/>
        <v>7</v>
      </c>
      <c r="JP128" s="202">
        <v>7.0</v>
      </c>
      <c r="JQ128" s="202">
        <v>4.0</v>
      </c>
      <c r="JR128" s="202">
        <v>12.0</v>
      </c>
      <c r="JS128" s="202">
        <v>15.0</v>
      </c>
      <c r="JT128" s="199"/>
      <c r="JU128" s="199"/>
      <c r="JV128" s="200">
        <f t="shared" ref="JV128:JX128" si="319">IA128-JI128</f>
        <v>0</v>
      </c>
      <c r="JW128" s="200">
        <f t="shared" si="319"/>
        <v>0</v>
      </c>
      <c r="JX128" s="200">
        <f t="shared" si="319"/>
        <v>0</v>
      </c>
      <c r="JY128" s="199"/>
      <c r="JZ128" s="199"/>
      <c r="KA128" s="199"/>
      <c r="KB128" s="200">
        <f t="shared" ref="KB128:KM128" si="320">JB128-JO128</f>
        <v>0</v>
      </c>
      <c r="KC128" s="200">
        <f t="shared" si="320"/>
        <v>0</v>
      </c>
      <c r="KD128" s="200">
        <f t="shared" si="320"/>
        <v>0</v>
      </c>
      <c r="KE128" s="200">
        <f t="shared" si="320"/>
        <v>0</v>
      </c>
      <c r="KF128" s="200">
        <f t="shared" si="320"/>
        <v>0</v>
      </c>
      <c r="KG128" s="200">
        <f t="shared" si="320"/>
        <v>4</v>
      </c>
      <c r="KH128" s="200">
        <f t="shared" si="320"/>
        <v>9</v>
      </c>
      <c r="KI128" s="200">
        <f t="shared" si="320"/>
        <v>21</v>
      </c>
      <c r="KJ128" s="200">
        <f t="shared" si="320"/>
        <v>19</v>
      </c>
      <c r="KK128" s="200">
        <f t="shared" si="320"/>
        <v>18</v>
      </c>
      <c r="KL128" s="200">
        <f t="shared" si="320"/>
        <v>19</v>
      </c>
      <c r="KM128" s="200">
        <f t="shared" si="320"/>
        <v>18</v>
      </c>
      <c r="KN128" s="199"/>
      <c r="KO128" s="199"/>
      <c r="KP128" s="199"/>
      <c r="KQ128" s="199"/>
      <c r="KR128" s="199"/>
      <c r="KS128" s="199"/>
      <c r="KT128" s="199"/>
      <c r="KU128" s="199"/>
      <c r="KV128" s="199"/>
      <c r="KW128" s="199"/>
      <c r="KX128" s="199"/>
      <c r="KY128" s="199"/>
      <c r="KZ128" s="199"/>
      <c r="LA128" s="199"/>
      <c r="LB128" s="199"/>
      <c r="LC128" s="199"/>
      <c r="LD128" s="199"/>
      <c r="LE128" s="199"/>
      <c r="LF128" s="199"/>
      <c r="LG128" s="199"/>
    </row>
    <row r="129" ht="14.25" customHeight="1">
      <c r="A129" s="156">
        <v>122.0</v>
      </c>
      <c r="B129" s="157" t="s">
        <v>222</v>
      </c>
      <c r="C129" s="158">
        <v>3374020.0</v>
      </c>
      <c r="D129" s="158" t="s">
        <v>229</v>
      </c>
      <c r="E129" s="256" t="s">
        <v>231</v>
      </c>
      <c r="F129" s="159">
        <v>8.0</v>
      </c>
      <c r="G129" s="285">
        <v>322.0</v>
      </c>
      <c r="H129" s="160">
        <v>5.0</v>
      </c>
      <c r="I129" s="161">
        <v>0.0</v>
      </c>
      <c r="J129" s="161">
        <v>0.0</v>
      </c>
      <c r="K129" s="161">
        <v>0.0</v>
      </c>
      <c r="L129" s="161">
        <v>5.0</v>
      </c>
      <c r="M129" s="161">
        <v>0.0</v>
      </c>
      <c r="N129" s="161">
        <v>0.0</v>
      </c>
      <c r="O129" s="162">
        <f t="shared" si="213"/>
        <v>5</v>
      </c>
      <c r="P129" s="203">
        <v>5.0</v>
      </c>
      <c r="Q129" s="164">
        <v>0.0</v>
      </c>
      <c r="R129" s="164">
        <v>0.0</v>
      </c>
      <c r="S129" s="164">
        <v>2.0</v>
      </c>
      <c r="T129" s="165">
        <v>3.0</v>
      </c>
      <c r="U129" s="165">
        <v>2.0</v>
      </c>
      <c r="V129" s="165"/>
      <c r="W129" s="166">
        <f t="shared" si="225"/>
        <v>3</v>
      </c>
      <c r="X129" s="203">
        <v>5.0</v>
      </c>
      <c r="Y129" s="164">
        <v>0.0</v>
      </c>
      <c r="Z129" s="164">
        <v>2.0</v>
      </c>
      <c r="AA129" s="164">
        <v>2.0</v>
      </c>
      <c r="AB129" s="165">
        <v>1.0</v>
      </c>
      <c r="AC129" s="165">
        <v>4.0</v>
      </c>
      <c r="AD129" s="165"/>
      <c r="AE129" s="166">
        <f t="shared" si="214"/>
        <v>1</v>
      </c>
      <c r="AF129" s="167">
        <v>7.0</v>
      </c>
      <c r="AG129" s="165">
        <v>0.0</v>
      </c>
      <c r="AH129" s="164">
        <v>1.0</v>
      </c>
      <c r="AI129" s="164">
        <v>2.0</v>
      </c>
      <c r="AJ129" s="165">
        <v>4.0</v>
      </c>
      <c r="AK129" s="165">
        <v>3.0</v>
      </c>
      <c r="AL129" s="165"/>
      <c r="AM129" s="166">
        <f t="shared" si="215"/>
        <v>4</v>
      </c>
      <c r="AN129" s="167">
        <v>8.0</v>
      </c>
      <c r="AO129" s="165">
        <v>0.0</v>
      </c>
      <c r="AP129" s="164">
        <v>1.0</v>
      </c>
      <c r="AQ129" s="452">
        <v>0.0</v>
      </c>
      <c r="AR129" s="165">
        <v>7.0</v>
      </c>
      <c r="AS129" s="165"/>
      <c r="AT129" s="165"/>
      <c r="AU129" s="168">
        <f t="shared" si="216"/>
        <v>8</v>
      </c>
      <c r="AV129" s="169">
        <v>408.0</v>
      </c>
      <c r="AW129" s="170">
        <f t="shared" si="8"/>
        <v>15</v>
      </c>
      <c r="AX129" s="165">
        <v>0.0</v>
      </c>
      <c r="AY129" s="164">
        <v>1.0</v>
      </c>
      <c r="AZ129" s="452">
        <v>0.0</v>
      </c>
      <c r="BA129" s="165">
        <v>7.0</v>
      </c>
      <c r="BB129" s="169">
        <v>1.0</v>
      </c>
      <c r="BC129" s="169">
        <v>1.0</v>
      </c>
      <c r="BD129" s="169">
        <v>1.0</v>
      </c>
      <c r="BE129" s="169">
        <v>4.0</v>
      </c>
      <c r="BF129" s="169">
        <v>0.0</v>
      </c>
      <c r="BG129" s="169">
        <v>0.0</v>
      </c>
      <c r="BH129" s="169">
        <v>0.0</v>
      </c>
      <c r="BI129" s="169">
        <v>0.0</v>
      </c>
      <c r="BJ129" s="169">
        <v>0.0</v>
      </c>
      <c r="BK129" s="169">
        <v>0.0</v>
      </c>
      <c r="BL129" s="169">
        <v>0.0</v>
      </c>
      <c r="BM129" s="169">
        <v>0.0</v>
      </c>
      <c r="BN129" s="169">
        <v>0.0</v>
      </c>
      <c r="BO129" s="169">
        <v>0.0</v>
      </c>
      <c r="BP129" s="205">
        <f t="shared" si="131"/>
        <v>0</v>
      </c>
      <c r="BQ129" s="169">
        <v>426.0</v>
      </c>
      <c r="BR129" s="170">
        <f t="shared" si="10"/>
        <v>11</v>
      </c>
      <c r="BS129" s="173">
        <v>1.0</v>
      </c>
      <c r="BT129" s="173">
        <v>2.0</v>
      </c>
      <c r="BU129" s="173">
        <v>1.0</v>
      </c>
      <c r="BV129" s="173">
        <v>6.0</v>
      </c>
      <c r="BW129" s="173">
        <v>0.0</v>
      </c>
      <c r="BX129" s="173">
        <v>0.0</v>
      </c>
      <c r="BY129" s="173">
        <v>1.0</v>
      </c>
      <c r="BZ129" s="173">
        <v>0.0</v>
      </c>
      <c r="CA129" s="173">
        <v>0.0</v>
      </c>
      <c r="CB129" s="173">
        <v>0.0</v>
      </c>
      <c r="CC129" s="173">
        <v>0.0</v>
      </c>
      <c r="CD129" s="173">
        <v>5.0</v>
      </c>
      <c r="CE129" s="173">
        <v>0.0</v>
      </c>
      <c r="CF129" s="173">
        <v>0.0</v>
      </c>
      <c r="CG129" s="173">
        <v>0.0</v>
      </c>
      <c r="CH129" s="173">
        <v>0.0</v>
      </c>
      <c r="CI129" s="173">
        <v>0.0</v>
      </c>
      <c r="CJ129" s="173">
        <v>0.0</v>
      </c>
      <c r="CK129" s="172">
        <f t="shared" si="132"/>
        <v>5</v>
      </c>
      <c r="CL129" s="173">
        <v>418.0</v>
      </c>
      <c r="CM129" s="173">
        <v>179.0</v>
      </c>
      <c r="CN129" s="175">
        <f t="shared" si="295"/>
        <v>20</v>
      </c>
      <c r="CO129" s="173">
        <v>0.0</v>
      </c>
      <c r="CP129" s="173">
        <v>1.0</v>
      </c>
      <c r="CQ129" s="173">
        <v>2.0</v>
      </c>
      <c r="CR129" s="173">
        <v>6.0</v>
      </c>
      <c r="CS129" s="173">
        <v>0.0</v>
      </c>
      <c r="CT129" s="173">
        <v>0.0</v>
      </c>
      <c r="CU129" s="173">
        <v>2.0</v>
      </c>
      <c r="CV129" s="173">
        <v>9.0</v>
      </c>
      <c r="CW129" s="173">
        <v>1.0</v>
      </c>
      <c r="CX129" s="173">
        <v>1.0</v>
      </c>
      <c r="CY129" s="173">
        <v>0.0</v>
      </c>
      <c r="CZ129" s="173">
        <v>0.0</v>
      </c>
      <c r="DA129" s="173">
        <v>0.0</v>
      </c>
      <c r="DB129" s="173">
        <v>0.0</v>
      </c>
      <c r="DC129" s="173">
        <v>0.0</v>
      </c>
      <c r="DD129" s="173">
        <v>0.0</v>
      </c>
      <c r="DE129" s="173">
        <v>0.0</v>
      </c>
      <c r="DF129" s="173">
        <v>0.0</v>
      </c>
      <c r="DG129" s="176">
        <f t="shared" si="13"/>
        <v>2</v>
      </c>
      <c r="DH129" s="276">
        <v>463.0</v>
      </c>
      <c r="DI129" s="276">
        <v>171.0</v>
      </c>
      <c r="DJ129" s="178">
        <v>392.0</v>
      </c>
      <c r="DK129" s="178">
        <v>111.0</v>
      </c>
      <c r="DL129" s="179">
        <f t="shared" si="14"/>
        <v>19</v>
      </c>
      <c r="DM129" s="180">
        <f t="shared" si="15"/>
        <v>5</v>
      </c>
      <c r="DN129" s="180">
        <f t="shared" si="16"/>
        <v>14</v>
      </c>
      <c r="DO129" s="177">
        <v>0.0</v>
      </c>
      <c r="DP129" s="177">
        <v>0.0</v>
      </c>
      <c r="DQ129" s="177">
        <v>5.0</v>
      </c>
      <c r="DR129" s="177">
        <v>14.0</v>
      </c>
      <c r="DS129" s="177">
        <v>0.0</v>
      </c>
      <c r="DT129" s="177">
        <v>0.0</v>
      </c>
      <c r="DU129" s="177">
        <v>0.0</v>
      </c>
      <c r="DV129" s="177">
        <v>0.0</v>
      </c>
      <c r="DW129" s="177">
        <v>0.0</v>
      </c>
      <c r="DX129" s="177">
        <v>0.0</v>
      </c>
      <c r="DY129" s="177">
        <v>0.0</v>
      </c>
      <c r="DZ129" s="177">
        <v>1.0</v>
      </c>
      <c r="EA129" s="177">
        <v>0.0</v>
      </c>
      <c r="EB129" s="177">
        <v>0.0</v>
      </c>
      <c r="EC129" s="177">
        <v>0.0</v>
      </c>
      <c r="ED129" s="177">
        <v>0.0</v>
      </c>
      <c r="EE129" s="177">
        <v>0.0</v>
      </c>
      <c r="EF129" s="177">
        <v>0.0</v>
      </c>
      <c r="EG129" s="179">
        <f t="shared" si="17"/>
        <v>1</v>
      </c>
      <c r="EH129" s="179">
        <f t="shared" si="18"/>
        <v>0</v>
      </c>
      <c r="EI129" s="276">
        <v>479.0</v>
      </c>
      <c r="EJ129" s="276">
        <v>185.0</v>
      </c>
      <c r="EK129" s="178">
        <v>444.0</v>
      </c>
      <c r="EL129" s="276">
        <v>162.0</v>
      </c>
      <c r="EM129" s="186">
        <v>18.0</v>
      </c>
      <c r="EN129" s="186">
        <f t="shared" si="202"/>
        <v>5</v>
      </c>
      <c r="EO129" s="186">
        <f t="shared" si="90"/>
        <v>13</v>
      </c>
      <c r="EP129" s="177">
        <v>0.0</v>
      </c>
      <c r="EQ129" s="177">
        <v>0.0</v>
      </c>
      <c r="ER129" s="177">
        <v>5.0</v>
      </c>
      <c r="ES129" s="177">
        <v>13.0</v>
      </c>
      <c r="ET129" s="177">
        <v>0.0</v>
      </c>
      <c r="EU129" s="177">
        <v>0.0</v>
      </c>
      <c r="EV129" s="177">
        <v>0.0</v>
      </c>
      <c r="EW129" s="177">
        <v>0.0</v>
      </c>
      <c r="EX129" s="177">
        <v>0.0</v>
      </c>
      <c r="EY129" s="177">
        <v>0.0</v>
      </c>
      <c r="EZ129" s="177">
        <v>0.0</v>
      </c>
      <c r="FA129" s="177">
        <v>0.0</v>
      </c>
      <c r="FB129" s="177">
        <v>0.0</v>
      </c>
      <c r="FC129" s="177">
        <v>0.0</v>
      </c>
      <c r="FD129" s="177">
        <v>0.0</v>
      </c>
      <c r="FE129" s="177">
        <v>0.0</v>
      </c>
      <c r="FF129" s="177">
        <v>0.0</v>
      </c>
      <c r="FG129" s="177">
        <v>0.0</v>
      </c>
      <c r="FH129" s="185">
        <f t="shared" si="22"/>
        <v>0</v>
      </c>
      <c r="FI129" s="185">
        <f t="shared" si="23"/>
        <v>0</v>
      </c>
      <c r="FJ129" s="177">
        <v>477.0</v>
      </c>
      <c r="FK129" s="177">
        <v>187.0</v>
      </c>
      <c r="FL129" s="177">
        <v>459.0</v>
      </c>
      <c r="FM129" s="177">
        <v>169.0</v>
      </c>
      <c r="FN129" s="180"/>
      <c r="FO129" s="180">
        <v>18.0</v>
      </c>
      <c r="FP129" s="243">
        <v>18.0</v>
      </c>
      <c r="FQ129" s="211">
        <v>5.0</v>
      </c>
      <c r="FR129" s="212">
        <v>13.0</v>
      </c>
      <c r="FS129" s="206">
        <v>0.0</v>
      </c>
      <c r="FT129" s="207">
        <v>0.0</v>
      </c>
      <c r="FU129" s="207">
        <v>5.0</v>
      </c>
      <c r="FV129" s="207">
        <v>13.0</v>
      </c>
      <c r="FW129" s="207">
        <v>0.0</v>
      </c>
      <c r="FX129" s="207">
        <v>0.0</v>
      </c>
      <c r="FY129" s="207">
        <v>0.0</v>
      </c>
      <c r="FZ129" s="207">
        <v>0.0</v>
      </c>
      <c r="GA129" s="207">
        <v>0.0</v>
      </c>
      <c r="GB129" s="207">
        <v>0.0</v>
      </c>
      <c r="GC129" s="207">
        <v>0.0</v>
      </c>
      <c r="GD129" s="207">
        <v>0.0</v>
      </c>
      <c r="GE129" s="207">
        <v>0.0</v>
      </c>
      <c r="GF129" s="207">
        <v>0.0</v>
      </c>
      <c r="GG129" s="207">
        <v>0.0</v>
      </c>
      <c r="GH129" s="207">
        <v>0.0</v>
      </c>
      <c r="GI129" s="207">
        <v>1.0</v>
      </c>
      <c r="GJ129" s="207">
        <v>0.0</v>
      </c>
      <c r="GK129" s="212">
        <v>1.0</v>
      </c>
      <c r="GL129" s="212">
        <v>0.0</v>
      </c>
      <c r="GM129" s="207">
        <v>508.0</v>
      </c>
      <c r="GN129" s="207">
        <v>215.0</v>
      </c>
      <c r="GO129" s="213">
        <v>465.0</v>
      </c>
      <c r="GP129" s="213">
        <v>172.0</v>
      </c>
      <c r="GQ129" s="207"/>
      <c r="GR129" s="213">
        <v>18.0</v>
      </c>
      <c r="GS129" s="193">
        <v>2.0</v>
      </c>
      <c r="GT129" s="194">
        <f t="shared" si="25"/>
        <v>18</v>
      </c>
      <c r="GU129" s="194">
        <f t="shared" si="26"/>
        <v>2</v>
      </c>
      <c r="GV129" s="194">
        <f t="shared" si="27"/>
        <v>16</v>
      </c>
      <c r="GW129" s="206">
        <v>0.0</v>
      </c>
      <c r="GX129" s="207">
        <v>0.0</v>
      </c>
      <c r="GY129" s="207">
        <v>2.0</v>
      </c>
      <c r="GZ129" s="207">
        <v>16.0</v>
      </c>
      <c r="HA129" s="177">
        <v>0.0</v>
      </c>
      <c r="HB129" s="177">
        <v>0.0</v>
      </c>
      <c r="HC129" s="177">
        <v>0.0</v>
      </c>
      <c r="HD129" s="177">
        <v>0.0</v>
      </c>
      <c r="HE129" s="177">
        <v>0.0</v>
      </c>
      <c r="HF129" s="177">
        <v>0.0</v>
      </c>
      <c r="HG129" s="177">
        <v>0.0</v>
      </c>
      <c r="HH129" s="177">
        <v>0.0</v>
      </c>
      <c r="HI129" s="177">
        <v>0.0</v>
      </c>
      <c r="HJ129" s="177">
        <v>0.0</v>
      </c>
      <c r="HK129" s="177">
        <v>0.0</v>
      </c>
      <c r="HL129" s="177">
        <v>0.0</v>
      </c>
      <c r="HM129" s="177">
        <v>0.0</v>
      </c>
      <c r="HN129" s="177">
        <v>0.0</v>
      </c>
      <c r="HO129" s="222"/>
      <c r="HP129" s="222"/>
      <c r="HQ129" s="214"/>
      <c r="HR129" s="197"/>
      <c r="HS129" s="197"/>
      <c r="HT129" s="198">
        <f t="shared" si="28"/>
        <v>5</v>
      </c>
      <c r="HU129" s="198">
        <f t="shared" si="29"/>
        <v>5</v>
      </c>
      <c r="HV129" s="198">
        <f t="shared" si="30"/>
        <v>5</v>
      </c>
      <c r="HW129" s="198">
        <f t="shared" si="99"/>
        <v>7</v>
      </c>
      <c r="HX129" s="198">
        <f t="shared" si="32"/>
        <v>8</v>
      </c>
      <c r="HY129" s="198">
        <f t="shared" si="33"/>
        <v>15</v>
      </c>
      <c r="HZ129" s="198">
        <f t="shared" si="34"/>
        <v>11</v>
      </c>
      <c r="IA129" s="198">
        <f t="shared" si="35"/>
        <v>20</v>
      </c>
      <c r="IB129" s="198">
        <f t="shared" si="36"/>
        <v>19</v>
      </c>
      <c r="IC129" s="198">
        <f t="shared" si="37"/>
        <v>18</v>
      </c>
      <c r="ID129" s="198">
        <f t="shared" si="38"/>
        <v>18</v>
      </c>
      <c r="IE129" s="198">
        <f t="shared" si="39"/>
        <v>18</v>
      </c>
      <c r="IF129" s="197"/>
      <c r="IG129" s="197"/>
      <c r="IH129" s="197"/>
      <c r="II129" s="197"/>
      <c r="IJ129" s="197"/>
      <c r="IK129" s="197"/>
      <c r="IL129" s="197"/>
      <c r="IM129" s="197"/>
      <c r="IN129" s="197"/>
      <c r="IO129" s="197"/>
      <c r="IP129" s="197"/>
      <c r="IQ129" s="197"/>
      <c r="IR129" s="197"/>
      <c r="IS129" s="197"/>
      <c r="IT129" s="197"/>
      <c r="IU129" s="197"/>
      <c r="IV129" s="197"/>
      <c r="IW129" s="197"/>
      <c r="IX129" s="197"/>
      <c r="IY129" s="197"/>
      <c r="IZ129" s="197"/>
      <c r="JA129" s="199"/>
      <c r="JB129" s="200">
        <f t="shared" si="40"/>
        <v>5</v>
      </c>
      <c r="JC129" s="200">
        <f t="shared" si="41"/>
        <v>5</v>
      </c>
      <c r="JD129" s="200">
        <f t="shared" si="42"/>
        <v>5</v>
      </c>
      <c r="JE129" s="200">
        <f t="shared" si="43"/>
        <v>7</v>
      </c>
      <c r="JF129" s="200">
        <f t="shared" si="44"/>
        <v>8</v>
      </c>
      <c r="JG129" s="200">
        <f t="shared" si="45"/>
        <v>15</v>
      </c>
      <c r="JH129" s="200">
        <f t="shared" si="46"/>
        <v>11</v>
      </c>
      <c r="JI129" s="200">
        <f t="shared" si="47"/>
        <v>20</v>
      </c>
      <c r="JJ129" s="200">
        <f t="shared" si="48"/>
        <v>19</v>
      </c>
      <c r="JK129" s="200">
        <f t="shared" si="49"/>
        <v>18</v>
      </c>
      <c r="JL129" s="200">
        <f t="shared" si="50"/>
        <v>18</v>
      </c>
      <c r="JM129" s="200">
        <f t="shared" si="51"/>
        <v>18</v>
      </c>
      <c r="JN129" s="199"/>
      <c r="JO129" s="200">
        <f t="shared" si="52"/>
        <v>5</v>
      </c>
      <c r="JP129" s="202">
        <v>5.0</v>
      </c>
      <c r="JQ129" s="202">
        <v>5.0</v>
      </c>
      <c r="JR129" s="202">
        <v>7.0</v>
      </c>
      <c r="JS129" s="202">
        <v>8.0</v>
      </c>
      <c r="JT129" s="199"/>
      <c r="JU129" s="199"/>
      <c r="JV129" s="200">
        <f t="shared" ref="JV129:JX129" si="321">IA129-JI129</f>
        <v>0</v>
      </c>
      <c r="JW129" s="200">
        <f t="shared" si="321"/>
        <v>0</v>
      </c>
      <c r="JX129" s="200">
        <f t="shared" si="321"/>
        <v>0</v>
      </c>
      <c r="JY129" s="199"/>
      <c r="JZ129" s="199"/>
      <c r="KA129" s="199"/>
      <c r="KB129" s="200">
        <f t="shared" ref="KB129:KM129" si="322">JB129-JO129</f>
        <v>0</v>
      </c>
      <c r="KC129" s="200">
        <f t="shared" si="322"/>
        <v>0</v>
      </c>
      <c r="KD129" s="200">
        <f t="shared" si="322"/>
        <v>0</v>
      </c>
      <c r="KE129" s="200">
        <f t="shared" si="322"/>
        <v>0</v>
      </c>
      <c r="KF129" s="200">
        <f t="shared" si="322"/>
        <v>0</v>
      </c>
      <c r="KG129" s="200">
        <f t="shared" si="322"/>
        <v>15</v>
      </c>
      <c r="KH129" s="200">
        <f t="shared" si="322"/>
        <v>11</v>
      </c>
      <c r="KI129" s="200">
        <f t="shared" si="322"/>
        <v>20</v>
      </c>
      <c r="KJ129" s="200">
        <f t="shared" si="322"/>
        <v>19</v>
      </c>
      <c r="KK129" s="200">
        <f t="shared" si="322"/>
        <v>18</v>
      </c>
      <c r="KL129" s="200">
        <f t="shared" si="322"/>
        <v>18</v>
      </c>
      <c r="KM129" s="200">
        <f t="shared" si="322"/>
        <v>18</v>
      </c>
      <c r="KN129" s="199"/>
      <c r="KO129" s="199"/>
      <c r="KP129" s="199"/>
      <c r="KQ129" s="199"/>
      <c r="KR129" s="199"/>
      <c r="KS129" s="199"/>
      <c r="KT129" s="199"/>
      <c r="KU129" s="199"/>
      <c r="KV129" s="199"/>
      <c r="KW129" s="199"/>
      <c r="KX129" s="199"/>
      <c r="KY129" s="199"/>
      <c r="KZ129" s="199"/>
      <c r="LA129" s="199"/>
      <c r="LB129" s="199"/>
      <c r="LC129" s="199"/>
      <c r="LD129" s="199"/>
      <c r="LE129" s="199"/>
      <c r="LF129" s="199"/>
      <c r="LG129" s="199"/>
    </row>
    <row r="130" ht="14.25" customHeight="1">
      <c r="A130" s="156">
        <v>123.0</v>
      </c>
      <c r="B130" s="157" t="s">
        <v>222</v>
      </c>
      <c r="C130" s="158">
        <v>3374020.0</v>
      </c>
      <c r="D130" s="158" t="s">
        <v>229</v>
      </c>
      <c r="E130" s="256" t="s">
        <v>232</v>
      </c>
      <c r="F130" s="159">
        <v>11.0</v>
      </c>
      <c r="G130" s="285">
        <v>517.0</v>
      </c>
      <c r="H130" s="160">
        <v>15.0</v>
      </c>
      <c r="I130" s="161">
        <v>0.0</v>
      </c>
      <c r="J130" s="161">
        <v>0.0</v>
      </c>
      <c r="K130" s="161">
        <v>2.0</v>
      </c>
      <c r="L130" s="161">
        <v>13.0</v>
      </c>
      <c r="M130" s="161"/>
      <c r="N130" s="161"/>
      <c r="O130" s="162">
        <f t="shared" si="213"/>
        <v>15</v>
      </c>
      <c r="P130" s="203">
        <v>15.0</v>
      </c>
      <c r="Q130" s="164">
        <v>0.0</v>
      </c>
      <c r="R130" s="164">
        <v>1.0</v>
      </c>
      <c r="S130" s="164">
        <v>5.0</v>
      </c>
      <c r="T130" s="165">
        <v>9.0</v>
      </c>
      <c r="U130" s="165">
        <v>3.0</v>
      </c>
      <c r="V130" s="165"/>
      <c r="W130" s="166">
        <f t="shared" si="225"/>
        <v>12</v>
      </c>
      <c r="X130" s="203">
        <v>21.0</v>
      </c>
      <c r="Y130" s="164">
        <v>1.0</v>
      </c>
      <c r="Z130" s="164">
        <v>2.0</v>
      </c>
      <c r="AA130" s="164">
        <v>8.0</v>
      </c>
      <c r="AB130" s="165">
        <v>10.0</v>
      </c>
      <c r="AC130" s="165">
        <v>6.0</v>
      </c>
      <c r="AD130" s="165"/>
      <c r="AE130" s="166">
        <f t="shared" si="214"/>
        <v>15</v>
      </c>
      <c r="AF130" s="167">
        <v>17.0</v>
      </c>
      <c r="AG130" s="165">
        <v>0.0</v>
      </c>
      <c r="AH130" s="164">
        <v>0.0</v>
      </c>
      <c r="AI130" s="164">
        <v>4.0</v>
      </c>
      <c r="AJ130" s="165">
        <v>13.0</v>
      </c>
      <c r="AK130" s="165"/>
      <c r="AL130" s="165"/>
      <c r="AM130" s="166">
        <f t="shared" si="215"/>
        <v>17</v>
      </c>
      <c r="AN130" s="167">
        <v>23.0</v>
      </c>
      <c r="AO130" s="165">
        <v>1.0</v>
      </c>
      <c r="AP130" s="164">
        <v>2.0</v>
      </c>
      <c r="AQ130" s="164">
        <v>5.0</v>
      </c>
      <c r="AR130" s="165">
        <v>15.0</v>
      </c>
      <c r="AS130" s="165"/>
      <c r="AT130" s="165"/>
      <c r="AU130" s="168">
        <f t="shared" si="216"/>
        <v>23</v>
      </c>
      <c r="AV130" s="169">
        <v>649.0</v>
      </c>
      <c r="AW130" s="170">
        <f t="shared" si="8"/>
        <v>7</v>
      </c>
      <c r="AX130" s="171">
        <v>0.0</v>
      </c>
      <c r="AY130" s="452">
        <v>1.0</v>
      </c>
      <c r="AZ130" s="452">
        <v>3.0</v>
      </c>
      <c r="BA130" s="171">
        <v>3.0</v>
      </c>
      <c r="BB130" s="169">
        <v>0.0</v>
      </c>
      <c r="BC130" s="169">
        <v>0.0</v>
      </c>
      <c r="BD130" s="169">
        <v>0.0</v>
      </c>
      <c r="BE130" s="169">
        <v>0.0</v>
      </c>
      <c r="BF130" s="169">
        <v>1.0</v>
      </c>
      <c r="BG130" s="169">
        <v>1.0</v>
      </c>
      <c r="BH130" s="169">
        <v>2.0</v>
      </c>
      <c r="BI130" s="169"/>
      <c r="BJ130" s="169">
        <v>0.0</v>
      </c>
      <c r="BK130" s="169">
        <v>0.0</v>
      </c>
      <c r="BL130" s="169">
        <v>0.0</v>
      </c>
      <c r="BM130" s="169">
        <v>0.0</v>
      </c>
      <c r="BN130" s="169">
        <v>0.0</v>
      </c>
      <c r="BO130" s="169">
        <v>0.0</v>
      </c>
      <c r="BP130" s="205">
        <f t="shared" si="131"/>
        <v>4</v>
      </c>
      <c r="BQ130" s="169">
        <v>649.0</v>
      </c>
      <c r="BR130" s="170">
        <f t="shared" si="10"/>
        <v>18</v>
      </c>
      <c r="BS130" s="173">
        <v>0.0</v>
      </c>
      <c r="BT130" s="173">
        <v>1.0</v>
      </c>
      <c r="BU130" s="173">
        <v>3.0</v>
      </c>
      <c r="BV130" s="173">
        <v>3.0</v>
      </c>
      <c r="BW130" s="173">
        <v>3.0</v>
      </c>
      <c r="BX130" s="173">
        <v>0.0</v>
      </c>
      <c r="BY130" s="173">
        <v>2.0</v>
      </c>
      <c r="BZ130" s="173">
        <v>6.0</v>
      </c>
      <c r="CA130" s="173">
        <v>0.0</v>
      </c>
      <c r="CB130" s="173">
        <v>0.0</v>
      </c>
      <c r="CC130" s="173">
        <v>0.0</v>
      </c>
      <c r="CD130" s="173">
        <v>0.0</v>
      </c>
      <c r="CE130" s="173">
        <v>0.0</v>
      </c>
      <c r="CF130" s="173">
        <v>0.0</v>
      </c>
      <c r="CG130" s="173">
        <v>0.0</v>
      </c>
      <c r="CH130" s="173">
        <v>0.0</v>
      </c>
      <c r="CI130" s="173">
        <v>0.0</v>
      </c>
      <c r="CJ130" s="173">
        <v>0.0</v>
      </c>
      <c r="CK130" s="172">
        <f t="shared" si="132"/>
        <v>0</v>
      </c>
      <c r="CL130" s="173">
        <v>559.0</v>
      </c>
      <c r="CM130" s="173">
        <v>228.0</v>
      </c>
      <c r="CN130" s="175">
        <f t="shared" si="295"/>
        <v>20</v>
      </c>
      <c r="CO130" s="173">
        <v>0.0</v>
      </c>
      <c r="CP130" s="173">
        <v>0.0</v>
      </c>
      <c r="CQ130" s="173">
        <v>5.0</v>
      </c>
      <c r="CR130" s="173">
        <v>9.0</v>
      </c>
      <c r="CS130" s="173">
        <v>0.0</v>
      </c>
      <c r="CT130" s="173">
        <v>0.0</v>
      </c>
      <c r="CU130" s="173">
        <v>2.0</v>
      </c>
      <c r="CV130" s="173">
        <v>4.0</v>
      </c>
      <c r="CW130" s="173">
        <v>3.0</v>
      </c>
      <c r="CX130" s="173">
        <v>1.0</v>
      </c>
      <c r="CY130" s="173">
        <v>1.0</v>
      </c>
      <c r="CZ130" s="173">
        <v>0.0</v>
      </c>
      <c r="DA130" s="173">
        <v>0.0</v>
      </c>
      <c r="DB130" s="173">
        <v>0.0</v>
      </c>
      <c r="DC130" s="173">
        <v>0.0</v>
      </c>
      <c r="DD130" s="173">
        <v>0.0</v>
      </c>
      <c r="DE130" s="173">
        <v>0.0</v>
      </c>
      <c r="DF130" s="173">
        <v>0.0</v>
      </c>
      <c r="DG130" s="176">
        <f t="shared" si="13"/>
        <v>5</v>
      </c>
      <c r="DH130" s="276">
        <v>656.0</v>
      </c>
      <c r="DI130" s="276">
        <v>221.0</v>
      </c>
      <c r="DJ130" s="178">
        <v>663.0</v>
      </c>
      <c r="DK130" s="178">
        <v>212.0</v>
      </c>
      <c r="DL130" s="179">
        <f t="shared" si="14"/>
        <v>16</v>
      </c>
      <c r="DM130" s="180">
        <f t="shared" si="15"/>
        <v>5</v>
      </c>
      <c r="DN130" s="180">
        <f t="shared" si="16"/>
        <v>11</v>
      </c>
      <c r="DO130" s="177">
        <v>0.0</v>
      </c>
      <c r="DP130" s="177">
        <v>0.0</v>
      </c>
      <c r="DQ130" s="177">
        <v>5.0</v>
      </c>
      <c r="DR130" s="177">
        <v>11.0</v>
      </c>
      <c r="DS130" s="177">
        <v>0.0</v>
      </c>
      <c r="DT130" s="177">
        <v>0.0</v>
      </c>
      <c r="DU130" s="177">
        <v>0.0</v>
      </c>
      <c r="DV130" s="177">
        <v>0.0</v>
      </c>
      <c r="DW130" s="177">
        <v>0.0</v>
      </c>
      <c r="DX130" s="177">
        <v>0.0</v>
      </c>
      <c r="DY130" s="177">
        <v>0.0</v>
      </c>
      <c r="DZ130" s="177">
        <v>3.0</v>
      </c>
      <c r="EA130" s="177">
        <v>0.0</v>
      </c>
      <c r="EB130" s="177">
        <v>0.0</v>
      </c>
      <c r="EC130" s="177">
        <v>0.0</v>
      </c>
      <c r="ED130" s="177">
        <v>0.0</v>
      </c>
      <c r="EE130" s="177">
        <v>0.0</v>
      </c>
      <c r="EF130" s="177">
        <v>0.0</v>
      </c>
      <c r="EG130" s="179">
        <f t="shared" si="17"/>
        <v>3</v>
      </c>
      <c r="EH130" s="179">
        <f t="shared" si="18"/>
        <v>0</v>
      </c>
      <c r="EI130" s="276">
        <v>677.0</v>
      </c>
      <c r="EJ130" s="276">
        <v>234.0</v>
      </c>
      <c r="EK130" s="178">
        <v>676.0</v>
      </c>
      <c r="EL130" s="276">
        <v>233.0</v>
      </c>
      <c r="EM130" s="186">
        <v>17.0</v>
      </c>
      <c r="EN130" s="186">
        <f t="shared" si="202"/>
        <v>3</v>
      </c>
      <c r="EO130" s="186">
        <f t="shared" si="90"/>
        <v>14</v>
      </c>
      <c r="EP130" s="177">
        <v>0.0</v>
      </c>
      <c r="EQ130" s="177">
        <v>0.0</v>
      </c>
      <c r="ER130" s="177">
        <v>3.0</v>
      </c>
      <c r="ES130" s="177">
        <v>11.0</v>
      </c>
      <c r="ET130" s="177">
        <v>0.0</v>
      </c>
      <c r="EU130" s="177">
        <v>0.0</v>
      </c>
      <c r="EV130" s="177">
        <v>0.0</v>
      </c>
      <c r="EW130" s="177">
        <v>3.0</v>
      </c>
      <c r="EX130" s="177">
        <v>0.0</v>
      </c>
      <c r="EY130" s="177">
        <v>0.0</v>
      </c>
      <c r="EZ130" s="177">
        <v>1.0</v>
      </c>
      <c r="FA130" s="177">
        <v>0.0</v>
      </c>
      <c r="FB130" s="177">
        <v>0.0</v>
      </c>
      <c r="FC130" s="177">
        <v>0.0</v>
      </c>
      <c r="FD130" s="177">
        <v>0.0</v>
      </c>
      <c r="FE130" s="177">
        <v>0.0</v>
      </c>
      <c r="FF130" s="177">
        <v>0.0</v>
      </c>
      <c r="FG130" s="177">
        <v>0.0</v>
      </c>
      <c r="FH130" s="185">
        <f t="shared" si="22"/>
        <v>1</v>
      </c>
      <c r="FI130" s="185">
        <f t="shared" si="23"/>
        <v>1</v>
      </c>
      <c r="FJ130" s="177">
        <v>697.0</v>
      </c>
      <c r="FK130" s="177">
        <v>240.0</v>
      </c>
      <c r="FL130" s="177">
        <v>673.0</v>
      </c>
      <c r="FM130" s="177">
        <v>216.0</v>
      </c>
      <c r="FN130" s="180"/>
      <c r="FO130" s="180">
        <v>17.0</v>
      </c>
      <c r="FP130" s="243">
        <v>17.0</v>
      </c>
      <c r="FQ130" s="211">
        <v>1.0</v>
      </c>
      <c r="FR130" s="212">
        <v>16.0</v>
      </c>
      <c r="FS130" s="206">
        <v>0.0</v>
      </c>
      <c r="FT130" s="207">
        <v>0.0</v>
      </c>
      <c r="FU130" s="207">
        <v>1.0</v>
      </c>
      <c r="FV130" s="207">
        <v>16.0</v>
      </c>
      <c r="FW130" s="207">
        <v>0.0</v>
      </c>
      <c r="FX130" s="207">
        <v>0.0</v>
      </c>
      <c r="FY130" s="207">
        <v>0.0</v>
      </c>
      <c r="FZ130" s="207">
        <v>0.0</v>
      </c>
      <c r="GA130" s="207">
        <v>0.0</v>
      </c>
      <c r="GB130" s="207">
        <v>0.0</v>
      </c>
      <c r="GC130" s="207">
        <v>0.0</v>
      </c>
      <c r="GD130" s="207">
        <v>0.0</v>
      </c>
      <c r="GE130" s="207">
        <v>0.0</v>
      </c>
      <c r="GF130" s="207">
        <v>0.0</v>
      </c>
      <c r="GG130" s="207">
        <v>0.0</v>
      </c>
      <c r="GH130" s="207">
        <v>0.0</v>
      </c>
      <c r="GI130" s="207">
        <v>0.0</v>
      </c>
      <c r="GJ130" s="207">
        <v>0.0</v>
      </c>
      <c r="GK130" s="212">
        <v>0.0</v>
      </c>
      <c r="GL130" s="212">
        <v>0.0</v>
      </c>
      <c r="GM130" s="207">
        <v>712.0</v>
      </c>
      <c r="GN130" s="207">
        <v>265.0</v>
      </c>
      <c r="GO130" s="213">
        <v>680.0</v>
      </c>
      <c r="GP130" s="213">
        <v>230.0</v>
      </c>
      <c r="GQ130" s="207"/>
      <c r="GR130" s="213">
        <v>17.0</v>
      </c>
      <c r="GS130" s="193">
        <v>1.0</v>
      </c>
      <c r="GT130" s="194">
        <f t="shared" si="25"/>
        <v>17</v>
      </c>
      <c r="GU130" s="194">
        <f t="shared" si="26"/>
        <v>1</v>
      </c>
      <c r="GV130" s="194">
        <f t="shared" si="27"/>
        <v>16</v>
      </c>
      <c r="GW130" s="206">
        <v>0.0</v>
      </c>
      <c r="GX130" s="207">
        <v>0.0</v>
      </c>
      <c r="GY130" s="207">
        <v>1.0</v>
      </c>
      <c r="GZ130" s="207">
        <v>16.0</v>
      </c>
      <c r="HA130" s="177">
        <v>0.0</v>
      </c>
      <c r="HB130" s="177">
        <v>0.0</v>
      </c>
      <c r="HC130" s="177">
        <v>0.0</v>
      </c>
      <c r="HD130" s="177">
        <v>0.0</v>
      </c>
      <c r="HE130" s="177">
        <v>0.0</v>
      </c>
      <c r="HF130" s="177">
        <v>0.0</v>
      </c>
      <c r="HG130" s="177">
        <v>0.0</v>
      </c>
      <c r="HH130" s="207">
        <v>1.0</v>
      </c>
      <c r="HI130" s="177">
        <v>0.0</v>
      </c>
      <c r="HJ130" s="177">
        <v>0.0</v>
      </c>
      <c r="HK130" s="177">
        <v>0.0</v>
      </c>
      <c r="HL130" s="177">
        <v>0.0</v>
      </c>
      <c r="HM130" s="207">
        <v>2.0</v>
      </c>
      <c r="HN130" s="177">
        <v>0.0</v>
      </c>
      <c r="HO130" s="222"/>
      <c r="HP130" s="222"/>
      <c r="HQ130" s="214"/>
      <c r="HR130" s="197"/>
      <c r="HS130" s="197"/>
      <c r="HT130" s="198">
        <f t="shared" si="28"/>
        <v>15</v>
      </c>
      <c r="HU130" s="198">
        <f t="shared" si="29"/>
        <v>15</v>
      </c>
      <c r="HV130" s="198">
        <f t="shared" si="30"/>
        <v>21</v>
      </c>
      <c r="HW130" s="198">
        <f t="shared" si="99"/>
        <v>17</v>
      </c>
      <c r="HX130" s="198">
        <f t="shared" si="32"/>
        <v>23</v>
      </c>
      <c r="HY130" s="198">
        <f t="shared" si="33"/>
        <v>7</v>
      </c>
      <c r="HZ130" s="198">
        <f t="shared" si="34"/>
        <v>18</v>
      </c>
      <c r="IA130" s="198">
        <f t="shared" si="35"/>
        <v>20</v>
      </c>
      <c r="IB130" s="198">
        <f t="shared" si="36"/>
        <v>16</v>
      </c>
      <c r="IC130" s="198">
        <f t="shared" si="37"/>
        <v>17</v>
      </c>
      <c r="ID130" s="198">
        <f t="shared" si="38"/>
        <v>17</v>
      </c>
      <c r="IE130" s="198">
        <f t="shared" si="39"/>
        <v>17</v>
      </c>
      <c r="IF130" s="197"/>
      <c r="IG130" s="197"/>
      <c r="IH130" s="197"/>
      <c r="II130" s="197"/>
      <c r="IJ130" s="197"/>
      <c r="IK130" s="197"/>
      <c r="IL130" s="197"/>
      <c r="IM130" s="197"/>
      <c r="IN130" s="197"/>
      <c r="IO130" s="197"/>
      <c r="IP130" s="197"/>
      <c r="IQ130" s="197"/>
      <c r="IR130" s="197"/>
      <c r="IS130" s="197"/>
      <c r="IT130" s="197"/>
      <c r="IU130" s="197"/>
      <c r="IV130" s="197"/>
      <c r="IW130" s="197"/>
      <c r="IX130" s="197"/>
      <c r="IY130" s="197"/>
      <c r="IZ130" s="197"/>
      <c r="JA130" s="199"/>
      <c r="JB130" s="200">
        <f t="shared" si="40"/>
        <v>15</v>
      </c>
      <c r="JC130" s="200">
        <f t="shared" si="41"/>
        <v>15</v>
      </c>
      <c r="JD130" s="200">
        <f t="shared" si="42"/>
        <v>21</v>
      </c>
      <c r="JE130" s="200">
        <f t="shared" si="43"/>
        <v>17</v>
      </c>
      <c r="JF130" s="200">
        <f t="shared" si="44"/>
        <v>23</v>
      </c>
      <c r="JG130" s="200">
        <f t="shared" si="45"/>
        <v>7</v>
      </c>
      <c r="JH130" s="200">
        <f t="shared" si="46"/>
        <v>18</v>
      </c>
      <c r="JI130" s="200">
        <f t="shared" si="47"/>
        <v>20</v>
      </c>
      <c r="JJ130" s="200">
        <f t="shared" si="48"/>
        <v>16</v>
      </c>
      <c r="JK130" s="200">
        <f t="shared" si="49"/>
        <v>18</v>
      </c>
      <c r="JL130" s="200">
        <f t="shared" si="50"/>
        <v>17</v>
      </c>
      <c r="JM130" s="200">
        <f t="shared" si="51"/>
        <v>17</v>
      </c>
      <c r="JN130" s="199"/>
      <c r="JO130" s="200">
        <f t="shared" si="52"/>
        <v>15</v>
      </c>
      <c r="JP130" s="202">
        <v>15.0</v>
      </c>
      <c r="JQ130" s="202">
        <v>21.0</v>
      </c>
      <c r="JR130" s="202">
        <v>17.0</v>
      </c>
      <c r="JS130" s="202">
        <v>23.0</v>
      </c>
      <c r="JT130" s="199"/>
      <c r="JU130" s="199"/>
      <c r="JV130" s="200">
        <f t="shared" ref="JV130:JX130" si="323">IA130-JI130</f>
        <v>0</v>
      </c>
      <c r="JW130" s="200">
        <f t="shared" si="323"/>
        <v>0</v>
      </c>
      <c r="JX130" s="200">
        <f t="shared" si="323"/>
        <v>-1</v>
      </c>
      <c r="JY130" s="199"/>
      <c r="JZ130" s="199"/>
      <c r="KA130" s="199"/>
      <c r="KB130" s="200">
        <f t="shared" ref="KB130:KM130" si="324">JB130-JO130</f>
        <v>0</v>
      </c>
      <c r="KC130" s="200">
        <f t="shared" si="324"/>
        <v>0</v>
      </c>
      <c r="KD130" s="200">
        <f t="shared" si="324"/>
        <v>0</v>
      </c>
      <c r="KE130" s="200">
        <f t="shared" si="324"/>
        <v>0</v>
      </c>
      <c r="KF130" s="200">
        <f t="shared" si="324"/>
        <v>0</v>
      </c>
      <c r="KG130" s="200">
        <f t="shared" si="324"/>
        <v>7</v>
      </c>
      <c r="KH130" s="200">
        <f t="shared" si="324"/>
        <v>18</v>
      </c>
      <c r="KI130" s="200">
        <f t="shared" si="324"/>
        <v>20</v>
      </c>
      <c r="KJ130" s="200">
        <f t="shared" si="324"/>
        <v>16</v>
      </c>
      <c r="KK130" s="200">
        <f t="shared" si="324"/>
        <v>19</v>
      </c>
      <c r="KL130" s="200">
        <f t="shared" si="324"/>
        <v>17</v>
      </c>
      <c r="KM130" s="200">
        <f t="shared" si="324"/>
        <v>17</v>
      </c>
      <c r="KN130" s="199"/>
      <c r="KO130" s="199"/>
      <c r="KP130" s="199"/>
      <c r="KQ130" s="199"/>
      <c r="KR130" s="199"/>
      <c r="KS130" s="199"/>
      <c r="KT130" s="199"/>
      <c r="KU130" s="199"/>
      <c r="KV130" s="199"/>
      <c r="KW130" s="199"/>
      <c r="KX130" s="199"/>
      <c r="KY130" s="199"/>
      <c r="KZ130" s="199"/>
      <c r="LA130" s="199"/>
      <c r="LB130" s="199"/>
      <c r="LC130" s="199"/>
      <c r="LD130" s="199"/>
      <c r="LE130" s="199"/>
      <c r="LF130" s="199"/>
      <c r="LG130" s="199"/>
    </row>
    <row r="131" ht="14.25" customHeight="1">
      <c r="A131" s="156">
        <v>124.0</v>
      </c>
      <c r="B131" s="157" t="s">
        <v>222</v>
      </c>
      <c r="C131" s="158">
        <v>3374020.0</v>
      </c>
      <c r="D131" s="158" t="s">
        <v>229</v>
      </c>
      <c r="E131" s="256" t="s">
        <v>233</v>
      </c>
      <c r="F131" s="159">
        <v>13.0</v>
      </c>
      <c r="G131" s="285">
        <v>779.0</v>
      </c>
      <c r="H131" s="160">
        <v>9.0</v>
      </c>
      <c r="I131" s="161">
        <v>0.0</v>
      </c>
      <c r="J131" s="161">
        <v>1.0</v>
      </c>
      <c r="K131" s="161">
        <v>1.0</v>
      </c>
      <c r="L131" s="161">
        <v>7.0</v>
      </c>
      <c r="M131" s="161">
        <v>1.0</v>
      </c>
      <c r="N131" s="223">
        <v>0.0</v>
      </c>
      <c r="O131" s="162">
        <f t="shared" si="213"/>
        <v>8</v>
      </c>
      <c r="P131" s="203">
        <v>9.0</v>
      </c>
      <c r="Q131" s="164">
        <v>0.0</v>
      </c>
      <c r="R131" s="164">
        <v>0.0</v>
      </c>
      <c r="S131" s="164">
        <v>3.0</v>
      </c>
      <c r="T131" s="165">
        <v>6.0</v>
      </c>
      <c r="U131" s="165"/>
      <c r="V131" s="165"/>
      <c r="W131" s="166">
        <f t="shared" si="225"/>
        <v>9</v>
      </c>
      <c r="X131" s="203">
        <v>28.0</v>
      </c>
      <c r="Y131" s="164">
        <v>1.0</v>
      </c>
      <c r="Z131" s="164">
        <v>4.0</v>
      </c>
      <c r="AA131" s="164">
        <v>6.0</v>
      </c>
      <c r="AB131" s="165">
        <v>17.0</v>
      </c>
      <c r="AC131" s="165">
        <v>5.0</v>
      </c>
      <c r="AD131" s="165"/>
      <c r="AE131" s="166">
        <f t="shared" si="214"/>
        <v>23</v>
      </c>
      <c r="AF131" s="167">
        <v>6.0</v>
      </c>
      <c r="AG131" s="165">
        <v>0.0</v>
      </c>
      <c r="AH131" s="164">
        <v>0.0</v>
      </c>
      <c r="AI131" s="164">
        <v>0.0</v>
      </c>
      <c r="AJ131" s="165">
        <v>6.0</v>
      </c>
      <c r="AK131" s="165"/>
      <c r="AL131" s="165"/>
      <c r="AM131" s="166">
        <f t="shared" si="215"/>
        <v>6</v>
      </c>
      <c r="AN131" s="167">
        <v>6.0</v>
      </c>
      <c r="AO131" s="165">
        <v>0.0</v>
      </c>
      <c r="AP131" s="164">
        <v>1.0</v>
      </c>
      <c r="AQ131" s="164">
        <v>1.0</v>
      </c>
      <c r="AR131" s="165">
        <v>4.0</v>
      </c>
      <c r="AS131" s="165">
        <v>1.0</v>
      </c>
      <c r="AT131" s="165"/>
      <c r="AU131" s="168">
        <f t="shared" si="216"/>
        <v>5</v>
      </c>
      <c r="AV131" s="169">
        <v>595.0</v>
      </c>
      <c r="AW131" s="170">
        <f t="shared" si="8"/>
        <v>5</v>
      </c>
      <c r="AX131" s="165">
        <v>0.0</v>
      </c>
      <c r="AY131" s="452">
        <v>0.0</v>
      </c>
      <c r="AZ131" s="452">
        <v>0.0</v>
      </c>
      <c r="BA131" s="165">
        <v>4.0</v>
      </c>
      <c r="BB131" s="169">
        <v>0.0</v>
      </c>
      <c r="BC131" s="169">
        <v>0.0</v>
      </c>
      <c r="BD131" s="169">
        <v>0.0</v>
      </c>
      <c r="BE131" s="169">
        <v>1.0</v>
      </c>
      <c r="BF131" s="169">
        <v>0.0</v>
      </c>
      <c r="BG131" s="169">
        <v>1.0</v>
      </c>
      <c r="BH131" s="169">
        <v>1.0</v>
      </c>
      <c r="BI131" s="169">
        <v>0.0</v>
      </c>
      <c r="BJ131" s="169">
        <v>0.0</v>
      </c>
      <c r="BK131" s="169">
        <v>0.0</v>
      </c>
      <c r="BL131" s="169">
        <v>0.0</v>
      </c>
      <c r="BM131" s="169">
        <v>0.0</v>
      </c>
      <c r="BN131" s="169">
        <v>0.0</v>
      </c>
      <c r="BO131" s="169">
        <v>0.0</v>
      </c>
      <c r="BP131" s="205">
        <f t="shared" si="131"/>
        <v>2</v>
      </c>
      <c r="BQ131" s="169">
        <v>707.0</v>
      </c>
      <c r="BR131" s="170">
        <f t="shared" si="10"/>
        <v>7</v>
      </c>
      <c r="BS131" s="173">
        <v>0.0</v>
      </c>
      <c r="BT131" s="173">
        <v>0.0</v>
      </c>
      <c r="BU131" s="173">
        <v>0.0</v>
      </c>
      <c r="BV131" s="173">
        <v>6.0</v>
      </c>
      <c r="BW131" s="173">
        <v>0.0</v>
      </c>
      <c r="BX131" s="173">
        <v>0.0</v>
      </c>
      <c r="BY131" s="173">
        <v>1.0</v>
      </c>
      <c r="BZ131" s="173">
        <v>0.0</v>
      </c>
      <c r="CA131" s="173"/>
      <c r="CB131" s="173"/>
      <c r="CC131" s="173"/>
      <c r="CD131" s="173"/>
      <c r="CE131" s="173">
        <v>0.0</v>
      </c>
      <c r="CF131" s="173">
        <v>0.0</v>
      </c>
      <c r="CG131" s="173">
        <v>0.0</v>
      </c>
      <c r="CH131" s="173">
        <v>0.0</v>
      </c>
      <c r="CI131" s="173">
        <v>0.0</v>
      </c>
      <c r="CJ131" s="173">
        <v>0.0</v>
      </c>
      <c r="CK131" s="172">
        <f t="shared" si="132"/>
        <v>0</v>
      </c>
      <c r="CL131" s="173">
        <v>735.0</v>
      </c>
      <c r="CM131" s="173">
        <v>285.0</v>
      </c>
      <c r="CN131" s="175">
        <f t="shared" si="295"/>
        <v>23</v>
      </c>
      <c r="CO131" s="173">
        <v>0.0</v>
      </c>
      <c r="CP131" s="173">
        <v>0.0</v>
      </c>
      <c r="CQ131" s="173">
        <v>1.0</v>
      </c>
      <c r="CR131" s="173">
        <v>7.0</v>
      </c>
      <c r="CS131" s="173">
        <v>0.0</v>
      </c>
      <c r="CT131" s="173">
        <v>0.0</v>
      </c>
      <c r="CU131" s="173">
        <v>6.0</v>
      </c>
      <c r="CV131" s="173">
        <v>9.0</v>
      </c>
      <c r="CW131" s="173">
        <v>0.0</v>
      </c>
      <c r="CX131" s="173">
        <v>0.0</v>
      </c>
      <c r="CY131" s="173">
        <v>0.0</v>
      </c>
      <c r="CZ131" s="173">
        <v>0.0</v>
      </c>
      <c r="DA131" s="173">
        <v>0.0</v>
      </c>
      <c r="DB131" s="173">
        <v>0.0</v>
      </c>
      <c r="DC131" s="173">
        <v>0.0</v>
      </c>
      <c r="DD131" s="173">
        <v>0.0</v>
      </c>
      <c r="DE131" s="173">
        <v>0.0</v>
      </c>
      <c r="DF131" s="173">
        <v>0.0</v>
      </c>
      <c r="DG131" s="176">
        <f t="shared" si="13"/>
        <v>0</v>
      </c>
      <c r="DH131" s="276">
        <v>915.0</v>
      </c>
      <c r="DI131" s="276">
        <v>329.0</v>
      </c>
      <c r="DJ131" s="178">
        <v>742.0</v>
      </c>
      <c r="DK131" s="178">
        <v>256.0</v>
      </c>
      <c r="DL131" s="179">
        <f t="shared" si="14"/>
        <v>23</v>
      </c>
      <c r="DM131" s="180">
        <f t="shared" si="15"/>
        <v>6</v>
      </c>
      <c r="DN131" s="180">
        <f t="shared" si="16"/>
        <v>17</v>
      </c>
      <c r="DO131" s="177">
        <v>0.0</v>
      </c>
      <c r="DP131" s="177">
        <v>0.0</v>
      </c>
      <c r="DQ131" s="177">
        <v>6.0</v>
      </c>
      <c r="DR131" s="177">
        <v>16.0</v>
      </c>
      <c r="DS131" s="177">
        <v>0.0</v>
      </c>
      <c r="DT131" s="177">
        <v>0.0</v>
      </c>
      <c r="DU131" s="177">
        <v>0.0</v>
      </c>
      <c r="DV131" s="177">
        <v>1.0</v>
      </c>
      <c r="DW131" s="177">
        <v>0.0</v>
      </c>
      <c r="DX131" s="177">
        <v>0.0</v>
      </c>
      <c r="DY131" s="177">
        <v>0.0</v>
      </c>
      <c r="DZ131" s="177">
        <v>0.0</v>
      </c>
      <c r="EA131" s="177">
        <v>0.0</v>
      </c>
      <c r="EB131" s="177">
        <v>0.0</v>
      </c>
      <c r="EC131" s="177">
        <v>0.0</v>
      </c>
      <c r="ED131" s="177">
        <v>0.0</v>
      </c>
      <c r="EE131" s="177">
        <v>0.0</v>
      </c>
      <c r="EF131" s="177">
        <v>0.0</v>
      </c>
      <c r="EG131" s="179">
        <f t="shared" si="17"/>
        <v>0</v>
      </c>
      <c r="EH131" s="179">
        <f t="shared" si="18"/>
        <v>0</v>
      </c>
      <c r="EI131" s="276">
        <v>927.0</v>
      </c>
      <c r="EJ131" s="276">
        <v>349.0</v>
      </c>
      <c r="EK131" s="178">
        <v>840.0</v>
      </c>
      <c r="EL131" s="276">
        <v>281.0</v>
      </c>
      <c r="EM131" s="186">
        <v>23.0</v>
      </c>
      <c r="EN131" s="186">
        <f t="shared" si="202"/>
        <v>5</v>
      </c>
      <c r="EO131" s="186">
        <f t="shared" si="90"/>
        <v>18</v>
      </c>
      <c r="EP131" s="177">
        <v>0.0</v>
      </c>
      <c r="EQ131" s="177">
        <v>0.0</v>
      </c>
      <c r="ER131" s="177">
        <v>5.0</v>
      </c>
      <c r="ES131" s="177">
        <v>16.0</v>
      </c>
      <c r="ET131" s="177">
        <v>0.0</v>
      </c>
      <c r="EU131" s="177">
        <v>0.0</v>
      </c>
      <c r="EV131" s="177">
        <v>0.0</v>
      </c>
      <c r="EW131" s="177">
        <v>2.0</v>
      </c>
      <c r="EX131" s="177">
        <v>0.0</v>
      </c>
      <c r="EY131" s="177">
        <v>0.0</v>
      </c>
      <c r="EZ131" s="177">
        <v>0.0</v>
      </c>
      <c r="FA131" s="177">
        <v>0.0</v>
      </c>
      <c r="FB131" s="177">
        <v>0.0</v>
      </c>
      <c r="FC131" s="177">
        <v>0.0</v>
      </c>
      <c r="FD131" s="177">
        <v>0.0</v>
      </c>
      <c r="FE131" s="177">
        <v>0.0</v>
      </c>
      <c r="FF131" s="177">
        <v>0.0</v>
      </c>
      <c r="FG131" s="177">
        <v>0.0</v>
      </c>
      <c r="FH131" s="185">
        <f t="shared" si="22"/>
        <v>0</v>
      </c>
      <c r="FI131" s="185">
        <f t="shared" si="23"/>
        <v>0</v>
      </c>
      <c r="FJ131" s="177">
        <v>898.0</v>
      </c>
      <c r="FK131" s="177">
        <v>329.0</v>
      </c>
      <c r="FL131" s="177">
        <v>861.0</v>
      </c>
      <c r="FM131" s="177">
        <v>293.0</v>
      </c>
      <c r="FN131" s="180"/>
      <c r="FO131" s="180">
        <v>22.0</v>
      </c>
      <c r="FP131" s="243">
        <v>22.0</v>
      </c>
      <c r="FQ131" s="211">
        <v>4.0</v>
      </c>
      <c r="FR131" s="212">
        <v>18.0</v>
      </c>
      <c r="FS131" s="206">
        <v>0.0</v>
      </c>
      <c r="FT131" s="207">
        <v>0.0</v>
      </c>
      <c r="FU131" s="207">
        <v>4.0</v>
      </c>
      <c r="FV131" s="207">
        <v>17.0</v>
      </c>
      <c r="FW131" s="207">
        <v>0.0</v>
      </c>
      <c r="FX131" s="207">
        <v>0.0</v>
      </c>
      <c r="FY131" s="207">
        <v>0.0</v>
      </c>
      <c r="FZ131" s="207">
        <v>1.0</v>
      </c>
      <c r="GA131" s="207">
        <v>0.0</v>
      </c>
      <c r="GB131" s="207">
        <v>0.0</v>
      </c>
      <c r="GC131" s="207">
        <v>0.0</v>
      </c>
      <c r="GD131" s="207">
        <v>0.0</v>
      </c>
      <c r="GE131" s="207">
        <v>0.0</v>
      </c>
      <c r="GF131" s="207">
        <v>0.0</v>
      </c>
      <c r="GG131" s="207">
        <v>0.0</v>
      </c>
      <c r="GH131" s="207">
        <v>0.0</v>
      </c>
      <c r="GI131" s="207">
        <v>0.0</v>
      </c>
      <c r="GJ131" s="207">
        <v>0.0</v>
      </c>
      <c r="GK131" s="212">
        <v>0.0</v>
      </c>
      <c r="GL131" s="212">
        <v>0.0</v>
      </c>
      <c r="GM131" s="207">
        <v>934.0</v>
      </c>
      <c r="GN131" s="207">
        <v>368.0</v>
      </c>
      <c r="GO131" s="213">
        <v>877.0</v>
      </c>
      <c r="GP131" s="213">
        <v>316.0</v>
      </c>
      <c r="GQ131" s="207"/>
      <c r="GR131" s="213">
        <v>23.0</v>
      </c>
      <c r="GS131" s="193">
        <v>5.0</v>
      </c>
      <c r="GT131" s="194">
        <f t="shared" si="25"/>
        <v>23</v>
      </c>
      <c r="GU131" s="194">
        <f t="shared" si="26"/>
        <v>5</v>
      </c>
      <c r="GV131" s="194">
        <f t="shared" si="27"/>
        <v>18</v>
      </c>
      <c r="GW131" s="206">
        <v>0.0</v>
      </c>
      <c r="GX131" s="207">
        <v>0.0</v>
      </c>
      <c r="GY131" s="207">
        <v>4.0</v>
      </c>
      <c r="GZ131" s="207">
        <v>18.0</v>
      </c>
      <c r="HA131" s="177">
        <v>0.0</v>
      </c>
      <c r="HB131" s="177">
        <v>0.0</v>
      </c>
      <c r="HC131" s="177">
        <v>1.0</v>
      </c>
      <c r="HD131" s="177">
        <v>0.0</v>
      </c>
      <c r="HE131" s="177">
        <v>0.0</v>
      </c>
      <c r="HF131" s="177">
        <v>0.0</v>
      </c>
      <c r="HG131" s="177">
        <v>0.0</v>
      </c>
      <c r="HH131" s="177">
        <v>0.0</v>
      </c>
      <c r="HI131" s="177">
        <v>0.0</v>
      </c>
      <c r="HJ131" s="177">
        <v>0.0</v>
      </c>
      <c r="HK131" s="177">
        <v>0.0</v>
      </c>
      <c r="HL131" s="177">
        <v>0.0</v>
      </c>
      <c r="HM131" s="207">
        <v>1.0</v>
      </c>
      <c r="HN131" s="177">
        <v>0.0</v>
      </c>
      <c r="HO131" s="222"/>
      <c r="HP131" s="222"/>
      <c r="HQ131" s="214"/>
      <c r="HR131" s="197"/>
      <c r="HS131" s="197"/>
      <c r="HT131" s="198">
        <f t="shared" si="28"/>
        <v>9</v>
      </c>
      <c r="HU131" s="198">
        <f t="shared" si="29"/>
        <v>9</v>
      </c>
      <c r="HV131" s="198">
        <f t="shared" si="30"/>
        <v>28</v>
      </c>
      <c r="HW131" s="198">
        <f t="shared" si="99"/>
        <v>6</v>
      </c>
      <c r="HX131" s="198">
        <f t="shared" si="32"/>
        <v>6</v>
      </c>
      <c r="HY131" s="198">
        <f t="shared" si="33"/>
        <v>5</v>
      </c>
      <c r="HZ131" s="198">
        <f t="shared" si="34"/>
        <v>7</v>
      </c>
      <c r="IA131" s="198">
        <f t="shared" si="35"/>
        <v>23</v>
      </c>
      <c r="IB131" s="198">
        <f t="shared" si="36"/>
        <v>23</v>
      </c>
      <c r="IC131" s="198">
        <f t="shared" si="37"/>
        <v>23</v>
      </c>
      <c r="ID131" s="198">
        <f t="shared" si="38"/>
        <v>22</v>
      </c>
      <c r="IE131" s="198">
        <f t="shared" si="39"/>
        <v>23</v>
      </c>
      <c r="IF131" s="197"/>
      <c r="IG131" s="197"/>
      <c r="IH131" s="197"/>
      <c r="II131" s="197"/>
      <c r="IJ131" s="197"/>
      <c r="IK131" s="197"/>
      <c r="IL131" s="197"/>
      <c r="IM131" s="197"/>
      <c r="IN131" s="197"/>
      <c r="IO131" s="197"/>
      <c r="IP131" s="197"/>
      <c r="IQ131" s="197"/>
      <c r="IR131" s="197"/>
      <c r="IS131" s="197"/>
      <c r="IT131" s="197"/>
      <c r="IU131" s="197"/>
      <c r="IV131" s="197"/>
      <c r="IW131" s="197"/>
      <c r="IX131" s="197"/>
      <c r="IY131" s="197"/>
      <c r="IZ131" s="197"/>
      <c r="JA131" s="199"/>
      <c r="JB131" s="200">
        <f t="shared" si="40"/>
        <v>9</v>
      </c>
      <c r="JC131" s="200">
        <f t="shared" si="41"/>
        <v>9</v>
      </c>
      <c r="JD131" s="200">
        <f t="shared" si="42"/>
        <v>28</v>
      </c>
      <c r="JE131" s="200">
        <f t="shared" si="43"/>
        <v>6</v>
      </c>
      <c r="JF131" s="200">
        <f t="shared" si="44"/>
        <v>6</v>
      </c>
      <c r="JG131" s="200">
        <f t="shared" si="45"/>
        <v>5</v>
      </c>
      <c r="JH131" s="200">
        <f t="shared" si="46"/>
        <v>7</v>
      </c>
      <c r="JI131" s="200">
        <f t="shared" si="47"/>
        <v>23</v>
      </c>
      <c r="JJ131" s="200">
        <f t="shared" si="48"/>
        <v>23</v>
      </c>
      <c r="JK131" s="200">
        <f t="shared" si="49"/>
        <v>23</v>
      </c>
      <c r="JL131" s="200">
        <f t="shared" si="50"/>
        <v>22</v>
      </c>
      <c r="JM131" s="200">
        <f t="shared" si="51"/>
        <v>23</v>
      </c>
      <c r="JN131" s="199"/>
      <c r="JO131" s="200">
        <f t="shared" si="52"/>
        <v>9</v>
      </c>
      <c r="JP131" s="202">
        <v>9.0</v>
      </c>
      <c r="JQ131" s="202">
        <v>28.0</v>
      </c>
      <c r="JR131" s="202">
        <v>6.0</v>
      </c>
      <c r="JS131" s="202">
        <v>6.0</v>
      </c>
      <c r="JT131" s="199"/>
      <c r="JU131" s="199"/>
      <c r="JV131" s="200">
        <f t="shared" ref="JV131:JX131" si="325">IA131-JI131</f>
        <v>0</v>
      </c>
      <c r="JW131" s="200">
        <f t="shared" si="325"/>
        <v>0</v>
      </c>
      <c r="JX131" s="200">
        <f t="shared" si="325"/>
        <v>0</v>
      </c>
      <c r="JY131" s="199"/>
      <c r="JZ131" s="199"/>
      <c r="KA131" s="199"/>
      <c r="KB131" s="200">
        <f t="shared" ref="KB131:KM131" si="326">JB131-JO131</f>
        <v>0</v>
      </c>
      <c r="KC131" s="200">
        <f t="shared" si="326"/>
        <v>0</v>
      </c>
      <c r="KD131" s="200">
        <f t="shared" si="326"/>
        <v>0</v>
      </c>
      <c r="KE131" s="200">
        <f t="shared" si="326"/>
        <v>0</v>
      </c>
      <c r="KF131" s="200">
        <f t="shared" si="326"/>
        <v>0</v>
      </c>
      <c r="KG131" s="200">
        <f t="shared" si="326"/>
        <v>5</v>
      </c>
      <c r="KH131" s="200">
        <f t="shared" si="326"/>
        <v>7</v>
      </c>
      <c r="KI131" s="200">
        <f t="shared" si="326"/>
        <v>23</v>
      </c>
      <c r="KJ131" s="200">
        <f t="shared" si="326"/>
        <v>23</v>
      </c>
      <c r="KK131" s="200">
        <f t="shared" si="326"/>
        <v>23</v>
      </c>
      <c r="KL131" s="200">
        <f t="shared" si="326"/>
        <v>22</v>
      </c>
      <c r="KM131" s="200">
        <f t="shared" si="326"/>
        <v>23</v>
      </c>
      <c r="KN131" s="199"/>
      <c r="KO131" s="199"/>
      <c r="KP131" s="199"/>
      <c r="KQ131" s="199"/>
      <c r="KR131" s="199"/>
      <c r="KS131" s="199"/>
      <c r="KT131" s="199"/>
      <c r="KU131" s="199"/>
      <c r="KV131" s="199"/>
      <c r="KW131" s="199"/>
      <c r="KX131" s="199"/>
      <c r="KY131" s="199"/>
      <c r="KZ131" s="199"/>
      <c r="LA131" s="199"/>
      <c r="LB131" s="199"/>
      <c r="LC131" s="199"/>
      <c r="LD131" s="199"/>
      <c r="LE131" s="199"/>
      <c r="LF131" s="199"/>
      <c r="LG131" s="199"/>
    </row>
    <row r="132" ht="14.25" customHeight="1">
      <c r="A132" s="156">
        <v>125.0</v>
      </c>
      <c r="B132" s="453" t="s">
        <v>222</v>
      </c>
      <c r="C132" s="454">
        <v>3374020.0</v>
      </c>
      <c r="D132" s="454" t="s">
        <v>222</v>
      </c>
      <c r="E132" s="454" t="s">
        <v>234</v>
      </c>
      <c r="F132" s="455">
        <v>9.0</v>
      </c>
      <c r="G132" s="456">
        <v>400.0</v>
      </c>
      <c r="H132" s="160">
        <v>2.0</v>
      </c>
      <c r="I132" s="223">
        <v>0.0</v>
      </c>
      <c r="J132" s="223">
        <v>0.0</v>
      </c>
      <c r="K132" s="161">
        <v>1.0</v>
      </c>
      <c r="L132" s="161">
        <v>1.0</v>
      </c>
      <c r="M132" s="223">
        <v>0.0</v>
      </c>
      <c r="N132" s="223">
        <v>0.0</v>
      </c>
      <c r="O132" s="162">
        <f t="shared" si="213"/>
        <v>2</v>
      </c>
      <c r="P132" s="203">
        <v>3.0</v>
      </c>
      <c r="Q132" s="164"/>
      <c r="R132" s="164">
        <v>0.0</v>
      </c>
      <c r="S132" s="164">
        <v>2.0</v>
      </c>
      <c r="T132" s="165">
        <v>1.0</v>
      </c>
      <c r="U132" s="165"/>
      <c r="V132" s="165"/>
      <c r="W132" s="166">
        <f t="shared" si="225"/>
        <v>3</v>
      </c>
      <c r="X132" s="203">
        <v>2.0</v>
      </c>
      <c r="Y132" s="164"/>
      <c r="Z132" s="164"/>
      <c r="AA132" s="164">
        <v>1.0</v>
      </c>
      <c r="AB132" s="165">
        <v>1.0</v>
      </c>
      <c r="AC132" s="165"/>
      <c r="AD132" s="165"/>
      <c r="AE132" s="166">
        <f t="shared" si="214"/>
        <v>2</v>
      </c>
      <c r="AF132" s="167">
        <v>2.0</v>
      </c>
      <c r="AG132" s="165"/>
      <c r="AH132" s="164"/>
      <c r="AI132" s="164">
        <v>1.0</v>
      </c>
      <c r="AJ132" s="165">
        <v>1.0</v>
      </c>
      <c r="AK132" s="165"/>
      <c r="AL132" s="165">
        <v>1.0</v>
      </c>
      <c r="AM132" s="166">
        <f t="shared" si="215"/>
        <v>1</v>
      </c>
      <c r="AN132" s="167">
        <v>2.0</v>
      </c>
      <c r="AO132" s="165"/>
      <c r="AP132" s="164"/>
      <c r="AQ132" s="164">
        <v>1.0</v>
      </c>
      <c r="AR132" s="165">
        <v>1.0</v>
      </c>
      <c r="AS132" s="165"/>
      <c r="AT132" s="165"/>
      <c r="AU132" s="168">
        <f t="shared" si="216"/>
        <v>2</v>
      </c>
      <c r="AV132" s="169">
        <v>322.0</v>
      </c>
      <c r="AW132" s="204">
        <f t="shared" si="8"/>
        <v>1</v>
      </c>
      <c r="AX132" s="169">
        <v>0.0</v>
      </c>
      <c r="AY132" s="169">
        <v>0.0</v>
      </c>
      <c r="AZ132" s="169">
        <v>0.0</v>
      </c>
      <c r="BA132" s="169">
        <v>1.0</v>
      </c>
      <c r="BB132" s="169">
        <v>0.0</v>
      </c>
      <c r="BC132" s="169">
        <v>0.0</v>
      </c>
      <c r="BD132" s="169">
        <v>0.0</v>
      </c>
      <c r="BE132" s="169">
        <v>0.0</v>
      </c>
      <c r="BF132" s="169">
        <v>0.0</v>
      </c>
      <c r="BG132" s="169">
        <v>0.0</v>
      </c>
      <c r="BH132" s="169">
        <v>0.0</v>
      </c>
      <c r="BI132" s="169">
        <v>0.0</v>
      </c>
      <c r="BJ132" s="169">
        <v>0.0</v>
      </c>
      <c r="BK132" s="169">
        <v>0.0</v>
      </c>
      <c r="BL132" s="169">
        <v>0.0</v>
      </c>
      <c r="BM132" s="169">
        <v>0.0</v>
      </c>
      <c r="BN132" s="169">
        <v>0.0</v>
      </c>
      <c r="BO132" s="169">
        <v>0.0</v>
      </c>
      <c r="BP132" s="205">
        <f t="shared" si="131"/>
        <v>0</v>
      </c>
      <c r="BQ132" s="173">
        <v>222.0</v>
      </c>
      <c r="BR132" s="170">
        <f t="shared" si="10"/>
        <v>1</v>
      </c>
      <c r="BS132" s="173">
        <v>0.0</v>
      </c>
      <c r="BT132" s="173">
        <v>0.0</v>
      </c>
      <c r="BU132" s="173">
        <v>0.0</v>
      </c>
      <c r="BV132" s="173">
        <v>1.0</v>
      </c>
      <c r="BW132" s="173">
        <v>0.0</v>
      </c>
      <c r="BX132" s="173">
        <v>0.0</v>
      </c>
      <c r="BY132" s="173">
        <v>0.0</v>
      </c>
      <c r="BZ132" s="173">
        <v>0.0</v>
      </c>
      <c r="CA132" s="173">
        <v>0.0</v>
      </c>
      <c r="CB132" s="173">
        <v>0.0</v>
      </c>
      <c r="CC132" s="173">
        <v>0.0</v>
      </c>
      <c r="CD132" s="173">
        <v>0.0</v>
      </c>
      <c r="CE132" s="173">
        <v>0.0</v>
      </c>
      <c r="CF132" s="173">
        <v>0.0</v>
      </c>
      <c r="CG132" s="173">
        <v>0.0</v>
      </c>
      <c r="CH132" s="173">
        <v>0.0</v>
      </c>
      <c r="CI132" s="173">
        <v>0.0</v>
      </c>
      <c r="CJ132" s="173">
        <v>0.0</v>
      </c>
      <c r="CK132" s="172">
        <f t="shared" si="132"/>
        <v>0</v>
      </c>
      <c r="CL132" s="441">
        <v>319.0</v>
      </c>
      <c r="CM132" s="441">
        <v>48.0</v>
      </c>
      <c r="CN132" s="175">
        <f t="shared" si="295"/>
        <v>1</v>
      </c>
      <c r="CO132" s="441">
        <v>0.0</v>
      </c>
      <c r="CP132" s="441">
        <v>0.0</v>
      </c>
      <c r="CQ132" s="441">
        <v>0.0</v>
      </c>
      <c r="CR132" s="441">
        <v>1.0</v>
      </c>
      <c r="CS132" s="441">
        <v>0.0</v>
      </c>
      <c r="CT132" s="441">
        <v>0.0</v>
      </c>
      <c r="CU132" s="441">
        <v>0.0</v>
      </c>
      <c r="CV132" s="441">
        <v>0.0</v>
      </c>
      <c r="CW132" s="441">
        <v>0.0</v>
      </c>
      <c r="CX132" s="441">
        <v>0.0</v>
      </c>
      <c r="CY132" s="441">
        <v>0.0</v>
      </c>
      <c r="CZ132" s="441">
        <v>0.0</v>
      </c>
      <c r="DA132" s="441">
        <v>0.0</v>
      </c>
      <c r="DB132" s="441">
        <v>0.0</v>
      </c>
      <c r="DC132" s="441">
        <v>0.0</v>
      </c>
      <c r="DD132" s="441">
        <v>0.0</v>
      </c>
      <c r="DE132" s="441">
        <v>0.0</v>
      </c>
      <c r="DF132" s="441">
        <v>0.0</v>
      </c>
      <c r="DG132" s="442">
        <f t="shared" si="13"/>
        <v>0</v>
      </c>
      <c r="DH132" s="177">
        <v>400.0</v>
      </c>
      <c r="DI132" s="177">
        <v>125.0</v>
      </c>
      <c r="DJ132" s="178">
        <v>382.0</v>
      </c>
      <c r="DK132" s="178">
        <v>125.0</v>
      </c>
      <c r="DL132" s="179">
        <f t="shared" si="14"/>
        <v>1</v>
      </c>
      <c r="DM132" s="180">
        <f t="shared" si="15"/>
        <v>0</v>
      </c>
      <c r="DN132" s="180">
        <f t="shared" si="16"/>
        <v>1</v>
      </c>
      <c r="DO132" s="177">
        <v>0.0</v>
      </c>
      <c r="DP132" s="177">
        <v>0.0</v>
      </c>
      <c r="DQ132" s="177">
        <v>0.0</v>
      </c>
      <c r="DR132" s="177">
        <v>1.0</v>
      </c>
      <c r="DS132" s="177">
        <v>0.0</v>
      </c>
      <c r="DT132" s="177">
        <v>0.0</v>
      </c>
      <c r="DU132" s="177">
        <v>0.0</v>
      </c>
      <c r="DV132" s="177">
        <v>0.0</v>
      </c>
      <c r="DW132" s="177">
        <v>0.0</v>
      </c>
      <c r="DX132" s="177">
        <v>0.0</v>
      </c>
      <c r="DY132" s="177">
        <v>0.0</v>
      </c>
      <c r="DZ132" s="177">
        <v>0.0</v>
      </c>
      <c r="EA132" s="177">
        <v>0.0</v>
      </c>
      <c r="EB132" s="177">
        <v>0.0</v>
      </c>
      <c r="EC132" s="177">
        <v>0.0</v>
      </c>
      <c r="ED132" s="177">
        <v>0.0</v>
      </c>
      <c r="EE132" s="177">
        <v>0.0</v>
      </c>
      <c r="EF132" s="177">
        <v>0.0</v>
      </c>
      <c r="EG132" s="179">
        <f t="shared" si="17"/>
        <v>0</v>
      </c>
      <c r="EH132" s="179">
        <f t="shared" si="18"/>
        <v>0</v>
      </c>
      <c r="EI132" s="457">
        <v>399.0</v>
      </c>
      <c r="EJ132" s="457">
        <v>125.0</v>
      </c>
      <c r="EK132" s="457">
        <v>399.0</v>
      </c>
      <c r="EL132" s="457">
        <v>125.0</v>
      </c>
      <c r="EM132" s="185">
        <f t="shared" ref="EM132:EM135" si="329">SUM(EP132:EW132)</f>
        <v>1</v>
      </c>
      <c r="EN132" s="186">
        <f t="shared" si="202"/>
        <v>0</v>
      </c>
      <c r="EO132" s="186">
        <f t="shared" si="90"/>
        <v>1</v>
      </c>
      <c r="EP132" s="177">
        <v>0.0</v>
      </c>
      <c r="EQ132" s="177">
        <v>0.0</v>
      </c>
      <c r="ER132" s="177">
        <v>0.0</v>
      </c>
      <c r="ES132" s="177">
        <v>1.0</v>
      </c>
      <c r="ET132" s="177">
        <v>0.0</v>
      </c>
      <c r="EU132" s="177">
        <v>0.0</v>
      </c>
      <c r="EV132" s="177">
        <v>0.0</v>
      </c>
      <c r="EW132" s="177">
        <v>0.0</v>
      </c>
      <c r="EX132" s="177">
        <v>0.0</v>
      </c>
      <c r="EY132" s="177">
        <v>0.0</v>
      </c>
      <c r="EZ132" s="177">
        <v>0.0</v>
      </c>
      <c r="FA132" s="177">
        <v>0.0</v>
      </c>
      <c r="FB132" s="177">
        <v>0.0</v>
      </c>
      <c r="FC132" s="177">
        <v>0.0</v>
      </c>
      <c r="FD132" s="177">
        <v>0.0</v>
      </c>
      <c r="FE132" s="177">
        <v>0.0</v>
      </c>
      <c r="FF132" s="177">
        <v>0.0</v>
      </c>
      <c r="FG132" s="177">
        <v>0.0</v>
      </c>
      <c r="FH132" s="185">
        <f t="shared" si="22"/>
        <v>0</v>
      </c>
      <c r="FI132" s="185">
        <f t="shared" si="23"/>
        <v>0</v>
      </c>
      <c r="FJ132" s="177">
        <v>395.0</v>
      </c>
      <c r="FK132" s="177">
        <v>102.0</v>
      </c>
      <c r="FL132" s="177">
        <v>395.0</v>
      </c>
      <c r="FM132" s="177">
        <v>102.0</v>
      </c>
      <c r="FN132" s="180"/>
      <c r="FO132" s="180">
        <v>1.0</v>
      </c>
      <c r="FP132" s="188">
        <f t="shared" ref="FP132:FP135" si="330">SUM(FS132:FZ132)</f>
        <v>1</v>
      </c>
      <c r="FQ132" s="211">
        <v>0.0</v>
      </c>
      <c r="FR132" s="212">
        <v>1.0</v>
      </c>
      <c r="FS132" s="206">
        <v>0.0</v>
      </c>
      <c r="FT132" s="207">
        <v>0.0</v>
      </c>
      <c r="FU132" s="207">
        <v>0.0</v>
      </c>
      <c r="FV132" s="207">
        <v>1.0</v>
      </c>
      <c r="FW132" s="207">
        <v>0.0</v>
      </c>
      <c r="FX132" s="207">
        <v>0.0</v>
      </c>
      <c r="FY132" s="207">
        <v>0.0</v>
      </c>
      <c r="FZ132" s="207">
        <v>0.0</v>
      </c>
      <c r="GA132" s="207">
        <v>0.0</v>
      </c>
      <c r="GB132" s="207">
        <v>0.0</v>
      </c>
      <c r="GC132" s="207">
        <v>0.0</v>
      </c>
      <c r="GD132" s="207">
        <v>0.0</v>
      </c>
      <c r="GE132" s="207">
        <v>0.0</v>
      </c>
      <c r="GF132" s="207">
        <v>0.0</v>
      </c>
      <c r="GG132" s="207">
        <v>0.0</v>
      </c>
      <c r="GH132" s="207">
        <v>0.0</v>
      </c>
      <c r="GI132" s="207">
        <v>0.0</v>
      </c>
      <c r="GJ132" s="207">
        <v>0.0</v>
      </c>
      <c r="GK132" s="212">
        <v>0.0</v>
      </c>
      <c r="GL132" s="212">
        <v>0.0</v>
      </c>
      <c r="GM132" s="207">
        <v>392.0</v>
      </c>
      <c r="GN132" s="207">
        <v>112.0</v>
      </c>
      <c r="GO132" s="213">
        <v>392.0</v>
      </c>
      <c r="GP132" s="213">
        <v>112.0</v>
      </c>
      <c r="GQ132" s="207"/>
      <c r="GR132" s="213">
        <v>1.0</v>
      </c>
      <c r="GS132" s="193">
        <v>0.0</v>
      </c>
      <c r="GT132" s="194">
        <f t="shared" si="25"/>
        <v>1</v>
      </c>
      <c r="GU132" s="194">
        <f t="shared" si="26"/>
        <v>0</v>
      </c>
      <c r="GV132" s="194">
        <f t="shared" si="27"/>
        <v>1</v>
      </c>
      <c r="GW132" s="444">
        <v>0.0</v>
      </c>
      <c r="GX132" s="444">
        <v>0.0</v>
      </c>
      <c r="GY132" s="444">
        <v>0.0</v>
      </c>
      <c r="GZ132" s="444">
        <v>1.0</v>
      </c>
      <c r="HA132" s="445">
        <v>0.0</v>
      </c>
      <c r="HB132" s="445">
        <v>0.0</v>
      </c>
      <c r="HC132" s="445">
        <v>0.0</v>
      </c>
      <c r="HD132" s="445">
        <v>0.0</v>
      </c>
      <c r="HE132" s="445">
        <v>0.0</v>
      </c>
      <c r="HF132" s="445">
        <v>0.0</v>
      </c>
      <c r="HG132" s="445">
        <v>0.0</v>
      </c>
      <c r="HH132" s="445">
        <v>0.0</v>
      </c>
      <c r="HI132" s="445">
        <v>0.0</v>
      </c>
      <c r="HJ132" s="445">
        <v>0.0</v>
      </c>
      <c r="HK132" s="445">
        <v>0.0</v>
      </c>
      <c r="HL132" s="445">
        <v>0.0</v>
      </c>
      <c r="HM132" s="445">
        <v>0.0</v>
      </c>
      <c r="HN132" s="445">
        <v>0.0</v>
      </c>
      <c r="HO132" s="222"/>
      <c r="HP132" s="222"/>
      <c r="HQ132" s="214"/>
      <c r="HR132" s="197"/>
      <c r="HS132" s="197"/>
      <c r="HT132" s="198">
        <f t="shared" si="28"/>
        <v>2</v>
      </c>
      <c r="HU132" s="198">
        <f t="shared" si="29"/>
        <v>3</v>
      </c>
      <c r="HV132" s="198">
        <f t="shared" si="30"/>
        <v>2</v>
      </c>
      <c r="HW132" s="198">
        <f t="shared" si="99"/>
        <v>2</v>
      </c>
      <c r="HX132" s="198">
        <f t="shared" si="32"/>
        <v>2</v>
      </c>
      <c r="HY132" s="198">
        <f t="shared" si="33"/>
        <v>1</v>
      </c>
      <c r="HZ132" s="198">
        <f t="shared" si="34"/>
        <v>1</v>
      </c>
      <c r="IA132" s="198">
        <f t="shared" si="35"/>
        <v>1</v>
      </c>
      <c r="IB132" s="198">
        <f t="shared" si="36"/>
        <v>1</v>
      </c>
      <c r="IC132" s="198">
        <f t="shared" si="37"/>
        <v>1</v>
      </c>
      <c r="ID132" s="198">
        <f t="shared" si="38"/>
        <v>1</v>
      </c>
      <c r="IE132" s="198">
        <f t="shared" si="39"/>
        <v>1</v>
      </c>
      <c r="IF132" s="197"/>
      <c r="IG132" s="197"/>
      <c r="IH132" s="197"/>
      <c r="II132" s="197"/>
      <c r="IJ132" s="197"/>
      <c r="IK132" s="197"/>
      <c r="IL132" s="197"/>
      <c r="IM132" s="197"/>
      <c r="IN132" s="197"/>
      <c r="IO132" s="197"/>
      <c r="IP132" s="197"/>
      <c r="IQ132" s="197"/>
      <c r="IR132" s="197"/>
      <c r="IS132" s="197"/>
      <c r="IT132" s="197"/>
      <c r="IU132" s="197"/>
      <c r="IV132" s="197"/>
      <c r="IW132" s="197"/>
      <c r="IX132" s="197"/>
      <c r="IY132" s="197"/>
      <c r="IZ132" s="197"/>
      <c r="JA132" s="199"/>
      <c r="JB132" s="200">
        <f t="shared" si="40"/>
        <v>2</v>
      </c>
      <c r="JC132" s="200">
        <f t="shared" si="41"/>
        <v>3</v>
      </c>
      <c r="JD132" s="200">
        <f t="shared" si="42"/>
        <v>2</v>
      </c>
      <c r="JE132" s="200">
        <f t="shared" si="43"/>
        <v>2</v>
      </c>
      <c r="JF132" s="200">
        <f t="shared" si="44"/>
        <v>2</v>
      </c>
      <c r="JG132" s="200">
        <f t="shared" si="45"/>
        <v>1</v>
      </c>
      <c r="JH132" s="200">
        <f t="shared" si="46"/>
        <v>1</v>
      </c>
      <c r="JI132" s="200">
        <f t="shared" si="47"/>
        <v>1</v>
      </c>
      <c r="JJ132" s="200">
        <f t="shared" si="48"/>
        <v>1</v>
      </c>
      <c r="JK132" s="200">
        <f t="shared" si="49"/>
        <v>1</v>
      </c>
      <c r="JL132" s="200">
        <f t="shared" si="50"/>
        <v>1</v>
      </c>
      <c r="JM132" s="200">
        <f t="shared" si="51"/>
        <v>1</v>
      </c>
      <c r="JN132" s="199"/>
      <c r="JO132" s="200">
        <f t="shared" si="52"/>
        <v>2</v>
      </c>
      <c r="JP132" s="202">
        <v>3.0</v>
      </c>
      <c r="JQ132" s="202">
        <v>2.0</v>
      </c>
      <c r="JR132" s="202">
        <v>2.0</v>
      </c>
      <c r="JS132" s="202">
        <v>2.0</v>
      </c>
      <c r="JT132" s="199"/>
      <c r="JU132" s="199"/>
      <c r="JV132" s="200">
        <f t="shared" ref="JV132:JX132" si="327">IA132-JI132</f>
        <v>0</v>
      </c>
      <c r="JW132" s="200">
        <f t="shared" si="327"/>
        <v>0</v>
      </c>
      <c r="JX132" s="200">
        <f t="shared" si="327"/>
        <v>0</v>
      </c>
      <c r="JY132" s="199"/>
      <c r="JZ132" s="199"/>
      <c r="KA132" s="199"/>
      <c r="KB132" s="446">
        <f t="shared" ref="KB132:KM132" si="328">JB132-JO132</f>
        <v>0</v>
      </c>
      <c r="KC132" s="446">
        <f t="shared" si="328"/>
        <v>0</v>
      </c>
      <c r="KD132" s="446">
        <f t="shared" si="328"/>
        <v>0</v>
      </c>
      <c r="KE132" s="446">
        <f t="shared" si="328"/>
        <v>0</v>
      </c>
      <c r="KF132" s="446">
        <f t="shared" si="328"/>
        <v>0</v>
      </c>
      <c r="KG132" s="200">
        <f t="shared" si="328"/>
        <v>1</v>
      </c>
      <c r="KH132" s="200">
        <f t="shared" si="328"/>
        <v>1</v>
      </c>
      <c r="KI132" s="200">
        <f t="shared" si="328"/>
        <v>1</v>
      </c>
      <c r="KJ132" s="200">
        <f t="shared" si="328"/>
        <v>1</v>
      </c>
      <c r="KK132" s="200">
        <f t="shared" si="328"/>
        <v>1</v>
      </c>
      <c r="KL132" s="200">
        <f t="shared" si="328"/>
        <v>1</v>
      </c>
      <c r="KM132" s="200">
        <f t="shared" si="328"/>
        <v>1</v>
      </c>
      <c r="KN132" s="199"/>
      <c r="KO132" s="199"/>
      <c r="KP132" s="199"/>
      <c r="KQ132" s="199"/>
      <c r="KR132" s="199"/>
      <c r="KS132" s="199"/>
      <c r="KT132" s="199"/>
      <c r="KU132" s="199"/>
      <c r="KV132" s="199"/>
      <c r="KW132" s="199"/>
      <c r="KX132" s="199"/>
      <c r="KY132" s="199"/>
      <c r="KZ132" s="199"/>
      <c r="LA132" s="199"/>
      <c r="LB132" s="199"/>
      <c r="LC132" s="199"/>
      <c r="LD132" s="199"/>
      <c r="LE132" s="199"/>
      <c r="LF132" s="199"/>
      <c r="LG132" s="199"/>
    </row>
    <row r="133" ht="14.25" customHeight="1">
      <c r="A133" s="156">
        <v>126.0</v>
      </c>
      <c r="B133" s="453" t="s">
        <v>222</v>
      </c>
      <c r="C133" s="454">
        <v>3374020.0</v>
      </c>
      <c r="D133" s="454" t="s">
        <v>222</v>
      </c>
      <c r="E133" s="454" t="s">
        <v>235</v>
      </c>
      <c r="F133" s="455">
        <v>5.0</v>
      </c>
      <c r="G133" s="456">
        <v>219.0</v>
      </c>
      <c r="H133" s="160">
        <v>2.0</v>
      </c>
      <c r="I133" s="161">
        <v>1.0</v>
      </c>
      <c r="J133" s="223">
        <v>0.0</v>
      </c>
      <c r="K133" s="161">
        <v>1.0</v>
      </c>
      <c r="L133" s="223">
        <v>0.0</v>
      </c>
      <c r="M133" s="223">
        <v>0.0</v>
      </c>
      <c r="N133" s="223">
        <v>0.0</v>
      </c>
      <c r="O133" s="162">
        <f t="shared" si="213"/>
        <v>2</v>
      </c>
      <c r="P133" s="203">
        <v>1.0</v>
      </c>
      <c r="Q133" s="164"/>
      <c r="R133" s="164"/>
      <c r="S133" s="164">
        <v>1.0</v>
      </c>
      <c r="T133" s="165"/>
      <c r="U133" s="165">
        <v>1.0</v>
      </c>
      <c r="V133" s="165"/>
      <c r="W133" s="166">
        <f t="shared" si="225"/>
        <v>0</v>
      </c>
      <c r="X133" s="203">
        <v>2.0</v>
      </c>
      <c r="Y133" s="164"/>
      <c r="Z133" s="164">
        <v>1.0</v>
      </c>
      <c r="AA133" s="164">
        <v>1.0</v>
      </c>
      <c r="AB133" s="165"/>
      <c r="AC133" s="165"/>
      <c r="AD133" s="165"/>
      <c r="AE133" s="166">
        <f t="shared" si="214"/>
        <v>2</v>
      </c>
      <c r="AF133" s="167">
        <v>2.0</v>
      </c>
      <c r="AG133" s="165"/>
      <c r="AH133" s="164">
        <v>1.0</v>
      </c>
      <c r="AI133" s="164">
        <v>1.0</v>
      </c>
      <c r="AJ133" s="165"/>
      <c r="AK133" s="165"/>
      <c r="AL133" s="165"/>
      <c r="AM133" s="166">
        <f t="shared" si="215"/>
        <v>2</v>
      </c>
      <c r="AN133" s="167">
        <v>2.0</v>
      </c>
      <c r="AO133" s="165"/>
      <c r="AP133" s="164">
        <v>1.0</v>
      </c>
      <c r="AQ133" s="164">
        <v>1.0</v>
      </c>
      <c r="AR133" s="165"/>
      <c r="AS133" s="165"/>
      <c r="AT133" s="165"/>
      <c r="AU133" s="168">
        <f t="shared" si="216"/>
        <v>2</v>
      </c>
      <c r="AV133" s="169">
        <v>213.0</v>
      </c>
      <c r="AW133" s="204">
        <f t="shared" si="8"/>
        <v>3</v>
      </c>
      <c r="AX133" s="169">
        <v>0.0</v>
      </c>
      <c r="AY133" s="169">
        <v>1.0</v>
      </c>
      <c r="AZ133" s="169">
        <v>0.0</v>
      </c>
      <c r="BA133" s="169">
        <v>0.0</v>
      </c>
      <c r="BB133" s="169">
        <v>0.0</v>
      </c>
      <c r="BC133" s="169">
        <v>0.0</v>
      </c>
      <c r="BD133" s="169">
        <v>1.0</v>
      </c>
      <c r="BE133" s="169">
        <v>1.0</v>
      </c>
      <c r="BF133" s="169">
        <v>0.0</v>
      </c>
      <c r="BG133" s="169">
        <v>0.0</v>
      </c>
      <c r="BH133" s="169">
        <v>0.0</v>
      </c>
      <c r="BI133" s="169">
        <v>0.0</v>
      </c>
      <c r="BJ133" s="169">
        <v>0.0</v>
      </c>
      <c r="BK133" s="169">
        <v>0.0</v>
      </c>
      <c r="BL133" s="169">
        <v>0.0</v>
      </c>
      <c r="BM133" s="169">
        <v>0.0</v>
      </c>
      <c r="BN133" s="169">
        <v>0.0</v>
      </c>
      <c r="BO133" s="169">
        <v>0.0</v>
      </c>
      <c r="BP133" s="205">
        <f t="shared" si="131"/>
        <v>0</v>
      </c>
      <c r="BQ133" s="173">
        <v>213.0</v>
      </c>
      <c r="BR133" s="170">
        <f t="shared" si="10"/>
        <v>3</v>
      </c>
      <c r="BS133" s="173">
        <v>0.0</v>
      </c>
      <c r="BT133" s="173">
        <v>0.0</v>
      </c>
      <c r="BU133" s="173">
        <v>1.0</v>
      </c>
      <c r="BV133" s="173">
        <v>2.0</v>
      </c>
      <c r="BW133" s="173">
        <v>0.0</v>
      </c>
      <c r="BX133" s="173">
        <v>0.0</v>
      </c>
      <c r="BY133" s="173">
        <v>0.0</v>
      </c>
      <c r="BZ133" s="173">
        <v>0.0</v>
      </c>
      <c r="CA133" s="173">
        <v>0.0</v>
      </c>
      <c r="CB133" s="173">
        <v>0.0</v>
      </c>
      <c r="CC133" s="173">
        <v>0.0</v>
      </c>
      <c r="CD133" s="173">
        <v>0.0</v>
      </c>
      <c r="CE133" s="173">
        <v>0.0</v>
      </c>
      <c r="CF133" s="173">
        <v>0.0</v>
      </c>
      <c r="CG133" s="173">
        <v>0.0</v>
      </c>
      <c r="CH133" s="173">
        <v>0.0</v>
      </c>
      <c r="CI133" s="173">
        <v>0.0</v>
      </c>
      <c r="CJ133" s="173">
        <v>0.0</v>
      </c>
      <c r="CK133" s="172">
        <f t="shared" si="132"/>
        <v>0</v>
      </c>
      <c r="CL133" s="441">
        <v>194.0</v>
      </c>
      <c r="CM133" s="441">
        <v>66.0</v>
      </c>
      <c r="CN133" s="175">
        <f t="shared" si="295"/>
        <v>2</v>
      </c>
      <c r="CO133" s="441">
        <v>0.0</v>
      </c>
      <c r="CP133" s="441">
        <v>0.0</v>
      </c>
      <c r="CQ133" s="441">
        <v>1.0</v>
      </c>
      <c r="CR133" s="441">
        <v>1.0</v>
      </c>
      <c r="CS133" s="441">
        <v>0.0</v>
      </c>
      <c r="CT133" s="441">
        <v>0.0</v>
      </c>
      <c r="CU133" s="441">
        <v>0.0</v>
      </c>
      <c r="CV133" s="441">
        <v>0.0</v>
      </c>
      <c r="CW133" s="441">
        <v>0.0</v>
      </c>
      <c r="CX133" s="441">
        <v>0.0</v>
      </c>
      <c r="CY133" s="441">
        <v>1.0</v>
      </c>
      <c r="CZ133" s="441">
        <v>0.0</v>
      </c>
      <c r="DA133" s="441">
        <v>0.0</v>
      </c>
      <c r="DB133" s="441">
        <v>0.0</v>
      </c>
      <c r="DC133" s="441">
        <v>0.0</v>
      </c>
      <c r="DD133" s="441">
        <v>0.0</v>
      </c>
      <c r="DE133" s="441">
        <v>0.0</v>
      </c>
      <c r="DF133" s="441">
        <v>0.0</v>
      </c>
      <c r="DG133" s="442">
        <f t="shared" si="13"/>
        <v>1</v>
      </c>
      <c r="DH133" s="177">
        <v>196.0</v>
      </c>
      <c r="DI133" s="177">
        <v>64.0</v>
      </c>
      <c r="DJ133" s="178">
        <v>186.0</v>
      </c>
      <c r="DK133" s="178">
        <v>63.0</v>
      </c>
      <c r="DL133" s="179">
        <f t="shared" si="14"/>
        <v>3</v>
      </c>
      <c r="DM133" s="180">
        <f t="shared" si="15"/>
        <v>1</v>
      </c>
      <c r="DN133" s="180">
        <f t="shared" si="16"/>
        <v>2</v>
      </c>
      <c r="DO133" s="177">
        <v>0.0</v>
      </c>
      <c r="DP133" s="177">
        <v>0.0</v>
      </c>
      <c r="DQ133" s="177">
        <v>1.0</v>
      </c>
      <c r="DR133" s="177">
        <v>1.0</v>
      </c>
      <c r="DS133" s="177">
        <v>0.0</v>
      </c>
      <c r="DT133" s="177">
        <v>0.0</v>
      </c>
      <c r="DU133" s="177">
        <v>0.0</v>
      </c>
      <c r="DV133" s="177">
        <v>1.0</v>
      </c>
      <c r="DW133" s="177">
        <v>0.0</v>
      </c>
      <c r="DX133" s="177">
        <v>0.0</v>
      </c>
      <c r="DY133" s="177">
        <v>0.0</v>
      </c>
      <c r="DZ133" s="177">
        <v>0.0</v>
      </c>
      <c r="EA133" s="177">
        <v>0.0</v>
      </c>
      <c r="EB133" s="177">
        <v>0.0</v>
      </c>
      <c r="EC133" s="177">
        <v>0.0</v>
      </c>
      <c r="ED133" s="177">
        <v>0.0</v>
      </c>
      <c r="EE133" s="177">
        <v>0.0</v>
      </c>
      <c r="EF133" s="177">
        <v>0.0</v>
      </c>
      <c r="EG133" s="179">
        <f t="shared" si="17"/>
        <v>0</v>
      </c>
      <c r="EH133" s="179">
        <f t="shared" si="18"/>
        <v>0</v>
      </c>
      <c r="EI133" s="457">
        <v>201.0</v>
      </c>
      <c r="EJ133" s="457">
        <v>67.0</v>
      </c>
      <c r="EK133" s="457">
        <v>201.0</v>
      </c>
      <c r="EL133" s="457">
        <v>67.0</v>
      </c>
      <c r="EM133" s="185">
        <f t="shared" si="329"/>
        <v>4</v>
      </c>
      <c r="EN133" s="186">
        <f t="shared" si="202"/>
        <v>2</v>
      </c>
      <c r="EO133" s="186">
        <f t="shared" si="90"/>
        <v>2</v>
      </c>
      <c r="EP133" s="177">
        <v>0.0</v>
      </c>
      <c r="EQ133" s="177">
        <v>0.0</v>
      </c>
      <c r="ER133" s="177">
        <v>1.0</v>
      </c>
      <c r="ES133" s="177">
        <v>2.0</v>
      </c>
      <c r="ET133" s="177">
        <v>0.0</v>
      </c>
      <c r="EU133" s="177">
        <v>0.0</v>
      </c>
      <c r="EV133" s="177">
        <v>1.0</v>
      </c>
      <c r="EW133" s="177">
        <v>0.0</v>
      </c>
      <c r="EX133" s="177">
        <v>0.0</v>
      </c>
      <c r="EY133" s="177">
        <v>0.0</v>
      </c>
      <c r="EZ133" s="177">
        <v>0.0</v>
      </c>
      <c r="FA133" s="177">
        <v>0.0</v>
      </c>
      <c r="FB133" s="177">
        <v>0.0</v>
      </c>
      <c r="FC133" s="177">
        <v>0.0</v>
      </c>
      <c r="FD133" s="177">
        <v>0.0</v>
      </c>
      <c r="FE133" s="177">
        <v>0.0</v>
      </c>
      <c r="FF133" s="177">
        <v>0.0</v>
      </c>
      <c r="FG133" s="177">
        <v>0.0</v>
      </c>
      <c r="FH133" s="185">
        <f t="shared" si="22"/>
        <v>0</v>
      </c>
      <c r="FI133" s="185">
        <f t="shared" si="23"/>
        <v>0</v>
      </c>
      <c r="FJ133" s="177">
        <v>203.0</v>
      </c>
      <c r="FK133" s="177">
        <v>53.0</v>
      </c>
      <c r="FL133" s="177">
        <v>203.0</v>
      </c>
      <c r="FM133" s="177">
        <v>53.0</v>
      </c>
      <c r="FN133" s="180"/>
      <c r="FO133" s="180">
        <v>6.0</v>
      </c>
      <c r="FP133" s="188">
        <f t="shared" si="330"/>
        <v>6</v>
      </c>
      <c r="FQ133" s="211">
        <v>3.0</v>
      </c>
      <c r="FR133" s="212">
        <v>3.0</v>
      </c>
      <c r="FS133" s="206">
        <v>0.0</v>
      </c>
      <c r="FT133" s="207">
        <v>0.0</v>
      </c>
      <c r="FU133" s="207">
        <v>2.0</v>
      </c>
      <c r="FV133" s="207">
        <v>3.0</v>
      </c>
      <c r="FW133" s="207">
        <v>0.0</v>
      </c>
      <c r="FX133" s="207">
        <v>0.0</v>
      </c>
      <c r="FY133" s="207">
        <v>1.0</v>
      </c>
      <c r="FZ133" s="207">
        <v>0.0</v>
      </c>
      <c r="GA133" s="207">
        <v>0.0</v>
      </c>
      <c r="GB133" s="207">
        <v>0.0</v>
      </c>
      <c r="GC133" s="207">
        <v>0.0</v>
      </c>
      <c r="GD133" s="207">
        <v>0.0</v>
      </c>
      <c r="GE133" s="207">
        <v>0.0</v>
      </c>
      <c r="GF133" s="207">
        <v>0.0</v>
      </c>
      <c r="GG133" s="207">
        <v>0.0</v>
      </c>
      <c r="GH133" s="207">
        <v>0.0</v>
      </c>
      <c r="GI133" s="207">
        <v>0.0</v>
      </c>
      <c r="GJ133" s="207">
        <v>0.0</v>
      </c>
      <c r="GK133" s="212">
        <v>0.0</v>
      </c>
      <c r="GL133" s="212">
        <v>0.0</v>
      </c>
      <c r="GM133" s="207">
        <v>200.0</v>
      </c>
      <c r="GN133" s="207">
        <v>66.0</v>
      </c>
      <c r="GO133" s="213">
        <v>200.0</v>
      </c>
      <c r="GP133" s="213">
        <v>66.0</v>
      </c>
      <c r="GQ133" s="207"/>
      <c r="GR133" s="213">
        <v>6.0</v>
      </c>
      <c r="GS133" s="193">
        <v>2.0</v>
      </c>
      <c r="GT133" s="194">
        <f t="shared" si="25"/>
        <v>6</v>
      </c>
      <c r="GU133" s="194">
        <f t="shared" si="26"/>
        <v>2</v>
      </c>
      <c r="GV133" s="194">
        <f t="shared" si="27"/>
        <v>4</v>
      </c>
      <c r="GW133" s="444">
        <v>0.0</v>
      </c>
      <c r="GX133" s="444">
        <v>0.0</v>
      </c>
      <c r="GY133" s="444">
        <v>2.0</v>
      </c>
      <c r="GZ133" s="444">
        <v>3.0</v>
      </c>
      <c r="HA133" s="445">
        <v>0.0</v>
      </c>
      <c r="HB133" s="445">
        <v>0.0</v>
      </c>
      <c r="HC133" s="445">
        <v>0.0</v>
      </c>
      <c r="HD133" s="444">
        <v>1.0</v>
      </c>
      <c r="HE133" s="445">
        <v>0.0</v>
      </c>
      <c r="HF133" s="445">
        <v>0.0</v>
      </c>
      <c r="HG133" s="445">
        <v>0.0</v>
      </c>
      <c r="HH133" s="445">
        <v>0.0</v>
      </c>
      <c r="HI133" s="445">
        <v>0.0</v>
      </c>
      <c r="HJ133" s="445">
        <v>0.0</v>
      </c>
      <c r="HK133" s="445">
        <v>1.0</v>
      </c>
      <c r="HL133" s="445">
        <v>0.0</v>
      </c>
      <c r="HM133" s="445">
        <v>0.0</v>
      </c>
      <c r="HN133" s="445">
        <v>0.0</v>
      </c>
      <c r="HO133" s="222"/>
      <c r="HP133" s="222"/>
      <c r="HQ133" s="214"/>
      <c r="HR133" s="197"/>
      <c r="HS133" s="197"/>
      <c r="HT133" s="198">
        <f t="shared" si="28"/>
        <v>2</v>
      </c>
      <c r="HU133" s="198">
        <f t="shared" si="29"/>
        <v>1</v>
      </c>
      <c r="HV133" s="198">
        <f t="shared" si="30"/>
        <v>2</v>
      </c>
      <c r="HW133" s="198">
        <f t="shared" si="99"/>
        <v>2</v>
      </c>
      <c r="HX133" s="198">
        <f t="shared" si="32"/>
        <v>2</v>
      </c>
      <c r="HY133" s="198">
        <f t="shared" si="33"/>
        <v>3</v>
      </c>
      <c r="HZ133" s="198">
        <f t="shared" si="34"/>
        <v>3</v>
      </c>
      <c r="IA133" s="198">
        <f t="shared" si="35"/>
        <v>2</v>
      </c>
      <c r="IB133" s="198">
        <f t="shared" si="36"/>
        <v>3</v>
      </c>
      <c r="IC133" s="198">
        <f t="shared" si="37"/>
        <v>4</v>
      </c>
      <c r="ID133" s="198">
        <f t="shared" si="38"/>
        <v>6</v>
      </c>
      <c r="IE133" s="198">
        <f t="shared" si="39"/>
        <v>6</v>
      </c>
      <c r="IF133" s="197"/>
      <c r="IG133" s="197"/>
      <c r="IH133" s="197"/>
      <c r="II133" s="197"/>
      <c r="IJ133" s="197"/>
      <c r="IK133" s="197"/>
      <c r="IL133" s="197"/>
      <c r="IM133" s="197"/>
      <c r="IN133" s="197"/>
      <c r="IO133" s="197"/>
      <c r="IP133" s="197"/>
      <c r="IQ133" s="197"/>
      <c r="IR133" s="197"/>
      <c r="IS133" s="197"/>
      <c r="IT133" s="197"/>
      <c r="IU133" s="197"/>
      <c r="IV133" s="197"/>
      <c r="IW133" s="197"/>
      <c r="IX133" s="197"/>
      <c r="IY133" s="197"/>
      <c r="IZ133" s="197"/>
      <c r="JA133" s="199"/>
      <c r="JB133" s="200">
        <f t="shared" si="40"/>
        <v>2</v>
      </c>
      <c r="JC133" s="200">
        <f t="shared" si="41"/>
        <v>1</v>
      </c>
      <c r="JD133" s="200">
        <f t="shared" si="42"/>
        <v>2</v>
      </c>
      <c r="JE133" s="200">
        <f t="shared" si="43"/>
        <v>2</v>
      </c>
      <c r="JF133" s="200">
        <f t="shared" si="44"/>
        <v>2</v>
      </c>
      <c r="JG133" s="200">
        <f t="shared" si="45"/>
        <v>3</v>
      </c>
      <c r="JH133" s="200">
        <f t="shared" si="46"/>
        <v>3</v>
      </c>
      <c r="JI133" s="200">
        <f t="shared" si="47"/>
        <v>2</v>
      </c>
      <c r="JJ133" s="200">
        <f t="shared" si="48"/>
        <v>3</v>
      </c>
      <c r="JK133" s="200">
        <f t="shared" si="49"/>
        <v>4</v>
      </c>
      <c r="JL133" s="200">
        <f t="shared" si="50"/>
        <v>6</v>
      </c>
      <c r="JM133" s="200">
        <f t="shared" si="51"/>
        <v>6</v>
      </c>
      <c r="JN133" s="199"/>
      <c r="JO133" s="200">
        <f t="shared" si="52"/>
        <v>2</v>
      </c>
      <c r="JP133" s="202">
        <v>1.0</v>
      </c>
      <c r="JQ133" s="202">
        <v>2.0</v>
      </c>
      <c r="JR133" s="202">
        <v>2.0</v>
      </c>
      <c r="JS133" s="202">
        <v>2.0</v>
      </c>
      <c r="JT133" s="199"/>
      <c r="JU133" s="199"/>
      <c r="JV133" s="200">
        <f t="shared" ref="JV133:JX133" si="331">IA133-JI133</f>
        <v>0</v>
      </c>
      <c r="JW133" s="200">
        <f t="shared" si="331"/>
        <v>0</v>
      </c>
      <c r="JX133" s="200">
        <f t="shared" si="331"/>
        <v>0</v>
      </c>
      <c r="JY133" s="199"/>
      <c r="JZ133" s="199"/>
      <c r="KA133" s="199"/>
      <c r="KB133" s="446">
        <f t="shared" ref="KB133:KM133" si="332">JB133-JO133</f>
        <v>0</v>
      </c>
      <c r="KC133" s="446">
        <f t="shared" si="332"/>
        <v>0</v>
      </c>
      <c r="KD133" s="446">
        <f t="shared" si="332"/>
        <v>0</v>
      </c>
      <c r="KE133" s="446">
        <f t="shared" si="332"/>
        <v>0</v>
      </c>
      <c r="KF133" s="446">
        <f t="shared" si="332"/>
        <v>0</v>
      </c>
      <c r="KG133" s="200">
        <f t="shared" si="332"/>
        <v>3</v>
      </c>
      <c r="KH133" s="200">
        <f t="shared" si="332"/>
        <v>3</v>
      </c>
      <c r="KI133" s="200">
        <f t="shared" si="332"/>
        <v>2</v>
      </c>
      <c r="KJ133" s="200">
        <f t="shared" si="332"/>
        <v>3</v>
      </c>
      <c r="KK133" s="200">
        <f t="shared" si="332"/>
        <v>4</v>
      </c>
      <c r="KL133" s="200">
        <f t="shared" si="332"/>
        <v>6</v>
      </c>
      <c r="KM133" s="200">
        <f t="shared" si="332"/>
        <v>6</v>
      </c>
      <c r="KN133" s="199"/>
      <c r="KO133" s="199"/>
      <c r="KP133" s="199"/>
      <c r="KQ133" s="199"/>
      <c r="KR133" s="199"/>
      <c r="KS133" s="199"/>
      <c r="KT133" s="199"/>
      <c r="KU133" s="199"/>
      <c r="KV133" s="199"/>
      <c r="KW133" s="199"/>
      <c r="KX133" s="199"/>
      <c r="KY133" s="199"/>
      <c r="KZ133" s="199"/>
      <c r="LA133" s="199"/>
      <c r="LB133" s="199"/>
      <c r="LC133" s="199"/>
      <c r="LD133" s="199"/>
      <c r="LE133" s="199"/>
      <c r="LF133" s="199"/>
      <c r="LG133" s="199"/>
    </row>
    <row r="134" ht="14.25" customHeight="1">
      <c r="A134" s="156">
        <v>127.0</v>
      </c>
      <c r="B134" s="453" t="s">
        <v>222</v>
      </c>
      <c r="C134" s="454">
        <v>3374020.0</v>
      </c>
      <c r="D134" s="454" t="s">
        <v>222</v>
      </c>
      <c r="E134" s="454" t="s">
        <v>236</v>
      </c>
      <c r="F134" s="455">
        <v>4.0</v>
      </c>
      <c r="G134" s="456">
        <v>164.0</v>
      </c>
      <c r="H134" s="160">
        <v>3.0</v>
      </c>
      <c r="I134" s="223">
        <v>0.0</v>
      </c>
      <c r="J134" s="161">
        <v>1.0</v>
      </c>
      <c r="K134" s="161">
        <v>1.0</v>
      </c>
      <c r="L134" s="161">
        <v>1.0</v>
      </c>
      <c r="M134" s="223">
        <v>0.0</v>
      </c>
      <c r="N134" s="223">
        <v>0.0</v>
      </c>
      <c r="O134" s="162">
        <f t="shared" si="213"/>
        <v>3</v>
      </c>
      <c r="P134" s="203">
        <v>3.0</v>
      </c>
      <c r="Q134" s="164"/>
      <c r="R134" s="164">
        <v>1.0</v>
      </c>
      <c r="S134" s="164"/>
      <c r="T134" s="165">
        <v>2.0</v>
      </c>
      <c r="U134" s="165"/>
      <c r="V134" s="165"/>
      <c r="W134" s="166">
        <f t="shared" si="225"/>
        <v>3</v>
      </c>
      <c r="X134" s="203">
        <v>3.0</v>
      </c>
      <c r="Y134" s="164"/>
      <c r="Z134" s="164">
        <v>1.0</v>
      </c>
      <c r="AA134" s="164"/>
      <c r="AB134" s="165">
        <v>2.0</v>
      </c>
      <c r="AC134" s="165"/>
      <c r="AD134" s="165"/>
      <c r="AE134" s="166">
        <f t="shared" si="214"/>
        <v>3</v>
      </c>
      <c r="AF134" s="167">
        <v>1.0</v>
      </c>
      <c r="AG134" s="165"/>
      <c r="AH134" s="164"/>
      <c r="AI134" s="164"/>
      <c r="AJ134" s="165">
        <v>1.0</v>
      </c>
      <c r="AK134" s="165"/>
      <c r="AL134" s="165">
        <v>1.0</v>
      </c>
      <c r="AM134" s="166">
        <f t="shared" si="215"/>
        <v>0</v>
      </c>
      <c r="AN134" s="167">
        <v>1.0</v>
      </c>
      <c r="AO134" s="165"/>
      <c r="AP134" s="164"/>
      <c r="AQ134" s="164"/>
      <c r="AR134" s="165">
        <v>1.0</v>
      </c>
      <c r="AS134" s="165"/>
      <c r="AT134" s="165"/>
      <c r="AU134" s="168">
        <f t="shared" si="216"/>
        <v>1</v>
      </c>
      <c r="AV134" s="169">
        <v>165.0</v>
      </c>
      <c r="AW134" s="204">
        <f t="shared" si="8"/>
        <v>3</v>
      </c>
      <c r="AX134" s="169">
        <v>0.0</v>
      </c>
      <c r="AY134" s="169">
        <v>0.0</v>
      </c>
      <c r="AZ134" s="169">
        <v>1.0</v>
      </c>
      <c r="BA134" s="169">
        <v>2.0</v>
      </c>
      <c r="BB134" s="169">
        <v>0.0</v>
      </c>
      <c r="BC134" s="169">
        <v>0.0</v>
      </c>
      <c r="BD134" s="169">
        <v>0.0</v>
      </c>
      <c r="BE134" s="169">
        <v>0.0</v>
      </c>
      <c r="BF134" s="169">
        <v>0.0</v>
      </c>
      <c r="BG134" s="169">
        <v>0.0</v>
      </c>
      <c r="BH134" s="169">
        <v>0.0</v>
      </c>
      <c r="BI134" s="169">
        <v>1.0</v>
      </c>
      <c r="BJ134" s="169">
        <v>0.0</v>
      </c>
      <c r="BK134" s="169">
        <v>0.0</v>
      </c>
      <c r="BL134" s="169">
        <v>0.0</v>
      </c>
      <c r="BM134" s="169">
        <v>0.0</v>
      </c>
      <c r="BN134" s="169">
        <v>0.0</v>
      </c>
      <c r="BO134" s="169">
        <v>0.0</v>
      </c>
      <c r="BP134" s="205">
        <f t="shared" si="131"/>
        <v>1</v>
      </c>
      <c r="BQ134" s="173">
        <v>167.0</v>
      </c>
      <c r="BR134" s="170">
        <f t="shared" si="10"/>
        <v>4</v>
      </c>
      <c r="BS134" s="173">
        <v>0.0</v>
      </c>
      <c r="BT134" s="173">
        <v>0.0</v>
      </c>
      <c r="BU134" s="173">
        <v>1.0</v>
      </c>
      <c r="BV134" s="173">
        <v>2.0</v>
      </c>
      <c r="BW134" s="173">
        <v>0.0</v>
      </c>
      <c r="BX134" s="173">
        <v>0.0</v>
      </c>
      <c r="BY134" s="173">
        <v>0.0</v>
      </c>
      <c r="BZ134" s="173">
        <v>1.0</v>
      </c>
      <c r="CA134" s="173">
        <v>0.0</v>
      </c>
      <c r="CB134" s="173">
        <v>0.0</v>
      </c>
      <c r="CC134" s="173">
        <v>0.0</v>
      </c>
      <c r="CD134" s="173">
        <v>1.0</v>
      </c>
      <c r="CE134" s="173">
        <v>0.0</v>
      </c>
      <c r="CF134" s="173">
        <v>0.0</v>
      </c>
      <c r="CG134" s="173">
        <v>0.0</v>
      </c>
      <c r="CH134" s="173">
        <v>0.0</v>
      </c>
      <c r="CI134" s="173">
        <v>0.0</v>
      </c>
      <c r="CJ134" s="173">
        <v>0.0</v>
      </c>
      <c r="CK134" s="172">
        <f t="shared" si="132"/>
        <v>1</v>
      </c>
      <c r="CL134" s="441">
        <v>167.0</v>
      </c>
      <c r="CM134" s="441">
        <v>46.0</v>
      </c>
      <c r="CN134" s="175">
        <f t="shared" si="295"/>
        <v>3</v>
      </c>
      <c r="CO134" s="441">
        <v>0.0</v>
      </c>
      <c r="CP134" s="441">
        <v>0.0</v>
      </c>
      <c r="CQ134" s="441">
        <v>1.0</v>
      </c>
      <c r="CR134" s="441">
        <v>2.0</v>
      </c>
      <c r="CS134" s="441">
        <v>0.0</v>
      </c>
      <c r="CT134" s="441">
        <v>0.0</v>
      </c>
      <c r="CU134" s="441">
        <v>0.0</v>
      </c>
      <c r="CV134" s="441">
        <v>0.0</v>
      </c>
      <c r="CW134" s="441">
        <v>0.0</v>
      </c>
      <c r="CX134" s="441">
        <v>0.0</v>
      </c>
      <c r="CY134" s="441">
        <v>0.0</v>
      </c>
      <c r="CZ134" s="441">
        <v>0.0</v>
      </c>
      <c r="DA134" s="441">
        <v>0.0</v>
      </c>
      <c r="DB134" s="441">
        <v>0.0</v>
      </c>
      <c r="DC134" s="441">
        <v>0.0</v>
      </c>
      <c r="DD134" s="441">
        <v>0.0</v>
      </c>
      <c r="DE134" s="441">
        <v>0.0</v>
      </c>
      <c r="DF134" s="441">
        <v>0.0</v>
      </c>
      <c r="DG134" s="442">
        <f t="shared" si="13"/>
        <v>0</v>
      </c>
      <c r="DH134" s="177">
        <v>153.0</v>
      </c>
      <c r="DI134" s="177">
        <v>42.0</v>
      </c>
      <c r="DJ134" s="178">
        <v>153.0</v>
      </c>
      <c r="DK134" s="178">
        <v>42.0</v>
      </c>
      <c r="DL134" s="179">
        <f t="shared" si="14"/>
        <v>3</v>
      </c>
      <c r="DM134" s="180">
        <f t="shared" si="15"/>
        <v>1</v>
      </c>
      <c r="DN134" s="180">
        <f t="shared" si="16"/>
        <v>2</v>
      </c>
      <c r="DO134" s="177">
        <v>0.0</v>
      </c>
      <c r="DP134" s="177">
        <v>0.0</v>
      </c>
      <c r="DQ134" s="177">
        <v>1.0</v>
      </c>
      <c r="DR134" s="177">
        <v>2.0</v>
      </c>
      <c r="DS134" s="177">
        <v>0.0</v>
      </c>
      <c r="DT134" s="177">
        <v>0.0</v>
      </c>
      <c r="DU134" s="177">
        <v>0.0</v>
      </c>
      <c r="DV134" s="177">
        <v>0.0</v>
      </c>
      <c r="DW134" s="177">
        <v>0.0</v>
      </c>
      <c r="DX134" s="177">
        <v>0.0</v>
      </c>
      <c r="DY134" s="177">
        <v>0.0</v>
      </c>
      <c r="DZ134" s="177">
        <v>0.0</v>
      </c>
      <c r="EA134" s="177">
        <v>0.0</v>
      </c>
      <c r="EB134" s="177">
        <v>0.0</v>
      </c>
      <c r="EC134" s="177">
        <v>0.0</v>
      </c>
      <c r="ED134" s="177">
        <v>0.0</v>
      </c>
      <c r="EE134" s="177">
        <v>0.0</v>
      </c>
      <c r="EF134" s="177">
        <v>0.0</v>
      </c>
      <c r="EG134" s="179">
        <f t="shared" si="17"/>
        <v>0</v>
      </c>
      <c r="EH134" s="179">
        <f t="shared" si="18"/>
        <v>0</v>
      </c>
      <c r="EI134" s="457">
        <v>152.0</v>
      </c>
      <c r="EJ134" s="457">
        <v>48.0</v>
      </c>
      <c r="EK134" s="457">
        <v>152.0</v>
      </c>
      <c r="EL134" s="457">
        <v>48.0</v>
      </c>
      <c r="EM134" s="185">
        <f t="shared" si="329"/>
        <v>3</v>
      </c>
      <c r="EN134" s="186">
        <f t="shared" si="202"/>
        <v>1</v>
      </c>
      <c r="EO134" s="186">
        <f t="shared" si="90"/>
        <v>2</v>
      </c>
      <c r="EP134" s="177">
        <v>0.0</v>
      </c>
      <c r="EQ134" s="177">
        <v>0.0</v>
      </c>
      <c r="ER134" s="177">
        <v>1.0</v>
      </c>
      <c r="ES134" s="177">
        <v>2.0</v>
      </c>
      <c r="ET134" s="177">
        <v>0.0</v>
      </c>
      <c r="EU134" s="177">
        <v>0.0</v>
      </c>
      <c r="EV134" s="177">
        <v>0.0</v>
      </c>
      <c r="EW134" s="177">
        <v>0.0</v>
      </c>
      <c r="EX134" s="177">
        <v>0.0</v>
      </c>
      <c r="EY134" s="177">
        <v>0.0</v>
      </c>
      <c r="EZ134" s="177">
        <v>0.0</v>
      </c>
      <c r="FA134" s="177">
        <v>0.0</v>
      </c>
      <c r="FB134" s="177">
        <v>0.0</v>
      </c>
      <c r="FC134" s="177">
        <v>0.0</v>
      </c>
      <c r="FD134" s="177">
        <v>0.0</v>
      </c>
      <c r="FE134" s="177">
        <v>0.0</v>
      </c>
      <c r="FF134" s="177">
        <v>0.0</v>
      </c>
      <c r="FG134" s="177">
        <v>0.0</v>
      </c>
      <c r="FH134" s="185">
        <f t="shared" si="22"/>
        <v>0</v>
      </c>
      <c r="FI134" s="185">
        <f t="shared" si="23"/>
        <v>0</v>
      </c>
      <c r="FJ134" s="177">
        <v>150.0</v>
      </c>
      <c r="FK134" s="177">
        <v>32.0</v>
      </c>
      <c r="FL134" s="177">
        <v>150.0</v>
      </c>
      <c r="FM134" s="177">
        <v>32.0</v>
      </c>
      <c r="FN134" s="180"/>
      <c r="FO134" s="180">
        <v>3.0</v>
      </c>
      <c r="FP134" s="188">
        <f t="shared" si="330"/>
        <v>3</v>
      </c>
      <c r="FQ134" s="211">
        <v>1.0</v>
      </c>
      <c r="FR134" s="212">
        <v>2.0</v>
      </c>
      <c r="FS134" s="206">
        <v>0.0</v>
      </c>
      <c r="FT134" s="207">
        <v>0.0</v>
      </c>
      <c r="FU134" s="207">
        <v>1.0</v>
      </c>
      <c r="FV134" s="207">
        <v>2.0</v>
      </c>
      <c r="FW134" s="207">
        <v>0.0</v>
      </c>
      <c r="FX134" s="207">
        <v>0.0</v>
      </c>
      <c r="FY134" s="207">
        <v>0.0</v>
      </c>
      <c r="FZ134" s="207">
        <v>0.0</v>
      </c>
      <c r="GA134" s="207">
        <v>0.0</v>
      </c>
      <c r="GB134" s="207">
        <v>0.0</v>
      </c>
      <c r="GC134" s="207">
        <v>0.0</v>
      </c>
      <c r="GD134" s="207">
        <v>0.0</v>
      </c>
      <c r="GE134" s="207">
        <v>0.0</v>
      </c>
      <c r="GF134" s="207">
        <v>0.0</v>
      </c>
      <c r="GG134" s="207">
        <v>0.0</v>
      </c>
      <c r="GH134" s="207">
        <v>0.0</v>
      </c>
      <c r="GI134" s="207">
        <v>0.0</v>
      </c>
      <c r="GJ134" s="207">
        <v>0.0</v>
      </c>
      <c r="GK134" s="212">
        <v>0.0</v>
      </c>
      <c r="GL134" s="212">
        <v>0.0</v>
      </c>
      <c r="GM134" s="207">
        <v>148.0</v>
      </c>
      <c r="GN134" s="207">
        <v>41.0</v>
      </c>
      <c r="GO134" s="213">
        <v>148.0</v>
      </c>
      <c r="GP134" s="213">
        <v>41.0</v>
      </c>
      <c r="GQ134" s="207"/>
      <c r="GR134" s="213">
        <v>2.0</v>
      </c>
      <c r="GS134" s="193">
        <v>2.0</v>
      </c>
      <c r="GT134" s="194">
        <f t="shared" si="25"/>
        <v>2</v>
      </c>
      <c r="GU134" s="194">
        <f t="shared" si="26"/>
        <v>2</v>
      </c>
      <c r="GV134" s="194">
        <f t="shared" si="27"/>
        <v>0</v>
      </c>
      <c r="GW134" s="444">
        <v>0.0</v>
      </c>
      <c r="GX134" s="444">
        <v>0.0</v>
      </c>
      <c r="GY134" s="444">
        <v>1.0</v>
      </c>
      <c r="GZ134" s="444">
        <v>0.0</v>
      </c>
      <c r="HA134" s="445">
        <v>0.0</v>
      </c>
      <c r="HB134" s="445">
        <v>0.0</v>
      </c>
      <c r="HC134" s="444">
        <v>1.0</v>
      </c>
      <c r="HD134" s="445">
        <v>0.0</v>
      </c>
      <c r="HE134" s="445">
        <v>0.0</v>
      </c>
      <c r="HF134" s="445">
        <v>0.0</v>
      </c>
      <c r="HG134" s="445">
        <v>0.0</v>
      </c>
      <c r="HH134" s="445">
        <v>0.0</v>
      </c>
      <c r="HI134" s="445">
        <v>0.0</v>
      </c>
      <c r="HJ134" s="445">
        <v>0.0</v>
      </c>
      <c r="HK134" s="445">
        <v>0.0</v>
      </c>
      <c r="HL134" s="445">
        <v>0.0</v>
      </c>
      <c r="HM134" s="444">
        <v>1.0</v>
      </c>
      <c r="HN134" s="445">
        <v>0.0</v>
      </c>
      <c r="HO134" s="222"/>
      <c r="HP134" s="222"/>
      <c r="HQ134" s="214"/>
      <c r="HR134" s="197"/>
      <c r="HS134" s="197"/>
      <c r="HT134" s="198">
        <f t="shared" si="28"/>
        <v>3</v>
      </c>
      <c r="HU134" s="198">
        <f t="shared" si="29"/>
        <v>3</v>
      </c>
      <c r="HV134" s="198">
        <f t="shared" si="30"/>
        <v>3</v>
      </c>
      <c r="HW134" s="198">
        <f t="shared" si="99"/>
        <v>1</v>
      </c>
      <c r="HX134" s="198">
        <f t="shared" si="32"/>
        <v>1</v>
      </c>
      <c r="HY134" s="198">
        <f t="shared" si="33"/>
        <v>3</v>
      </c>
      <c r="HZ134" s="198">
        <f t="shared" si="34"/>
        <v>4</v>
      </c>
      <c r="IA134" s="198">
        <f t="shared" si="35"/>
        <v>3</v>
      </c>
      <c r="IB134" s="198">
        <f t="shared" si="36"/>
        <v>3</v>
      </c>
      <c r="IC134" s="198">
        <f t="shared" si="37"/>
        <v>3</v>
      </c>
      <c r="ID134" s="198">
        <f t="shared" si="38"/>
        <v>3</v>
      </c>
      <c r="IE134" s="198">
        <f t="shared" si="39"/>
        <v>2</v>
      </c>
      <c r="IF134" s="197"/>
      <c r="IG134" s="197"/>
      <c r="IH134" s="197"/>
      <c r="II134" s="197"/>
      <c r="IJ134" s="197"/>
      <c r="IK134" s="197"/>
      <c r="IL134" s="197"/>
      <c r="IM134" s="197"/>
      <c r="IN134" s="197"/>
      <c r="IO134" s="197"/>
      <c r="IP134" s="197"/>
      <c r="IQ134" s="197"/>
      <c r="IR134" s="197"/>
      <c r="IS134" s="197"/>
      <c r="IT134" s="197"/>
      <c r="IU134" s="197"/>
      <c r="IV134" s="197"/>
      <c r="IW134" s="197"/>
      <c r="IX134" s="197"/>
      <c r="IY134" s="197"/>
      <c r="IZ134" s="197"/>
      <c r="JA134" s="199"/>
      <c r="JB134" s="200">
        <f t="shared" si="40"/>
        <v>3</v>
      </c>
      <c r="JC134" s="200">
        <f t="shared" si="41"/>
        <v>3</v>
      </c>
      <c r="JD134" s="200">
        <f t="shared" si="42"/>
        <v>3</v>
      </c>
      <c r="JE134" s="200">
        <f t="shared" si="43"/>
        <v>1</v>
      </c>
      <c r="JF134" s="200">
        <f t="shared" si="44"/>
        <v>1</v>
      </c>
      <c r="JG134" s="200">
        <f t="shared" si="45"/>
        <v>3</v>
      </c>
      <c r="JH134" s="200">
        <f t="shared" si="46"/>
        <v>4</v>
      </c>
      <c r="JI134" s="200">
        <f t="shared" si="47"/>
        <v>3</v>
      </c>
      <c r="JJ134" s="200">
        <f t="shared" si="48"/>
        <v>3</v>
      </c>
      <c r="JK134" s="200">
        <f t="shared" si="49"/>
        <v>3</v>
      </c>
      <c r="JL134" s="200">
        <f t="shared" si="50"/>
        <v>3</v>
      </c>
      <c r="JM134" s="200">
        <f t="shared" si="51"/>
        <v>2</v>
      </c>
      <c r="JN134" s="199"/>
      <c r="JO134" s="200">
        <f t="shared" si="52"/>
        <v>3</v>
      </c>
      <c r="JP134" s="202">
        <v>3.0</v>
      </c>
      <c r="JQ134" s="202">
        <v>3.0</v>
      </c>
      <c r="JR134" s="202">
        <v>1.0</v>
      </c>
      <c r="JS134" s="202">
        <v>1.0</v>
      </c>
      <c r="JT134" s="199"/>
      <c r="JU134" s="199"/>
      <c r="JV134" s="200">
        <f t="shared" ref="JV134:JX134" si="333">IA134-JI134</f>
        <v>0</v>
      </c>
      <c r="JW134" s="200">
        <f t="shared" si="333"/>
        <v>0</v>
      </c>
      <c r="JX134" s="200">
        <f t="shared" si="333"/>
        <v>0</v>
      </c>
      <c r="JY134" s="199"/>
      <c r="JZ134" s="199"/>
      <c r="KA134" s="199"/>
      <c r="KB134" s="446">
        <f t="shared" ref="KB134:KM134" si="334">JB134-JO134</f>
        <v>0</v>
      </c>
      <c r="KC134" s="446">
        <f t="shared" si="334"/>
        <v>0</v>
      </c>
      <c r="KD134" s="446">
        <f t="shared" si="334"/>
        <v>0</v>
      </c>
      <c r="KE134" s="446">
        <f t="shared" si="334"/>
        <v>0</v>
      </c>
      <c r="KF134" s="446">
        <f t="shared" si="334"/>
        <v>0</v>
      </c>
      <c r="KG134" s="200">
        <f t="shared" si="334"/>
        <v>3</v>
      </c>
      <c r="KH134" s="200">
        <f t="shared" si="334"/>
        <v>4</v>
      </c>
      <c r="KI134" s="200">
        <f t="shared" si="334"/>
        <v>3</v>
      </c>
      <c r="KJ134" s="200">
        <f t="shared" si="334"/>
        <v>3</v>
      </c>
      <c r="KK134" s="200">
        <f t="shared" si="334"/>
        <v>3</v>
      </c>
      <c r="KL134" s="200">
        <f t="shared" si="334"/>
        <v>3</v>
      </c>
      <c r="KM134" s="200">
        <f t="shared" si="334"/>
        <v>2</v>
      </c>
      <c r="KN134" s="199"/>
      <c r="KO134" s="199"/>
      <c r="KP134" s="199"/>
      <c r="KQ134" s="199"/>
      <c r="KR134" s="199"/>
      <c r="KS134" s="199"/>
      <c r="KT134" s="199"/>
      <c r="KU134" s="199"/>
      <c r="KV134" s="199"/>
      <c r="KW134" s="199"/>
      <c r="KX134" s="199"/>
      <c r="KY134" s="199"/>
      <c r="KZ134" s="199"/>
      <c r="LA134" s="199"/>
      <c r="LB134" s="199"/>
      <c r="LC134" s="199"/>
      <c r="LD134" s="199"/>
      <c r="LE134" s="199"/>
      <c r="LF134" s="199"/>
      <c r="LG134" s="199"/>
    </row>
    <row r="135" ht="14.25" customHeight="1">
      <c r="A135" s="156">
        <v>128.0</v>
      </c>
      <c r="B135" s="453" t="s">
        <v>222</v>
      </c>
      <c r="C135" s="454">
        <v>3374020.0</v>
      </c>
      <c r="D135" s="454" t="s">
        <v>222</v>
      </c>
      <c r="E135" s="454" t="s">
        <v>237</v>
      </c>
      <c r="F135" s="455">
        <v>7.0</v>
      </c>
      <c r="G135" s="456">
        <v>265.0</v>
      </c>
      <c r="H135" s="160">
        <v>2.0</v>
      </c>
      <c r="I135" s="223">
        <v>0.0</v>
      </c>
      <c r="J135" s="161">
        <v>1.0</v>
      </c>
      <c r="K135" s="161">
        <v>1.0</v>
      </c>
      <c r="L135" s="223">
        <v>0.0</v>
      </c>
      <c r="M135" s="223">
        <v>0.0</v>
      </c>
      <c r="N135" s="223">
        <v>0.0</v>
      </c>
      <c r="O135" s="162">
        <v>1.0</v>
      </c>
      <c r="P135" s="203">
        <v>1.0</v>
      </c>
      <c r="Q135" s="164"/>
      <c r="R135" s="164"/>
      <c r="S135" s="164">
        <v>1.0</v>
      </c>
      <c r="T135" s="165"/>
      <c r="U135" s="165"/>
      <c r="V135" s="165"/>
      <c r="W135" s="166">
        <f t="shared" si="225"/>
        <v>1</v>
      </c>
      <c r="X135" s="203">
        <v>2.0</v>
      </c>
      <c r="Y135" s="164"/>
      <c r="Z135" s="164">
        <v>1.0</v>
      </c>
      <c r="AA135" s="164">
        <v>1.0</v>
      </c>
      <c r="AB135" s="165"/>
      <c r="AC135" s="165"/>
      <c r="AD135" s="165"/>
      <c r="AE135" s="166">
        <f t="shared" si="214"/>
        <v>2</v>
      </c>
      <c r="AF135" s="167">
        <v>1.0</v>
      </c>
      <c r="AG135" s="165"/>
      <c r="AH135" s="164"/>
      <c r="AI135" s="164">
        <v>1.0</v>
      </c>
      <c r="AJ135" s="165"/>
      <c r="AK135" s="165"/>
      <c r="AL135" s="165"/>
      <c r="AM135" s="166">
        <f t="shared" si="215"/>
        <v>1</v>
      </c>
      <c r="AN135" s="167">
        <v>1.0</v>
      </c>
      <c r="AO135" s="165"/>
      <c r="AP135" s="164"/>
      <c r="AQ135" s="164">
        <v>1.0</v>
      </c>
      <c r="AR135" s="165"/>
      <c r="AS135" s="165"/>
      <c r="AT135" s="165">
        <v>1.0</v>
      </c>
      <c r="AU135" s="168">
        <f t="shared" si="216"/>
        <v>0</v>
      </c>
      <c r="AV135" s="169">
        <v>346.0</v>
      </c>
      <c r="AW135" s="204">
        <f t="shared" si="8"/>
        <v>0</v>
      </c>
      <c r="AX135" s="169">
        <v>0.0</v>
      </c>
      <c r="AY135" s="169">
        <v>0.0</v>
      </c>
      <c r="AZ135" s="169">
        <v>0.0</v>
      </c>
      <c r="BA135" s="169">
        <v>0.0</v>
      </c>
      <c r="BB135" s="169">
        <v>0.0</v>
      </c>
      <c r="BC135" s="169">
        <v>0.0</v>
      </c>
      <c r="BD135" s="169">
        <v>0.0</v>
      </c>
      <c r="BE135" s="169">
        <v>0.0</v>
      </c>
      <c r="BF135" s="169">
        <v>0.0</v>
      </c>
      <c r="BG135" s="169">
        <v>0.0</v>
      </c>
      <c r="BH135" s="169">
        <v>0.0</v>
      </c>
      <c r="BI135" s="169">
        <v>0.0</v>
      </c>
      <c r="BJ135" s="169">
        <v>0.0</v>
      </c>
      <c r="BK135" s="169">
        <v>0.0</v>
      </c>
      <c r="BL135" s="169">
        <v>0.0</v>
      </c>
      <c r="BM135" s="169">
        <v>0.0</v>
      </c>
      <c r="BN135" s="169">
        <v>0.0</v>
      </c>
      <c r="BO135" s="169">
        <v>0.0</v>
      </c>
      <c r="BP135" s="205">
        <f t="shared" si="131"/>
        <v>0</v>
      </c>
      <c r="BQ135" s="173">
        <v>392.0</v>
      </c>
      <c r="BR135" s="170">
        <f t="shared" si="10"/>
        <v>0</v>
      </c>
      <c r="BS135" s="173">
        <v>0.0</v>
      </c>
      <c r="BT135" s="173">
        <v>0.0</v>
      </c>
      <c r="BU135" s="173">
        <v>0.0</v>
      </c>
      <c r="BV135" s="173">
        <v>0.0</v>
      </c>
      <c r="BW135" s="173">
        <v>0.0</v>
      </c>
      <c r="BX135" s="173">
        <v>0.0</v>
      </c>
      <c r="BY135" s="173">
        <v>0.0</v>
      </c>
      <c r="BZ135" s="173">
        <v>0.0</v>
      </c>
      <c r="CA135" s="173">
        <v>0.0</v>
      </c>
      <c r="CB135" s="173">
        <v>0.0</v>
      </c>
      <c r="CC135" s="173">
        <v>0.0</v>
      </c>
      <c r="CD135" s="173">
        <v>0.0</v>
      </c>
      <c r="CE135" s="173">
        <v>0.0</v>
      </c>
      <c r="CF135" s="173">
        <v>0.0</v>
      </c>
      <c r="CG135" s="173">
        <v>0.0</v>
      </c>
      <c r="CH135" s="173">
        <v>0.0</v>
      </c>
      <c r="CI135" s="173">
        <v>0.0</v>
      </c>
      <c r="CJ135" s="173">
        <v>0.0</v>
      </c>
      <c r="CK135" s="172">
        <f t="shared" si="132"/>
        <v>0</v>
      </c>
      <c r="CL135" s="441">
        <v>386.0</v>
      </c>
      <c r="CM135" s="441">
        <v>75.0</v>
      </c>
      <c r="CN135" s="175">
        <f t="shared" si="295"/>
        <v>0</v>
      </c>
      <c r="CO135" s="441">
        <v>0.0</v>
      </c>
      <c r="CP135" s="441">
        <v>0.0</v>
      </c>
      <c r="CQ135" s="441">
        <v>0.0</v>
      </c>
      <c r="CR135" s="441">
        <v>0.0</v>
      </c>
      <c r="CS135" s="441">
        <v>0.0</v>
      </c>
      <c r="CT135" s="441">
        <v>0.0</v>
      </c>
      <c r="CU135" s="441">
        <v>0.0</v>
      </c>
      <c r="CV135" s="441">
        <v>0.0</v>
      </c>
      <c r="CW135" s="441">
        <v>0.0</v>
      </c>
      <c r="CX135" s="441">
        <v>0.0</v>
      </c>
      <c r="CY135" s="441">
        <v>0.0</v>
      </c>
      <c r="CZ135" s="441">
        <v>0.0</v>
      </c>
      <c r="DA135" s="441">
        <v>0.0</v>
      </c>
      <c r="DB135" s="441">
        <v>0.0</v>
      </c>
      <c r="DC135" s="441">
        <v>0.0</v>
      </c>
      <c r="DD135" s="441">
        <v>0.0</v>
      </c>
      <c r="DE135" s="441">
        <v>0.0</v>
      </c>
      <c r="DF135" s="441">
        <v>0.0</v>
      </c>
      <c r="DG135" s="442">
        <f t="shared" si="13"/>
        <v>0</v>
      </c>
      <c r="DH135" s="177">
        <v>414.0</v>
      </c>
      <c r="DI135" s="177">
        <v>117.0</v>
      </c>
      <c r="DJ135" s="178">
        <v>400.0</v>
      </c>
      <c r="DK135" s="178">
        <v>106.0</v>
      </c>
      <c r="DL135" s="179">
        <f t="shared" si="14"/>
        <v>0</v>
      </c>
      <c r="DM135" s="180">
        <f t="shared" si="15"/>
        <v>0</v>
      </c>
      <c r="DN135" s="180">
        <f t="shared" si="16"/>
        <v>0</v>
      </c>
      <c r="DO135" s="177">
        <v>0.0</v>
      </c>
      <c r="DP135" s="177">
        <v>0.0</v>
      </c>
      <c r="DQ135" s="177">
        <v>0.0</v>
      </c>
      <c r="DR135" s="177">
        <v>0.0</v>
      </c>
      <c r="DS135" s="177">
        <v>0.0</v>
      </c>
      <c r="DT135" s="177">
        <v>0.0</v>
      </c>
      <c r="DU135" s="177">
        <v>0.0</v>
      </c>
      <c r="DV135" s="177">
        <v>0.0</v>
      </c>
      <c r="DW135" s="177">
        <v>0.0</v>
      </c>
      <c r="DX135" s="177">
        <v>0.0</v>
      </c>
      <c r="DY135" s="177">
        <v>0.0</v>
      </c>
      <c r="DZ135" s="177">
        <v>0.0</v>
      </c>
      <c r="EA135" s="177">
        <v>0.0</v>
      </c>
      <c r="EB135" s="177">
        <v>0.0</v>
      </c>
      <c r="EC135" s="177">
        <v>0.0</v>
      </c>
      <c r="ED135" s="177">
        <v>0.0</v>
      </c>
      <c r="EE135" s="177">
        <v>0.0</v>
      </c>
      <c r="EF135" s="177">
        <v>0.0</v>
      </c>
      <c r="EG135" s="179">
        <f t="shared" si="17"/>
        <v>0</v>
      </c>
      <c r="EH135" s="179">
        <f t="shared" si="18"/>
        <v>0</v>
      </c>
      <c r="EI135" s="457">
        <v>407.0</v>
      </c>
      <c r="EJ135" s="457">
        <v>111.0</v>
      </c>
      <c r="EK135" s="457">
        <v>407.0</v>
      </c>
      <c r="EL135" s="457">
        <v>111.0</v>
      </c>
      <c r="EM135" s="185">
        <f t="shared" si="329"/>
        <v>0</v>
      </c>
      <c r="EN135" s="186">
        <f t="shared" si="202"/>
        <v>0</v>
      </c>
      <c r="EO135" s="186">
        <f t="shared" si="90"/>
        <v>0</v>
      </c>
      <c r="EP135" s="177">
        <v>0.0</v>
      </c>
      <c r="EQ135" s="177">
        <v>0.0</v>
      </c>
      <c r="ER135" s="177">
        <v>0.0</v>
      </c>
      <c r="ES135" s="177">
        <v>0.0</v>
      </c>
      <c r="ET135" s="177">
        <v>0.0</v>
      </c>
      <c r="EU135" s="177">
        <v>0.0</v>
      </c>
      <c r="EV135" s="177">
        <v>0.0</v>
      </c>
      <c r="EW135" s="177">
        <v>0.0</v>
      </c>
      <c r="EX135" s="177">
        <v>0.0</v>
      </c>
      <c r="EY135" s="177">
        <v>0.0</v>
      </c>
      <c r="EZ135" s="177">
        <v>0.0</v>
      </c>
      <c r="FA135" s="177">
        <v>0.0</v>
      </c>
      <c r="FB135" s="177">
        <v>0.0</v>
      </c>
      <c r="FC135" s="177">
        <v>0.0</v>
      </c>
      <c r="FD135" s="177">
        <v>0.0</v>
      </c>
      <c r="FE135" s="177">
        <v>0.0</v>
      </c>
      <c r="FF135" s="177">
        <v>0.0</v>
      </c>
      <c r="FG135" s="177">
        <v>0.0</v>
      </c>
      <c r="FH135" s="185">
        <f t="shared" si="22"/>
        <v>0</v>
      </c>
      <c r="FI135" s="185">
        <f t="shared" si="23"/>
        <v>0</v>
      </c>
      <c r="FJ135" s="177">
        <v>407.0</v>
      </c>
      <c r="FK135" s="177">
        <v>83.0</v>
      </c>
      <c r="FL135" s="177">
        <v>407.0</v>
      </c>
      <c r="FM135" s="177">
        <v>83.0</v>
      </c>
      <c r="FN135" s="180"/>
      <c r="FO135" s="180">
        <v>0.0</v>
      </c>
      <c r="FP135" s="188">
        <f t="shared" si="330"/>
        <v>0</v>
      </c>
      <c r="FQ135" s="211">
        <v>0.0</v>
      </c>
      <c r="FR135" s="212">
        <v>0.0</v>
      </c>
      <c r="FS135" s="206">
        <v>0.0</v>
      </c>
      <c r="FT135" s="207">
        <v>0.0</v>
      </c>
      <c r="FU135" s="207">
        <v>0.0</v>
      </c>
      <c r="FV135" s="207">
        <v>0.0</v>
      </c>
      <c r="FW135" s="207">
        <v>0.0</v>
      </c>
      <c r="FX135" s="207">
        <v>0.0</v>
      </c>
      <c r="FY135" s="207">
        <v>0.0</v>
      </c>
      <c r="FZ135" s="207">
        <v>0.0</v>
      </c>
      <c r="GA135" s="207">
        <v>0.0</v>
      </c>
      <c r="GB135" s="207">
        <v>0.0</v>
      </c>
      <c r="GC135" s="207">
        <v>0.0</v>
      </c>
      <c r="GD135" s="207">
        <v>0.0</v>
      </c>
      <c r="GE135" s="207">
        <v>0.0</v>
      </c>
      <c r="GF135" s="207">
        <v>0.0</v>
      </c>
      <c r="GG135" s="207">
        <v>0.0</v>
      </c>
      <c r="GH135" s="207">
        <v>0.0</v>
      </c>
      <c r="GI135" s="207">
        <v>0.0</v>
      </c>
      <c r="GJ135" s="207">
        <v>0.0</v>
      </c>
      <c r="GK135" s="212">
        <v>0.0</v>
      </c>
      <c r="GL135" s="212">
        <v>0.0</v>
      </c>
      <c r="GM135" s="207">
        <v>405.0</v>
      </c>
      <c r="GN135" s="207">
        <v>114.0</v>
      </c>
      <c r="GO135" s="213">
        <v>405.0</v>
      </c>
      <c r="GP135" s="213">
        <v>114.0</v>
      </c>
      <c r="GQ135" s="207"/>
      <c r="GR135" s="213">
        <v>1.0</v>
      </c>
      <c r="GS135" s="193">
        <v>1.0</v>
      </c>
      <c r="GT135" s="194">
        <f t="shared" si="25"/>
        <v>1</v>
      </c>
      <c r="GU135" s="194">
        <f t="shared" si="26"/>
        <v>1</v>
      </c>
      <c r="GV135" s="194">
        <f t="shared" si="27"/>
        <v>0</v>
      </c>
      <c r="GW135" s="444">
        <v>0.0</v>
      </c>
      <c r="GX135" s="444">
        <v>0.0</v>
      </c>
      <c r="GY135" s="444">
        <v>0.0</v>
      </c>
      <c r="GZ135" s="444">
        <v>0.0</v>
      </c>
      <c r="HA135" s="445">
        <v>0.0</v>
      </c>
      <c r="HB135" s="445">
        <v>0.0</v>
      </c>
      <c r="HC135" s="444">
        <v>1.0</v>
      </c>
      <c r="HD135" s="445">
        <v>0.0</v>
      </c>
      <c r="HE135" s="445">
        <v>0.0</v>
      </c>
      <c r="HF135" s="445">
        <v>0.0</v>
      </c>
      <c r="HG135" s="445">
        <v>0.0</v>
      </c>
      <c r="HH135" s="445">
        <v>0.0</v>
      </c>
      <c r="HI135" s="445">
        <v>0.0</v>
      </c>
      <c r="HJ135" s="445">
        <v>0.0</v>
      </c>
      <c r="HK135" s="445">
        <v>0.0</v>
      </c>
      <c r="HL135" s="445">
        <v>0.0</v>
      </c>
      <c r="HM135" s="445">
        <v>0.0</v>
      </c>
      <c r="HN135" s="445">
        <v>0.0</v>
      </c>
      <c r="HO135" s="222"/>
      <c r="HP135" s="222"/>
      <c r="HQ135" s="214"/>
      <c r="HR135" s="197"/>
      <c r="HS135" s="197"/>
      <c r="HT135" s="198">
        <f t="shared" si="28"/>
        <v>2</v>
      </c>
      <c r="HU135" s="198">
        <f t="shared" si="29"/>
        <v>1</v>
      </c>
      <c r="HV135" s="198">
        <f t="shared" si="30"/>
        <v>2</v>
      </c>
      <c r="HW135" s="198">
        <f t="shared" si="99"/>
        <v>1</v>
      </c>
      <c r="HX135" s="198">
        <f t="shared" si="32"/>
        <v>1</v>
      </c>
      <c r="HY135" s="198">
        <f t="shared" si="33"/>
        <v>0</v>
      </c>
      <c r="HZ135" s="198">
        <f t="shared" si="34"/>
        <v>0</v>
      </c>
      <c r="IA135" s="198">
        <f t="shared" si="35"/>
        <v>0</v>
      </c>
      <c r="IB135" s="198">
        <f t="shared" si="36"/>
        <v>0</v>
      </c>
      <c r="IC135" s="198">
        <f t="shared" si="37"/>
        <v>0</v>
      </c>
      <c r="ID135" s="198">
        <f t="shared" si="38"/>
        <v>0</v>
      </c>
      <c r="IE135" s="198">
        <f t="shared" si="39"/>
        <v>1</v>
      </c>
      <c r="IF135" s="197"/>
      <c r="IG135" s="197"/>
      <c r="IH135" s="197"/>
      <c r="II135" s="197"/>
      <c r="IJ135" s="197"/>
      <c r="IK135" s="197"/>
      <c r="IL135" s="197"/>
      <c r="IM135" s="197"/>
      <c r="IN135" s="197"/>
      <c r="IO135" s="197"/>
      <c r="IP135" s="197"/>
      <c r="IQ135" s="197"/>
      <c r="IR135" s="197"/>
      <c r="IS135" s="197"/>
      <c r="IT135" s="197"/>
      <c r="IU135" s="197"/>
      <c r="IV135" s="197"/>
      <c r="IW135" s="197"/>
      <c r="IX135" s="197"/>
      <c r="IY135" s="197"/>
      <c r="IZ135" s="197"/>
      <c r="JA135" s="199"/>
      <c r="JB135" s="200">
        <f t="shared" si="40"/>
        <v>2</v>
      </c>
      <c r="JC135" s="200">
        <f t="shared" si="41"/>
        <v>1</v>
      </c>
      <c r="JD135" s="200">
        <f t="shared" si="42"/>
        <v>2</v>
      </c>
      <c r="JE135" s="200">
        <f t="shared" si="43"/>
        <v>1</v>
      </c>
      <c r="JF135" s="200">
        <f t="shared" si="44"/>
        <v>1</v>
      </c>
      <c r="JG135" s="200">
        <f t="shared" si="45"/>
        <v>0</v>
      </c>
      <c r="JH135" s="200">
        <f t="shared" si="46"/>
        <v>0</v>
      </c>
      <c r="JI135" s="200">
        <f t="shared" si="47"/>
        <v>0</v>
      </c>
      <c r="JJ135" s="200">
        <f t="shared" si="48"/>
        <v>0</v>
      </c>
      <c r="JK135" s="200">
        <f t="shared" si="49"/>
        <v>0</v>
      </c>
      <c r="JL135" s="200">
        <f t="shared" si="50"/>
        <v>0</v>
      </c>
      <c r="JM135" s="200">
        <f t="shared" si="51"/>
        <v>1</v>
      </c>
      <c r="JN135" s="199"/>
      <c r="JO135" s="200">
        <f t="shared" si="52"/>
        <v>2</v>
      </c>
      <c r="JP135" s="202">
        <v>1.0</v>
      </c>
      <c r="JQ135" s="202">
        <v>2.0</v>
      </c>
      <c r="JR135" s="202">
        <v>1.0</v>
      </c>
      <c r="JS135" s="202">
        <v>1.0</v>
      </c>
      <c r="JT135" s="199"/>
      <c r="JU135" s="199"/>
      <c r="JV135" s="200">
        <f t="shared" ref="JV135:JX135" si="335">IA135-JI135</f>
        <v>0</v>
      </c>
      <c r="JW135" s="200">
        <f t="shared" si="335"/>
        <v>0</v>
      </c>
      <c r="JX135" s="200">
        <f t="shared" si="335"/>
        <v>0</v>
      </c>
      <c r="JY135" s="199"/>
      <c r="JZ135" s="199"/>
      <c r="KA135" s="199"/>
      <c r="KB135" s="446">
        <f t="shared" ref="KB135:KM135" si="336">JB135-JO135</f>
        <v>0</v>
      </c>
      <c r="KC135" s="446">
        <f t="shared" si="336"/>
        <v>0</v>
      </c>
      <c r="KD135" s="446">
        <f t="shared" si="336"/>
        <v>0</v>
      </c>
      <c r="KE135" s="446">
        <f t="shared" si="336"/>
        <v>0</v>
      </c>
      <c r="KF135" s="446">
        <f t="shared" si="336"/>
        <v>0</v>
      </c>
      <c r="KG135" s="200">
        <f t="shared" si="336"/>
        <v>0</v>
      </c>
      <c r="KH135" s="200">
        <f t="shared" si="336"/>
        <v>0</v>
      </c>
      <c r="KI135" s="200">
        <f t="shared" si="336"/>
        <v>0</v>
      </c>
      <c r="KJ135" s="200">
        <f t="shared" si="336"/>
        <v>0</v>
      </c>
      <c r="KK135" s="200">
        <f t="shared" si="336"/>
        <v>0</v>
      </c>
      <c r="KL135" s="200">
        <f t="shared" si="336"/>
        <v>0</v>
      </c>
      <c r="KM135" s="200">
        <f t="shared" si="336"/>
        <v>1</v>
      </c>
      <c r="KN135" s="199"/>
      <c r="KO135" s="199"/>
      <c r="KP135" s="199"/>
      <c r="KQ135" s="199"/>
      <c r="KR135" s="199"/>
      <c r="KS135" s="199"/>
      <c r="KT135" s="199"/>
      <c r="KU135" s="199"/>
      <c r="KV135" s="199"/>
      <c r="KW135" s="199"/>
      <c r="KX135" s="199"/>
      <c r="KY135" s="199"/>
      <c r="KZ135" s="199"/>
      <c r="LA135" s="199"/>
      <c r="LB135" s="199"/>
      <c r="LC135" s="199"/>
      <c r="LD135" s="199"/>
      <c r="LE135" s="199"/>
      <c r="LF135" s="199"/>
      <c r="LG135" s="199"/>
    </row>
    <row r="136" ht="14.25" customHeight="1">
      <c r="A136" s="156">
        <v>129.0</v>
      </c>
      <c r="B136" s="157" t="s">
        <v>222</v>
      </c>
      <c r="C136" s="158">
        <v>3374020.0</v>
      </c>
      <c r="D136" s="158" t="s">
        <v>229</v>
      </c>
      <c r="E136" s="256" t="s">
        <v>238</v>
      </c>
      <c r="F136" s="159">
        <v>7.0</v>
      </c>
      <c r="G136" s="285">
        <v>304.0</v>
      </c>
      <c r="H136" s="160">
        <v>8.0</v>
      </c>
      <c r="I136" s="161">
        <v>0.0</v>
      </c>
      <c r="J136" s="161">
        <v>0.0</v>
      </c>
      <c r="K136" s="161">
        <v>3.0</v>
      </c>
      <c r="L136" s="161">
        <v>5.0</v>
      </c>
      <c r="M136" s="223">
        <v>0.0</v>
      </c>
      <c r="N136" s="223">
        <v>0.0</v>
      </c>
      <c r="O136" s="162">
        <f t="shared" ref="O136:O137" si="339">H136-(M136+N136)</f>
        <v>8</v>
      </c>
      <c r="P136" s="203">
        <v>8.0</v>
      </c>
      <c r="Q136" s="164">
        <v>0.0</v>
      </c>
      <c r="R136" s="164">
        <v>0.0</v>
      </c>
      <c r="S136" s="164">
        <v>2.0</v>
      </c>
      <c r="T136" s="165">
        <v>6.0</v>
      </c>
      <c r="U136" s="165">
        <v>2.0</v>
      </c>
      <c r="V136" s="165"/>
      <c r="W136" s="166">
        <f t="shared" si="225"/>
        <v>6</v>
      </c>
      <c r="X136" s="203">
        <v>9.0</v>
      </c>
      <c r="Y136" s="164">
        <v>0.0</v>
      </c>
      <c r="Z136" s="164">
        <v>0.0</v>
      </c>
      <c r="AA136" s="164">
        <v>3.0</v>
      </c>
      <c r="AB136" s="165">
        <v>6.0</v>
      </c>
      <c r="AC136" s="165">
        <v>2.0</v>
      </c>
      <c r="AD136" s="165"/>
      <c r="AE136" s="166">
        <f t="shared" si="214"/>
        <v>7</v>
      </c>
      <c r="AF136" s="167">
        <v>11.0</v>
      </c>
      <c r="AG136" s="165">
        <v>0.0</v>
      </c>
      <c r="AH136" s="164">
        <v>0.0</v>
      </c>
      <c r="AI136" s="164">
        <v>0.0</v>
      </c>
      <c r="AJ136" s="165">
        <v>11.0</v>
      </c>
      <c r="AK136" s="165">
        <v>3.0</v>
      </c>
      <c r="AL136" s="165"/>
      <c r="AM136" s="166">
        <f t="shared" si="215"/>
        <v>8</v>
      </c>
      <c r="AN136" s="167">
        <v>7.0</v>
      </c>
      <c r="AO136" s="165">
        <v>0.0</v>
      </c>
      <c r="AP136" s="164">
        <v>0.0</v>
      </c>
      <c r="AQ136" s="164">
        <v>3.0</v>
      </c>
      <c r="AR136" s="165">
        <v>4.0</v>
      </c>
      <c r="AS136" s="165">
        <v>1.0</v>
      </c>
      <c r="AT136" s="165"/>
      <c r="AU136" s="168">
        <f t="shared" si="216"/>
        <v>6</v>
      </c>
      <c r="AV136" s="169">
        <v>305.0</v>
      </c>
      <c r="AW136" s="170">
        <f t="shared" si="8"/>
        <v>6</v>
      </c>
      <c r="AX136" s="165">
        <v>0.0</v>
      </c>
      <c r="AY136" s="164">
        <v>0.0</v>
      </c>
      <c r="AZ136" s="452">
        <v>2.0</v>
      </c>
      <c r="BA136" s="171">
        <v>3.0</v>
      </c>
      <c r="BB136" s="171">
        <v>1.0</v>
      </c>
      <c r="BC136" s="171">
        <v>0.0</v>
      </c>
      <c r="BD136" s="169">
        <v>0.0</v>
      </c>
      <c r="BE136" s="169">
        <v>0.0</v>
      </c>
      <c r="BF136" s="169">
        <v>0.0</v>
      </c>
      <c r="BG136" s="169">
        <v>0.0</v>
      </c>
      <c r="BH136" s="169">
        <v>1.0</v>
      </c>
      <c r="BI136" s="169">
        <v>1.0</v>
      </c>
      <c r="BJ136" s="169">
        <v>0.0</v>
      </c>
      <c r="BK136" s="169">
        <v>0.0</v>
      </c>
      <c r="BL136" s="169">
        <v>0.0</v>
      </c>
      <c r="BM136" s="169">
        <v>0.0</v>
      </c>
      <c r="BN136" s="169">
        <v>0.0</v>
      </c>
      <c r="BO136" s="169">
        <v>0.0</v>
      </c>
      <c r="BP136" s="205">
        <f t="shared" si="131"/>
        <v>2</v>
      </c>
      <c r="BQ136" s="173">
        <v>345.0</v>
      </c>
      <c r="BR136" s="170">
        <f t="shared" si="10"/>
        <v>7</v>
      </c>
      <c r="BS136" s="173">
        <v>1.0</v>
      </c>
      <c r="BT136" s="173">
        <v>0.0</v>
      </c>
      <c r="BU136" s="173">
        <v>2.0</v>
      </c>
      <c r="BV136" s="173">
        <v>3.0</v>
      </c>
      <c r="BW136" s="173">
        <v>0.0</v>
      </c>
      <c r="BX136" s="173">
        <v>0.0</v>
      </c>
      <c r="BY136" s="173">
        <v>1.0</v>
      </c>
      <c r="BZ136" s="173">
        <v>0.0</v>
      </c>
      <c r="CA136" s="173">
        <v>0.0</v>
      </c>
      <c r="CB136" s="173">
        <v>0.0</v>
      </c>
      <c r="CC136" s="173">
        <v>0.0</v>
      </c>
      <c r="CD136" s="173">
        <v>0.0</v>
      </c>
      <c r="CE136" s="173">
        <v>0.0</v>
      </c>
      <c r="CF136" s="173">
        <v>0.0</v>
      </c>
      <c r="CG136" s="173">
        <v>0.0</v>
      </c>
      <c r="CH136" s="173">
        <v>0.0</v>
      </c>
      <c r="CI136" s="173">
        <v>0.0</v>
      </c>
      <c r="CJ136" s="173">
        <v>0.0</v>
      </c>
      <c r="CK136" s="172">
        <f t="shared" si="132"/>
        <v>0</v>
      </c>
      <c r="CL136" s="173">
        <v>431.0</v>
      </c>
      <c r="CM136" s="173">
        <v>112.0</v>
      </c>
      <c r="CN136" s="175">
        <f t="shared" si="295"/>
        <v>13</v>
      </c>
      <c r="CO136" s="173">
        <v>0.0</v>
      </c>
      <c r="CP136" s="173">
        <v>0.0</v>
      </c>
      <c r="CQ136" s="173">
        <v>2.0</v>
      </c>
      <c r="CR136" s="173">
        <v>3.0</v>
      </c>
      <c r="CS136" s="173">
        <v>0.0</v>
      </c>
      <c r="CT136" s="173">
        <v>1.0</v>
      </c>
      <c r="CU136" s="173">
        <v>3.0</v>
      </c>
      <c r="CV136" s="173">
        <v>4.0</v>
      </c>
      <c r="CW136" s="173">
        <v>1.0</v>
      </c>
      <c r="CX136" s="173">
        <v>0.0</v>
      </c>
      <c r="CY136" s="173">
        <v>0.0</v>
      </c>
      <c r="CZ136" s="173">
        <v>0.0</v>
      </c>
      <c r="DA136" s="173">
        <v>0.0</v>
      </c>
      <c r="DB136" s="173">
        <v>0.0</v>
      </c>
      <c r="DC136" s="173">
        <v>0.0</v>
      </c>
      <c r="DD136" s="173">
        <v>0.0</v>
      </c>
      <c r="DE136" s="173">
        <v>0.0</v>
      </c>
      <c r="DF136" s="173">
        <v>0.0</v>
      </c>
      <c r="DG136" s="176">
        <f t="shared" si="13"/>
        <v>1</v>
      </c>
      <c r="DH136" s="276">
        <v>339.0</v>
      </c>
      <c r="DI136" s="276">
        <v>130.0</v>
      </c>
      <c r="DJ136" s="178">
        <v>311.0</v>
      </c>
      <c r="DK136" s="178">
        <v>108.0</v>
      </c>
      <c r="DL136" s="179">
        <f t="shared" si="14"/>
        <v>14</v>
      </c>
      <c r="DM136" s="180">
        <f t="shared" si="15"/>
        <v>6</v>
      </c>
      <c r="DN136" s="180">
        <f t="shared" si="16"/>
        <v>8</v>
      </c>
      <c r="DO136" s="458">
        <v>0.0</v>
      </c>
      <c r="DP136" s="458">
        <v>1.0</v>
      </c>
      <c r="DQ136" s="458">
        <v>5.0</v>
      </c>
      <c r="DR136" s="458">
        <v>7.0</v>
      </c>
      <c r="DS136" s="458">
        <v>0.0</v>
      </c>
      <c r="DT136" s="458">
        <v>0.0</v>
      </c>
      <c r="DU136" s="458">
        <v>0.0</v>
      </c>
      <c r="DV136" s="458">
        <v>1.0</v>
      </c>
      <c r="DW136" s="177">
        <v>0.0</v>
      </c>
      <c r="DX136" s="177">
        <v>0.0</v>
      </c>
      <c r="DY136" s="177">
        <v>0.0</v>
      </c>
      <c r="DZ136" s="177">
        <v>0.0</v>
      </c>
      <c r="EA136" s="177">
        <v>0.0</v>
      </c>
      <c r="EB136" s="177">
        <v>0.0</v>
      </c>
      <c r="EC136" s="177">
        <v>0.0</v>
      </c>
      <c r="ED136" s="177">
        <v>0.0</v>
      </c>
      <c r="EE136" s="177">
        <v>0.0</v>
      </c>
      <c r="EF136" s="177">
        <v>0.0</v>
      </c>
      <c r="EG136" s="179">
        <f t="shared" si="17"/>
        <v>0</v>
      </c>
      <c r="EH136" s="179">
        <f t="shared" si="18"/>
        <v>0</v>
      </c>
      <c r="EI136" s="276">
        <v>345.0</v>
      </c>
      <c r="EJ136" s="276">
        <v>136.0</v>
      </c>
      <c r="EK136" s="178">
        <v>341.0</v>
      </c>
      <c r="EL136" s="276">
        <v>135.0</v>
      </c>
      <c r="EM136" s="186">
        <v>15.0</v>
      </c>
      <c r="EN136" s="186">
        <f t="shared" si="202"/>
        <v>7</v>
      </c>
      <c r="EO136" s="186">
        <f t="shared" si="90"/>
        <v>8</v>
      </c>
      <c r="EP136" s="177">
        <v>0.0</v>
      </c>
      <c r="EQ136" s="177">
        <v>1.0</v>
      </c>
      <c r="ER136" s="177">
        <v>5.0</v>
      </c>
      <c r="ES136" s="177">
        <v>7.0</v>
      </c>
      <c r="ET136" s="177">
        <v>1.0</v>
      </c>
      <c r="EU136" s="177">
        <v>0.0</v>
      </c>
      <c r="EV136" s="177">
        <v>0.0</v>
      </c>
      <c r="EW136" s="177">
        <v>1.0</v>
      </c>
      <c r="EX136" s="177">
        <v>0.0</v>
      </c>
      <c r="EY136" s="177">
        <v>0.0</v>
      </c>
      <c r="EZ136" s="177">
        <v>0.0</v>
      </c>
      <c r="FA136" s="177">
        <v>0.0</v>
      </c>
      <c r="FB136" s="177">
        <v>0.0</v>
      </c>
      <c r="FC136" s="177">
        <v>0.0</v>
      </c>
      <c r="FD136" s="177">
        <v>0.0</v>
      </c>
      <c r="FE136" s="177">
        <v>0.0</v>
      </c>
      <c r="FF136" s="177">
        <v>0.0</v>
      </c>
      <c r="FG136" s="177">
        <v>0.0</v>
      </c>
      <c r="FH136" s="185">
        <f t="shared" si="22"/>
        <v>0</v>
      </c>
      <c r="FI136" s="185">
        <f t="shared" si="23"/>
        <v>0</v>
      </c>
      <c r="FJ136" s="177">
        <v>341.0</v>
      </c>
      <c r="FK136" s="177">
        <v>139.0</v>
      </c>
      <c r="FL136" s="177">
        <v>323.0</v>
      </c>
      <c r="FM136" s="177">
        <v>121.0</v>
      </c>
      <c r="FN136" s="180"/>
      <c r="FO136" s="180">
        <v>14.0</v>
      </c>
      <c r="FP136" s="243">
        <v>14.0</v>
      </c>
      <c r="FQ136" s="211">
        <v>5.0</v>
      </c>
      <c r="FR136" s="212">
        <v>9.0</v>
      </c>
      <c r="FS136" s="206">
        <v>0.0</v>
      </c>
      <c r="FT136" s="207">
        <v>1.0</v>
      </c>
      <c r="FU136" s="207">
        <v>4.0</v>
      </c>
      <c r="FV136" s="207">
        <v>8.0</v>
      </c>
      <c r="FW136" s="207">
        <v>0.0</v>
      </c>
      <c r="FX136" s="207">
        <v>0.0</v>
      </c>
      <c r="FY136" s="207">
        <v>0.0</v>
      </c>
      <c r="FZ136" s="207">
        <v>1.0</v>
      </c>
      <c r="GA136" s="207">
        <v>1.0</v>
      </c>
      <c r="GB136" s="207">
        <v>0.0</v>
      </c>
      <c r="GC136" s="207">
        <v>0.0</v>
      </c>
      <c r="GD136" s="207">
        <v>0.0</v>
      </c>
      <c r="GE136" s="207">
        <v>0.0</v>
      </c>
      <c r="GF136" s="207">
        <v>0.0</v>
      </c>
      <c r="GG136" s="207">
        <v>0.0</v>
      </c>
      <c r="GH136" s="207">
        <v>0.0</v>
      </c>
      <c r="GI136" s="207">
        <v>0.0</v>
      </c>
      <c r="GJ136" s="207">
        <v>0.0</v>
      </c>
      <c r="GK136" s="212">
        <v>1.0</v>
      </c>
      <c r="GL136" s="212">
        <v>1.0</v>
      </c>
      <c r="GM136" s="207">
        <v>343.0</v>
      </c>
      <c r="GN136" s="207">
        <v>136.0</v>
      </c>
      <c r="GO136" s="213">
        <v>316.0</v>
      </c>
      <c r="GP136" s="213">
        <v>121.0</v>
      </c>
      <c r="GQ136" s="207"/>
      <c r="GR136" s="213">
        <v>15.0</v>
      </c>
      <c r="GS136" s="193">
        <v>3.0</v>
      </c>
      <c r="GT136" s="194">
        <f t="shared" si="25"/>
        <v>15</v>
      </c>
      <c r="GU136" s="194">
        <f t="shared" si="26"/>
        <v>3</v>
      </c>
      <c r="GV136" s="194">
        <f t="shared" si="27"/>
        <v>12</v>
      </c>
      <c r="GW136" s="206">
        <v>0.0</v>
      </c>
      <c r="GX136" s="207">
        <v>0.0</v>
      </c>
      <c r="GY136" s="207">
        <v>3.0</v>
      </c>
      <c r="GZ136" s="207">
        <v>11.0</v>
      </c>
      <c r="HA136" s="177">
        <v>0.0</v>
      </c>
      <c r="HB136" s="177">
        <v>0.0</v>
      </c>
      <c r="HC136" s="177">
        <v>0.0</v>
      </c>
      <c r="HD136" s="207">
        <v>1.0</v>
      </c>
      <c r="HE136" s="177">
        <v>0.0</v>
      </c>
      <c r="HF136" s="177">
        <v>0.0</v>
      </c>
      <c r="HG136" s="177">
        <v>0.0</v>
      </c>
      <c r="HH136" s="177">
        <v>0.0</v>
      </c>
      <c r="HI136" s="177">
        <v>0.0</v>
      </c>
      <c r="HJ136" s="177">
        <v>0.0</v>
      </c>
      <c r="HK136" s="177">
        <v>0.0</v>
      </c>
      <c r="HL136" s="177">
        <v>0.0</v>
      </c>
      <c r="HM136" s="177">
        <v>0.0</v>
      </c>
      <c r="HN136" s="177">
        <v>0.0</v>
      </c>
      <c r="HO136" s="222"/>
      <c r="HP136" s="222"/>
      <c r="HQ136" s="214"/>
      <c r="HR136" s="197"/>
      <c r="HS136" s="197"/>
      <c r="HT136" s="198">
        <f t="shared" si="28"/>
        <v>8</v>
      </c>
      <c r="HU136" s="198">
        <f t="shared" si="29"/>
        <v>8</v>
      </c>
      <c r="HV136" s="198">
        <f t="shared" si="30"/>
        <v>9</v>
      </c>
      <c r="HW136" s="198">
        <f t="shared" si="99"/>
        <v>11</v>
      </c>
      <c r="HX136" s="198">
        <f t="shared" si="32"/>
        <v>7</v>
      </c>
      <c r="HY136" s="198">
        <f t="shared" si="33"/>
        <v>6</v>
      </c>
      <c r="HZ136" s="198">
        <f t="shared" si="34"/>
        <v>7</v>
      </c>
      <c r="IA136" s="198">
        <f t="shared" si="35"/>
        <v>13</v>
      </c>
      <c r="IB136" s="198">
        <f t="shared" si="36"/>
        <v>14</v>
      </c>
      <c r="IC136" s="198">
        <f t="shared" si="37"/>
        <v>15</v>
      </c>
      <c r="ID136" s="198">
        <f t="shared" si="38"/>
        <v>14</v>
      </c>
      <c r="IE136" s="198">
        <f t="shared" si="39"/>
        <v>15</v>
      </c>
      <c r="IF136" s="197"/>
      <c r="IG136" s="197"/>
      <c r="IH136" s="197"/>
      <c r="II136" s="197"/>
      <c r="IJ136" s="197"/>
      <c r="IK136" s="197"/>
      <c r="IL136" s="197"/>
      <c r="IM136" s="197"/>
      <c r="IN136" s="197"/>
      <c r="IO136" s="197"/>
      <c r="IP136" s="197"/>
      <c r="IQ136" s="197"/>
      <c r="IR136" s="197"/>
      <c r="IS136" s="197"/>
      <c r="IT136" s="197"/>
      <c r="IU136" s="197"/>
      <c r="IV136" s="197"/>
      <c r="IW136" s="197"/>
      <c r="IX136" s="197"/>
      <c r="IY136" s="197"/>
      <c r="IZ136" s="197"/>
      <c r="JA136" s="199"/>
      <c r="JB136" s="200">
        <f t="shared" si="40"/>
        <v>8</v>
      </c>
      <c r="JC136" s="200">
        <f t="shared" si="41"/>
        <v>8</v>
      </c>
      <c r="JD136" s="200">
        <f t="shared" si="42"/>
        <v>9</v>
      </c>
      <c r="JE136" s="200">
        <f t="shared" si="43"/>
        <v>11</v>
      </c>
      <c r="JF136" s="200">
        <f t="shared" si="44"/>
        <v>7</v>
      </c>
      <c r="JG136" s="200">
        <f t="shared" si="45"/>
        <v>6</v>
      </c>
      <c r="JH136" s="200">
        <f t="shared" si="46"/>
        <v>7</v>
      </c>
      <c r="JI136" s="200">
        <f t="shared" si="47"/>
        <v>13</v>
      </c>
      <c r="JJ136" s="200">
        <f t="shared" si="48"/>
        <v>14</v>
      </c>
      <c r="JK136" s="200">
        <f t="shared" si="49"/>
        <v>15</v>
      </c>
      <c r="JL136" s="200">
        <f t="shared" si="50"/>
        <v>14</v>
      </c>
      <c r="JM136" s="200">
        <f t="shared" si="51"/>
        <v>15</v>
      </c>
      <c r="JN136" s="199"/>
      <c r="JO136" s="200">
        <f t="shared" si="52"/>
        <v>8</v>
      </c>
      <c r="JP136" s="202">
        <v>8.0</v>
      </c>
      <c r="JQ136" s="202">
        <v>9.0</v>
      </c>
      <c r="JR136" s="202">
        <v>11.0</v>
      </c>
      <c r="JS136" s="202">
        <v>7.0</v>
      </c>
      <c r="JT136" s="199"/>
      <c r="JU136" s="199"/>
      <c r="JV136" s="200">
        <f t="shared" ref="JV136:JX136" si="337">IA136-JI136</f>
        <v>0</v>
      </c>
      <c r="JW136" s="200">
        <f t="shared" si="337"/>
        <v>0</v>
      </c>
      <c r="JX136" s="200">
        <f t="shared" si="337"/>
        <v>0</v>
      </c>
      <c r="JY136" s="199"/>
      <c r="JZ136" s="199"/>
      <c r="KA136" s="199"/>
      <c r="KB136" s="200">
        <f t="shared" ref="KB136:KM136" si="338">JB136-JO136</f>
        <v>0</v>
      </c>
      <c r="KC136" s="200">
        <f t="shared" si="338"/>
        <v>0</v>
      </c>
      <c r="KD136" s="200">
        <f t="shared" si="338"/>
        <v>0</v>
      </c>
      <c r="KE136" s="200">
        <f t="shared" si="338"/>
        <v>0</v>
      </c>
      <c r="KF136" s="200">
        <f t="shared" si="338"/>
        <v>0</v>
      </c>
      <c r="KG136" s="200">
        <f t="shared" si="338"/>
        <v>6</v>
      </c>
      <c r="KH136" s="200">
        <f t="shared" si="338"/>
        <v>7</v>
      </c>
      <c r="KI136" s="200">
        <f t="shared" si="338"/>
        <v>13</v>
      </c>
      <c r="KJ136" s="200">
        <f t="shared" si="338"/>
        <v>14</v>
      </c>
      <c r="KK136" s="200">
        <f t="shared" si="338"/>
        <v>15</v>
      </c>
      <c r="KL136" s="200">
        <f t="shared" si="338"/>
        <v>14</v>
      </c>
      <c r="KM136" s="200">
        <f t="shared" si="338"/>
        <v>15</v>
      </c>
      <c r="KN136" s="199"/>
      <c r="KO136" s="199"/>
      <c r="KP136" s="199"/>
      <c r="KQ136" s="199"/>
      <c r="KR136" s="199"/>
      <c r="KS136" s="199"/>
      <c r="KT136" s="199"/>
      <c r="KU136" s="199"/>
      <c r="KV136" s="199"/>
      <c r="KW136" s="199"/>
      <c r="KX136" s="199"/>
      <c r="KY136" s="199"/>
      <c r="KZ136" s="199"/>
      <c r="LA136" s="199"/>
      <c r="LB136" s="199"/>
      <c r="LC136" s="199"/>
      <c r="LD136" s="199"/>
      <c r="LE136" s="199"/>
      <c r="LF136" s="199"/>
      <c r="LG136" s="199"/>
    </row>
    <row r="137" ht="14.25" customHeight="1">
      <c r="A137" s="156">
        <v>130.0</v>
      </c>
      <c r="B137" s="459" t="s">
        <v>222</v>
      </c>
      <c r="C137" s="460">
        <v>3374020.0</v>
      </c>
      <c r="D137" s="460" t="s">
        <v>222</v>
      </c>
      <c r="E137" s="460" t="s">
        <v>239</v>
      </c>
      <c r="F137" s="461">
        <v>4.0</v>
      </c>
      <c r="G137" s="462">
        <v>286.0</v>
      </c>
      <c r="H137" s="160">
        <v>2.0</v>
      </c>
      <c r="I137" s="161">
        <v>1.0</v>
      </c>
      <c r="J137" s="223">
        <v>0.0</v>
      </c>
      <c r="K137" s="161">
        <v>1.0</v>
      </c>
      <c r="L137" s="223">
        <v>0.0</v>
      </c>
      <c r="M137" s="223">
        <v>0.0</v>
      </c>
      <c r="N137" s="223">
        <v>0.0</v>
      </c>
      <c r="O137" s="162">
        <f t="shared" si="339"/>
        <v>2</v>
      </c>
      <c r="P137" s="203">
        <v>1.0</v>
      </c>
      <c r="Q137" s="164"/>
      <c r="R137" s="164">
        <v>0.0</v>
      </c>
      <c r="S137" s="164">
        <v>1.0</v>
      </c>
      <c r="T137" s="165"/>
      <c r="U137" s="165"/>
      <c r="V137" s="165"/>
      <c r="W137" s="166">
        <f t="shared" si="225"/>
        <v>1</v>
      </c>
      <c r="X137" s="203">
        <v>1.0</v>
      </c>
      <c r="Y137" s="164"/>
      <c r="Z137" s="164">
        <v>0.0</v>
      </c>
      <c r="AA137" s="164">
        <v>1.0</v>
      </c>
      <c r="AB137" s="165"/>
      <c r="AC137" s="165"/>
      <c r="AD137" s="165"/>
      <c r="AE137" s="166">
        <f t="shared" si="214"/>
        <v>1</v>
      </c>
      <c r="AF137" s="167">
        <v>1.0</v>
      </c>
      <c r="AG137" s="165"/>
      <c r="AH137" s="164">
        <v>0.0</v>
      </c>
      <c r="AI137" s="164">
        <v>1.0</v>
      </c>
      <c r="AJ137" s="165"/>
      <c r="AK137" s="165"/>
      <c r="AL137" s="165"/>
      <c r="AM137" s="166">
        <f t="shared" si="215"/>
        <v>1</v>
      </c>
      <c r="AN137" s="167">
        <v>1.0</v>
      </c>
      <c r="AO137" s="165"/>
      <c r="AP137" s="164">
        <v>0.0</v>
      </c>
      <c r="AQ137" s="164">
        <v>1.0</v>
      </c>
      <c r="AR137" s="165"/>
      <c r="AS137" s="165"/>
      <c r="AT137" s="165"/>
      <c r="AU137" s="168">
        <f t="shared" si="216"/>
        <v>1</v>
      </c>
      <c r="AV137" s="169">
        <v>293.0</v>
      </c>
      <c r="AW137" s="204">
        <f t="shared" si="8"/>
        <v>1</v>
      </c>
      <c r="AX137" s="197"/>
      <c r="AY137" s="197"/>
      <c r="AZ137" s="197"/>
      <c r="BA137" s="169">
        <v>0.0</v>
      </c>
      <c r="BB137" s="169">
        <v>0.0</v>
      </c>
      <c r="BC137" s="169">
        <v>0.0</v>
      </c>
      <c r="BD137" s="169">
        <v>1.0</v>
      </c>
      <c r="BE137" s="169">
        <v>0.0</v>
      </c>
      <c r="BF137" s="169">
        <v>0.0</v>
      </c>
      <c r="BG137" s="169">
        <v>0.0</v>
      </c>
      <c r="BH137" s="169">
        <v>0.0</v>
      </c>
      <c r="BI137" s="169">
        <v>0.0</v>
      </c>
      <c r="BJ137" s="169">
        <v>0.0</v>
      </c>
      <c r="BK137" s="169">
        <v>0.0</v>
      </c>
      <c r="BL137" s="169">
        <v>0.0</v>
      </c>
      <c r="BM137" s="169">
        <v>0.0</v>
      </c>
      <c r="BN137" s="169">
        <v>0.0</v>
      </c>
      <c r="BO137" s="169">
        <v>0.0</v>
      </c>
      <c r="BP137" s="205">
        <f t="shared" si="131"/>
        <v>0</v>
      </c>
      <c r="BQ137" s="173">
        <v>291.0</v>
      </c>
      <c r="BR137" s="170">
        <f t="shared" si="10"/>
        <v>1</v>
      </c>
      <c r="BS137" s="173">
        <v>0.0</v>
      </c>
      <c r="BT137" s="173">
        <v>0.0</v>
      </c>
      <c r="BU137" s="173">
        <v>1.0</v>
      </c>
      <c r="BV137" s="173">
        <v>0.0</v>
      </c>
      <c r="BW137" s="173">
        <v>0.0</v>
      </c>
      <c r="BX137" s="173">
        <v>0.0</v>
      </c>
      <c r="BY137" s="173">
        <v>0.0</v>
      </c>
      <c r="BZ137" s="173">
        <v>0.0</v>
      </c>
      <c r="CA137" s="173">
        <v>0.0</v>
      </c>
      <c r="CB137" s="173">
        <v>0.0</v>
      </c>
      <c r="CC137" s="173">
        <v>0.0</v>
      </c>
      <c r="CD137" s="173">
        <v>0.0</v>
      </c>
      <c r="CE137" s="173">
        <v>0.0</v>
      </c>
      <c r="CF137" s="173">
        <v>0.0</v>
      </c>
      <c r="CG137" s="173">
        <v>0.0</v>
      </c>
      <c r="CH137" s="173">
        <v>0.0</v>
      </c>
      <c r="CI137" s="173">
        <v>0.0</v>
      </c>
      <c r="CJ137" s="173">
        <v>0.0</v>
      </c>
      <c r="CK137" s="172">
        <f t="shared" si="132"/>
        <v>0</v>
      </c>
      <c r="CL137" s="441">
        <v>292.0</v>
      </c>
      <c r="CM137" s="441">
        <v>95.0</v>
      </c>
      <c r="CN137" s="175">
        <f t="shared" si="295"/>
        <v>1</v>
      </c>
      <c r="CO137" s="441">
        <v>0.0</v>
      </c>
      <c r="CP137" s="441">
        <v>0.0</v>
      </c>
      <c r="CQ137" s="441">
        <v>1.0</v>
      </c>
      <c r="CR137" s="441">
        <v>0.0</v>
      </c>
      <c r="CS137" s="441">
        <v>0.0</v>
      </c>
      <c r="CT137" s="441">
        <v>0.0</v>
      </c>
      <c r="CU137" s="441">
        <v>0.0</v>
      </c>
      <c r="CV137" s="441">
        <v>0.0</v>
      </c>
      <c r="CW137" s="441">
        <v>0.0</v>
      </c>
      <c r="CX137" s="441">
        <v>0.0</v>
      </c>
      <c r="CY137" s="441">
        <v>0.0</v>
      </c>
      <c r="CZ137" s="441">
        <v>0.0</v>
      </c>
      <c r="DA137" s="441">
        <v>0.0</v>
      </c>
      <c r="DB137" s="441">
        <v>0.0</v>
      </c>
      <c r="DC137" s="441">
        <v>0.0</v>
      </c>
      <c r="DD137" s="441">
        <v>0.0</v>
      </c>
      <c r="DE137" s="441">
        <v>0.0</v>
      </c>
      <c r="DF137" s="441">
        <v>0.0</v>
      </c>
      <c r="DG137" s="442">
        <f t="shared" si="13"/>
        <v>0</v>
      </c>
      <c r="DH137" s="177">
        <v>347.0</v>
      </c>
      <c r="DI137" s="177">
        <v>111.0</v>
      </c>
      <c r="DJ137" s="178">
        <v>329.0</v>
      </c>
      <c r="DK137" s="178">
        <v>108.0</v>
      </c>
      <c r="DL137" s="179">
        <f t="shared" si="14"/>
        <v>1</v>
      </c>
      <c r="DM137" s="180">
        <f t="shared" si="15"/>
        <v>1</v>
      </c>
      <c r="DN137" s="180">
        <f t="shared" si="16"/>
        <v>0</v>
      </c>
      <c r="DO137" s="177">
        <v>0.0</v>
      </c>
      <c r="DP137" s="177">
        <v>0.0</v>
      </c>
      <c r="DQ137" s="177">
        <v>1.0</v>
      </c>
      <c r="DR137" s="177">
        <v>0.0</v>
      </c>
      <c r="DS137" s="177">
        <v>0.0</v>
      </c>
      <c r="DT137" s="177">
        <v>0.0</v>
      </c>
      <c r="DU137" s="177">
        <v>0.0</v>
      </c>
      <c r="DV137" s="177">
        <v>0.0</v>
      </c>
      <c r="DW137" s="177">
        <v>0.0</v>
      </c>
      <c r="DX137" s="177">
        <v>0.0</v>
      </c>
      <c r="DY137" s="177">
        <v>0.0</v>
      </c>
      <c r="DZ137" s="177">
        <v>0.0</v>
      </c>
      <c r="EA137" s="177">
        <v>0.0</v>
      </c>
      <c r="EB137" s="177">
        <v>0.0</v>
      </c>
      <c r="EC137" s="177">
        <v>0.0</v>
      </c>
      <c r="ED137" s="177">
        <v>0.0</v>
      </c>
      <c r="EE137" s="177">
        <v>0.0</v>
      </c>
      <c r="EF137" s="177">
        <v>0.0</v>
      </c>
      <c r="EG137" s="179">
        <f t="shared" si="17"/>
        <v>0</v>
      </c>
      <c r="EH137" s="179">
        <f t="shared" si="18"/>
        <v>0</v>
      </c>
      <c r="EI137" s="457">
        <v>345.0</v>
      </c>
      <c r="EJ137" s="457">
        <v>107.0</v>
      </c>
      <c r="EK137" s="457">
        <v>345.0</v>
      </c>
      <c r="EL137" s="457">
        <v>107.0</v>
      </c>
      <c r="EM137" s="185">
        <f t="shared" ref="EM137:EM140" si="342">SUM(EP137:EW137)</f>
        <v>1</v>
      </c>
      <c r="EN137" s="186">
        <f t="shared" si="202"/>
        <v>0</v>
      </c>
      <c r="EO137" s="186">
        <f t="shared" si="90"/>
        <v>1</v>
      </c>
      <c r="EP137" s="177">
        <v>0.0</v>
      </c>
      <c r="EQ137" s="177">
        <v>0.0</v>
      </c>
      <c r="ER137" s="177">
        <v>0.0</v>
      </c>
      <c r="ES137" s="177">
        <v>1.0</v>
      </c>
      <c r="ET137" s="177">
        <v>0.0</v>
      </c>
      <c r="EU137" s="177">
        <v>0.0</v>
      </c>
      <c r="EV137" s="177">
        <v>0.0</v>
      </c>
      <c r="EW137" s="177">
        <v>0.0</v>
      </c>
      <c r="EX137" s="177">
        <v>0.0</v>
      </c>
      <c r="EY137" s="177">
        <v>0.0</v>
      </c>
      <c r="EZ137" s="177">
        <v>0.0</v>
      </c>
      <c r="FA137" s="177">
        <v>0.0</v>
      </c>
      <c r="FB137" s="177">
        <v>0.0</v>
      </c>
      <c r="FC137" s="177">
        <v>0.0</v>
      </c>
      <c r="FD137" s="177">
        <v>0.0</v>
      </c>
      <c r="FE137" s="177">
        <v>0.0</v>
      </c>
      <c r="FF137" s="177">
        <v>0.0</v>
      </c>
      <c r="FG137" s="177">
        <v>0.0</v>
      </c>
      <c r="FH137" s="185">
        <f t="shared" si="22"/>
        <v>0</v>
      </c>
      <c r="FI137" s="185">
        <f t="shared" si="23"/>
        <v>0</v>
      </c>
      <c r="FJ137" s="177">
        <v>344.0</v>
      </c>
      <c r="FK137" s="177">
        <v>78.0</v>
      </c>
      <c r="FL137" s="177">
        <v>344.0</v>
      </c>
      <c r="FM137" s="177">
        <v>78.0</v>
      </c>
      <c r="FN137" s="180"/>
      <c r="FO137" s="180">
        <v>1.0</v>
      </c>
      <c r="FP137" s="188">
        <f t="shared" ref="FP137:FP153" si="343">SUM(FS137:FZ137)</f>
        <v>1</v>
      </c>
      <c r="FQ137" s="211">
        <v>0.0</v>
      </c>
      <c r="FR137" s="212">
        <v>1.0</v>
      </c>
      <c r="FS137" s="206">
        <v>0.0</v>
      </c>
      <c r="FT137" s="207">
        <v>0.0</v>
      </c>
      <c r="FU137" s="207">
        <v>0.0</v>
      </c>
      <c r="FV137" s="207">
        <v>1.0</v>
      </c>
      <c r="FW137" s="207">
        <v>0.0</v>
      </c>
      <c r="FX137" s="207">
        <v>0.0</v>
      </c>
      <c r="FY137" s="207">
        <v>0.0</v>
      </c>
      <c r="FZ137" s="207">
        <v>0.0</v>
      </c>
      <c r="GA137" s="207">
        <v>0.0</v>
      </c>
      <c r="GB137" s="207">
        <v>0.0</v>
      </c>
      <c r="GC137" s="207">
        <v>0.0</v>
      </c>
      <c r="GD137" s="207">
        <v>0.0</v>
      </c>
      <c r="GE137" s="207">
        <v>0.0</v>
      </c>
      <c r="GF137" s="207">
        <v>0.0</v>
      </c>
      <c r="GG137" s="207">
        <v>0.0</v>
      </c>
      <c r="GH137" s="207">
        <v>0.0</v>
      </c>
      <c r="GI137" s="207">
        <v>0.0</v>
      </c>
      <c r="GJ137" s="207">
        <v>0.0</v>
      </c>
      <c r="GK137" s="212">
        <v>0.0</v>
      </c>
      <c r="GL137" s="212">
        <v>0.0</v>
      </c>
      <c r="GM137" s="207">
        <v>342.0</v>
      </c>
      <c r="GN137" s="207">
        <v>113.0</v>
      </c>
      <c r="GO137" s="213">
        <v>342.0</v>
      </c>
      <c r="GP137" s="213">
        <v>113.0</v>
      </c>
      <c r="GQ137" s="207"/>
      <c r="GR137" s="213">
        <v>1.0</v>
      </c>
      <c r="GS137" s="193">
        <v>0.0</v>
      </c>
      <c r="GT137" s="194">
        <f t="shared" si="25"/>
        <v>1</v>
      </c>
      <c r="GU137" s="194">
        <f t="shared" si="26"/>
        <v>0</v>
      </c>
      <c r="GV137" s="194">
        <f t="shared" si="27"/>
        <v>1</v>
      </c>
      <c r="GW137" s="444">
        <v>0.0</v>
      </c>
      <c r="GX137" s="444">
        <v>0.0</v>
      </c>
      <c r="GY137" s="444">
        <v>0.0</v>
      </c>
      <c r="GZ137" s="444">
        <v>1.0</v>
      </c>
      <c r="HA137" s="445">
        <v>0.0</v>
      </c>
      <c r="HB137" s="445">
        <v>0.0</v>
      </c>
      <c r="HC137" s="445">
        <v>0.0</v>
      </c>
      <c r="HD137" s="445">
        <v>0.0</v>
      </c>
      <c r="HE137" s="445">
        <v>0.0</v>
      </c>
      <c r="HF137" s="445">
        <v>0.0</v>
      </c>
      <c r="HG137" s="445">
        <v>0.0</v>
      </c>
      <c r="HH137" s="445">
        <v>0.0</v>
      </c>
      <c r="HI137" s="445">
        <v>0.0</v>
      </c>
      <c r="HJ137" s="445">
        <v>0.0</v>
      </c>
      <c r="HK137" s="445">
        <v>0.0</v>
      </c>
      <c r="HL137" s="445">
        <v>0.0</v>
      </c>
      <c r="HM137" s="445">
        <v>0.0</v>
      </c>
      <c r="HN137" s="445">
        <v>0.0</v>
      </c>
      <c r="HO137" s="222"/>
      <c r="HP137" s="222"/>
      <c r="HQ137" s="308"/>
      <c r="HR137" s="197"/>
      <c r="HS137" s="197"/>
      <c r="HT137" s="198">
        <f t="shared" si="28"/>
        <v>2</v>
      </c>
      <c r="HU137" s="198">
        <f t="shared" si="29"/>
        <v>1</v>
      </c>
      <c r="HV137" s="198">
        <f t="shared" si="30"/>
        <v>1</v>
      </c>
      <c r="HW137" s="198">
        <f t="shared" si="99"/>
        <v>1</v>
      </c>
      <c r="HX137" s="198">
        <f t="shared" si="32"/>
        <v>1</v>
      </c>
      <c r="HY137" s="198">
        <f t="shared" si="33"/>
        <v>1</v>
      </c>
      <c r="HZ137" s="198">
        <f t="shared" si="34"/>
        <v>1</v>
      </c>
      <c r="IA137" s="198">
        <f t="shared" si="35"/>
        <v>1</v>
      </c>
      <c r="IB137" s="198">
        <f t="shared" si="36"/>
        <v>1</v>
      </c>
      <c r="IC137" s="198">
        <f t="shared" si="37"/>
        <v>1</v>
      </c>
      <c r="ID137" s="198">
        <f t="shared" si="38"/>
        <v>1</v>
      </c>
      <c r="IE137" s="198">
        <f t="shared" si="39"/>
        <v>1</v>
      </c>
      <c r="IF137" s="197"/>
      <c r="IG137" s="197"/>
      <c r="IH137" s="197"/>
      <c r="II137" s="197"/>
      <c r="IJ137" s="197"/>
      <c r="IK137" s="197"/>
      <c r="IL137" s="197"/>
      <c r="IM137" s="197"/>
      <c r="IN137" s="197"/>
      <c r="IO137" s="197"/>
      <c r="IP137" s="197"/>
      <c r="IQ137" s="197"/>
      <c r="IR137" s="197"/>
      <c r="IS137" s="197"/>
      <c r="IT137" s="197"/>
      <c r="IU137" s="197"/>
      <c r="IV137" s="197"/>
      <c r="IW137" s="197"/>
      <c r="IX137" s="197"/>
      <c r="IY137" s="197"/>
      <c r="IZ137" s="197"/>
      <c r="JA137" s="199"/>
      <c r="JB137" s="200">
        <f t="shared" si="40"/>
        <v>2</v>
      </c>
      <c r="JC137" s="200">
        <f t="shared" si="41"/>
        <v>1</v>
      </c>
      <c r="JD137" s="200">
        <f t="shared" si="42"/>
        <v>1</v>
      </c>
      <c r="JE137" s="200">
        <f t="shared" si="43"/>
        <v>1</v>
      </c>
      <c r="JF137" s="200">
        <f t="shared" si="44"/>
        <v>1</v>
      </c>
      <c r="JG137" s="200">
        <f t="shared" si="45"/>
        <v>1</v>
      </c>
      <c r="JH137" s="200">
        <f t="shared" si="46"/>
        <v>1</v>
      </c>
      <c r="JI137" s="200">
        <f t="shared" si="47"/>
        <v>1</v>
      </c>
      <c r="JJ137" s="200">
        <f t="shared" si="48"/>
        <v>1</v>
      </c>
      <c r="JK137" s="200">
        <f t="shared" si="49"/>
        <v>1</v>
      </c>
      <c r="JL137" s="200">
        <f t="shared" si="50"/>
        <v>1</v>
      </c>
      <c r="JM137" s="200">
        <f t="shared" si="51"/>
        <v>1</v>
      </c>
      <c r="JN137" s="199"/>
      <c r="JO137" s="200">
        <f t="shared" si="52"/>
        <v>2</v>
      </c>
      <c r="JP137" s="202">
        <v>1.0</v>
      </c>
      <c r="JQ137" s="202">
        <v>1.0</v>
      </c>
      <c r="JR137" s="202">
        <v>1.0</v>
      </c>
      <c r="JS137" s="202">
        <v>1.0</v>
      </c>
      <c r="JT137" s="199"/>
      <c r="JU137" s="199"/>
      <c r="JV137" s="200">
        <f t="shared" ref="JV137:JX137" si="340">IA137-JI137</f>
        <v>0</v>
      </c>
      <c r="JW137" s="200">
        <f t="shared" si="340"/>
        <v>0</v>
      </c>
      <c r="JX137" s="200">
        <f t="shared" si="340"/>
        <v>0</v>
      </c>
      <c r="JY137" s="199"/>
      <c r="JZ137" s="199"/>
      <c r="KA137" s="199"/>
      <c r="KB137" s="446">
        <f t="shared" ref="KB137:KM137" si="341">JB137-JO137</f>
        <v>0</v>
      </c>
      <c r="KC137" s="446">
        <f t="shared" si="341"/>
        <v>0</v>
      </c>
      <c r="KD137" s="446">
        <f t="shared" si="341"/>
        <v>0</v>
      </c>
      <c r="KE137" s="446">
        <f t="shared" si="341"/>
        <v>0</v>
      </c>
      <c r="KF137" s="446">
        <f t="shared" si="341"/>
        <v>0</v>
      </c>
      <c r="KG137" s="200">
        <f t="shared" si="341"/>
        <v>1</v>
      </c>
      <c r="KH137" s="200">
        <f t="shared" si="341"/>
        <v>1</v>
      </c>
      <c r="KI137" s="200">
        <f t="shared" si="341"/>
        <v>1</v>
      </c>
      <c r="KJ137" s="200">
        <f t="shared" si="341"/>
        <v>1</v>
      </c>
      <c r="KK137" s="200">
        <f t="shared" si="341"/>
        <v>1</v>
      </c>
      <c r="KL137" s="200">
        <f t="shared" si="341"/>
        <v>1</v>
      </c>
      <c r="KM137" s="200">
        <f t="shared" si="341"/>
        <v>1</v>
      </c>
      <c r="KN137" s="199"/>
      <c r="KO137" s="199"/>
      <c r="KP137" s="199"/>
      <c r="KQ137" s="199"/>
      <c r="KR137" s="199"/>
      <c r="KS137" s="199"/>
      <c r="KT137" s="199"/>
      <c r="KU137" s="199"/>
      <c r="KV137" s="199"/>
      <c r="KW137" s="199"/>
      <c r="KX137" s="199"/>
      <c r="KY137" s="199"/>
      <c r="KZ137" s="199"/>
      <c r="LA137" s="199"/>
      <c r="LB137" s="199"/>
      <c r="LC137" s="199"/>
      <c r="LD137" s="199"/>
      <c r="LE137" s="199"/>
      <c r="LF137" s="199"/>
      <c r="LG137" s="199"/>
    </row>
    <row r="138" ht="14.25" customHeight="1">
      <c r="A138" s="156">
        <v>131.0</v>
      </c>
      <c r="B138" s="157" t="s">
        <v>240</v>
      </c>
      <c r="C138" s="158">
        <v>3374140.0</v>
      </c>
      <c r="D138" s="158" t="s">
        <v>241</v>
      </c>
      <c r="E138" s="158" t="s">
        <v>242</v>
      </c>
      <c r="F138" s="159">
        <v>8.0</v>
      </c>
      <c r="G138" s="285">
        <v>767.0</v>
      </c>
      <c r="H138" s="160">
        <v>28.0</v>
      </c>
      <c r="I138" s="161">
        <v>0.0</v>
      </c>
      <c r="J138" s="161">
        <v>3.0</v>
      </c>
      <c r="K138" s="161">
        <v>6.0</v>
      </c>
      <c r="L138" s="161">
        <v>19.0</v>
      </c>
      <c r="M138" s="161">
        <v>0.0</v>
      </c>
      <c r="N138" s="161">
        <v>0.0</v>
      </c>
      <c r="O138" s="162">
        <v>28.0</v>
      </c>
      <c r="P138" s="203">
        <v>30.0</v>
      </c>
      <c r="Q138" s="164">
        <v>0.0</v>
      </c>
      <c r="R138" s="164">
        <v>3.0</v>
      </c>
      <c r="S138" s="164">
        <v>5.0</v>
      </c>
      <c r="T138" s="165">
        <v>22.0</v>
      </c>
      <c r="U138" s="165"/>
      <c r="V138" s="165"/>
      <c r="W138" s="166">
        <f t="shared" si="225"/>
        <v>30</v>
      </c>
      <c r="X138" s="203">
        <v>22.0</v>
      </c>
      <c r="Y138" s="165">
        <v>3.0</v>
      </c>
      <c r="Z138" s="165">
        <v>1.0</v>
      </c>
      <c r="AA138" s="165">
        <v>5.0</v>
      </c>
      <c r="AB138" s="165">
        <v>13.0</v>
      </c>
      <c r="AC138" s="165">
        <v>3.0</v>
      </c>
      <c r="AD138" s="165">
        <v>5.0</v>
      </c>
      <c r="AE138" s="166">
        <f t="shared" si="214"/>
        <v>14</v>
      </c>
      <c r="AF138" s="167">
        <v>21.0</v>
      </c>
      <c r="AG138" s="165">
        <v>2.0</v>
      </c>
      <c r="AH138" s="165">
        <v>1.0</v>
      </c>
      <c r="AI138" s="165">
        <v>5.0</v>
      </c>
      <c r="AJ138" s="165">
        <v>13.0</v>
      </c>
      <c r="AK138" s="165">
        <v>0.0</v>
      </c>
      <c r="AL138" s="165">
        <v>1.0</v>
      </c>
      <c r="AM138" s="166">
        <f t="shared" si="215"/>
        <v>20</v>
      </c>
      <c r="AN138" s="167">
        <v>16.0</v>
      </c>
      <c r="AO138" s="165">
        <v>1.0</v>
      </c>
      <c r="AP138" s="165">
        <v>2.0</v>
      </c>
      <c r="AQ138" s="165">
        <v>4.0</v>
      </c>
      <c r="AR138" s="165">
        <v>9.0</v>
      </c>
      <c r="AS138" s="165"/>
      <c r="AT138" s="165"/>
      <c r="AU138" s="168">
        <f t="shared" si="216"/>
        <v>16</v>
      </c>
      <c r="AV138" s="169">
        <v>744.0</v>
      </c>
      <c r="AW138" s="204">
        <f t="shared" si="8"/>
        <v>10</v>
      </c>
      <c r="AX138" s="169">
        <v>0.0</v>
      </c>
      <c r="AY138" s="169">
        <v>3.0</v>
      </c>
      <c r="AZ138" s="169">
        <v>0.0</v>
      </c>
      <c r="BA138" s="169">
        <v>7.0</v>
      </c>
      <c r="BB138" s="169">
        <v>0.0</v>
      </c>
      <c r="BC138" s="169">
        <v>0.0</v>
      </c>
      <c r="BD138" s="169">
        <v>0.0</v>
      </c>
      <c r="BE138" s="169">
        <v>0.0</v>
      </c>
      <c r="BF138" s="169">
        <v>0.0</v>
      </c>
      <c r="BG138" s="169">
        <v>0.0</v>
      </c>
      <c r="BH138" s="169">
        <v>0.0</v>
      </c>
      <c r="BI138" s="169">
        <v>0.0</v>
      </c>
      <c r="BJ138" s="169">
        <v>0.0</v>
      </c>
      <c r="BK138" s="169">
        <v>0.0</v>
      </c>
      <c r="BL138" s="169">
        <v>2.0</v>
      </c>
      <c r="BM138" s="169">
        <v>5.0</v>
      </c>
      <c r="BN138" s="169">
        <v>0.0</v>
      </c>
      <c r="BO138" s="169">
        <v>0.0</v>
      </c>
      <c r="BP138" s="205">
        <f t="shared" si="131"/>
        <v>7</v>
      </c>
      <c r="BQ138" s="173">
        <v>785.0</v>
      </c>
      <c r="BR138" s="170">
        <f t="shared" si="10"/>
        <v>11</v>
      </c>
      <c r="BS138" s="173">
        <v>0.0</v>
      </c>
      <c r="BT138" s="173">
        <v>1.0</v>
      </c>
      <c r="BU138" s="173">
        <v>0.0</v>
      </c>
      <c r="BV138" s="173">
        <v>8.0</v>
      </c>
      <c r="BW138" s="173">
        <v>0.0</v>
      </c>
      <c r="BX138" s="173">
        <v>0.0</v>
      </c>
      <c r="BY138" s="173">
        <v>1.0</v>
      </c>
      <c r="BZ138" s="173">
        <v>1.0</v>
      </c>
      <c r="CA138" s="173">
        <v>0.0</v>
      </c>
      <c r="CB138" s="173">
        <v>0.0</v>
      </c>
      <c r="CC138" s="173">
        <v>1.0</v>
      </c>
      <c r="CD138" s="173">
        <v>0.0</v>
      </c>
      <c r="CE138" s="173">
        <v>0.0</v>
      </c>
      <c r="CF138" s="173">
        <v>0.0</v>
      </c>
      <c r="CG138" s="173">
        <v>0.0</v>
      </c>
      <c r="CH138" s="173">
        <v>0.0</v>
      </c>
      <c r="CI138" s="173">
        <v>0.0</v>
      </c>
      <c r="CJ138" s="173">
        <v>0.0</v>
      </c>
      <c r="CK138" s="172">
        <f t="shared" si="132"/>
        <v>1</v>
      </c>
      <c r="CL138" s="173">
        <v>784.0</v>
      </c>
      <c r="CM138" s="173">
        <v>228.0</v>
      </c>
      <c r="CN138" s="175">
        <f t="shared" si="295"/>
        <v>12</v>
      </c>
      <c r="CO138" s="173">
        <v>0.0</v>
      </c>
      <c r="CP138" s="173">
        <v>1.0</v>
      </c>
      <c r="CQ138" s="173">
        <v>0.0</v>
      </c>
      <c r="CR138" s="173">
        <v>7.0</v>
      </c>
      <c r="CS138" s="173">
        <v>0.0</v>
      </c>
      <c r="CT138" s="173">
        <v>0.0</v>
      </c>
      <c r="CU138" s="173">
        <v>0.0</v>
      </c>
      <c r="CV138" s="173">
        <v>4.0</v>
      </c>
      <c r="CW138" s="173">
        <v>0.0</v>
      </c>
      <c r="CX138" s="173">
        <v>0.0</v>
      </c>
      <c r="CY138" s="173">
        <v>1.0</v>
      </c>
      <c r="CZ138" s="173">
        <v>2.0</v>
      </c>
      <c r="DA138" s="173">
        <v>0.0</v>
      </c>
      <c r="DB138" s="173">
        <v>0.0</v>
      </c>
      <c r="DC138" s="173">
        <v>0.0</v>
      </c>
      <c r="DD138" s="173">
        <v>0.0</v>
      </c>
      <c r="DE138" s="173">
        <v>0.0</v>
      </c>
      <c r="DF138" s="173">
        <v>0.0</v>
      </c>
      <c r="DG138" s="176">
        <f t="shared" si="13"/>
        <v>3</v>
      </c>
      <c r="DH138" s="177">
        <v>768.0</v>
      </c>
      <c r="DI138" s="177">
        <v>245.0</v>
      </c>
      <c r="DJ138" s="178">
        <v>753.0</v>
      </c>
      <c r="DK138" s="178">
        <v>243.0</v>
      </c>
      <c r="DL138" s="179">
        <f t="shared" si="14"/>
        <v>12</v>
      </c>
      <c r="DM138" s="180">
        <f t="shared" si="15"/>
        <v>1</v>
      </c>
      <c r="DN138" s="180">
        <f t="shared" si="16"/>
        <v>11</v>
      </c>
      <c r="DO138" s="177">
        <v>0.0</v>
      </c>
      <c r="DP138" s="177">
        <v>1.0</v>
      </c>
      <c r="DQ138" s="177">
        <v>0.0</v>
      </c>
      <c r="DR138" s="177">
        <v>9.0</v>
      </c>
      <c r="DS138" s="177">
        <v>0.0</v>
      </c>
      <c r="DT138" s="177">
        <v>0.0</v>
      </c>
      <c r="DU138" s="177">
        <v>0.0</v>
      </c>
      <c r="DV138" s="177">
        <v>2.0</v>
      </c>
      <c r="DW138" s="177">
        <v>0.0</v>
      </c>
      <c r="DX138" s="177">
        <v>0.0</v>
      </c>
      <c r="DY138" s="177">
        <v>0.0</v>
      </c>
      <c r="DZ138" s="177">
        <v>2.0</v>
      </c>
      <c r="EA138" s="177">
        <v>0.0</v>
      </c>
      <c r="EB138" s="177">
        <v>0.0</v>
      </c>
      <c r="EC138" s="177">
        <v>0.0</v>
      </c>
      <c r="ED138" s="177">
        <v>0.0</v>
      </c>
      <c r="EE138" s="177">
        <v>0.0</v>
      </c>
      <c r="EF138" s="177">
        <v>0.0</v>
      </c>
      <c r="EG138" s="179">
        <f t="shared" si="17"/>
        <v>2</v>
      </c>
      <c r="EH138" s="179">
        <f t="shared" si="18"/>
        <v>0</v>
      </c>
      <c r="EI138" s="177">
        <v>745.0</v>
      </c>
      <c r="EJ138" s="177">
        <v>242.0</v>
      </c>
      <c r="EK138" s="178">
        <v>745.0</v>
      </c>
      <c r="EL138" s="178">
        <v>242.0</v>
      </c>
      <c r="EM138" s="185">
        <f t="shared" si="342"/>
        <v>13</v>
      </c>
      <c r="EN138" s="186">
        <f t="shared" si="202"/>
        <v>1</v>
      </c>
      <c r="EO138" s="186">
        <f t="shared" si="90"/>
        <v>12</v>
      </c>
      <c r="EP138" s="177">
        <v>0.0</v>
      </c>
      <c r="EQ138" s="177">
        <v>1.0</v>
      </c>
      <c r="ER138" s="177">
        <v>0.0</v>
      </c>
      <c r="ES138" s="177">
        <v>11.0</v>
      </c>
      <c r="ET138" s="177">
        <v>0.0</v>
      </c>
      <c r="EU138" s="177">
        <v>0.0</v>
      </c>
      <c r="EV138" s="177">
        <v>0.0</v>
      </c>
      <c r="EW138" s="177">
        <v>1.0</v>
      </c>
      <c r="EX138" s="177">
        <v>0.0</v>
      </c>
      <c r="EY138" s="177">
        <v>0.0</v>
      </c>
      <c r="EZ138" s="177">
        <v>0.0</v>
      </c>
      <c r="FA138" s="177">
        <v>0.0</v>
      </c>
      <c r="FB138" s="177">
        <v>0.0</v>
      </c>
      <c r="FC138" s="177">
        <v>0.0</v>
      </c>
      <c r="FD138" s="177">
        <v>0.0</v>
      </c>
      <c r="FE138" s="177">
        <v>0.0</v>
      </c>
      <c r="FF138" s="177">
        <v>0.0</v>
      </c>
      <c r="FG138" s="177">
        <v>0.0</v>
      </c>
      <c r="FH138" s="185">
        <f t="shared" si="22"/>
        <v>0</v>
      </c>
      <c r="FI138" s="185">
        <f t="shared" si="23"/>
        <v>0</v>
      </c>
      <c r="FJ138" s="177">
        <v>743.0</v>
      </c>
      <c r="FK138" s="177">
        <v>238.0</v>
      </c>
      <c r="FL138" s="177">
        <v>743.0</v>
      </c>
      <c r="FM138" s="177">
        <v>238.0</v>
      </c>
      <c r="FN138" s="210"/>
      <c r="FO138" s="210">
        <v>14.0</v>
      </c>
      <c r="FP138" s="188">
        <f t="shared" si="343"/>
        <v>14</v>
      </c>
      <c r="FQ138" s="211">
        <v>2.0</v>
      </c>
      <c r="FR138" s="212">
        <v>12.0</v>
      </c>
      <c r="FS138" s="206">
        <v>0.0</v>
      </c>
      <c r="FT138" s="207">
        <v>1.0</v>
      </c>
      <c r="FU138" s="207">
        <v>0.0</v>
      </c>
      <c r="FV138" s="207">
        <v>12.0</v>
      </c>
      <c r="FW138" s="207">
        <v>0.0</v>
      </c>
      <c r="FX138" s="207">
        <v>0.0</v>
      </c>
      <c r="FY138" s="207">
        <v>1.0</v>
      </c>
      <c r="FZ138" s="207">
        <v>0.0</v>
      </c>
      <c r="GA138" s="207">
        <v>0.0</v>
      </c>
      <c r="GB138" s="207">
        <v>0.0</v>
      </c>
      <c r="GC138" s="207">
        <v>0.0</v>
      </c>
      <c r="GD138" s="207">
        <v>0.0</v>
      </c>
      <c r="GE138" s="207">
        <v>0.0</v>
      </c>
      <c r="GF138" s="207">
        <v>0.0</v>
      </c>
      <c r="GG138" s="207">
        <v>0.0</v>
      </c>
      <c r="GH138" s="207">
        <v>0.0</v>
      </c>
      <c r="GI138" s="207">
        <v>0.0</v>
      </c>
      <c r="GJ138" s="207">
        <v>0.0</v>
      </c>
      <c r="GK138" s="212">
        <v>0.0</v>
      </c>
      <c r="GL138" s="212">
        <v>0.0</v>
      </c>
      <c r="GM138" s="207">
        <v>739.0</v>
      </c>
      <c r="GN138" s="207">
        <v>237.0</v>
      </c>
      <c r="GO138" s="213">
        <v>739.0</v>
      </c>
      <c r="GP138" s="213">
        <v>237.0</v>
      </c>
      <c r="GQ138" s="207"/>
      <c r="GR138" s="213">
        <v>13.0</v>
      </c>
      <c r="GS138" s="193">
        <v>2.0</v>
      </c>
      <c r="GT138" s="194">
        <f t="shared" si="25"/>
        <v>13</v>
      </c>
      <c r="GU138" s="194">
        <f t="shared" si="26"/>
        <v>2</v>
      </c>
      <c r="GV138" s="194">
        <f t="shared" si="27"/>
        <v>11</v>
      </c>
      <c r="GW138" s="207">
        <v>0.0</v>
      </c>
      <c r="GX138" s="207">
        <v>0.0</v>
      </c>
      <c r="GY138" s="207">
        <v>2.0</v>
      </c>
      <c r="GZ138" s="207">
        <v>11.0</v>
      </c>
      <c r="HA138" s="207">
        <v>0.0</v>
      </c>
      <c r="HB138" s="207">
        <v>0.0</v>
      </c>
      <c r="HC138" s="207">
        <v>0.0</v>
      </c>
      <c r="HD138" s="207">
        <v>0.0</v>
      </c>
      <c r="HE138" s="207">
        <v>0.0</v>
      </c>
      <c r="HF138" s="207">
        <v>0.0</v>
      </c>
      <c r="HG138" s="207">
        <v>0.0</v>
      </c>
      <c r="HH138" s="207">
        <v>1.0</v>
      </c>
      <c r="HI138" s="207">
        <v>0.0</v>
      </c>
      <c r="HJ138" s="207">
        <v>0.0</v>
      </c>
      <c r="HK138" s="207">
        <v>0.0</v>
      </c>
      <c r="HL138" s="207">
        <v>0.0</v>
      </c>
      <c r="HM138" s="207">
        <v>0.0</v>
      </c>
      <c r="HN138" s="207">
        <v>0.0</v>
      </c>
      <c r="HO138" s="222"/>
      <c r="HP138" s="222"/>
      <c r="HQ138" s="214"/>
      <c r="HR138" s="197"/>
      <c r="HS138" s="197"/>
      <c r="HT138" s="198">
        <f t="shared" si="28"/>
        <v>28</v>
      </c>
      <c r="HU138" s="198">
        <f t="shared" si="29"/>
        <v>30</v>
      </c>
      <c r="HV138" s="198">
        <f t="shared" si="30"/>
        <v>22</v>
      </c>
      <c r="HW138" s="198">
        <f t="shared" si="99"/>
        <v>21</v>
      </c>
      <c r="HX138" s="198">
        <f t="shared" si="32"/>
        <v>16</v>
      </c>
      <c r="HY138" s="198">
        <f t="shared" si="33"/>
        <v>10</v>
      </c>
      <c r="HZ138" s="198">
        <f t="shared" si="34"/>
        <v>11</v>
      </c>
      <c r="IA138" s="198">
        <f t="shared" si="35"/>
        <v>12</v>
      </c>
      <c r="IB138" s="198">
        <f t="shared" si="36"/>
        <v>12</v>
      </c>
      <c r="IC138" s="198">
        <f t="shared" si="37"/>
        <v>13</v>
      </c>
      <c r="ID138" s="198">
        <f t="shared" si="38"/>
        <v>14</v>
      </c>
      <c r="IE138" s="198">
        <f t="shared" si="39"/>
        <v>13</v>
      </c>
      <c r="IF138" s="197"/>
      <c r="IG138" s="197"/>
      <c r="IH138" s="197"/>
      <c r="II138" s="197"/>
      <c r="IJ138" s="197"/>
      <c r="IK138" s="197"/>
      <c r="IL138" s="197"/>
      <c r="IM138" s="197"/>
      <c r="IN138" s="197"/>
      <c r="IO138" s="197"/>
      <c r="IP138" s="197"/>
      <c r="IQ138" s="197"/>
      <c r="IR138" s="197"/>
      <c r="IS138" s="197"/>
      <c r="IT138" s="197"/>
      <c r="IU138" s="197"/>
      <c r="IV138" s="197"/>
      <c r="IW138" s="197"/>
      <c r="IX138" s="197"/>
      <c r="IY138" s="197"/>
      <c r="IZ138" s="197"/>
      <c r="JA138" s="199"/>
      <c r="JB138" s="200">
        <f t="shared" si="40"/>
        <v>28</v>
      </c>
      <c r="JC138" s="200">
        <f t="shared" si="41"/>
        <v>30</v>
      </c>
      <c r="JD138" s="200">
        <f t="shared" si="42"/>
        <v>22</v>
      </c>
      <c r="JE138" s="200">
        <f t="shared" si="43"/>
        <v>21</v>
      </c>
      <c r="JF138" s="200">
        <f t="shared" si="44"/>
        <v>16</v>
      </c>
      <c r="JG138" s="200">
        <f t="shared" si="45"/>
        <v>10</v>
      </c>
      <c r="JH138" s="200">
        <f t="shared" si="46"/>
        <v>11</v>
      </c>
      <c r="JI138" s="200">
        <f t="shared" si="47"/>
        <v>12</v>
      </c>
      <c r="JJ138" s="200">
        <f t="shared" si="48"/>
        <v>12</v>
      </c>
      <c r="JK138" s="200">
        <f t="shared" si="49"/>
        <v>13</v>
      </c>
      <c r="JL138" s="200">
        <f t="shared" si="50"/>
        <v>14</v>
      </c>
      <c r="JM138" s="200">
        <f t="shared" si="51"/>
        <v>13</v>
      </c>
      <c r="JN138" s="199"/>
      <c r="JO138" s="200">
        <f t="shared" si="52"/>
        <v>28</v>
      </c>
      <c r="JP138" s="202">
        <v>30.0</v>
      </c>
      <c r="JQ138" s="202">
        <v>22.0</v>
      </c>
      <c r="JR138" s="202">
        <v>21.0</v>
      </c>
      <c r="JS138" s="202">
        <v>16.0</v>
      </c>
      <c r="JT138" s="199"/>
      <c r="JU138" s="199"/>
      <c r="JV138" s="200">
        <f t="shared" ref="JV138:JX138" si="344">IA138-JI138</f>
        <v>0</v>
      </c>
      <c r="JW138" s="200">
        <f t="shared" si="344"/>
        <v>0</v>
      </c>
      <c r="JX138" s="200">
        <f t="shared" si="344"/>
        <v>0</v>
      </c>
      <c r="JY138" s="199"/>
      <c r="JZ138" s="199"/>
      <c r="KA138" s="199"/>
      <c r="KB138" s="200">
        <f t="shared" ref="KB138:KM138" si="345">JB138-JO138</f>
        <v>0</v>
      </c>
      <c r="KC138" s="200">
        <f t="shared" si="345"/>
        <v>0</v>
      </c>
      <c r="KD138" s="200">
        <f t="shared" si="345"/>
        <v>0</v>
      </c>
      <c r="KE138" s="200">
        <f t="shared" si="345"/>
        <v>0</v>
      </c>
      <c r="KF138" s="200">
        <f t="shared" si="345"/>
        <v>0</v>
      </c>
      <c r="KG138" s="200">
        <f t="shared" si="345"/>
        <v>10</v>
      </c>
      <c r="KH138" s="200">
        <f t="shared" si="345"/>
        <v>11</v>
      </c>
      <c r="KI138" s="200">
        <f t="shared" si="345"/>
        <v>12</v>
      </c>
      <c r="KJ138" s="200">
        <f t="shared" si="345"/>
        <v>12</v>
      </c>
      <c r="KK138" s="200">
        <f t="shared" si="345"/>
        <v>13</v>
      </c>
      <c r="KL138" s="200">
        <f t="shared" si="345"/>
        <v>14</v>
      </c>
      <c r="KM138" s="200">
        <f t="shared" si="345"/>
        <v>13</v>
      </c>
      <c r="KN138" s="199"/>
      <c r="KO138" s="199"/>
      <c r="KP138" s="199"/>
      <c r="KQ138" s="199"/>
      <c r="KR138" s="199"/>
      <c r="KS138" s="199"/>
      <c r="KT138" s="199"/>
      <c r="KU138" s="199"/>
      <c r="KV138" s="199"/>
      <c r="KW138" s="199"/>
      <c r="KX138" s="199"/>
      <c r="KY138" s="199"/>
      <c r="KZ138" s="199"/>
      <c r="LA138" s="199"/>
      <c r="LB138" s="199"/>
      <c r="LC138" s="199"/>
      <c r="LD138" s="199"/>
      <c r="LE138" s="199"/>
      <c r="LF138" s="199"/>
      <c r="LG138" s="199"/>
    </row>
    <row r="139" ht="14.25" customHeight="1">
      <c r="A139" s="156">
        <v>132.0</v>
      </c>
      <c r="B139" s="463" t="s">
        <v>240</v>
      </c>
      <c r="C139" s="464">
        <v>3374140.0</v>
      </c>
      <c r="D139" s="464" t="s">
        <v>243</v>
      </c>
      <c r="E139" s="464" t="s">
        <v>244</v>
      </c>
      <c r="F139" s="465">
        <v>10.0</v>
      </c>
      <c r="G139" s="466">
        <v>1094.0</v>
      </c>
      <c r="H139" s="233">
        <v>42.0</v>
      </c>
      <c r="I139" s="162">
        <v>5.0</v>
      </c>
      <c r="J139" s="162">
        <v>5.0</v>
      </c>
      <c r="K139" s="162">
        <v>15.0</v>
      </c>
      <c r="L139" s="162">
        <v>17.0</v>
      </c>
      <c r="M139" s="162">
        <v>0.0</v>
      </c>
      <c r="N139" s="162">
        <v>0.0</v>
      </c>
      <c r="O139" s="162">
        <f t="shared" ref="O139:O144" si="348">H139-(M139+N139)</f>
        <v>42</v>
      </c>
      <c r="P139" s="162">
        <v>27.0</v>
      </c>
      <c r="Q139" s="166">
        <v>2.0</v>
      </c>
      <c r="R139" s="166">
        <v>1.0</v>
      </c>
      <c r="S139" s="166">
        <v>10.0</v>
      </c>
      <c r="T139" s="236">
        <v>14.0</v>
      </c>
      <c r="U139" s="236">
        <v>0.0</v>
      </c>
      <c r="V139" s="236">
        <v>23.0</v>
      </c>
      <c r="W139" s="166">
        <f t="shared" si="225"/>
        <v>4</v>
      </c>
      <c r="X139" s="162">
        <v>28.0</v>
      </c>
      <c r="Y139" s="236">
        <v>2.0</v>
      </c>
      <c r="Z139" s="236">
        <v>1.0</v>
      </c>
      <c r="AA139" s="236">
        <v>11.0</v>
      </c>
      <c r="AB139" s="236">
        <v>14.0</v>
      </c>
      <c r="AC139" s="236">
        <v>7.0</v>
      </c>
      <c r="AD139" s="236">
        <v>6.0</v>
      </c>
      <c r="AE139" s="166">
        <f t="shared" si="214"/>
        <v>15</v>
      </c>
      <c r="AF139" s="236">
        <v>21.0</v>
      </c>
      <c r="AG139" s="236">
        <v>1.0</v>
      </c>
      <c r="AH139" s="236">
        <v>0.0</v>
      </c>
      <c r="AI139" s="236">
        <v>7.0</v>
      </c>
      <c r="AJ139" s="236">
        <v>13.0</v>
      </c>
      <c r="AK139" s="236">
        <v>8.0</v>
      </c>
      <c r="AL139" s="236">
        <v>11.0</v>
      </c>
      <c r="AM139" s="166">
        <f t="shared" si="215"/>
        <v>2</v>
      </c>
      <c r="AN139" s="236">
        <v>17.0</v>
      </c>
      <c r="AO139" s="236">
        <v>2.0</v>
      </c>
      <c r="AP139" s="236">
        <v>1.0</v>
      </c>
      <c r="AQ139" s="236">
        <v>5.0</v>
      </c>
      <c r="AR139" s="236">
        <v>9.0</v>
      </c>
      <c r="AS139" s="236">
        <v>6.0</v>
      </c>
      <c r="AT139" s="236">
        <v>2.0</v>
      </c>
      <c r="AU139" s="168">
        <f t="shared" si="216"/>
        <v>9</v>
      </c>
      <c r="AV139" s="240">
        <v>1215.0</v>
      </c>
      <c r="AW139" s="239">
        <f t="shared" si="8"/>
        <v>18</v>
      </c>
      <c r="AX139" s="240">
        <v>2.0</v>
      </c>
      <c r="AY139" s="240">
        <v>1.0</v>
      </c>
      <c r="AZ139" s="240">
        <v>2.0</v>
      </c>
      <c r="BA139" s="240">
        <v>7.0</v>
      </c>
      <c r="BB139" s="240">
        <v>0.0</v>
      </c>
      <c r="BC139" s="240">
        <v>0.0</v>
      </c>
      <c r="BD139" s="240">
        <v>4.0</v>
      </c>
      <c r="BE139" s="240">
        <v>2.0</v>
      </c>
      <c r="BF139" s="240">
        <v>0.0</v>
      </c>
      <c r="BG139" s="240">
        <v>0.0</v>
      </c>
      <c r="BH139" s="240">
        <v>2.0</v>
      </c>
      <c r="BI139" s="240">
        <v>3.0</v>
      </c>
      <c r="BJ139" s="240">
        <v>0.0</v>
      </c>
      <c r="BK139" s="240">
        <v>0.0</v>
      </c>
      <c r="BL139" s="240">
        <v>0.0</v>
      </c>
      <c r="BM139" s="240">
        <v>0.0</v>
      </c>
      <c r="BN139" s="240">
        <v>0.0</v>
      </c>
      <c r="BO139" s="240">
        <v>0.0</v>
      </c>
      <c r="BP139" s="166">
        <f t="shared" si="131"/>
        <v>5</v>
      </c>
      <c r="BQ139" s="235">
        <v>1082.0</v>
      </c>
      <c r="BR139" s="170">
        <f t="shared" si="10"/>
        <v>18</v>
      </c>
      <c r="BS139" s="235">
        <v>0.0</v>
      </c>
      <c r="BT139" s="235">
        <v>2.0</v>
      </c>
      <c r="BU139" s="235">
        <v>5.0</v>
      </c>
      <c r="BV139" s="235">
        <v>9.0</v>
      </c>
      <c r="BW139" s="235">
        <v>0.0</v>
      </c>
      <c r="BX139" s="235">
        <v>0.0</v>
      </c>
      <c r="BY139" s="235">
        <v>1.0</v>
      </c>
      <c r="BZ139" s="235">
        <v>1.0</v>
      </c>
      <c r="CA139" s="235">
        <v>1.0</v>
      </c>
      <c r="CB139" s="235">
        <v>0.0</v>
      </c>
      <c r="CC139" s="235">
        <v>1.0</v>
      </c>
      <c r="CD139" s="235">
        <v>0.0</v>
      </c>
      <c r="CE139" s="235">
        <v>0.0</v>
      </c>
      <c r="CF139" s="235">
        <v>0.0</v>
      </c>
      <c r="CG139" s="235">
        <v>0.0</v>
      </c>
      <c r="CH139" s="235">
        <v>0.0</v>
      </c>
      <c r="CI139" s="235">
        <v>0.0</v>
      </c>
      <c r="CJ139" s="235">
        <v>0.0</v>
      </c>
      <c r="CK139" s="236">
        <f t="shared" si="132"/>
        <v>2</v>
      </c>
      <c r="CL139" s="173">
        <v>1080.0</v>
      </c>
      <c r="CM139" s="173">
        <v>447.0</v>
      </c>
      <c r="CN139" s="175">
        <f t="shared" si="295"/>
        <v>18</v>
      </c>
      <c r="CO139" s="173">
        <v>0.0</v>
      </c>
      <c r="CP139" s="173">
        <v>1.0</v>
      </c>
      <c r="CQ139" s="173">
        <v>1.0</v>
      </c>
      <c r="CR139" s="173">
        <v>11.0</v>
      </c>
      <c r="CS139" s="173">
        <v>0.0</v>
      </c>
      <c r="CT139" s="173">
        <v>0.0</v>
      </c>
      <c r="CU139" s="173">
        <v>2.0</v>
      </c>
      <c r="CV139" s="173">
        <v>3.0</v>
      </c>
      <c r="CW139" s="173">
        <v>0.0</v>
      </c>
      <c r="CX139" s="173">
        <v>1.0</v>
      </c>
      <c r="CY139" s="173">
        <v>4.0</v>
      </c>
      <c r="CZ139" s="173">
        <v>0.0</v>
      </c>
      <c r="DA139" s="173">
        <v>0.0</v>
      </c>
      <c r="DB139" s="173">
        <v>0.0</v>
      </c>
      <c r="DC139" s="173">
        <v>0.0</v>
      </c>
      <c r="DD139" s="173">
        <v>0.0</v>
      </c>
      <c r="DE139" s="173">
        <v>0.0</v>
      </c>
      <c r="DF139" s="173">
        <v>0.0</v>
      </c>
      <c r="DG139" s="176">
        <f t="shared" si="13"/>
        <v>5</v>
      </c>
      <c r="DH139" s="177">
        <v>998.0</v>
      </c>
      <c r="DI139" s="177">
        <v>406.0</v>
      </c>
      <c r="DJ139" s="178">
        <v>998.0</v>
      </c>
      <c r="DK139" s="178">
        <v>406.0</v>
      </c>
      <c r="DL139" s="179">
        <f t="shared" si="14"/>
        <v>18</v>
      </c>
      <c r="DM139" s="180">
        <f t="shared" si="15"/>
        <v>2</v>
      </c>
      <c r="DN139" s="180">
        <f t="shared" si="16"/>
        <v>16</v>
      </c>
      <c r="DO139" s="177">
        <v>0.0</v>
      </c>
      <c r="DP139" s="177">
        <v>1.0</v>
      </c>
      <c r="DQ139" s="177">
        <v>1.0</v>
      </c>
      <c r="DR139" s="177">
        <v>15.0</v>
      </c>
      <c r="DS139" s="177">
        <v>0.0</v>
      </c>
      <c r="DT139" s="177">
        <v>0.0</v>
      </c>
      <c r="DU139" s="177">
        <v>0.0</v>
      </c>
      <c r="DV139" s="177">
        <v>1.0</v>
      </c>
      <c r="DW139" s="177">
        <v>0.0</v>
      </c>
      <c r="DX139" s="177">
        <v>0.0</v>
      </c>
      <c r="DY139" s="177">
        <v>1.0</v>
      </c>
      <c r="DZ139" s="177">
        <v>0.0</v>
      </c>
      <c r="EA139" s="177">
        <v>0.0</v>
      </c>
      <c r="EB139" s="177">
        <v>0.0</v>
      </c>
      <c r="EC139" s="177">
        <v>0.0</v>
      </c>
      <c r="ED139" s="177">
        <v>0.0</v>
      </c>
      <c r="EE139" s="177">
        <v>0.0</v>
      </c>
      <c r="EF139" s="177">
        <v>0.0</v>
      </c>
      <c r="EG139" s="179">
        <f t="shared" si="17"/>
        <v>1</v>
      </c>
      <c r="EH139" s="179">
        <f t="shared" si="18"/>
        <v>1</v>
      </c>
      <c r="EI139" s="177">
        <v>1000.0</v>
      </c>
      <c r="EJ139" s="177">
        <v>401.0</v>
      </c>
      <c r="EK139" s="177">
        <v>1000.0</v>
      </c>
      <c r="EL139" s="177">
        <v>401.0</v>
      </c>
      <c r="EM139" s="185">
        <f t="shared" si="342"/>
        <v>17</v>
      </c>
      <c r="EN139" s="186">
        <f t="shared" si="202"/>
        <v>2</v>
      </c>
      <c r="EO139" s="186">
        <f t="shared" si="90"/>
        <v>15</v>
      </c>
      <c r="EP139" s="177">
        <v>0.0</v>
      </c>
      <c r="EQ139" s="177">
        <v>0.0</v>
      </c>
      <c r="ER139" s="177">
        <v>2.0</v>
      </c>
      <c r="ES139" s="177">
        <v>15.0</v>
      </c>
      <c r="ET139" s="177">
        <v>0.0</v>
      </c>
      <c r="EU139" s="177">
        <v>0.0</v>
      </c>
      <c r="EV139" s="177">
        <v>0.0</v>
      </c>
      <c r="EW139" s="177">
        <v>0.0</v>
      </c>
      <c r="EX139" s="177">
        <v>0.0</v>
      </c>
      <c r="EY139" s="177">
        <v>0.0</v>
      </c>
      <c r="EZ139" s="177">
        <v>0.0</v>
      </c>
      <c r="FA139" s="177">
        <v>0.0</v>
      </c>
      <c r="FB139" s="177">
        <v>0.0</v>
      </c>
      <c r="FC139" s="177">
        <v>0.0</v>
      </c>
      <c r="FD139" s="177">
        <v>0.0</v>
      </c>
      <c r="FE139" s="177">
        <v>1.0</v>
      </c>
      <c r="FF139" s="177">
        <v>0.0</v>
      </c>
      <c r="FG139" s="177">
        <v>0.0</v>
      </c>
      <c r="FH139" s="185">
        <f t="shared" si="22"/>
        <v>1</v>
      </c>
      <c r="FI139" s="185">
        <f t="shared" si="23"/>
        <v>0</v>
      </c>
      <c r="FJ139" s="177">
        <v>1004.0</v>
      </c>
      <c r="FK139" s="177">
        <v>398.0</v>
      </c>
      <c r="FL139" s="177">
        <v>1004.0</v>
      </c>
      <c r="FM139" s="177">
        <v>398.0</v>
      </c>
      <c r="FN139" s="180"/>
      <c r="FO139" s="180">
        <v>17.0</v>
      </c>
      <c r="FP139" s="188">
        <f t="shared" si="343"/>
        <v>17</v>
      </c>
      <c r="FQ139" s="211">
        <v>3.0</v>
      </c>
      <c r="FR139" s="212">
        <v>14.0</v>
      </c>
      <c r="FS139" s="206">
        <v>0.0</v>
      </c>
      <c r="FT139" s="207">
        <v>0.0</v>
      </c>
      <c r="FU139" s="207">
        <v>2.0</v>
      </c>
      <c r="FV139" s="207">
        <v>14.0</v>
      </c>
      <c r="FW139" s="207">
        <v>1.0</v>
      </c>
      <c r="FX139" s="207">
        <v>0.0</v>
      </c>
      <c r="FY139" s="207">
        <v>0.0</v>
      </c>
      <c r="FZ139" s="207">
        <v>0.0</v>
      </c>
      <c r="GA139" s="207">
        <v>0.0</v>
      </c>
      <c r="GB139" s="207">
        <v>0.0</v>
      </c>
      <c r="GC139" s="207">
        <v>0.0</v>
      </c>
      <c r="GD139" s="207">
        <v>1.0</v>
      </c>
      <c r="GE139" s="207">
        <v>0.0</v>
      </c>
      <c r="GF139" s="207">
        <v>0.0</v>
      </c>
      <c r="GG139" s="207">
        <v>0.0</v>
      </c>
      <c r="GH139" s="207">
        <v>0.0</v>
      </c>
      <c r="GI139" s="207">
        <v>0.0</v>
      </c>
      <c r="GJ139" s="207">
        <v>0.0</v>
      </c>
      <c r="GK139" s="212">
        <v>1.0</v>
      </c>
      <c r="GL139" s="212">
        <v>0.0</v>
      </c>
      <c r="GM139" s="207">
        <v>1001.0</v>
      </c>
      <c r="GN139" s="207">
        <v>389.0</v>
      </c>
      <c r="GO139" s="213">
        <v>1001.0</v>
      </c>
      <c r="GP139" s="213">
        <v>389.0</v>
      </c>
      <c r="GQ139" s="207"/>
      <c r="GR139" s="213">
        <v>20.0</v>
      </c>
      <c r="GS139" s="193">
        <v>7.0</v>
      </c>
      <c r="GT139" s="194">
        <f t="shared" si="25"/>
        <v>20</v>
      </c>
      <c r="GU139" s="194">
        <f t="shared" si="26"/>
        <v>7</v>
      </c>
      <c r="GV139" s="194">
        <f t="shared" si="27"/>
        <v>13</v>
      </c>
      <c r="GW139" s="207">
        <v>1.0</v>
      </c>
      <c r="GX139" s="207">
        <v>0.0</v>
      </c>
      <c r="GY139" s="207">
        <v>3.0</v>
      </c>
      <c r="GZ139" s="207">
        <v>13.0</v>
      </c>
      <c r="HA139" s="207">
        <v>0.0</v>
      </c>
      <c r="HB139" s="207">
        <v>1.0</v>
      </c>
      <c r="HC139" s="207">
        <v>2.0</v>
      </c>
      <c r="HD139" s="207">
        <v>0.0</v>
      </c>
      <c r="HE139" s="207">
        <v>0.0</v>
      </c>
      <c r="HF139" s="207">
        <v>0.0</v>
      </c>
      <c r="HG139" s="207">
        <v>0.0</v>
      </c>
      <c r="HH139" s="207">
        <v>0.0</v>
      </c>
      <c r="HI139" s="207">
        <v>0.0</v>
      </c>
      <c r="HJ139" s="207">
        <v>0.0</v>
      </c>
      <c r="HK139" s="207">
        <v>0.0</v>
      </c>
      <c r="HL139" s="207">
        <v>0.0</v>
      </c>
      <c r="HM139" s="207">
        <v>0.0</v>
      </c>
      <c r="HN139" s="207">
        <v>0.0</v>
      </c>
      <c r="HO139" s="222"/>
      <c r="HP139" s="222"/>
      <c r="HQ139" s="214"/>
      <c r="HR139" s="197"/>
      <c r="HS139" s="197"/>
      <c r="HT139" s="166">
        <f t="shared" si="28"/>
        <v>42</v>
      </c>
      <c r="HU139" s="166">
        <f t="shared" si="29"/>
        <v>27</v>
      </c>
      <c r="HV139" s="166">
        <f t="shared" si="30"/>
        <v>28</v>
      </c>
      <c r="HW139" s="166">
        <f t="shared" si="99"/>
        <v>21</v>
      </c>
      <c r="HX139" s="166">
        <f t="shared" si="32"/>
        <v>17</v>
      </c>
      <c r="HY139" s="166">
        <f t="shared" si="33"/>
        <v>18</v>
      </c>
      <c r="HZ139" s="166">
        <f t="shared" si="34"/>
        <v>18</v>
      </c>
      <c r="IA139" s="166">
        <f t="shared" si="35"/>
        <v>18</v>
      </c>
      <c r="IB139" s="166">
        <f t="shared" si="36"/>
        <v>18</v>
      </c>
      <c r="IC139" s="198">
        <f t="shared" si="37"/>
        <v>17</v>
      </c>
      <c r="ID139" s="198">
        <f t="shared" si="38"/>
        <v>17</v>
      </c>
      <c r="IE139" s="198">
        <f t="shared" si="39"/>
        <v>20</v>
      </c>
      <c r="IF139" s="166"/>
      <c r="IG139" s="197"/>
      <c r="IH139" s="166"/>
      <c r="II139" s="166"/>
      <c r="IJ139" s="166"/>
      <c r="IK139" s="166"/>
      <c r="IL139" s="166"/>
      <c r="IM139" s="166"/>
      <c r="IN139" s="166"/>
      <c r="IO139" s="166"/>
      <c r="IP139" s="166"/>
      <c r="IQ139" s="166"/>
      <c r="IR139" s="166"/>
      <c r="IS139" s="166"/>
      <c r="IT139" s="166"/>
      <c r="IU139" s="166"/>
      <c r="IV139" s="166"/>
      <c r="IW139" s="166"/>
      <c r="IX139" s="166"/>
      <c r="IY139" s="166"/>
      <c r="IZ139" s="166"/>
      <c r="JA139" s="199"/>
      <c r="JB139" s="200">
        <f t="shared" si="40"/>
        <v>42</v>
      </c>
      <c r="JC139" s="200">
        <f t="shared" si="41"/>
        <v>27</v>
      </c>
      <c r="JD139" s="200">
        <f t="shared" si="42"/>
        <v>28</v>
      </c>
      <c r="JE139" s="200">
        <f t="shared" si="43"/>
        <v>21</v>
      </c>
      <c r="JF139" s="200">
        <f t="shared" si="44"/>
        <v>17</v>
      </c>
      <c r="JG139" s="200">
        <f t="shared" si="45"/>
        <v>18</v>
      </c>
      <c r="JH139" s="200">
        <f t="shared" si="46"/>
        <v>18</v>
      </c>
      <c r="JI139" s="200">
        <f t="shared" si="47"/>
        <v>18</v>
      </c>
      <c r="JJ139" s="200">
        <f t="shared" si="48"/>
        <v>18</v>
      </c>
      <c r="JK139" s="200">
        <f t="shared" si="49"/>
        <v>17</v>
      </c>
      <c r="JL139" s="200">
        <f t="shared" si="50"/>
        <v>17</v>
      </c>
      <c r="JM139" s="200">
        <f t="shared" si="51"/>
        <v>20</v>
      </c>
      <c r="JN139" s="199"/>
      <c r="JO139" s="200">
        <f t="shared" si="52"/>
        <v>42</v>
      </c>
      <c r="JP139" s="162">
        <v>27.0</v>
      </c>
      <c r="JQ139" s="162">
        <v>28.0</v>
      </c>
      <c r="JR139" s="162">
        <v>21.0</v>
      </c>
      <c r="JS139" s="162">
        <v>17.0</v>
      </c>
      <c r="JT139" s="199"/>
      <c r="JU139" s="199"/>
      <c r="JV139" s="200">
        <f t="shared" ref="JV139:JX139" si="346">IA139-JI139</f>
        <v>0</v>
      </c>
      <c r="JW139" s="200">
        <f t="shared" si="346"/>
        <v>0</v>
      </c>
      <c r="JX139" s="200">
        <f t="shared" si="346"/>
        <v>0</v>
      </c>
      <c r="JY139" s="199"/>
      <c r="JZ139" s="199"/>
      <c r="KA139" s="199"/>
      <c r="KB139" s="200">
        <f t="shared" ref="KB139:KM139" si="347">JB139-JO139</f>
        <v>0</v>
      </c>
      <c r="KC139" s="200">
        <f t="shared" si="347"/>
        <v>0</v>
      </c>
      <c r="KD139" s="200">
        <f t="shared" si="347"/>
        <v>0</v>
      </c>
      <c r="KE139" s="200">
        <f t="shared" si="347"/>
        <v>0</v>
      </c>
      <c r="KF139" s="200">
        <f t="shared" si="347"/>
        <v>0</v>
      </c>
      <c r="KG139" s="200">
        <f t="shared" si="347"/>
        <v>18</v>
      </c>
      <c r="KH139" s="200">
        <f t="shared" si="347"/>
        <v>18</v>
      </c>
      <c r="KI139" s="200">
        <f t="shared" si="347"/>
        <v>18</v>
      </c>
      <c r="KJ139" s="200">
        <f t="shared" si="347"/>
        <v>18</v>
      </c>
      <c r="KK139" s="200">
        <f t="shared" si="347"/>
        <v>17</v>
      </c>
      <c r="KL139" s="200">
        <f t="shared" si="347"/>
        <v>17</v>
      </c>
      <c r="KM139" s="200">
        <f t="shared" si="347"/>
        <v>20</v>
      </c>
      <c r="KN139" s="199"/>
      <c r="KO139" s="199"/>
      <c r="KP139" s="199"/>
      <c r="KQ139" s="199"/>
      <c r="KR139" s="199"/>
      <c r="KS139" s="199"/>
      <c r="KT139" s="199"/>
      <c r="KU139" s="199"/>
      <c r="KV139" s="199"/>
      <c r="KW139" s="199"/>
      <c r="KX139" s="199"/>
      <c r="KY139" s="199"/>
      <c r="KZ139" s="199"/>
      <c r="LA139" s="199"/>
      <c r="LB139" s="199"/>
      <c r="LC139" s="199"/>
      <c r="LD139" s="199"/>
      <c r="LE139" s="199"/>
      <c r="LF139" s="199"/>
      <c r="LG139" s="199"/>
      <c r="LH139" s="247"/>
      <c r="LI139" s="247"/>
      <c r="LJ139" s="247"/>
      <c r="LK139" s="247"/>
    </row>
    <row r="140" ht="14.25" customHeight="1">
      <c r="A140" s="156">
        <v>133.0</v>
      </c>
      <c r="B140" s="463" t="s">
        <v>240</v>
      </c>
      <c r="C140" s="464">
        <v>3374140.0</v>
      </c>
      <c r="D140" s="464" t="s">
        <v>243</v>
      </c>
      <c r="E140" s="464" t="s">
        <v>245</v>
      </c>
      <c r="F140" s="465">
        <v>9.0</v>
      </c>
      <c r="G140" s="466">
        <v>285.0</v>
      </c>
      <c r="H140" s="233">
        <v>14.0</v>
      </c>
      <c r="I140" s="162">
        <v>3.0</v>
      </c>
      <c r="J140" s="162">
        <v>1.0</v>
      </c>
      <c r="K140" s="162">
        <v>5.0</v>
      </c>
      <c r="L140" s="162">
        <v>5.0</v>
      </c>
      <c r="M140" s="162">
        <v>0.0</v>
      </c>
      <c r="N140" s="162">
        <v>0.0</v>
      </c>
      <c r="O140" s="162">
        <f t="shared" si="348"/>
        <v>14</v>
      </c>
      <c r="P140" s="162">
        <v>10.0</v>
      </c>
      <c r="Q140" s="166">
        <v>2.0</v>
      </c>
      <c r="R140" s="166">
        <v>0.0</v>
      </c>
      <c r="S140" s="166">
        <v>3.0</v>
      </c>
      <c r="T140" s="236">
        <v>5.0</v>
      </c>
      <c r="U140" s="236">
        <v>2.0</v>
      </c>
      <c r="V140" s="236">
        <v>6.0</v>
      </c>
      <c r="W140" s="166">
        <f t="shared" si="225"/>
        <v>2</v>
      </c>
      <c r="X140" s="162">
        <v>13.0</v>
      </c>
      <c r="Y140" s="236">
        <v>0.0</v>
      </c>
      <c r="Z140" s="236">
        <v>2.0</v>
      </c>
      <c r="AA140" s="236">
        <v>3.0</v>
      </c>
      <c r="AB140" s="236">
        <v>8.0</v>
      </c>
      <c r="AC140" s="236">
        <v>5.0</v>
      </c>
      <c r="AD140" s="236">
        <v>2.0</v>
      </c>
      <c r="AE140" s="166">
        <f t="shared" si="214"/>
        <v>6</v>
      </c>
      <c r="AF140" s="236">
        <v>8.0</v>
      </c>
      <c r="AG140" s="236">
        <v>1.0</v>
      </c>
      <c r="AH140" s="236">
        <v>1.0</v>
      </c>
      <c r="AI140" s="236">
        <v>1.0</v>
      </c>
      <c r="AJ140" s="236">
        <v>5.0</v>
      </c>
      <c r="AK140" s="236">
        <v>1.0</v>
      </c>
      <c r="AL140" s="236">
        <v>6.0</v>
      </c>
      <c r="AM140" s="166">
        <f t="shared" si="215"/>
        <v>1</v>
      </c>
      <c r="AN140" s="236">
        <v>7.0</v>
      </c>
      <c r="AO140" s="236">
        <v>0.0</v>
      </c>
      <c r="AP140" s="236">
        <v>1.0</v>
      </c>
      <c r="AQ140" s="236">
        <v>2.0</v>
      </c>
      <c r="AR140" s="236">
        <v>4.0</v>
      </c>
      <c r="AS140" s="236">
        <v>4.0</v>
      </c>
      <c r="AT140" s="236">
        <v>1.0</v>
      </c>
      <c r="AU140" s="168">
        <f t="shared" si="216"/>
        <v>2</v>
      </c>
      <c r="AV140" s="240">
        <v>281.0</v>
      </c>
      <c r="AW140" s="239">
        <f t="shared" si="8"/>
        <v>5</v>
      </c>
      <c r="AX140" s="240">
        <v>0.0</v>
      </c>
      <c r="AY140" s="240">
        <v>1.0</v>
      </c>
      <c r="AZ140" s="240">
        <v>1.0</v>
      </c>
      <c r="BA140" s="240">
        <v>2.0</v>
      </c>
      <c r="BB140" s="240">
        <v>0.0</v>
      </c>
      <c r="BC140" s="240">
        <v>0.0</v>
      </c>
      <c r="BD140" s="240">
        <v>0.0</v>
      </c>
      <c r="BE140" s="240">
        <v>1.0</v>
      </c>
      <c r="BF140" s="240">
        <v>0.0</v>
      </c>
      <c r="BG140" s="240">
        <v>0.0</v>
      </c>
      <c r="BH140" s="240">
        <v>1.0</v>
      </c>
      <c r="BI140" s="240">
        <v>1.0</v>
      </c>
      <c r="BJ140" s="240">
        <v>0.0</v>
      </c>
      <c r="BK140" s="240">
        <v>0.0</v>
      </c>
      <c r="BL140" s="240">
        <v>0.0</v>
      </c>
      <c r="BM140" s="240">
        <v>0.0</v>
      </c>
      <c r="BN140" s="240">
        <v>1.0</v>
      </c>
      <c r="BO140" s="240">
        <v>0.0</v>
      </c>
      <c r="BP140" s="166">
        <f t="shared" si="131"/>
        <v>3</v>
      </c>
      <c r="BQ140" s="235">
        <v>285.0</v>
      </c>
      <c r="BR140" s="170">
        <f t="shared" si="10"/>
        <v>4</v>
      </c>
      <c r="BS140" s="235">
        <v>0.0</v>
      </c>
      <c r="BT140" s="235">
        <v>0.0</v>
      </c>
      <c r="BU140" s="235">
        <v>1.0</v>
      </c>
      <c r="BV140" s="235">
        <v>3.0</v>
      </c>
      <c r="BW140" s="235">
        <v>0.0</v>
      </c>
      <c r="BX140" s="235">
        <v>0.0</v>
      </c>
      <c r="BY140" s="235">
        <v>0.0</v>
      </c>
      <c r="BZ140" s="235">
        <v>0.0</v>
      </c>
      <c r="CA140" s="235">
        <v>0.0</v>
      </c>
      <c r="CB140" s="235">
        <v>1.0</v>
      </c>
      <c r="CC140" s="235">
        <v>0.0</v>
      </c>
      <c r="CD140" s="235">
        <v>0.0</v>
      </c>
      <c r="CE140" s="235">
        <v>0.0</v>
      </c>
      <c r="CF140" s="235">
        <v>0.0</v>
      </c>
      <c r="CG140" s="235">
        <v>0.0</v>
      </c>
      <c r="CH140" s="235">
        <v>0.0</v>
      </c>
      <c r="CI140" s="235">
        <v>0.0</v>
      </c>
      <c r="CJ140" s="235">
        <v>0.0</v>
      </c>
      <c r="CK140" s="236">
        <f t="shared" si="132"/>
        <v>1</v>
      </c>
      <c r="CL140" s="173">
        <v>285.0</v>
      </c>
      <c r="CM140" s="173">
        <v>95.0</v>
      </c>
      <c r="CN140" s="175">
        <f t="shared" si="295"/>
        <v>1</v>
      </c>
      <c r="CO140" s="173">
        <v>0.0</v>
      </c>
      <c r="CP140" s="173">
        <v>0.0</v>
      </c>
      <c r="CQ140" s="173">
        <v>0.0</v>
      </c>
      <c r="CR140" s="173">
        <v>1.0</v>
      </c>
      <c r="CS140" s="173">
        <v>0.0</v>
      </c>
      <c r="CT140" s="173">
        <v>0.0</v>
      </c>
      <c r="CU140" s="173">
        <v>0.0</v>
      </c>
      <c r="CV140" s="173">
        <v>0.0</v>
      </c>
      <c r="CW140" s="173">
        <v>0.0</v>
      </c>
      <c r="CX140" s="173">
        <v>0.0</v>
      </c>
      <c r="CY140" s="173">
        <v>1.0</v>
      </c>
      <c r="CZ140" s="173">
        <v>2.0</v>
      </c>
      <c r="DA140" s="173">
        <v>0.0</v>
      </c>
      <c r="DB140" s="173">
        <v>0.0</v>
      </c>
      <c r="DC140" s="173">
        <v>0.0</v>
      </c>
      <c r="DD140" s="173">
        <v>0.0</v>
      </c>
      <c r="DE140" s="173">
        <v>0.0</v>
      </c>
      <c r="DF140" s="374">
        <v>0.0</v>
      </c>
      <c r="DG140" s="176">
        <f t="shared" si="13"/>
        <v>3</v>
      </c>
      <c r="DH140" s="177">
        <v>270.0</v>
      </c>
      <c r="DI140" s="177">
        <v>94.0</v>
      </c>
      <c r="DJ140" s="178">
        <v>270.0</v>
      </c>
      <c r="DK140" s="178">
        <v>94.0</v>
      </c>
      <c r="DL140" s="179">
        <f t="shared" si="14"/>
        <v>0</v>
      </c>
      <c r="DM140" s="180">
        <f t="shared" si="15"/>
        <v>0</v>
      </c>
      <c r="DN140" s="180">
        <f t="shared" si="16"/>
        <v>0</v>
      </c>
      <c r="DO140" s="177">
        <v>0.0</v>
      </c>
      <c r="DP140" s="177">
        <v>0.0</v>
      </c>
      <c r="DQ140" s="177">
        <v>0.0</v>
      </c>
      <c r="DR140" s="177">
        <v>0.0</v>
      </c>
      <c r="DS140" s="177">
        <v>0.0</v>
      </c>
      <c r="DT140" s="177">
        <v>0.0</v>
      </c>
      <c r="DU140" s="177">
        <v>0.0</v>
      </c>
      <c r="DV140" s="177">
        <v>0.0</v>
      </c>
      <c r="DW140" s="177">
        <v>0.0</v>
      </c>
      <c r="DX140" s="177">
        <v>0.0</v>
      </c>
      <c r="DY140" s="177">
        <v>0.0</v>
      </c>
      <c r="DZ140" s="177">
        <v>1.0</v>
      </c>
      <c r="EA140" s="177">
        <v>0.0</v>
      </c>
      <c r="EB140" s="177">
        <v>0.0</v>
      </c>
      <c r="EC140" s="177">
        <v>0.0</v>
      </c>
      <c r="ED140" s="177">
        <v>0.0</v>
      </c>
      <c r="EE140" s="177">
        <v>0.0</v>
      </c>
      <c r="EF140" s="177">
        <v>0.0</v>
      </c>
      <c r="EG140" s="179">
        <f t="shared" si="17"/>
        <v>1</v>
      </c>
      <c r="EH140" s="179">
        <f t="shared" si="18"/>
        <v>0</v>
      </c>
      <c r="EI140" s="177">
        <v>266.0</v>
      </c>
      <c r="EJ140" s="177">
        <v>92.0</v>
      </c>
      <c r="EK140" s="177">
        <v>266.0</v>
      </c>
      <c r="EL140" s="177">
        <v>92.0</v>
      </c>
      <c r="EM140" s="185">
        <f t="shared" si="342"/>
        <v>1</v>
      </c>
      <c r="EN140" s="186">
        <f t="shared" si="202"/>
        <v>1</v>
      </c>
      <c r="EO140" s="186">
        <f t="shared" si="90"/>
        <v>0</v>
      </c>
      <c r="EP140" s="177">
        <v>0.0</v>
      </c>
      <c r="EQ140" s="177">
        <v>0.0</v>
      </c>
      <c r="ER140" s="177">
        <v>0.0</v>
      </c>
      <c r="ES140" s="177">
        <v>0.0</v>
      </c>
      <c r="ET140" s="177">
        <v>0.0</v>
      </c>
      <c r="EU140" s="177">
        <v>0.0</v>
      </c>
      <c r="EV140" s="177">
        <v>1.0</v>
      </c>
      <c r="EW140" s="177">
        <v>0.0</v>
      </c>
      <c r="EX140" s="177">
        <v>0.0</v>
      </c>
      <c r="EY140" s="177">
        <v>0.0</v>
      </c>
      <c r="EZ140" s="177">
        <v>0.0</v>
      </c>
      <c r="FA140" s="177">
        <v>0.0</v>
      </c>
      <c r="FB140" s="177">
        <v>0.0</v>
      </c>
      <c r="FC140" s="177">
        <v>0.0</v>
      </c>
      <c r="FD140" s="177">
        <v>0.0</v>
      </c>
      <c r="FE140" s="177">
        <v>0.0</v>
      </c>
      <c r="FF140" s="177">
        <v>0.0</v>
      </c>
      <c r="FG140" s="177">
        <v>0.0</v>
      </c>
      <c r="FH140" s="185">
        <f t="shared" si="22"/>
        <v>0</v>
      </c>
      <c r="FI140" s="185">
        <f t="shared" si="23"/>
        <v>0</v>
      </c>
      <c r="FJ140" s="177">
        <v>262.0</v>
      </c>
      <c r="FK140" s="177">
        <v>90.0</v>
      </c>
      <c r="FL140" s="177">
        <v>262.0</v>
      </c>
      <c r="FM140" s="177">
        <v>90.0</v>
      </c>
      <c r="FN140" s="180"/>
      <c r="FO140" s="180">
        <v>1.0</v>
      </c>
      <c r="FP140" s="188">
        <f t="shared" si="343"/>
        <v>1</v>
      </c>
      <c r="FQ140" s="211">
        <v>1.0</v>
      </c>
      <c r="FR140" s="212">
        <v>0.0</v>
      </c>
      <c r="FS140" s="206">
        <v>0.0</v>
      </c>
      <c r="FT140" s="207">
        <v>0.0</v>
      </c>
      <c r="FU140" s="207">
        <v>1.0</v>
      </c>
      <c r="FV140" s="207">
        <v>0.0</v>
      </c>
      <c r="FW140" s="207">
        <v>0.0</v>
      </c>
      <c r="FX140" s="207">
        <v>0.0</v>
      </c>
      <c r="FY140" s="207">
        <v>0.0</v>
      </c>
      <c r="FZ140" s="207">
        <v>0.0</v>
      </c>
      <c r="GA140" s="207">
        <v>0.0</v>
      </c>
      <c r="GB140" s="207">
        <v>0.0</v>
      </c>
      <c r="GC140" s="207">
        <v>0.0</v>
      </c>
      <c r="GD140" s="207">
        <v>0.0</v>
      </c>
      <c r="GE140" s="207">
        <v>0.0</v>
      </c>
      <c r="GF140" s="207">
        <v>0.0</v>
      </c>
      <c r="GG140" s="207">
        <v>0.0</v>
      </c>
      <c r="GH140" s="207">
        <v>0.0</v>
      </c>
      <c r="GI140" s="207">
        <v>0.0</v>
      </c>
      <c r="GJ140" s="207">
        <v>0.0</v>
      </c>
      <c r="GK140" s="212">
        <v>0.0</v>
      </c>
      <c r="GL140" s="212">
        <v>0.0</v>
      </c>
      <c r="GM140" s="207">
        <v>266.0</v>
      </c>
      <c r="GN140" s="207">
        <v>97.0</v>
      </c>
      <c r="GO140" s="213">
        <v>266.0</v>
      </c>
      <c r="GP140" s="213">
        <v>97.0</v>
      </c>
      <c r="GQ140" s="207"/>
      <c r="GR140" s="213">
        <v>1.0</v>
      </c>
      <c r="GS140" s="193">
        <v>0.0</v>
      </c>
      <c r="GT140" s="194">
        <f t="shared" si="25"/>
        <v>1</v>
      </c>
      <c r="GU140" s="194">
        <f t="shared" si="26"/>
        <v>0</v>
      </c>
      <c r="GV140" s="194">
        <f t="shared" si="27"/>
        <v>1</v>
      </c>
      <c r="GW140" s="207">
        <v>0.0</v>
      </c>
      <c r="GX140" s="207">
        <v>0.0</v>
      </c>
      <c r="GY140" s="207">
        <v>0.0</v>
      </c>
      <c r="GZ140" s="207">
        <v>1.0</v>
      </c>
      <c r="HA140" s="207">
        <v>0.0</v>
      </c>
      <c r="HB140" s="207">
        <v>0.0</v>
      </c>
      <c r="HC140" s="207">
        <v>0.0</v>
      </c>
      <c r="HD140" s="207">
        <v>0.0</v>
      </c>
      <c r="HE140" s="207">
        <v>0.0</v>
      </c>
      <c r="HF140" s="207">
        <v>0.0</v>
      </c>
      <c r="HG140" s="207">
        <v>1.0</v>
      </c>
      <c r="HH140" s="207">
        <v>0.0</v>
      </c>
      <c r="HI140" s="207">
        <v>0.0</v>
      </c>
      <c r="HJ140" s="207">
        <v>0.0</v>
      </c>
      <c r="HK140" s="207">
        <v>0.0</v>
      </c>
      <c r="HL140" s="207">
        <v>0.0</v>
      </c>
      <c r="HM140" s="207">
        <v>0.0</v>
      </c>
      <c r="HN140" s="207">
        <v>0.0</v>
      </c>
      <c r="HO140" s="222"/>
      <c r="HP140" s="222"/>
      <c r="HQ140" s="214"/>
      <c r="HR140" s="197"/>
      <c r="HS140" s="197"/>
      <c r="HT140" s="166">
        <f t="shared" si="28"/>
        <v>14</v>
      </c>
      <c r="HU140" s="166">
        <f t="shared" si="29"/>
        <v>10</v>
      </c>
      <c r="HV140" s="166">
        <f t="shared" si="30"/>
        <v>13</v>
      </c>
      <c r="HW140" s="166">
        <f t="shared" si="99"/>
        <v>8</v>
      </c>
      <c r="HX140" s="166">
        <f t="shared" si="32"/>
        <v>7</v>
      </c>
      <c r="HY140" s="166">
        <f t="shared" si="33"/>
        <v>5</v>
      </c>
      <c r="HZ140" s="166">
        <f t="shared" si="34"/>
        <v>4</v>
      </c>
      <c r="IA140" s="166">
        <f t="shared" si="35"/>
        <v>1</v>
      </c>
      <c r="IB140" s="166">
        <f t="shared" si="36"/>
        <v>0</v>
      </c>
      <c r="IC140" s="198">
        <f t="shared" si="37"/>
        <v>1</v>
      </c>
      <c r="ID140" s="198">
        <f t="shared" si="38"/>
        <v>1</v>
      </c>
      <c r="IE140" s="198">
        <f t="shared" si="39"/>
        <v>1</v>
      </c>
      <c r="IF140" s="166"/>
      <c r="IG140" s="197"/>
      <c r="IH140" s="166"/>
      <c r="II140" s="166"/>
      <c r="IJ140" s="166"/>
      <c r="IK140" s="166"/>
      <c r="IL140" s="166"/>
      <c r="IM140" s="166"/>
      <c r="IN140" s="166"/>
      <c r="IO140" s="166"/>
      <c r="IP140" s="166"/>
      <c r="IQ140" s="166"/>
      <c r="IR140" s="166"/>
      <c r="IS140" s="166"/>
      <c r="IT140" s="166"/>
      <c r="IU140" s="166"/>
      <c r="IV140" s="166"/>
      <c r="IW140" s="166"/>
      <c r="IX140" s="166"/>
      <c r="IY140" s="166"/>
      <c r="IZ140" s="166"/>
      <c r="JA140" s="199"/>
      <c r="JB140" s="200">
        <f t="shared" si="40"/>
        <v>14</v>
      </c>
      <c r="JC140" s="200">
        <f t="shared" si="41"/>
        <v>10</v>
      </c>
      <c r="JD140" s="200">
        <f t="shared" si="42"/>
        <v>13</v>
      </c>
      <c r="JE140" s="200">
        <f t="shared" si="43"/>
        <v>8</v>
      </c>
      <c r="JF140" s="200">
        <f t="shared" si="44"/>
        <v>7</v>
      </c>
      <c r="JG140" s="200">
        <f t="shared" si="45"/>
        <v>5</v>
      </c>
      <c r="JH140" s="200">
        <f t="shared" si="46"/>
        <v>4</v>
      </c>
      <c r="JI140" s="200">
        <f t="shared" si="47"/>
        <v>1</v>
      </c>
      <c r="JJ140" s="200">
        <f t="shared" si="48"/>
        <v>0</v>
      </c>
      <c r="JK140" s="200">
        <f t="shared" si="49"/>
        <v>1</v>
      </c>
      <c r="JL140" s="200">
        <f t="shared" si="50"/>
        <v>1</v>
      </c>
      <c r="JM140" s="200">
        <f t="shared" si="51"/>
        <v>1</v>
      </c>
      <c r="JN140" s="199"/>
      <c r="JO140" s="200">
        <f t="shared" si="52"/>
        <v>14</v>
      </c>
      <c r="JP140" s="162">
        <v>10.0</v>
      </c>
      <c r="JQ140" s="162">
        <v>13.0</v>
      </c>
      <c r="JR140" s="162">
        <v>8.0</v>
      </c>
      <c r="JS140" s="162">
        <v>7.0</v>
      </c>
      <c r="JT140" s="199"/>
      <c r="JU140" s="199"/>
      <c r="JV140" s="200">
        <f t="shared" ref="JV140:JX140" si="349">IA140-JI140</f>
        <v>0</v>
      </c>
      <c r="JW140" s="200">
        <f t="shared" si="349"/>
        <v>0</v>
      </c>
      <c r="JX140" s="200">
        <f t="shared" si="349"/>
        <v>0</v>
      </c>
      <c r="JY140" s="199"/>
      <c r="JZ140" s="199"/>
      <c r="KA140" s="199"/>
      <c r="KB140" s="200">
        <f t="shared" ref="KB140:KM140" si="350">JB140-JO140</f>
        <v>0</v>
      </c>
      <c r="KC140" s="200">
        <f t="shared" si="350"/>
        <v>0</v>
      </c>
      <c r="KD140" s="200">
        <f t="shared" si="350"/>
        <v>0</v>
      </c>
      <c r="KE140" s="200">
        <f t="shared" si="350"/>
        <v>0</v>
      </c>
      <c r="KF140" s="200">
        <f t="shared" si="350"/>
        <v>0</v>
      </c>
      <c r="KG140" s="200">
        <f t="shared" si="350"/>
        <v>5</v>
      </c>
      <c r="KH140" s="200">
        <f t="shared" si="350"/>
        <v>4</v>
      </c>
      <c r="KI140" s="200">
        <f t="shared" si="350"/>
        <v>1</v>
      </c>
      <c r="KJ140" s="200">
        <f t="shared" si="350"/>
        <v>0</v>
      </c>
      <c r="KK140" s="200">
        <f t="shared" si="350"/>
        <v>1</v>
      </c>
      <c r="KL140" s="200">
        <f t="shared" si="350"/>
        <v>1</v>
      </c>
      <c r="KM140" s="200">
        <f t="shared" si="350"/>
        <v>1</v>
      </c>
      <c r="KN140" s="199"/>
      <c r="KO140" s="199"/>
      <c r="KP140" s="199"/>
      <c r="KQ140" s="199"/>
      <c r="KR140" s="199"/>
      <c r="KS140" s="199"/>
      <c r="KT140" s="199"/>
      <c r="KU140" s="199"/>
      <c r="KV140" s="199"/>
      <c r="KW140" s="199"/>
      <c r="KX140" s="199"/>
      <c r="KY140" s="199"/>
      <c r="KZ140" s="199"/>
      <c r="LA140" s="199"/>
      <c r="LB140" s="199"/>
      <c r="LC140" s="199"/>
      <c r="LD140" s="199"/>
      <c r="LE140" s="199"/>
      <c r="LF140" s="199"/>
      <c r="LG140" s="199"/>
      <c r="LH140" s="247"/>
      <c r="LI140" s="247"/>
      <c r="LJ140" s="247"/>
      <c r="LK140" s="247"/>
    </row>
    <row r="141" ht="11.25" customHeight="1">
      <c r="A141" s="156">
        <v>134.0</v>
      </c>
      <c r="B141" s="157" t="s">
        <v>240</v>
      </c>
      <c r="C141" s="158">
        <v>3374140.0</v>
      </c>
      <c r="D141" s="158" t="s">
        <v>246</v>
      </c>
      <c r="E141" s="158" t="s">
        <v>247</v>
      </c>
      <c r="F141" s="159">
        <v>3.0</v>
      </c>
      <c r="G141" s="285">
        <v>128.0</v>
      </c>
      <c r="H141" s="224">
        <f t="shared" ref="H141:H144" si="353">SUM(I141:L141)</f>
        <v>6</v>
      </c>
      <c r="I141" s="161">
        <v>5.0</v>
      </c>
      <c r="J141" s="161">
        <v>1.0</v>
      </c>
      <c r="K141" s="161">
        <v>0.0</v>
      </c>
      <c r="L141" s="161">
        <v>0.0</v>
      </c>
      <c r="M141" s="161">
        <v>0.0</v>
      </c>
      <c r="N141" s="161">
        <v>0.0</v>
      </c>
      <c r="O141" s="162">
        <f t="shared" si="348"/>
        <v>6</v>
      </c>
      <c r="P141" s="203">
        <v>3.0</v>
      </c>
      <c r="Q141" s="164"/>
      <c r="R141" s="467">
        <v>1.0</v>
      </c>
      <c r="S141" s="164">
        <v>0.0</v>
      </c>
      <c r="T141" s="468">
        <v>2.0</v>
      </c>
      <c r="U141" s="165">
        <v>0.0</v>
      </c>
      <c r="V141" s="165">
        <v>3.0</v>
      </c>
      <c r="W141" s="166">
        <f t="shared" si="225"/>
        <v>0</v>
      </c>
      <c r="X141" s="203">
        <v>1.0</v>
      </c>
      <c r="Y141" s="165">
        <v>1.0</v>
      </c>
      <c r="Z141" s="165">
        <v>0.0</v>
      </c>
      <c r="AA141" s="165">
        <v>0.0</v>
      </c>
      <c r="AB141" s="165">
        <v>0.0</v>
      </c>
      <c r="AC141" s="165">
        <v>1.0</v>
      </c>
      <c r="AD141" s="165">
        <v>3.0</v>
      </c>
      <c r="AE141" s="166">
        <f t="shared" si="214"/>
        <v>-3</v>
      </c>
      <c r="AF141" s="167">
        <v>2.0</v>
      </c>
      <c r="AG141" s="165">
        <v>0.0</v>
      </c>
      <c r="AH141" s="165">
        <v>0.0</v>
      </c>
      <c r="AI141" s="165">
        <v>0.0</v>
      </c>
      <c r="AJ141" s="165">
        <v>2.0</v>
      </c>
      <c r="AK141" s="165">
        <v>2.0</v>
      </c>
      <c r="AL141" s="165">
        <v>1.0</v>
      </c>
      <c r="AM141" s="166">
        <f t="shared" si="215"/>
        <v>-1</v>
      </c>
      <c r="AN141" s="167">
        <v>2.0</v>
      </c>
      <c r="AO141" s="165">
        <v>0.0</v>
      </c>
      <c r="AP141" s="165">
        <v>0.0</v>
      </c>
      <c r="AQ141" s="165">
        <v>0.0</v>
      </c>
      <c r="AR141" s="165">
        <v>2.0</v>
      </c>
      <c r="AS141" s="165">
        <v>0.0</v>
      </c>
      <c r="AT141" s="165">
        <v>0.0</v>
      </c>
      <c r="AU141" s="168">
        <f t="shared" si="216"/>
        <v>2</v>
      </c>
      <c r="AV141" s="169">
        <v>129.0</v>
      </c>
      <c r="AW141" s="204">
        <f t="shared" si="8"/>
        <v>3</v>
      </c>
      <c r="AX141" s="169">
        <v>0.0</v>
      </c>
      <c r="AY141" s="169">
        <v>0.0</v>
      </c>
      <c r="AZ141" s="169">
        <v>0.0</v>
      </c>
      <c r="BA141" s="169">
        <v>2.0</v>
      </c>
      <c r="BB141" s="169">
        <v>0.0</v>
      </c>
      <c r="BC141" s="169">
        <v>1.0</v>
      </c>
      <c r="BD141" s="169">
        <v>0.0</v>
      </c>
      <c r="BE141" s="169">
        <v>0.0</v>
      </c>
      <c r="BF141" s="169">
        <v>0.0</v>
      </c>
      <c r="BG141" s="169">
        <v>0.0</v>
      </c>
      <c r="BH141" s="169">
        <v>0.0</v>
      </c>
      <c r="BI141" s="169">
        <v>0.0</v>
      </c>
      <c r="BJ141" s="169">
        <v>0.0</v>
      </c>
      <c r="BK141" s="169">
        <v>0.0</v>
      </c>
      <c r="BL141" s="169">
        <v>0.0</v>
      </c>
      <c r="BM141" s="169">
        <v>0.0</v>
      </c>
      <c r="BN141" s="169">
        <v>0.0</v>
      </c>
      <c r="BO141" s="169">
        <v>0.0</v>
      </c>
      <c r="BP141" s="205">
        <f t="shared" si="131"/>
        <v>0</v>
      </c>
      <c r="BQ141" s="173">
        <v>124.0</v>
      </c>
      <c r="BR141" s="170">
        <f t="shared" si="10"/>
        <v>3</v>
      </c>
      <c r="BS141" s="173">
        <v>0.0</v>
      </c>
      <c r="BT141" s="173">
        <v>1.0</v>
      </c>
      <c r="BU141" s="173">
        <v>0.0</v>
      </c>
      <c r="BV141" s="173">
        <v>2.0</v>
      </c>
      <c r="BW141" s="173">
        <v>0.0</v>
      </c>
      <c r="BX141" s="173">
        <v>0.0</v>
      </c>
      <c r="BY141" s="173">
        <v>0.0</v>
      </c>
      <c r="BZ141" s="173">
        <v>0.0</v>
      </c>
      <c r="CA141" s="173">
        <v>0.0</v>
      </c>
      <c r="CB141" s="173">
        <v>0.0</v>
      </c>
      <c r="CC141" s="173">
        <v>0.0</v>
      </c>
      <c r="CD141" s="173">
        <v>0.0</v>
      </c>
      <c r="CE141" s="173">
        <v>0.0</v>
      </c>
      <c r="CF141" s="173">
        <v>0.0</v>
      </c>
      <c r="CG141" s="173">
        <v>0.0</v>
      </c>
      <c r="CH141" s="173">
        <v>0.0</v>
      </c>
      <c r="CI141" s="173">
        <v>0.0</v>
      </c>
      <c r="CJ141" s="173">
        <v>0.0</v>
      </c>
      <c r="CK141" s="172">
        <f t="shared" si="132"/>
        <v>0</v>
      </c>
      <c r="CL141" s="173">
        <v>109.0</v>
      </c>
      <c r="CM141" s="173">
        <v>19.0</v>
      </c>
      <c r="CN141" s="175">
        <f t="shared" si="295"/>
        <v>3</v>
      </c>
      <c r="CO141" s="173">
        <v>0.0</v>
      </c>
      <c r="CP141" s="173">
        <v>1.0</v>
      </c>
      <c r="CQ141" s="173">
        <v>0.0</v>
      </c>
      <c r="CR141" s="173">
        <v>1.0</v>
      </c>
      <c r="CS141" s="173">
        <v>0.0</v>
      </c>
      <c r="CT141" s="173">
        <v>0.0</v>
      </c>
      <c r="CU141" s="173">
        <v>0.0</v>
      </c>
      <c r="CV141" s="173">
        <v>1.0</v>
      </c>
      <c r="CW141" s="173">
        <v>0.0</v>
      </c>
      <c r="CX141" s="173">
        <v>0.0</v>
      </c>
      <c r="CY141" s="173">
        <v>0.0</v>
      </c>
      <c r="CZ141" s="173">
        <v>0.0</v>
      </c>
      <c r="DA141" s="173">
        <v>0.0</v>
      </c>
      <c r="DB141" s="173">
        <v>0.0</v>
      </c>
      <c r="DC141" s="173">
        <v>0.0</v>
      </c>
      <c r="DD141" s="173">
        <v>1.0</v>
      </c>
      <c r="DE141" s="173">
        <v>0.0</v>
      </c>
      <c r="DF141" s="173">
        <v>0.0</v>
      </c>
      <c r="DG141" s="176">
        <f t="shared" si="13"/>
        <v>1</v>
      </c>
      <c r="DH141" s="469">
        <v>105.0</v>
      </c>
      <c r="DI141" s="469">
        <v>25.0</v>
      </c>
      <c r="DJ141" s="178">
        <v>83.0</v>
      </c>
      <c r="DK141" s="183">
        <v>18.0</v>
      </c>
      <c r="DL141" s="179">
        <f t="shared" si="14"/>
        <v>3</v>
      </c>
      <c r="DM141" s="180">
        <f t="shared" si="15"/>
        <v>1</v>
      </c>
      <c r="DN141" s="180">
        <f t="shared" si="16"/>
        <v>2</v>
      </c>
      <c r="DO141" s="177">
        <v>0.0</v>
      </c>
      <c r="DP141" s="177">
        <v>0.0</v>
      </c>
      <c r="DQ141" s="177">
        <v>1.0</v>
      </c>
      <c r="DR141" s="177">
        <v>2.0</v>
      </c>
      <c r="DS141" s="177">
        <v>0.0</v>
      </c>
      <c r="DT141" s="177">
        <v>0.0</v>
      </c>
      <c r="DU141" s="177">
        <v>0.0</v>
      </c>
      <c r="DV141" s="177">
        <v>0.0</v>
      </c>
      <c r="DW141" s="177">
        <v>0.0</v>
      </c>
      <c r="DX141" s="177">
        <v>0.0</v>
      </c>
      <c r="DY141" s="177">
        <v>0.0</v>
      </c>
      <c r="DZ141" s="177">
        <v>0.0</v>
      </c>
      <c r="EA141" s="177">
        <v>0.0</v>
      </c>
      <c r="EB141" s="177">
        <v>0.0</v>
      </c>
      <c r="EC141" s="177">
        <v>0.0</v>
      </c>
      <c r="ED141" s="177">
        <v>0.0</v>
      </c>
      <c r="EE141" s="177">
        <v>0.0</v>
      </c>
      <c r="EF141" s="177">
        <v>0.0</v>
      </c>
      <c r="EG141" s="179">
        <f t="shared" si="17"/>
        <v>0</v>
      </c>
      <c r="EH141" s="179">
        <f t="shared" si="18"/>
        <v>0</v>
      </c>
      <c r="EI141" s="469">
        <v>107.0</v>
      </c>
      <c r="EJ141" s="469">
        <v>24.0</v>
      </c>
      <c r="EK141" s="178">
        <v>101.0</v>
      </c>
      <c r="EL141" s="183">
        <v>20.0</v>
      </c>
      <c r="EM141" s="186">
        <v>3.0</v>
      </c>
      <c r="EN141" s="186">
        <f t="shared" si="202"/>
        <v>1</v>
      </c>
      <c r="EO141" s="186">
        <f t="shared" si="90"/>
        <v>2</v>
      </c>
      <c r="EP141" s="177">
        <v>0.0</v>
      </c>
      <c r="EQ141" s="177">
        <v>0.0</v>
      </c>
      <c r="ER141" s="177">
        <v>1.0</v>
      </c>
      <c r="ES141" s="177">
        <v>2.0</v>
      </c>
      <c r="ET141" s="177">
        <v>0.0</v>
      </c>
      <c r="EU141" s="177">
        <v>0.0</v>
      </c>
      <c r="EV141" s="177">
        <v>0.0</v>
      </c>
      <c r="EW141" s="177">
        <v>0.0</v>
      </c>
      <c r="EX141" s="177">
        <v>0.0</v>
      </c>
      <c r="EY141" s="177">
        <v>0.0</v>
      </c>
      <c r="EZ141" s="177">
        <v>0.0</v>
      </c>
      <c r="FA141" s="177">
        <v>0.0</v>
      </c>
      <c r="FB141" s="177">
        <v>0.0</v>
      </c>
      <c r="FC141" s="177">
        <v>0.0</v>
      </c>
      <c r="FD141" s="177">
        <v>0.0</v>
      </c>
      <c r="FE141" s="177">
        <v>0.0</v>
      </c>
      <c r="FF141" s="177">
        <v>0.0</v>
      </c>
      <c r="FG141" s="177">
        <v>0.0</v>
      </c>
      <c r="FH141" s="185">
        <f t="shared" si="22"/>
        <v>0</v>
      </c>
      <c r="FI141" s="185">
        <f t="shared" si="23"/>
        <v>0</v>
      </c>
      <c r="FJ141" s="177">
        <v>105.0</v>
      </c>
      <c r="FK141" s="177">
        <v>23.0</v>
      </c>
      <c r="FL141" s="177">
        <v>98.0</v>
      </c>
      <c r="FM141" s="177">
        <v>22.0</v>
      </c>
      <c r="FN141" s="180"/>
      <c r="FO141" s="180">
        <v>2.0</v>
      </c>
      <c r="FP141" s="188">
        <f t="shared" si="343"/>
        <v>2</v>
      </c>
      <c r="FQ141" s="211">
        <v>1.0</v>
      </c>
      <c r="FR141" s="212">
        <v>1.0</v>
      </c>
      <c r="FS141" s="206">
        <v>0.0</v>
      </c>
      <c r="FT141" s="207">
        <v>0.0</v>
      </c>
      <c r="FU141" s="207">
        <v>1.0</v>
      </c>
      <c r="FV141" s="207">
        <v>1.0</v>
      </c>
      <c r="FW141" s="207">
        <v>0.0</v>
      </c>
      <c r="FX141" s="207">
        <v>0.0</v>
      </c>
      <c r="FY141" s="207">
        <v>0.0</v>
      </c>
      <c r="FZ141" s="207">
        <v>0.0</v>
      </c>
      <c r="GA141" s="207">
        <v>0.0</v>
      </c>
      <c r="GB141" s="207">
        <v>0.0</v>
      </c>
      <c r="GC141" s="207">
        <v>0.0</v>
      </c>
      <c r="GD141" s="207">
        <v>1.0</v>
      </c>
      <c r="GE141" s="207">
        <v>0.0</v>
      </c>
      <c r="GF141" s="207">
        <v>0.0</v>
      </c>
      <c r="GG141" s="207">
        <v>0.0</v>
      </c>
      <c r="GH141" s="207">
        <v>0.0</v>
      </c>
      <c r="GI141" s="207">
        <v>0.0</v>
      </c>
      <c r="GJ141" s="207">
        <v>0.0</v>
      </c>
      <c r="GK141" s="212">
        <v>1.0</v>
      </c>
      <c r="GL141" s="212">
        <v>0.0</v>
      </c>
      <c r="GM141" s="207">
        <v>107.0</v>
      </c>
      <c r="GN141" s="207">
        <v>27.0</v>
      </c>
      <c r="GO141" s="213">
        <v>102.0</v>
      </c>
      <c r="GP141" s="213">
        <v>26.0</v>
      </c>
      <c r="GQ141" s="207"/>
      <c r="GR141" s="213">
        <v>2.0</v>
      </c>
      <c r="GS141" s="193">
        <v>1.0</v>
      </c>
      <c r="GT141" s="194">
        <f t="shared" si="25"/>
        <v>2</v>
      </c>
      <c r="GU141" s="194">
        <f t="shared" si="26"/>
        <v>1</v>
      </c>
      <c r="GV141" s="194">
        <f t="shared" si="27"/>
        <v>1</v>
      </c>
      <c r="GW141" s="207">
        <v>0.0</v>
      </c>
      <c r="GX141" s="207">
        <v>0.0</v>
      </c>
      <c r="GY141" s="207">
        <v>1.0</v>
      </c>
      <c r="GZ141" s="207">
        <v>1.0</v>
      </c>
      <c r="HA141" s="207">
        <v>0.0</v>
      </c>
      <c r="HB141" s="207">
        <v>0.0</v>
      </c>
      <c r="HC141" s="207">
        <v>0.0</v>
      </c>
      <c r="HD141" s="207">
        <v>0.0</v>
      </c>
      <c r="HE141" s="207">
        <v>0.0</v>
      </c>
      <c r="HF141" s="207">
        <v>0.0</v>
      </c>
      <c r="HG141" s="207">
        <v>0.0</v>
      </c>
      <c r="HH141" s="207">
        <v>0.0</v>
      </c>
      <c r="HI141" s="207">
        <v>0.0</v>
      </c>
      <c r="HJ141" s="207">
        <v>0.0</v>
      </c>
      <c r="HK141" s="207">
        <v>0.0</v>
      </c>
      <c r="HL141" s="207">
        <v>0.0</v>
      </c>
      <c r="HM141" s="207">
        <v>0.0</v>
      </c>
      <c r="HN141" s="207">
        <v>0.0</v>
      </c>
      <c r="HO141" s="222"/>
      <c r="HP141" s="222"/>
      <c r="HQ141" s="214"/>
      <c r="HR141" s="197"/>
      <c r="HS141" s="197"/>
      <c r="HT141" s="198">
        <f t="shared" si="28"/>
        <v>6</v>
      </c>
      <c r="HU141" s="198">
        <f t="shared" si="29"/>
        <v>3</v>
      </c>
      <c r="HV141" s="198">
        <f t="shared" si="30"/>
        <v>1</v>
      </c>
      <c r="HW141" s="198">
        <f t="shared" si="99"/>
        <v>2</v>
      </c>
      <c r="HX141" s="198">
        <f t="shared" si="32"/>
        <v>2</v>
      </c>
      <c r="HY141" s="198">
        <f t="shared" si="33"/>
        <v>3</v>
      </c>
      <c r="HZ141" s="198">
        <f t="shared" si="34"/>
        <v>3</v>
      </c>
      <c r="IA141" s="198">
        <f t="shared" si="35"/>
        <v>3</v>
      </c>
      <c r="IB141" s="198">
        <f t="shared" si="36"/>
        <v>3</v>
      </c>
      <c r="IC141" s="198">
        <f t="shared" si="37"/>
        <v>3</v>
      </c>
      <c r="ID141" s="198">
        <f t="shared" si="38"/>
        <v>2</v>
      </c>
      <c r="IE141" s="198">
        <f t="shared" si="39"/>
        <v>2</v>
      </c>
      <c r="IF141" s="197"/>
      <c r="IG141" s="197"/>
      <c r="IH141" s="197"/>
      <c r="II141" s="197"/>
      <c r="IJ141" s="197"/>
      <c r="IK141" s="197"/>
      <c r="IL141" s="197"/>
      <c r="IM141" s="197"/>
      <c r="IN141" s="197"/>
      <c r="IO141" s="197"/>
      <c r="IP141" s="197"/>
      <c r="IQ141" s="197"/>
      <c r="IR141" s="197"/>
      <c r="IS141" s="197"/>
      <c r="IT141" s="197"/>
      <c r="IU141" s="197"/>
      <c r="IV141" s="197"/>
      <c r="IW141" s="197"/>
      <c r="IX141" s="197"/>
      <c r="IY141" s="197"/>
      <c r="IZ141" s="197"/>
      <c r="JA141" s="199"/>
      <c r="JB141" s="200">
        <f t="shared" si="40"/>
        <v>6</v>
      </c>
      <c r="JC141" s="200">
        <f t="shared" si="41"/>
        <v>3</v>
      </c>
      <c r="JD141" s="200">
        <f t="shared" si="42"/>
        <v>1</v>
      </c>
      <c r="JE141" s="200">
        <f t="shared" si="43"/>
        <v>2</v>
      </c>
      <c r="JF141" s="200">
        <f t="shared" si="44"/>
        <v>2</v>
      </c>
      <c r="JG141" s="200">
        <f t="shared" si="45"/>
        <v>3</v>
      </c>
      <c r="JH141" s="200">
        <f t="shared" si="46"/>
        <v>3</v>
      </c>
      <c r="JI141" s="200">
        <f t="shared" si="47"/>
        <v>3</v>
      </c>
      <c r="JJ141" s="200">
        <f t="shared" si="48"/>
        <v>3</v>
      </c>
      <c r="JK141" s="200">
        <f t="shared" si="49"/>
        <v>3</v>
      </c>
      <c r="JL141" s="200">
        <f t="shared" si="50"/>
        <v>2</v>
      </c>
      <c r="JM141" s="200">
        <f t="shared" si="51"/>
        <v>2</v>
      </c>
      <c r="JN141" s="199"/>
      <c r="JO141" s="200">
        <f t="shared" si="52"/>
        <v>6</v>
      </c>
      <c r="JP141" s="202">
        <v>3.0</v>
      </c>
      <c r="JQ141" s="202">
        <v>1.0</v>
      </c>
      <c r="JR141" s="202">
        <v>2.0</v>
      </c>
      <c r="JS141" s="202">
        <v>2.0</v>
      </c>
      <c r="JT141" s="199"/>
      <c r="JU141" s="199"/>
      <c r="JV141" s="200">
        <f t="shared" ref="JV141:JX141" si="351">IA141-JI141</f>
        <v>0</v>
      </c>
      <c r="JW141" s="200">
        <f t="shared" si="351"/>
        <v>0</v>
      </c>
      <c r="JX141" s="200">
        <f t="shared" si="351"/>
        <v>0</v>
      </c>
      <c r="JY141" s="199"/>
      <c r="JZ141" s="199"/>
      <c r="KA141" s="199"/>
      <c r="KB141" s="200">
        <f t="shared" ref="KB141:KM141" si="352">JB141-JO141</f>
        <v>0</v>
      </c>
      <c r="KC141" s="200">
        <f t="shared" si="352"/>
        <v>0</v>
      </c>
      <c r="KD141" s="200">
        <f t="shared" si="352"/>
        <v>0</v>
      </c>
      <c r="KE141" s="200">
        <f t="shared" si="352"/>
        <v>0</v>
      </c>
      <c r="KF141" s="200">
        <f t="shared" si="352"/>
        <v>0</v>
      </c>
      <c r="KG141" s="200">
        <f t="shared" si="352"/>
        <v>3</v>
      </c>
      <c r="KH141" s="200">
        <f t="shared" si="352"/>
        <v>3</v>
      </c>
      <c r="KI141" s="200">
        <f t="shared" si="352"/>
        <v>3</v>
      </c>
      <c r="KJ141" s="200">
        <f t="shared" si="352"/>
        <v>3</v>
      </c>
      <c r="KK141" s="200">
        <f t="shared" si="352"/>
        <v>3</v>
      </c>
      <c r="KL141" s="200">
        <f t="shared" si="352"/>
        <v>2</v>
      </c>
      <c r="KM141" s="200">
        <f t="shared" si="352"/>
        <v>2</v>
      </c>
      <c r="KN141" s="199"/>
      <c r="KO141" s="199"/>
      <c r="KP141" s="199"/>
      <c r="KQ141" s="199"/>
      <c r="KR141" s="199"/>
      <c r="KS141" s="199"/>
      <c r="KT141" s="199"/>
      <c r="KU141" s="199"/>
      <c r="KV141" s="199"/>
      <c r="KW141" s="199"/>
      <c r="KX141" s="199"/>
      <c r="KY141" s="199"/>
      <c r="KZ141" s="199"/>
      <c r="LA141" s="199"/>
      <c r="LB141" s="199"/>
      <c r="LC141" s="199"/>
      <c r="LD141" s="199"/>
      <c r="LE141" s="199"/>
      <c r="LF141" s="199"/>
      <c r="LG141" s="199"/>
    </row>
    <row r="142" ht="14.25" customHeight="1">
      <c r="A142" s="156">
        <v>135.0</v>
      </c>
      <c r="B142" s="157" t="s">
        <v>240</v>
      </c>
      <c r="C142" s="158">
        <v>3374140.0</v>
      </c>
      <c r="D142" s="158" t="s">
        <v>246</v>
      </c>
      <c r="E142" s="158" t="s">
        <v>248</v>
      </c>
      <c r="F142" s="159">
        <v>6.0</v>
      </c>
      <c r="G142" s="285">
        <v>217.0</v>
      </c>
      <c r="H142" s="224">
        <f t="shared" si="353"/>
        <v>2</v>
      </c>
      <c r="I142" s="161">
        <v>0.0</v>
      </c>
      <c r="J142" s="161">
        <v>0.0</v>
      </c>
      <c r="K142" s="161">
        <v>0.0</v>
      </c>
      <c r="L142" s="161">
        <v>2.0</v>
      </c>
      <c r="M142" s="161">
        <v>0.0</v>
      </c>
      <c r="N142" s="161">
        <v>0.0</v>
      </c>
      <c r="O142" s="162">
        <f t="shared" si="348"/>
        <v>2</v>
      </c>
      <c r="P142" s="203">
        <v>4.0</v>
      </c>
      <c r="Q142" s="467">
        <v>0.0</v>
      </c>
      <c r="R142" s="467">
        <v>0.0</v>
      </c>
      <c r="S142" s="467">
        <v>1.0</v>
      </c>
      <c r="T142" s="468">
        <v>3.0</v>
      </c>
      <c r="U142" s="165">
        <v>2.0</v>
      </c>
      <c r="V142" s="165">
        <v>0.0</v>
      </c>
      <c r="W142" s="166">
        <f t="shared" si="225"/>
        <v>2</v>
      </c>
      <c r="X142" s="203">
        <v>2.0</v>
      </c>
      <c r="Y142" s="165">
        <v>0.0</v>
      </c>
      <c r="Z142" s="165">
        <v>0.0</v>
      </c>
      <c r="AA142" s="165">
        <v>0.0</v>
      </c>
      <c r="AB142" s="165">
        <v>2.0</v>
      </c>
      <c r="AC142" s="165">
        <v>0.0</v>
      </c>
      <c r="AD142" s="165">
        <v>2.0</v>
      </c>
      <c r="AE142" s="166">
        <f t="shared" si="214"/>
        <v>0</v>
      </c>
      <c r="AF142" s="167">
        <v>5.0</v>
      </c>
      <c r="AG142" s="165">
        <v>0.0</v>
      </c>
      <c r="AH142" s="165">
        <v>0.0</v>
      </c>
      <c r="AI142" s="165">
        <v>0.0</v>
      </c>
      <c r="AJ142" s="165">
        <v>5.0</v>
      </c>
      <c r="AK142" s="165">
        <v>3.0</v>
      </c>
      <c r="AL142" s="165">
        <v>0.0</v>
      </c>
      <c r="AM142" s="166">
        <f t="shared" si="215"/>
        <v>2</v>
      </c>
      <c r="AN142" s="167">
        <v>4.0</v>
      </c>
      <c r="AO142" s="165">
        <v>0.0</v>
      </c>
      <c r="AP142" s="165">
        <v>0.0</v>
      </c>
      <c r="AQ142" s="165">
        <v>0.0</v>
      </c>
      <c r="AR142" s="165">
        <v>4.0</v>
      </c>
      <c r="AS142" s="165">
        <v>1.0</v>
      </c>
      <c r="AT142" s="165">
        <v>0.0</v>
      </c>
      <c r="AU142" s="168">
        <f t="shared" si="216"/>
        <v>3</v>
      </c>
      <c r="AV142" s="169">
        <v>261.0</v>
      </c>
      <c r="AW142" s="204">
        <f t="shared" si="8"/>
        <v>6</v>
      </c>
      <c r="AX142" s="169">
        <v>0.0</v>
      </c>
      <c r="AY142" s="169">
        <v>0.0</v>
      </c>
      <c r="AZ142" s="169">
        <v>0.0</v>
      </c>
      <c r="BA142" s="169">
        <v>4.0</v>
      </c>
      <c r="BB142" s="169">
        <v>0.0</v>
      </c>
      <c r="BC142" s="169">
        <v>0.0</v>
      </c>
      <c r="BD142" s="169">
        <v>1.0</v>
      </c>
      <c r="BE142" s="169">
        <v>1.0</v>
      </c>
      <c r="BF142" s="169">
        <v>0.0</v>
      </c>
      <c r="BG142" s="169">
        <v>0.0</v>
      </c>
      <c r="BH142" s="169">
        <v>0.0</v>
      </c>
      <c r="BI142" s="169">
        <v>0.0</v>
      </c>
      <c r="BJ142" s="169">
        <v>0.0</v>
      </c>
      <c r="BK142" s="169">
        <v>0.0</v>
      </c>
      <c r="BL142" s="169">
        <v>0.0</v>
      </c>
      <c r="BM142" s="169">
        <v>0.0</v>
      </c>
      <c r="BN142" s="169">
        <v>0.0</v>
      </c>
      <c r="BO142" s="169">
        <v>0.0</v>
      </c>
      <c r="BP142" s="205">
        <f t="shared" si="131"/>
        <v>0</v>
      </c>
      <c r="BQ142" s="173">
        <v>282.0</v>
      </c>
      <c r="BR142" s="170">
        <f t="shared" si="10"/>
        <v>6</v>
      </c>
      <c r="BS142" s="173">
        <v>0.0</v>
      </c>
      <c r="BT142" s="173">
        <v>0.0</v>
      </c>
      <c r="BU142" s="173">
        <v>1.0</v>
      </c>
      <c r="BV142" s="173">
        <v>5.0</v>
      </c>
      <c r="BW142" s="173">
        <v>0.0</v>
      </c>
      <c r="BX142" s="173">
        <v>0.0</v>
      </c>
      <c r="BY142" s="173">
        <v>0.0</v>
      </c>
      <c r="BZ142" s="173">
        <v>0.0</v>
      </c>
      <c r="CA142" s="173">
        <v>0.0</v>
      </c>
      <c r="CB142" s="173">
        <v>0.0</v>
      </c>
      <c r="CC142" s="173">
        <v>0.0</v>
      </c>
      <c r="CD142" s="173">
        <v>0.0</v>
      </c>
      <c r="CE142" s="173">
        <v>0.0</v>
      </c>
      <c r="CF142" s="173">
        <v>0.0</v>
      </c>
      <c r="CG142" s="173">
        <v>0.0</v>
      </c>
      <c r="CH142" s="173">
        <v>0.0</v>
      </c>
      <c r="CI142" s="173">
        <v>0.0</v>
      </c>
      <c r="CJ142" s="173">
        <v>0.0</v>
      </c>
      <c r="CK142" s="172">
        <f t="shared" si="132"/>
        <v>0</v>
      </c>
      <c r="CL142" s="173">
        <v>283.0</v>
      </c>
      <c r="CM142" s="173">
        <v>63.0</v>
      </c>
      <c r="CN142" s="175">
        <f t="shared" si="295"/>
        <v>5</v>
      </c>
      <c r="CO142" s="173">
        <v>0.0</v>
      </c>
      <c r="CP142" s="173">
        <v>0.0</v>
      </c>
      <c r="CQ142" s="173">
        <v>1.0</v>
      </c>
      <c r="CR142" s="173">
        <v>4.0</v>
      </c>
      <c r="CS142" s="173">
        <v>0.0</v>
      </c>
      <c r="CT142" s="173">
        <v>0.0</v>
      </c>
      <c r="CU142" s="173">
        <v>0.0</v>
      </c>
      <c r="CV142" s="173">
        <v>0.0</v>
      </c>
      <c r="CW142" s="173">
        <v>0.0</v>
      </c>
      <c r="CX142" s="173">
        <v>0.0</v>
      </c>
      <c r="CY142" s="173">
        <v>0.0</v>
      </c>
      <c r="CZ142" s="173">
        <v>1.0</v>
      </c>
      <c r="DA142" s="173">
        <v>0.0</v>
      </c>
      <c r="DB142" s="173">
        <v>0.0</v>
      </c>
      <c r="DC142" s="173">
        <v>0.0</v>
      </c>
      <c r="DD142" s="173">
        <v>0.0</v>
      </c>
      <c r="DE142" s="173">
        <v>0.0</v>
      </c>
      <c r="DF142" s="173">
        <v>0.0</v>
      </c>
      <c r="DG142" s="176">
        <f t="shared" si="13"/>
        <v>1</v>
      </c>
      <c r="DH142" s="469">
        <v>278.0</v>
      </c>
      <c r="DI142" s="469">
        <v>79.0</v>
      </c>
      <c r="DJ142" s="178">
        <v>203.0</v>
      </c>
      <c r="DK142" s="183">
        <v>50.0</v>
      </c>
      <c r="DL142" s="179">
        <f t="shared" si="14"/>
        <v>7</v>
      </c>
      <c r="DM142" s="180">
        <f t="shared" si="15"/>
        <v>1</v>
      </c>
      <c r="DN142" s="180">
        <f t="shared" si="16"/>
        <v>6</v>
      </c>
      <c r="DO142" s="177">
        <v>0.0</v>
      </c>
      <c r="DP142" s="177">
        <v>0.0</v>
      </c>
      <c r="DQ142" s="177">
        <v>1.0</v>
      </c>
      <c r="DR142" s="177">
        <v>4.0</v>
      </c>
      <c r="DS142" s="177">
        <v>0.0</v>
      </c>
      <c r="DT142" s="177">
        <v>0.0</v>
      </c>
      <c r="DU142" s="177">
        <v>0.0</v>
      </c>
      <c r="DV142" s="177">
        <v>2.0</v>
      </c>
      <c r="DW142" s="177">
        <v>0.0</v>
      </c>
      <c r="DX142" s="177">
        <v>0.0</v>
      </c>
      <c r="DY142" s="177">
        <v>0.0</v>
      </c>
      <c r="DZ142" s="177">
        <v>0.0</v>
      </c>
      <c r="EA142" s="177">
        <v>0.0</v>
      </c>
      <c r="EB142" s="177">
        <v>0.0</v>
      </c>
      <c r="EC142" s="177">
        <v>0.0</v>
      </c>
      <c r="ED142" s="177">
        <v>0.0</v>
      </c>
      <c r="EE142" s="177">
        <v>0.0</v>
      </c>
      <c r="EF142" s="177">
        <v>0.0</v>
      </c>
      <c r="EG142" s="179">
        <f t="shared" si="17"/>
        <v>0</v>
      </c>
      <c r="EH142" s="179">
        <f t="shared" si="18"/>
        <v>0</v>
      </c>
      <c r="EI142" s="469">
        <v>266.0</v>
      </c>
      <c r="EJ142" s="469">
        <v>76.0</v>
      </c>
      <c r="EK142" s="178">
        <v>203.0</v>
      </c>
      <c r="EL142" s="183">
        <v>64.0</v>
      </c>
      <c r="EM142" s="186">
        <v>7.0</v>
      </c>
      <c r="EN142" s="186">
        <f t="shared" si="202"/>
        <v>1</v>
      </c>
      <c r="EO142" s="186">
        <f t="shared" si="90"/>
        <v>6</v>
      </c>
      <c r="EP142" s="177">
        <v>0.0</v>
      </c>
      <c r="EQ142" s="177">
        <v>0.0</v>
      </c>
      <c r="ER142" s="177">
        <v>1.0</v>
      </c>
      <c r="ES142" s="177">
        <v>6.0</v>
      </c>
      <c r="ET142" s="177">
        <v>0.0</v>
      </c>
      <c r="EU142" s="177">
        <v>0.0</v>
      </c>
      <c r="EV142" s="177">
        <v>0.0</v>
      </c>
      <c r="EW142" s="177">
        <v>0.0</v>
      </c>
      <c r="EX142" s="177">
        <v>0.0</v>
      </c>
      <c r="EY142" s="177">
        <v>0.0</v>
      </c>
      <c r="EZ142" s="177">
        <v>0.0</v>
      </c>
      <c r="FA142" s="177">
        <v>0.0</v>
      </c>
      <c r="FB142" s="177">
        <v>0.0</v>
      </c>
      <c r="FC142" s="177">
        <v>0.0</v>
      </c>
      <c r="FD142" s="177">
        <v>0.0</v>
      </c>
      <c r="FE142" s="177">
        <v>0.0</v>
      </c>
      <c r="FF142" s="177">
        <v>0.0</v>
      </c>
      <c r="FG142" s="177">
        <v>0.0</v>
      </c>
      <c r="FH142" s="185">
        <f t="shared" si="22"/>
        <v>0</v>
      </c>
      <c r="FI142" s="185">
        <f t="shared" si="23"/>
        <v>0</v>
      </c>
      <c r="FJ142" s="177">
        <v>264.0</v>
      </c>
      <c r="FK142" s="177">
        <v>77.0</v>
      </c>
      <c r="FL142" s="177">
        <v>245.0</v>
      </c>
      <c r="FM142" s="177">
        <v>72.0</v>
      </c>
      <c r="FN142" s="180"/>
      <c r="FO142" s="180">
        <v>8.0</v>
      </c>
      <c r="FP142" s="188">
        <f t="shared" si="343"/>
        <v>8</v>
      </c>
      <c r="FQ142" s="211">
        <v>2.0</v>
      </c>
      <c r="FR142" s="212">
        <v>6.0</v>
      </c>
      <c r="FS142" s="206">
        <v>0.0</v>
      </c>
      <c r="FT142" s="207">
        <v>0.0</v>
      </c>
      <c r="FU142" s="207">
        <v>1.0</v>
      </c>
      <c r="FV142" s="207">
        <v>6.0</v>
      </c>
      <c r="FW142" s="207">
        <v>0.0</v>
      </c>
      <c r="FX142" s="207">
        <v>1.0</v>
      </c>
      <c r="FY142" s="207">
        <v>0.0</v>
      </c>
      <c r="FZ142" s="207">
        <v>0.0</v>
      </c>
      <c r="GA142" s="207">
        <v>0.0</v>
      </c>
      <c r="GB142" s="207">
        <v>0.0</v>
      </c>
      <c r="GC142" s="207">
        <v>0.0</v>
      </c>
      <c r="GD142" s="207">
        <v>0.0</v>
      </c>
      <c r="GE142" s="207">
        <v>0.0</v>
      </c>
      <c r="GF142" s="207">
        <v>0.0</v>
      </c>
      <c r="GG142" s="207">
        <v>0.0</v>
      </c>
      <c r="GH142" s="207">
        <v>0.0</v>
      </c>
      <c r="GI142" s="207">
        <v>0.0</v>
      </c>
      <c r="GJ142" s="207">
        <v>0.0</v>
      </c>
      <c r="GK142" s="212">
        <v>0.0</v>
      </c>
      <c r="GL142" s="212">
        <v>0.0</v>
      </c>
      <c r="GM142" s="207">
        <v>265.0</v>
      </c>
      <c r="GN142" s="207">
        <v>78.0</v>
      </c>
      <c r="GO142" s="213">
        <v>236.0</v>
      </c>
      <c r="GP142" s="213">
        <v>73.0</v>
      </c>
      <c r="GQ142" s="207"/>
      <c r="GR142" s="213">
        <v>7.0</v>
      </c>
      <c r="GS142" s="193">
        <v>2.0</v>
      </c>
      <c r="GT142" s="194">
        <f t="shared" si="25"/>
        <v>7</v>
      </c>
      <c r="GU142" s="194">
        <f t="shared" si="26"/>
        <v>2</v>
      </c>
      <c r="GV142" s="194">
        <f t="shared" si="27"/>
        <v>5</v>
      </c>
      <c r="GW142" s="207">
        <v>0.0</v>
      </c>
      <c r="GX142" s="207">
        <v>1.0</v>
      </c>
      <c r="GY142" s="207">
        <v>1.0</v>
      </c>
      <c r="GZ142" s="207">
        <v>5.0</v>
      </c>
      <c r="HA142" s="207">
        <v>0.0</v>
      </c>
      <c r="HB142" s="207">
        <v>0.0</v>
      </c>
      <c r="HC142" s="207">
        <v>0.0</v>
      </c>
      <c r="HD142" s="207">
        <v>0.0</v>
      </c>
      <c r="HE142" s="207">
        <v>0.0</v>
      </c>
      <c r="HF142" s="207">
        <v>0.0</v>
      </c>
      <c r="HG142" s="207">
        <v>0.0</v>
      </c>
      <c r="HH142" s="207">
        <v>1.0</v>
      </c>
      <c r="HI142" s="207">
        <v>0.0</v>
      </c>
      <c r="HJ142" s="207">
        <v>0.0</v>
      </c>
      <c r="HK142" s="207">
        <v>0.0</v>
      </c>
      <c r="HL142" s="207">
        <v>0.0</v>
      </c>
      <c r="HM142" s="207">
        <v>0.0</v>
      </c>
      <c r="HN142" s="207">
        <v>0.0</v>
      </c>
      <c r="HO142" s="222"/>
      <c r="HP142" s="222"/>
      <c r="HQ142" s="214"/>
      <c r="HR142" s="197"/>
      <c r="HS142" s="197"/>
      <c r="HT142" s="198">
        <f t="shared" si="28"/>
        <v>2</v>
      </c>
      <c r="HU142" s="198">
        <f t="shared" si="29"/>
        <v>4</v>
      </c>
      <c r="HV142" s="198">
        <f t="shared" si="30"/>
        <v>2</v>
      </c>
      <c r="HW142" s="198">
        <f t="shared" si="99"/>
        <v>5</v>
      </c>
      <c r="HX142" s="198">
        <f t="shared" si="32"/>
        <v>4</v>
      </c>
      <c r="HY142" s="198">
        <f t="shared" si="33"/>
        <v>6</v>
      </c>
      <c r="HZ142" s="198">
        <f t="shared" si="34"/>
        <v>6</v>
      </c>
      <c r="IA142" s="198">
        <f t="shared" si="35"/>
        <v>5</v>
      </c>
      <c r="IB142" s="198">
        <f t="shared" si="36"/>
        <v>7</v>
      </c>
      <c r="IC142" s="198">
        <f t="shared" si="37"/>
        <v>7</v>
      </c>
      <c r="ID142" s="198">
        <f t="shared" si="38"/>
        <v>8</v>
      </c>
      <c r="IE142" s="198">
        <f t="shared" si="39"/>
        <v>7</v>
      </c>
      <c r="IF142" s="197"/>
      <c r="IG142" s="197"/>
      <c r="IH142" s="197"/>
      <c r="II142" s="197"/>
      <c r="IJ142" s="197"/>
      <c r="IK142" s="197"/>
      <c r="IL142" s="197"/>
      <c r="IM142" s="197"/>
      <c r="IN142" s="197"/>
      <c r="IO142" s="197"/>
      <c r="IP142" s="197"/>
      <c r="IQ142" s="197"/>
      <c r="IR142" s="197"/>
      <c r="IS142" s="197"/>
      <c r="IT142" s="197"/>
      <c r="IU142" s="197"/>
      <c r="IV142" s="197"/>
      <c r="IW142" s="197"/>
      <c r="IX142" s="197"/>
      <c r="IY142" s="197"/>
      <c r="IZ142" s="197"/>
      <c r="JA142" s="199"/>
      <c r="JB142" s="200">
        <f t="shared" si="40"/>
        <v>2</v>
      </c>
      <c r="JC142" s="200">
        <f t="shared" si="41"/>
        <v>4</v>
      </c>
      <c r="JD142" s="200">
        <f t="shared" si="42"/>
        <v>2</v>
      </c>
      <c r="JE142" s="200">
        <f t="shared" si="43"/>
        <v>5</v>
      </c>
      <c r="JF142" s="200">
        <f t="shared" si="44"/>
        <v>4</v>
      </c>
      <c r="JG142" s="200">
        <f t="shared" si="45"/>
        <v>6</v>
      </c>
      <c r="JH142" s="200">
        <f t="shared" si="46"/>
        <v>6</v>
      </c>
      <c r="JI142" s="200">
        <f t="shared" si="47"/>
        <v>5</v>
      </c>
      <c r="JJ142" s="200">
        <f t="shared" si="48"/>
        <v>7</v>
      </c>
      <c r="JK142" s="200">
        <f t="shared" si="49"/>
        <v>7</v>
      </c>
      <c r="JL142" s="200">
        <f t="shared" si="50"/>
        <v>8</v>
      </c>
      <c r="JM142" s="200">
        <f t="shared" si="51"/>
        <v>7</v>
      </c>
      <c r="JN142" s="199"/>
      <c r="JO142" s="200">
        <f t="shared" si="52"/>
        <v>2</v>
      </c>
      <c r="JP142" s="202">
        <v>4.0</v>
      </c>
      <c r="JQ142" s="202">
        <v>2.0</v>
      </c>
      <c r="JR142" s="202">
        <v>5.0</v>
      </c>
      <c r="JS142" s="202">
        <v>4.0</v>
      </c>
      <c r="JT142" s="199"/>
      <c r="JU142" s="199"/>
      <c r="JV142" s="200">
        <f t="shared" ref="JV142:JX142" si="354">IA142-JI142</f>
        <v>0</v>
      </c>
      <c r="JW142" s="200">
        <f t="shared" si="354"/>
        <v>0</v>
      </c>
      <c r="JX142" s="200">
        <f t="shared" si="354"/>
        <v>0</v>
      </c>
      <c r="JY142" s="199"/>
      <c r="JZ142" s="199"/>
      <c r="KA142" s="199"/>
      <c r="KB142" s="200">
        <f t="shared" ref="KB142:KM142" si="355">JB142-JO142</f>
        <v>0</v>
      </c>
      <c r="KC142" s="200">
        <f t="shared" si="355"/>
        <v>0</v>
      </c>
      <c r="KD142" s="200">
        <f t="shared" si="355"/>
        <v>0</v>
      </c>
      <c r="KE142" s="200">
        <f t="shared" si="355"/>
        <v>0</v>
      </c>
      <c r="KF142" s="200">
        <f t="shared" si="355"/>
        <v>0</v>
      </c>
      <c r="KG142" s="200">
        <f t="shared" si="355"/>
        <v>6</v>
      </c>
      <c r="KH142" s="200">
        <f t="shared" si="355"/>
        <v>6</v>
      </c>
      <c r="KI142" s="200">
        <f t="shared" si="355"/>
        <v>5</v>
      </c>
      <c r="KJ142" s="200">
        <f t="shared" si="355"/>
        <v>7</v>
      </c>
      <c r="KK142" s="200">
        <f t="shared" si="355"/>
        <v>7</v>
      </c>
      <c r="KL142" s="200">
        <f t="shared" si="355"/>
        <v>8</v>
      </c>
      <c r="KM142" s="200">
        <f t="shared" si="355"/>
        <v>7</v>
      </c>
      <c r="KN142" s="199"/>
      <c r="KO142" s="199"/>
      <c r="KP142" s="199"/>
      <c r="KQ142" s="199"/>
      <c r="KR142" s="199"/>
      <c r="KS142" s="199"/>
      <c r="KT142" s="199"/>
      <c r="KU142" s="199"/>
      <c r="KV142" s="199"/>
      <c r="KW142" s="199"/>
      <c r="KX142" s="199"/>
      <c r="KY142" s="199"/>
      <c r="KZ142" s="199"/>
      <c r="LA142" s="199"/>
      <c r="LB142" s="199"/>
      <c r="LC142" s="199"/>
      <c r="LD142" s="199"/>
      <c r="LE142" s="199"/>
      <c r="LF142" s="199"/>
      <c r="LG142" s="199"/>
    </row>
    <row r="143" ht="14.25" customHeight="1">
      <c r="A143" s="156">
        <v>136.0</v>
      </c>
      <c r="B143" s="157" t="s">
        <v>240</v>
      </c>
      <c r="C143" s="158">
        <v>3374140.0</v>
      </c>
      <c r="D143" s="158" t="s">
        <v>246</v>
      </c>
      <c r="E143" s="158" t="s">
        <v>249</v>
      </c>
      <c r="F143" s="159">
        <v>5.0</v>
      </c>
      <c r="G143" s="285">
        <v>265.0</v>
      </c>
      <c r="H143" s="224">
        <f t="shared" si="353"/>
        <v>7</v>
      </c>
      <c r="I143" s="161">
        <v>3.0</v>
      </c>
      <c r="J143" s="161">
        <v>0.0</v>
      </c>
      <c r="K143" s="161">
        <v>2.0</v>
      </c>
      <c r="L143" s="161">
        <v>2.0</v>
      </c>
      <c r="M143" s="161">
        <v>2.0</v>
      </c>
      <c r="N143" s="161">
        <v>0.0</v>
      </c>
      <c r="O143" s="162">
        <f t="shared" si="348"/>
        <v>5</v>
      </c>
      <c r="P143" s="203">
        <v>8.0</v>
      </c>
      <c r="Q143" s="467">
        <v>0.0</v>
      </c>
      <c r="R143" s="467">
        <v>0.0</v>
      </c>
      <c r="S143" s="467">
        <v>2.0</v>
      </c>
      <c r="T143" s="468">
        <v>6.0</v>
      </c>
      <c r="U143" s="165">
        <v>7.0</v>
      </c>
      <c r="V143" s="468">
        <v>4.0</v>
      </c>
      <c r="W143" s="166">
        <f t="shared" si="225"/>
        <v>-3</v>
      </c>
      <c r="X143" s="203">
        <v>6.0</v>
      </c>
      <c r="Y143" s="165">
        <v>1.0</v>
      </c>
      <c r="Z143" s="165">
        <v>1.0</v>
      </c>
      <c r="AA143" s="165">
        <v>2.0</v>
      </c>
      <c r="AB143" s="468">
        <v>2.0</v>
      </c>
      <c r="AC143" s="165">
        <v>4.0</v>
      </c>
      <c r="AD143" s="165">
        <v>7.0</v>
      </c>
      <c r="AE143" s="166">
        <f t="shared" si="214"/>
        <v>-5</v>
      </c>
      <c r="AF143" s="167">
        <v>1.0</v>
      </c>
      <c r="AG143" s="165">
        <v>0.0</v>
      </c>
      <c r="AH143" s="165">
        <v>0.0</v>
      </c>
      <c r="AI143" s="165">
        <v>1.0</v>
      </c>
      <c r="AJ143" s="165">
        <v>0.0</v>
      </c>
      <c r="AK143" s="165">
        <v>0.0</v>
      </c>
      <c r="AL143" s="165">
        <v>5.0</v>
      </c>
      <c r="AM143" s="166">
        <f t="shared" si="215"/>
        <v>-4</v>
      </c>
      <c r="AN143" s="167">
        <v>1.0</v>
      </c>
      <c r="AO143" s="165">
        <v>0.0</v>
      </c>
      <c r="AP143" s="165">
        <v>0.0</v>
      </c>
      <c r="AQ143" s="165">
        <v>1.0</v>
      </c>
      <c r="AR143" s="165">
        <v>0.0</v>
      </c>
      <c r="AS143" s="165">
        <v>0.0</v>
      </c>
      <c r="AT143" s="165">
        <v>0.0</v>
      </c>
      <c r="AU143" s="168">
        <f t="shared" si="216"/>
        <v>1</v>
      </c>
      <c r="AV143" s="169">
        <v>265.0</v>
      </c>
      <c r="AW143" s="204">
        <f t="shared" si="8"/>
        <v>3</v>
      </c>
      <c r="AX143" s="169">
        <v>0.0</v>
      </c>
      <c r="AY143" s="169">
        <v>0.0</v>
      </c>
      <c r="AZ143" s="169">
        <v>1.0</v>
      </c>
      <c r="BA143" s="169">
        <v>0.0</v>
      </c>
      <c r="BB143" s="169">
        <v>0.0</v>
      </c>
      <c r="BC143" s="169">
        <v>0.0</v>
      </c>
      <c r="BD143" s="169">
        <v>2.0</v>
      </c>
      <c r="BE143" s="169">
        <v>0.0</v>
      </c>
      <c r="BF143" s="169">
        <v>0.0</v>
      </c>
      <c r="BG143" s="169">
        <v>0.0</v>
      </c>
      <c r="BH143" s="169">
        <v>0.0</v>
      </c>
      <c r="BI143" s="169">
        <v>0.0</v>
      </c>
      <c r="BJ143" s="169">
        <v>0.0</v>
      </c>
      <c r="BK143" s="169">
        <v>0.0</v>
      </c>
      <c r="BL143" s="169">
        <v>0.0</v>
      </c>
      <c r="BM143" s="169">
        <v>0.0</v>
      </c>
      <c r="BN143" s="169">
        <v>0.0</v>
      </c>
      <c r="BO143" s="169">
        <v>0.0</v>
      </c>
      <c r="BP143" s="205">
        <f t="shared" si="131"/>
        <v>0</v>
      </c>
      <c r="BQ143" s="173">
        <v>274.0</v>
      </c>
      <c r="BR143" s="170">
        <f t="shared" si="10"/>
        <v>3</v>
      </c>
      <c r="BS143" s="173">
        <v>0.0</v>
      </c>
      <c r="BT143" s="173">
        <v>0.0</v>
      </c>
      <c r="BU143" s="173">
        <v>3.0</v>
      </c>
      <c r="BV143" s="173">
        <v>0.0</v>
      </c>
      <c r="BW143" s="173">
        <v>0.0</v>
      </c>
      <c r="BX143" s="173">
        <v>0.0</v>
      </c>
      <c r="BY143" s="173">
        <v>0.0</v>
      </c>
      <c r="BZ143" s="173">
        <v>0.0</v>
      </c>
      <c r="CA143" s="173">
        <v>0.0</v>
      </c>
      <c r="CB143" s="173">
        <v>0.0</v>
      </c>
      <c r="CC143" s="173">
        <v>0.0</v>
      </c>
      <c r="CD143" s="173">
        <v>0.0</v>
      </c>
      <c r="CE143" s="173">
        <v>0.0</v>
      </c>
      <c r="CF143" s="173">
        <v>0.0</v>
      </c>
      <c r="CG143" s="173">
        <v>0.0</v>
      </c>
      <c r="CH143" s="173">
        <v>0.0</v>
      </c>
      <c r="CI143" s="173">
        <v>0.0</v>
      </c>
      <c r="CJ143" s="173">
        <v>0.0</v>
      </c>
      <c r="CK143" s="172">
        <f t="shared" si="132"/>
        <v>0</v>
      </c>
      <c r="CL143" s="173">
        <v>268.0</v>
      </c>
      <c r="CM143" s="173">
        <v>61.0</v>
      </c>
      <c r="CN143" s="175">
        <f t="shared" si="295"/>
        <v>4</v>
      </c>
      <c r="CO143" s="173">
        <v>0.0</v>
      </c>
      <c r="CP143" s="173">
        <v>0.0</v>
      </c>
      <c r="CQ143" s="173">
        <v>1.0</v>
      </c>
      <c r="CR143" s="173">
        <v>0.0</v>
      </c>
      <c r="CS143" s="173">
        <v>0.0</v>
      </c>
      <c r="CT143" s="173">
        <v>0.0</v>
      </c>
      <c r="CU143" s="173">
        <v>1.0</v>
      </c>
      <c r="CV143" s="173">
        <v>2.0</v>
      </c>
      <c r="CW143" s="173">
        <v>0.0</v>
      </c>
      <c r="CX143" s="173">
        <v>0.0</v>
      </c>
      <c r="CY143" s="173">
        <v>2.0</v>
      </c>
      <c r="CZ143" s="173">
        <v>0.0</v>
      </c>
      <c r="DA143" s="173">
        <v>0.0</v>
      </c>
      <c r="DB143" s="173">
        <v>0.0</v>
      </c>
      <c r="DC143" s="173">
        <v>0.0</v>
      </c>
      <c r="DD143" s="173">
        <v>0.0</v>
      </c>
      <c r="DE143" s="173">
        <v>0.0</v>
      </c>
      <c r="DF143" s="173">
        <v>0.0</v>
      </c>
      <c r="DG143" s="176">
        <f t="shared" si="13"/>
        <v>2</v>
      </c>
      <c r="DH143" s="469">
        <v>230.0</v>
      </c>
      <c r="DI143" s="469">
        <v>56.0</v>
      </c>
      <c r="DJ143" s="178">
        <v>219.0</v>
      </c>
      <c r="DK143" s="183">
        <v>54.0</v>
      </c>
      <c r="DL143" s="179">
        <f t="shared" si="14"/>
        <v>2</v>
      </c>
      <c r="DM143" s="180">
        <f t="shared" si="15"/>
        <v>0</v>
      </c>
      <c r="DN143" s="180">
        <f t="shared" si="16"/>
        <v>2</v>
      </c>
      <c r="DO143" s="177">
        <v>0.0</v>
      </c>
      <c r="DP143" s="177">
        <v>0.0</v>
      </c>
      <c r="DQ143" s="177">
        <v>0.0</v>
      </c>
      <c r="DR143" s="177">
        <v>2.0</v>
      </c>
      <c r="DS143" s="177">
        <v>0.0</v>
      </c>
      <c r="DT143" s="177">
        <v>0.0</v>
      </c>
      <c r="DU143" s="177">
        <v>0.0</v>
      </c>
      <c r="DV143" s="177">
        <v>0.0</v>
      </c>
      <c r="DW143" s="177">
        <v>0.0</v>
      </c>
      <c r="DX143" s="177">
        <v>0.0</v>
      </c>
      <c r="DY143" s="177">
        <v>1.0</v>
      </c>
      <c r="DZ143" s="177">
        <v>0.0</v>
      </c>
      <c r="EA143" s="177">
        <v>0.0</v>
      </c>
      <c r="EB143" s="177">
        <v>0.0</v>
      </c>
      <c r="EC143" s="177">
        <v>0.0</v>
      </c>
      <c r="ED143" s="177">
        <v>1.0</v>
      </c>
      <c r="EE143" s="177">
        <v>0.0</v>
      </c>
      <c r="EF143" s="177">
        <v>0.0</v>
      </c>
      <c r="EG143" s="179">
        <f t="shared" si="17"/>
        <v>2</v>
      </c>
      <c r="EH143" s="179">
        <f t="shared" si="18"/>
        <v>1</v>
      </c>
      <c r="EI143" s="469">
        <v>244.0</v>
      </c>
      <c r="EJ143" s="469">
        <v>65.0</v>
      </c>
      <c r="EK143" s="178">
        <v>230.0</v>
      </c>
      <c r="EL143" s="183">
        <v>65.0</v>
      </c>
      <c r="EM143" s="186">
        <v>4.0</v>
      </c>
      <c r="EN143" s="186">
        <f t="shared" si="202"/>
        <v>0</v>
      </c>
      <c r="EO143" s="186">
        <f t="shared" si="90"/>
        <v>4</v>
      </c>
      <c r="EP143" s="177">
        <v>0.0</v>
      </c>
      <c r="EQ143" s="177">
        <v>0.0</v>
      </c>
      <c r="ER143" s="177">
        <v>0.0</v>
      </c>
      <c r="ES143" s="177">
        <v>2.0</v>
      </c>
      <c r="ET143" s="177">
        <v>0.0</v>
      </c>
      <c r="EU143" s="177">
        <v>0.0</v>
      </c>
      <c r="EV143" s="177">
        <v>0.0</v>
      </c>
      <c r="EW143" s="177">
        <v>2.0</v>
      </c>
      <c r="EX143" s="177">
        <v>0.0</v>
      </c>
      <c r="EY143" s="177">
        <v>0.0</v>
      </c>
      <c r="EZ143" s="177">
        <v>0.0</v>
      </c>
      <c r="FA143" s="177">
        <v>0.0</v>
      </c>
      <c r="FB143" s="177">
        <v>0.0</v>
      </c>
      <c r="FC143" s="177">
        <v>0.0</v>
      </c>
      <c r="FD143" s="177">
        <v>0.0</v>
      </c>
      <c r="FE143" s="177">
        <v>0.0</v>
      </c>
      <c r="FF143" s="177">
        <v>0.0</v>
      </c>
      <c r="FG143" s="177">
        <v>0.0</v>
      </c>
      <c r="FH143" s="185">
        <f t="shared" si="22"/>
        <v>0</v>
      </c>
      <c r="FI143" s="185">
        <f t="shared" si="23"/>
        <v>0</v>
      </c>
      <c r="FJ143" s="177">
        <v>239.0</v>
      </c>
      <c r="FK143" s="177">
        <v>61.0</v>
      </c>
      <c r="FL143" s="177">
        <v>226.0</v>
      </c>
      <c r="FM143" s="177">
        <v>61.0</v>
      </c>
      <c r="FN143" s="180"/>
      <c r="FO143" s="180">
        <v>6.0</v>
      </c>
      <c r="FP143" s="188">
        <f t="shared" si="343"/>
        <v>6</v>
      </c>
      <c r="FQ143" s="211">
        <v>2.0</v>
      </c>
      <c r="FR143" s="212">
        <v>4.0</v>
      </c>
      <c r="FS143" s="206">
        <v>0.0</v>
      </c>
      <c r="FT143" s="207">
        <v>0.0</v>
      </c>
      <c r="FU143" s="207">
        <v>0.0</v>
      </c>
      <c r="FV143" s="207">
        <v>4.0</v>
      </c>
      <c r="FW143" s="207">
        <v>0.0</v>
      </c>
      <c r="FX143" s="207">
        <v>0.0</v>
      </c>
      <c r="FY143" s="207">
        <v>2.0</v>
      </c>
      <c r="FZ143" s="207">
        <v>0.0</v>
      </c>
      <c r="GA143" s="207">
        <v>0.0</v>
      </c>
      <c r="GB143" s="207">
        <v>0.0</v>
      </c>
      <c r="GC143" s="207">
        <v>0.0</v>
      </c>
      <c r="GD143" s="207">
        <v>0.0</v>
      </c>
      <c r="GE143" s="207">
        <v>0.0</v>
      </c>
      <c r="GF143" s="207">
        <v>0.0</v>
      </c>
      <c r="GG143" s="207">
        <v>0.0</v>
      </c>
      <c r="GH143" s="207">
        <v>0.0</v>
      </c>
      <c r="GI143" s="207">
        <v>0.0</v>
      </c>
      <c r="GJ143" s="207">
        <v>0.0</v>
      </c>
      <c r="GK143" s="212">
        <v>0.0</v>
      </c>
      <c r="GL143" s="212">
        <v>0.0</v>
      </c>
      <c r="GM143" s="207">
        <v>225.0</v>
      </c>
      <c r="GN143" s="207">
        <v>59.0</v>
      </c>
      <c r="GO143" s="213">
        <v>224.0</v>
      </c>
      <c r="GP143" s="213">
        <v>59.0</v>
      </c>
      <c r="GQ143" s="207"/>
      <c r="GR143" s="213">
        <v>4.0</v>
      </c>
      <c r="GS143" s="193">
        <v>1.0</v>
      </c>
      <c r="GT143" s="194">
        <f t="shared" si="25"/>
        <v>4</v>
      </c>
      <c r="GU143" s="194">
        <f t="shared" si="26"/>
        <v>1</v>
      </c>
      <c r="GV143" s="194">
        <f t="shared" si="27"/>
        <v>3</v>
      </c>
      <c r="GW143" s="207">
        <v>0.0</v>
      </c>
      <c r="GX143" s="207">
        <v>0.0</v>
      </c>
      <c r="GY143" s="207">
        <v>1.0</v>
      </c>
      <c r="GZ143" s="207">
        <v>3.0</v>
      </c>
      <c r="HA143" s="207">
        <v>0.0</v>
      </c>
      <c r="HB143" s="207">
        <v>0.0</v>
      </c>
      <c r="HC143" s="207">
        <v>0.0</v>
      </c>
      <c r="HD143" s="207">
        <v>0.0</v>
      </c>
      <c r="HE143" s="207">
        <v>0.0</v>
      </c>
      <c r="HF143" s="207">
        <v>0.0</v>
      </c>
      <c r="HG143" s="207">
        <v>0.0</v>
      </c>
      <c r="HH143" s="207">
        <v>2.0</v>
      </c>
      <c r="HI143" s="207">
        <v>0.0</v>
      </c>
      <c r="HJ143" s="207">
        <v>0.0</v>
      </c>
      <c r="HK143" s="207">
        <v>0.0</v>
      </c>
      <c r="HL143" s="207">
        <v>0.0</v>
      </c>
      <c r="HM143" s="207">
        <v>0.0</v>
      </c>
      <c r="HN143" s="207">
        <v>0.0</v>
      </c>
      <c r="HO143" s="222"/>
      <c r="HP143" s="222"/>
      <c r="HQ143" s="214"/>
      <c r="HR143" s="197"/>
      <c r="HS143" s="197"/>
      <c r="HT143" s="198">
        <f t="shared" si="28"/>
        <v>7</v>
      </c>
      <c r="HU143" s="198">
        <f t="shared" si="29"/>
        <v>8</v>
      </c>
      <c r="HV143" s="198">
        <f t="shared" si="30"/>
        <v>6</v>
      </c>
      <c r="HW143" s="198">
        <f t="shared" si="99"/>
        <v>1</v>
      </c>
      <c r="HX143" s="198">
        <f t="shared" si="32"/>
        <v>1</v>
      </c>
      <c r="HY143" s="198">
        <f t="shared" si="33"/>
        <v>3</v>
      </c>
      <c r="HZ143" s="198">
        <f t="shared" si="34"/>
        <v>3</v>
      </c>
      <c r="IA143" s="198">
        <f t="shared" si="35"/>
        <v>4</v>
      </c>
      <c r="IB143" s="198">
        <f t="shared" si="36"/>
        <v>2</v>
      </c>
      <c r="IC143" s="198">
        <f t="shared" si="37"/>
        <v>4</v>
      </c>
      <c r="ID143" s="198">
        <f t="shared" si="38"/>
        <v>6</v>
      </c>
      <c r="IE143" s="198">
        <f t="shared" si="39"/>
        <v>4</v>
      </c>
      <c r="IF143" s="197"/>
      <c r="IG143" s="197"/>
      <c r="IH143" s="197"/>
      <c r="II143" s="197"/>
      <c r="IJ143" s="197"/>
      <c r="IK143" s="197"/>
      <c r="IL143" s="197"/>
      <c r="IM143" s="197"/>
      <c r="IN143" s="197"/>
      <c r="IO143" s="197"/>
      <c r="IP143" s="197"/>
      <c r="IQ143" s="197"/>
      <c r="IR143" s="197"/>
      <c r="IS143" s="197"/>
      <c r="IT143" s="197"/>
      <c r="IU143" s="197"/>
      <c r="IV143" s="197"/>
      <c r="IW143" s="197"/>
      <c r="IX143" s="197"/>
      <c r="IY143" s="197"/>
      <c r="IZ143" s="197"/>
      <c r="JA143" s="199"/>
      <c r="JB143" s="200">
        <f t="shared" si="40"/>
        <v>7</v>
      </c>
      <c r="JC143" s="200">
        <f t="shared" si="41"/>
        <v>8</v>
      </c>
      <c r="JD143" s="200">
        <f t="shared" si="42"/>
        <v>6</v>
      </c>
      <c r="JE143" s="200">
        <f t="shared" si="43"/>
        <v>1</v>
      </c>
      <c r="JF143" s="200">
        <f t="shared" si="44"/>
        <v>1</v>
      </c>
      <c r="JG143" s="200">
        <f t="shared" si="45"/>
        <v>3</v>
      </c>
      <c r="JH143" s="200">
        <f t="shared" si="46"/>
        <v>3</v>
      </c>
      <c r="JI143" s="200">
        <f t="shared" si="47"/>
        <v>4</v>
      </c>
      <c r="JJ143" s="200">
        <f t="shared" si="48"/>
        <v>2</v>
      </c>
      <c r="JK143" s="200">
        <f t="shared" si="49"/>
        <v>4</v>
      </c>
      <c r="JL143" s="200">
        <f t="shared" si="50"/>
        <v>6</v>
      </c>
      <c r="JM143" s="200">
        <f t="shared" si="51"/>
        <v>4</v>
      </c>
      <c r="JN143" s="199"/>
      <c r="JO143" s="200">
        <f t="shared" si="52"/>
        <v>7</v>
      </c>
      <c r="JP143" s="202">
        <v>8.0</v>
      </c>
      <c r="JQ143" s="202">
        <v>6.0</v>
      </c>
      <c r="JR143" s="202">
        <v>1.0</v>
      </c>
      <c r="JS143" s="202">
        <v>1.0</v>
      </c>
      <c r="JT143" s="199"/>
      <c r="JU143" s="199"/>
      <c r="JV143" s="200">
        <f t="shared" ref="JV143:JX143" si="356">IA143-JI143</f>
        <v>0</v>
      </c>
      <c r="JW143" s="200">
        <f t="shared" si="356"/>
        <v>0</v>
      </c>
      <c r="JX143" s="200">
        <f t="shared" si="356"/>
        <v>0</v>
      </c>
      <c r="JY143" s="199"/>
      <c r="JZ143" s="199"/>
      <c r="KA143" s="199"/>
      <c r="KB143" s="200">
        <f t="shared" ref="KB143:KM143" si="357">JB143-JO143</f>
        <v>0</v>
      </c>
      <c r="KC143" s="200">
        <f t="shared" si="357"/>
        <v>0</v>
      </c>
      <c r="KD143" s="200">
        <f t="shared" si="357"/>
        <v>0</v>
      </c>
      <c r="KE143" s="200">
        <f t="shared" si="357"/>
        <v>0</v>
      </c>
      <c r="KF143" s="200">
        <f t="shared" si="357"/>
        <v>0</v>
      </c>
      <c r="KG143" s="200">
        <f t="shared" si="357"/>
        <v>3</v>
      </c>
      <c r="KH143" s="200">
        <f t="shared" si="357"/>
        <v>3</v>
      </c>
      <c r="KI143" s="200">
        <f t="shared" si="357"/>
        <v>4</v>
      </c>
      <c r="KJ143" s="200">
        <f t="shared" si="357"/>
        <v>2</v>
      </c>
      <c r="KK143" s="200">
        <f t="shared" si="357"/>
        <v>4</v>
      </c>
      <c r="KL143" s="200">
        <f t="shared" si="357"/>
        <v>6</v>
      </c>
      <c r="KM143" s="200">
        <f t="shared" si="357"/>
        <v>4</v>
      </c>
      <c r="KN143" s="199"/>
      <c r="KO143" s="199"/>
      <c r="KP143" s="199"/>
      <c r="KQ143" s="199"/>
      <c r="KR143" s="199"/>
      <c r="KS143" s="199"/>
      <c r="KT143" s="199"/>
      <c r="KU143" s="199"/>
      <c r="KV143" s="199"/>
      <c r="KW143" s="199"/>
      <c r="KX143" s="199"/>
      <c r="KY143" s="199"/>
      <c r="KZ143" s="199"/>
      <c r="LA143" s="199"/>
      <c r="LB143" s="199"/>
      <c r="LC143" s="199"/>
      <c r="LD143" s="199"/>
      <c r="LE143" s="199"/>
      <c r="LF143" s="199"/>
      <c r="LG143" s="199"/>
    </row>
    <row r="144" ht="14.25" customHeight="1">
      <c r="A144" s="156">
        <v>137.0</v>
      </c>
      <c r="B144" s="157" t="s">
        <v>240</v>
      </c>
      <c r="C144" s="158">
        <v>3374140.0</v>
      </c>
      <c r="D144" s="158" t="s">
        <v>246</v>
      </c>
      <c r="E144" s="158" t="s">
        <v>250</v>
      </c>
      <c r="F144" s="159">
        <v>13.0</v>
      </c>
      <c r="G144" s="285">
        <v>830.0</v>
      </c>
      <c r="H144" s="224">
        <f t="shared" si="353"/>
        <v>15</v>
      </c>
      <c r="I144" s="161">
        <v>6.0</v>
      </c>
      <c r="J144" s="161">
        <v>6.0</v>
      </c>
      <c r="K144" s="161">
        <v>1.0</v>
      </c>
      <c r="L144" s="161">
        <v>2.0</v>
      </c>
      <c r="M144" s="161">
        <v>0.0</v>
      </c>
      <c r="N144" s="161">
        <v>0.0</v>
      </c>
      <c r="O144" s="162">
        <f t="shared" si="348"/>
        <v>15</v>
      </c>
      <c r="P144" s="203">
        <v>6.0</v>
      </c>
      <c r="Q144" s="164"/>
      <c r="R144" s="467">
        <v>1.0</v>
      </c>
      <c r="S144" s="467">
        <v>3.0</v>
      </c>
      <c r="T144" s="468">
        <v>2.0</v>
      </c>
      <c r="U144" s="165">
        <v>7.0</v>
      </c>
      <c r="V144" s="165">
        <v>7.0</v>
      </c>
      <c r="W144" s="166">
        <f t="shared" si="225"/>
        <v>-8</v>
      </c>
      <c r="X144" s="203">
        <v>9.0</v>
      </c>
      <c r="Y144" s="165">
        <v>0.0</v>
      </c>
      <c r="Z144" s="165">
        <v>0.0</v>
      </c>
      <c r="AA144" s="165">
        <v>2.0</v>
      </c>
      <c r="AB144" s="165">
        <v>7.0</v>
      </c>
      <c r="AC144" s="165">
        <v>5.0</v>
      </c>
      <c r="AD144" s="165">
        <v>9.0</v>
      </c>
      <c r="AE144" s="166">
        <f t="shared" si="214"/>
        <v>-5</v>
      </c>
      <c r="AF144" s="167">
        <v>8.0</v>
      </c>
      <c r="AG144" s="165">
        <v>0.0</v>
      </c>
      <c r="AH144" s="165">
        <v>0.0</v>
      </c>
      <c r="AI144" s="165">
        <v>2.0</v>
      </c>
      <c r="AJ144" s="165">
        <v>6.0</v>
      </c>
      <c r="AK144" s="165">
        <v>3.0</v>
      </c>
      <c r="AL144" s="165">
        <v>4.0</v>
      </c>
      <c r="AM144" s="166">
        <f t="shared" si="215"/>
        <v>1</v>
      </c>
      <c r="AN144" s="167">
        <v>10.0</v>
      </c>
      <c r="AO144" s="165">
        <v>0.0</v>
      </c>
      <c r="AP144" s="165">
        <v>1.0</v>
      </c>
      <c r="AQ144" s="165">
        <v>2.0</v>
      </c>
      <c r="AR144" s="165">
        <v>7.0</v>
      </c>
      <c r="AS144" s="165">
        <v>0.0</v>
      </c>
      <c r="AT144" s="165">
        <v>0.0</v>
      </c>
      <c r="AU144" s="168">
        <f t="shared" si="216"/>
        <v>10</v>
      </c>
      <c r="AV144" s="169">
        <v>832.0</v>
      </c>
      <c r="AW144" s="204">
        <f t="shared" si="8"/>
        <v>9</v>
      </c>
      <c r="AX144" s="169">
        <v>0.0</v>
      </c>
      <c r="AY144" s="169">
        <v>1.0</v>
      </c>
      <c r="AZ144" s="169">
        <v>2.0</v>
      </c>
      <c r="BA144" s="169">
        <v>6.0</v>
      </c>
      <c r="BB144" s="169">
        <v>0.0</v>
      </c>
      <c r="BC144" s="169">
        <v>0.0</v>
      </c>
      <c r="BD144" s="169">
        <v>0.0</v>
      </c>
      <c r="BE144" s="169">
        <v>0.0</v>
      </c>
      <c r="BF144" s="169">
        <v>0.0</v>
      </c>
      <c r="BG144" s="169">
        <v>0.0</v>
      </c>
      <c r="BH144" s="169">
        <v>0.0</v>
      </c>
      <c r="BI144" s="169">
        <v>0.0</v>
      </c>
      <c r="BJ144" s="169">
        <v>0.0</v>
      </c>
      <c r="BK144" s="169">
        <v>0.0</v>
      </c>
      <c r="BL144" s="169">
        <v>0.0</v>
      </c>
      <c r="BM144" s="169">
        <v>1.0</v>
      </c>
      <c r="BN144" s="169">
        <v>0.0</v>
      </c>
      <c r="BO144" s="169">
        <v>0.0</v>
      </c>
      <c r="BP144" s="205">
        <f t="shared" si="131"/>
        <v>1</v>
      </c>
      <c r="BQ144" s="173">
        <v>826.0</v>
      </c>
      <c r="BR144" s="170">
        <f t="shared" si="10"/>
        <v>8</v>
      </c>
      <c r="BS144" s="173">
        <v>0.0</v>
      </c>
      <c r="BT144" s="173">
        <v>1.0</v>
      </c>
      <c r="BU144" s="173">
        <v>1.0</v>
      </c>
      <c r="BV144" s="173">
        <v>6.0</v>
      </c>
      <c r="BW144" s="173">
        <v>0.0</v>
      </c>
      <c r="BX144" s="173">
        <v>0.0</v>
      </c>
      <c r="BY144" s="173">
        <v>0.0</v>
      </c>
      <c r="BZ144" s="173">
        <v>0.0</v>
      </c>
      <c r="CA144" s="173">
        <v>0.0</v>
      </c>
      <c r="CB144" s="173">
        <v>0.0</v>
      </c>
      <c r="CC144" s="173">
        <v>1.0</v>
      </c>
      <c r="CD144" s="173">
        <v>0.0</v>
      </c>
      <c r="CE144" s="173">
        <v>0.0</v>
      </c>
      <c r="CF144" s="173">
        <v>0.0</v>
      </c>
      <c r="CG144" s="173">
        <v>0.0</v>
      </c>
      <c r="CH144" s="173">
        <v>0.0</v>
      </c>
      <c r="CI144" s="173">
        <v>0.0</v>
      </c>
      <c r="CJ144" s="173">
        <v>0.0</v>
      </c>
      <c r="CK144" s="172">
        <f t="shared" si="132"/>
        <v>1</v>
      </c>
      <c r="CL144" s="173">
        <v>862.0</v>
      </c>
      <c r="CM144" s="173">
        <v>183.0</v>
      </c>
      <c r="CN144" s="175">
        <f t="shared" si="295"/>
        <v>11</v>
      </c>
      <c r="CO144" s="173">
        <v>0.0</v>
      </c>
      <c r="CP144" s="173">
        <v>1.0</v>
      </c>
      <c r="CQ144" s="173">
        <v>1.0</v>
      </c>
      <c r="CR144" s="173">
        <v>6.0</v>
      </c>
      <c r="CS144" s="173">
        <v>0.0</v>
      </c>
      <c r="CT144" s="173">
        <v>2.0</v>
      </c>
      <c r="CU144" s="173">
        <v>0.0</v>
      </c>
      <c r="CV144" s="173">
        <v>1.0</v>
      </c>
      <c r="CW144" s="173">
        <v>0.0</v>
      </c>
      <c r="CX144" s="173">
        <v>0.0</v>
      </c>
      <c r="CY144" s="173">
        <v>0.0</v>
      </c>
      <c r="CZ144" s="173">
        <v>0.0</v>
      </c>
      <c r="DA144" s="173">
        <v>0.0</v>
      </c>
      <c r="DB144" s="173">
        <v>0.0</v>
      </c>
      <c r="DC144" s="173">
        <v>0.0</v>
      </c>
      <c r="DD144" s="173">
        <v>0.0</v>
      </c>
      <c r="DE144" s="173">
        <v>0.0</v>
      </c>
      <c r="DF144" s="173">
        <v>0.0</v>
      </c>
      <c r="DG144" s="176">
        <f t="shared" si="13"/>
        <v>0</v>
      </c>
      <c r="DH144" s="469">
        <v>699.0</v>
      </c>
      <c r="DI144" s="469">
        <v>155.0</v>
      </c>
      <c r="DJ144" s="178">
        <v>692.0</v>
      </c>
      <c r="DK144" s="183">
        <v>152.0</v>
      </c>
      <c r="DL144" s="179">
        <f t="shared" si="14"/>
        <v>13</v>
      </c>
      <c r="DM144" s="180">
        <f t="shared" si="15"/>
        <v>5</v>
      </c>
      <c r="DN144" s="180">
        <f t="shared" si="16"/>
        <v>8</v>
      </c>
      <c r="DO144" s="177">
        <v>0.0</v>
      </c>
      <c r="DP144" s="177">
        <v>3.0</v>
      </c>
      <c r="DQ144" s="177">
        <v>0.0</v>
      </c>
      <c r="DR144" s="177">
        <v>7.0</v>
      </c>
      <c r="DS144" s="177">
        <v>0.0</v>
      </c>
      <c r="DT144" s="177">
        <v>0.0</v>
      </c>
      <c r="DU144" s="177">
        <v>2.0</v>
      </c>
      <c r="DV144" s="177">
        <v>1.0</v>
      </c>
      <c r="DW144" s="177">
        <v>0.0</v>
      </c>
      <c r="DX144" s="177">
        <v>0.0</v>
      </c>
      <c r="DY144" s="177">
        <v>0.0</v>
      </c>
      <c r="DZ144" s="177">
        <v>1.0</v>
      </c>
      <c r="EA144" s="177">
        <v>0.0</v>
      </c>
      <c r="EB144" s="177">
        <v>0.0</v>
      </c>
      <c r="EC144" s="177">
        <v>0.0</v>
      </c>
      <c r="ED144" s="177">
        <v>0.0</v>
      </c>
      <c r="EE144" s="177">
        <v>0.0</v>
      </c>
      <c r="EF144" s="177">
        <v>0.0</v>
      </c>
      <c r="EG144" s="179">
        <f t="shared" si="17"/>
        <v>1</v>
      </c>
      <c r="EH144" s="179">
        <f t="shared" si="18"/>
        <v>0</v>
      </c>
      <c r="EI144" s="469">
        <v>736.0</v>
      </c>
      <c r="EJ144" s="469">
        <v>163.0</v>
      </c>
      <c r="EK144" s="178">
        <v>708.0</v>
      </c>
      <c r="EL144" s="183">
        <v>156.0</v>
      </c>
      <c r="EM144" s="186">
        <v>16.0</v>
      </c>
      <c r="EN144" s="186">
        <f t="shared" si="202"/>
        <v>6</v>
      </c>
      <c r="EO144" s="186">
        <f t="shared" si="90"/>
        <v>10</v>
      </c>
      <c r="EP144" s="177">
        <v>0.0</v>
      </c>
      <c r="EQ144" s="177">
        <v>1.0</v>
      </c>
      <c r="ER144" s="177">
        <v>2.0</v>
      </c>
      <c r="ES144" s="177">
        <v>8.0</v>
      </c>
      <c r="ET144" s="177">
        <v>0.0</v>
      </c>
      <c r="EU144" s="177">
        <v>0.0</v>
      </c>
      <c r="EV144" s="177">
        <v>3.0</v>
      </c>
      <c r="EW144" s="177">
        <v>2.0</v>
      </c>
      <c r="EX144" s="177">
        <v>0.0</v>
      </c>
      <c r="EY144" s="177">
        <v>0.0</v>
      </c>
      <c r="EZ144" s="177">
        <v>1.0</v>
      </c>
      <c r="FA144" s="177">
        <v>0.0</v>
      </c>
      <c r="FB144" s="177">
        <v>0.0</v>
      </c>
      <c r="FC144" s="177">
        <v>0.0</v>
      </c>
      <c r="FD144" s="177">
        <v>1.0</v>
      </c>
      <c r="FE144" s="177">
        <v>0.0</v>
      </c>
      <c r="FF144" s="177">
        <v>0.0</v>
      </c>
      <c r="FG144" s="177">
        <v>0.0</v>
      </c>
      <c r="FH144" s="185">
        <f t="shared" si="22"/>
        <v>2</v>
      </c>
      <c r="FI144" s="185">
        <f t="shared" si="23"/>
        <v>2</v>
      </c>
      <c r="FJ144" s="177">
        <v>717.0</v>
      </c>
      <c r="FK144" s="177">
        <v>152.0</v>
      </c>
      <c r="FL144" s="177">
        <v>662.0</v>
      </c>
      <c r="FM144" s="177">
        <v>140.0</v>
      </c>
      <c r="FN144" s="180"/>
      <c r="FO144" s="180">
        <v>17.0</v>
      </c>
      <c r="FP144" s="188">
        <f t="shared" si="343"/>
        <v>17</v>
      </c>
      <c r="FQ144" s="211">
        <v>6.0</v>
      </c>
      <c r="FR144" s="212">
        <v>11.0</v>
      </c>
      <c r="FS144" s="206">
        <v>0.0</v>
      </c>
      <c r="FT144" s="207">
        <v>0.0</v>
      </c>
      <c r="FU144" s="207">
        <v>6.0</v>
      </c>
      <c r="FV144" s="207">
        <v>10.0</v>
      </c>
      <c r="FW144" s="207">
        <v>0.0</v>
      </c>
      <c r="FX144" s="207">
        <v>0.0</v>
      </c>
      <c r="FY144" s="207">
        <v>0.0</v>
      </c>
      <c r="FZ144" s="207">
        <v>1.0</v>
      </c>
      <c r="GA144" s="207">
        <v>0.0</v>
      </c>
      <c r="GB144" s="207">
        <v>0.0</v>
      </c>
      <c r="GC144" s="207">
        <v>0.0</v>
      </c>
      <c r="GD144" s="207">
        <v>0.0</v>
      </c>
      <c r="GE144" s="207">
        <v>0.0</v>
      </c>
      <c r="GF144" s="207">
        <v>0.0</v>
      </c>
      <c r="GG144" s="207">
        <v>0.0</v>
      </c>
      <c r="GH144" s="207">
        <v>0.0</v>
      </c>
      <c r="GI144" s="207">
        <v>0.0</v>
      </c>
      <c r="GJ144" s="207">
        <v>0.0</v>
      </c>
      <c r="GK144" s="212">
        <v>0.0</v>
      </c>
      <c r="GL144" s="212">
        <v>0.0</v>
      </c>
      <c r="GM144" s="207">
        <v>726.0</v>
      </c>
      <c r="GN144" s="207">
        <v>165.0</v>
      </c>
      <c r="GO144" s="213">
        <v>637.0</v>
      </c>
      <c r="GP144" s="213">
        <v>133.0</v>
      </c>
      <c r="GQ144" s="207"/>
      <c r="GR144" s="213">
        <v>16.0</v>
      </c>
      <c r="GS144" s="193">
        <v>6.0</v>
      </c>
      <c r="GT144" s="194">
        <f t="shared" si="25"/>
        <v>16</v>
      </c>
      <c r="GU144" s="194">
        <f t="shared" si="26"/>
        <v>6</v>
      </c>
      <c r="GV144" s="194">
        <f t="shared" si="27"/>
        <v>10</v>
      </c>
      <c r="GW144" s="207">
        <v>0.0</v>
      </c>
      <c r="GX144" s="207">
        <v>0.0</v>
      </c>
      <c r="GY144" s="207">
        <v>6.0</v>
      </c>
      <c r="GZ144" s="207">
        <v>10.0</v>
      </c>
      <c r="HA144" s="207">
        <v>0.0</v>
      </c>
      <c r="HB144" s="207">
        <v>0.0</v>
      </c>
      <c r="HC144" s="207">
        <v>0.0</v>
      </c>
      <c r="HD144" s="207">
        <v>0.0</v>
      </c>
      <c r="HE144" s="207">
        <v>0.0</v>
      </c>
      <c r="HF144" s="207">
        <v>0.0</v>
      </c>
      <c r="HG144" s="207">
        <v>0.0</v>
      </c>
      <c r="HH144" s="207">
        <v>1.0</v>
      </c>
      <c r="HI144" s="207">
        <v>0.0</v>
      </c>
      <c r="HJ144" s="207">
        <v>0.0</v>
      </c>
      <c r="HK144" s="207">
        <v>0.0</v>
      </c>
      <c r="HL144" s="207">
        <v>0.0</v>
      </c>
      <c r="HM144" s="207">
        <v>0.0</v>
      </c>
      <c r="HN144" s="207">
        <v>0.0</v>
      </c>
      <c r="HO144" s="222"/>
      <c r="HP144" s="222"/>
      <c r="HQ144" s="214"/>
      <c r="HR144" s="197"/>
      <c r="HS144" s="197"/>
      <c r="HT144" s="198">
        <f t="shared" si="28"/>
        <v>15</v>
      </c>
      <c r="HU144" s="198">
        <f t="shared" si="29"/>
        <v>6</v>
      </c>
      <c r="HV144" s="198">
        <f t="shared" si="30"/>
        <v>9</v>
      </c>
      <c r="HW144" s="198">
        <f t="shared" si="99"/>
        <v>8</v>
      </c>
      <c r="HX144" s="198">
        <f t="shared" si="32"/>
        <v>10</v>
      </c>
      <c r="HY144" s="198">
        <f t="shared" si="33"/>
        <v>9</v>
      </c>
      <c r="HZ144" s="198">
        <f t="shared" si="34"/>
        <v>8</v>
      </c>
      <c r="IA144" s="198">
        <f t="shared" si="35"/>
        <v>11</v>
      </c>
      <c r="IB144" s="198">
        <f t="shared" si="36"/>
        <v>13</v>
      </c>
      <c r="IC144" s="198">
        <f t="shared" si="37"/>
        <v>16</v>
      </c>
      <c r="ID144" s="198">
        <f t="shared" si="38"/>
        <v>17</v>
      </c>
      <c r="IE144" s="198">
        <f t="shared" si="39"/>
        <v>16</v>
      </c>
      <c r="IF144" s="197"/>
      <c r="IG144" s="197"/>
      <c r="IH144" s="197"/>
      <c r="II144" s="197"/>
      <c r="IJ144" s="197"/>
      <c r="IK144" s="197"/>
      <c r="IL144" s="197"/>
      <c r="IM144" s="197"/>
      <c r="IN144" s="197"/>
      <c r="IO144" s="197"/>
      <c r="IP144" s="197"/>
      <c r="IQ144" s="197"/>
      <c r="IR144" s="197"/>
      <c r="IS144" s="197"/>
      <c r="IT144" s="197"/>
      <c r="IU144" s="197"/>
      <c r="IV144" s="197"/>
      <c r="IW144" s="197"/>
      <c r="IX144" s="197"/>
      <c r="IY144" s="197"/>
      <c r="IZ144" s="197"/>
      <c r="JA144" s="199"/>
      <c r="JB144" s="200">
        <f t="shared" si="40"/>
        <v>15</v>
      </c>
      <c r="JC144" s="200">
        <f t="shared" si="41"/>
        <v>6</v>
      </c>
      <c r="JD144" s="200">
        <f t="shared" si="42"/>
        <v>9</v>
      </c>
      <c r="JE144" s="200">
        <f t="shared" si="43"/>
        <v>8</v>
      </c>
      <c r="JF144" s="200">
        <f t="shared" si="44"/>
        <v>10</v>
      </c>
      <c r="JG144" s="200">
        <f t="shared" si="45"/>
        <v>9</v>
      </c>
      <c r="JH144" s="200">
        <f t="shared" si="46"/>
        <v>8</v>
      </c>
      <c r="JI144" s="200">
        <f t="shared" si="47"/>
        <v>11</v>
      </c>
      <c r="JJ144" s="200">
        <f t="shared" si="48"/>
        <v>13</v>
      </c>
      <c r="JK144" s="200">
        <f t="shared" si="49"/>
        <v>17</v>
      </c>
      <c r="JL144" s="200">
        <f t="shared" si="50"/>
        <v>17</v>
      </c>
      <c r="JM144" s="200">
        <f t="shared" si="51"/>
        <v>16</v>
      </c>
      <c r="JN144" s="199"/>
      <c r="JO144" s="200">
        <f t="shared" si="52"/>
        <v>15</v>
      </c>
      <c r="JP144" s="202">
        <v>6.0</v>
      </c>
      <c r="JQ144" s="202">
        <v>9.0</v>
      </c>
      <c r="JR144" s="202">
        <v>8.0</v>
      </c>
      <c r="JS144" s="202">
        <v>10.0</v>
      </c>
      <c r="JT144" s="199"/>
      <c r="JU144" s="199"/>
      <c r="JV144" s="200">
        <f t="shared" ref="JV144:JX144" si="358">IA144-JI144</f>
        <v>0</v>
      </c>
      <c r="JW144" s="200">
        <f t="shared" si="358"/>
        <v>0</v>
      </c>
      <c r="JX144" s="200">
        <f t="shared" si="358"/>
        <v>-1</v>
      </c>
      <c r="JY144" s="199"/>
      <c r="JZ144" s="199"/>
      <c r="KA144" s="199"/>
      <c r="KB144" s="200">
        <f t="shared" ref="KB144:KM144" si="359">JB144-JO144</f>
        <v>0</v>
      </c>
      <c r="KC144" s="200">
        <f t="shared" si="359"/>
        <v>0</v>
      </c>
      <c r="KD144" s="200">
        <f t="shared" si="359"/>
        <v>0</v>
      </c>
      <c r="KE144" s="200">
        <f t="shared" si="359"/>
        <v>0</v>
      </c>
      <c r="KF144" s="200">
        <f t="shared" si="359"/>
        <v>0</v>
      </c>
      <c r="KG144" s="200">
        <f t="shared" si="359"/>
        <v>9</v>
      </c>
      <c r="KH144" s="200">
        <f t="shared" si="359"/>
        <v>8</v>
      </c>
      <c r="KI144" s="200">
        <f t="shared" si="359"/>
        <v>11</v>
      </c>
      <c r="KJ144" s="200">
        <f t="shared" si="359"/>
        <v>13</v>
      </c>
      <c r="KK144" s="200">
        <f t="shared" si="359"/>
        <v>18</v>
      </c>
      <c r="KL144" s="200">
        <f t="shared" si="359"/>
        <v>17</v>
      </c>
      <c r="KM144" s="200">
        <f t="shared" si="359"/>
        <v>16</v>
      </c>
      <c r="KN144" s="199"/>
      <c r="KO144" s="199"/>
      <c r="KP144" s="199"/>
      <c r="KQ144" s="199"/>
      <c r="KR144" s="199"/>
      <c r="KS144" s="199"/>
      <c r="KT144" s="199"/>
      <c r="KU144" s="199"/>
      <c r="KV144" s="199"/>
      <c r="KW144" s="199"/>
      <c r="KX144" s="199"/>
      <c r="KY144" s="199"/>
      <c r="KZ144" s="199"/>
      <c r="LA144" s="199"/>
      <c r="LB144" s="199"/>
      <c r="LC144" s="199"/>
      <c r="LD144" s="199"/>
      <c r="LE144" s="199"/>
      <c r="LF144" s="199"/>
      <c r="LG144" s="199"/>
    </row>
    <row r="145" ht="14.25" customHeight="1">
      <c r="A145" s="156">
        <v>138.0</v>
      </c>
      <c r="B145" s="157" t="s">
        <v>240</v>
      </c>
      <c r="C145" s="158">
        <v>3374140.0</v>
      </c>
      <c r="D145" s="158" t="s">
        <v>241</v>
      </c>
      <c r="E145" s="158" t="s">
        <v>251</v>
      </c>
      <c r="F145" s="159">
        <v>9.0</v>
      </c>
      <c r="G145" s="285">
        <v>740.0</v>
      </c>
      <c r="H145" s="160">
        <v>23.0</v>
      </c>
      <c r="I145" s="161">
        <v>3.0</v>
      </c>
      <c r="J145" s="161">
        <v>2.0</v>
      </c>
      <c r="K145" s="161">
        <v>6.0</v>
      </c>
      <c r="L145" s="161">
        <v>12.0</v>
      </c>
      <c r="M145" s="161">
        <v>0.0</v>
      </c>
      <c r="N145" s="161">
        <v>0.0</v>
      </c>
      <c r="O145" s="162">
        <v>23.0</v>
      </c>
      <c r="P145" s="203">
        <v>17.0</v>
      </c>
      <c r="Q145" s="164">
        <v>2.0</v>
      </c>
      <c r="R145" s="164">
        <v>1.0</v>
      </c>
      <c r="S145" s="164">
        <v>5.0</v>
      </c>
      <c r="T145" s="165">
        <v>9.0</v>
      </c>
      <c r="U145" s="165"/>
      <c r="V145" s="165"/>
      <c r="W145" s="166">
        <f t="shared" si="225"/>
        <v>17</v>
      </c>
      <c r="X145" s="203">
        <v>25.0</v>
      </c>
      <c r="Y145" s="165">
        <v>2.0</v>
      </c>
      <c r="Z145" s="165">
        <v>2.0</v>
      </c>
      <c r="AA145" s="165">
        <v>8.0</v>
      </c>
      <c r="AB145" s="165">
        <v>13.0</v>
      </c>
      <c r="AC145" s="165">
        <v>1.0</v>
      </c>
      <c r="AD145" s="165">
        <v>3.0</v>
      </c>
      <c r="AE145" s="166">
        <f t="shared" si="214"/>
        <v>21</v>
      </c>
      <c r="AF145" s="167">
        <v>18.0</v>
      </c>
      <c r="AG145" s="165">
        <v>0.0</v>
      </c>
      <c r="AH145" s="165">
        <v>2.0</v>
      </c>
      <c r="AI145" s="165">
        <v>6.0</v>
      </c>
      <c r="AJ145" s="165">
        <v>10.0</v>
      </c>
      <c r="AK145" s="165">
        <v>0.0</v>
      </c>
      <c r="AL145" s="165">
        <v>7.0</v>
      </c>
      <c r="AM145" s="166">
        <f t="shared" si="215"/>
        <v>11</v>
      </c>
      <c r="AN145" s="167">
        <v>13.0</v>
      </c>
      <c r="AO145" s="165">
        <v>0.0</v>
      </c>
      <c r="AP145" s="165">
        <v>0.0</v>
      </c>
      <c r="AQ145" s="165">
        <v>2.0</v>
      </c>
      <c r="AR145" s="165">
        <v>11.0</v>
      </c>
      <c r="AS145" s="165"/>
      <c r="AT145" s="165"/>
      <c r="AU145" s="168">
        <f t="shared" si="216"/>
        <v>13</v>
      </c>
      <c r="AV145" s="169">
        <v>719.0</v>
      </c>
      <c r="AW145" s="204">
        <f t="shared" si="8"/>
        <v>11</v>
      </c>
      <c r="AX145" s="169">
        <v>0.0</v>
      </c>
      <c r="AY145" s="169">
        <v>2.0</v>
      </c>
      <c r="AZ145" s="169">
        <v>2.0</v>
      </c>
      <c r="BA145" s="169">
        <v>7.0</v>
      </c>
      <c r="BB145" s="169">
        <v>0.0</v>
      </c>
      <c r="BC145" s="169">
        <v>0.0</v>
      </c>
      <c r="BD145" s="169">
        <v>0.0</v>
      </c>
      <c r="BE145" s="169">
        <v>0.0</v>
      </c>
      <c r="BF145" s="169">
        <v>0.0</v>
      </c>
      <c r="BG145" s="169">
        <v>0.0</v>
      </c>
      <c r="BH145" s="169">
        <v>0.0</v>
      </c>
      <c r="BI145" s="169">
        <v>0.0</v>
      </c>
      <c r="BJ145" s="169">
        <v>0.0</v>
      </c>
      <c r="BK145" s="169">
        <v>0.0</v>
      </c>
      <c r="BL145" s="169">
        <v>1.0</v>
      </c>
      <c r="BM145" s="169">
        <v>1.0</v>
      </c>
      <c r="BN145" s="169">
        <v>0.0</v>
      </c>
      <c r="BO145" s="169">
        <v>0.0</v>
      </c>
      <c r="BP145" s="205">
        <f t="shared" si="131"/>
        <v>2</v>
      </c>
      <c r="BQ145" s="173">
        <v>779.0</v>
      </c>
      <c r="BR145" s="170">
        <f t="shared" si="10"/>
        <v>11</v>
      </c>
      <c r="BS145" s="173">
        <v>0.0</v>
      </c>
      <c r="BT145" s="173">
        <v>1.0</v>
      </c>
      <c r="BU145" s="173">
        <v>3.0</v>
      </c>
      <c r="BV145" s="173">
        <v>6.0</v>
      </c>
      <c r="BW145" s="173">
        <v>0.0</v>
      </c>
      <c r="BX145" s="173">
        <v>0.0</v>
      </c>
      <c r="BY145" s="173">
        <v>0.0</v>
      </c>
      <c r="BZ145" s="173">
        <v>1.0</v>
      </c>
      <c r="CA145" s="173">
        <v>0.0</v>
      </c>
      <c r="CB145" s="173">
        <v>1.0</v>
      </c>
      <c r="CC145" s="173">
        <v>0.0</v>
      </c>
      <c r="CD145" s="173">
        <v>0.0</v>
      </c>
      <c r="CE145" s="173">
        <v>0.0</v>
      </c>
      <c r="CF145" s="173">
        <v>0.0</v>
      </c>
      <c r="CG145" s="173">
        <v>0.0</v>
      </c>
      <c r="CH145" s="173">
        <v>0.0</v>
      </c>
      <c r="CI145" s="173">
        <v>0.0</v>
      </c>
      <c r="CJ145" s="173">
        <v>0.0</v>
      </c>
      <c r="CK145" s="172">
        <f t="shared" si="132"/>
        <v>1</v>
      </c>
      <c r="CL145" s="173">
        <v>750.0</v>
      </c>
      <c r="CM145" s="173">
        <v>220.0</v>
      </c>
      <c r="CN145" s="175">
        <f t="shared" si="295"/>
        <v>13</v>
      </c>
      <c r="CO145" s="173">
        <v>0.0</v>
      </c>
      <c r="CP145" s="173">
        <v>0.0</v>
      </c>
      <c r="CQ145" s="173">
        <v>2.0</v>
      </c>
      <c r="CR145" s="173">
        <v>8.0</v>
      </c>
      <c r="CS145" s="173">
        <v>0.0</v>
      </c>
      <c r="CT145" s="173">
        <v>0.0</v>
      </c>
      <c r="CU145" s="173">
        <v>1.0</v>
      </c>
      <c r="CV145" s="173">
        <v>2.0</v>
      </c>
      <c r="CW145" s="173">
        <v>0.0</v>
      </c>
      <c r="CX145" s="173">
        <v>1.0</v>
      </c>
      <c r="CY145" s="173">
        <v>0.0</v>
      </c>
      <c r="CZ145" s="173">
        <v>0.0</v>
      </c>
      <c r="DA145" s="173">
        <v>0.0</v>
      </c>
      <c r="DB145" s="173">
        <v>0.0</v>
      </c>
      <c r="DC145" s="173">
        <v>0.0</v>
      </c>
      <c r="DD145" s="173">
        <v>0.0</v>
      </c>
      <c r="DE145" s="173">
        <v>0.0</v>
      </c>
      <c r="DF145" s="173">
        <v>0.0</v>
      </c>
      <c r="DG145" s="176">
        <f t="shared" si="13"/>
        <v>1</v>
      </c>
      <c r="DH145" s="177">
        <v>685.0</v>
      </c>
      <c r="DI145" s="177">
        <v>226.0</v>
      </c>
      <c r="DJ145" s="178">
        <v>653.0</v>
      </c>
      <c r="DK145" s="178">
        <v>221.0</v>
      </c>
      <c r="DL145" s="179">
        <f t="shared" si="14"/>
        <v>15</v>
      </c>
      <c r="DM145" s="180">
        <f t="shared" si="15"/>
        <v>5</v>
      </c>
      <c r="DN145" s="180">
        <f t="shared" si="16"/>
        <v>10</v>
      </c>
      <c r="DO145" s="177">
        <v>0.0</v>
      </c>
      <c r="DP145" s="177">
        <v>0.0</v>
      </c>
      <c r="DQ145" s="177">
        <v>3.0</v>
      </c>
      <c r="DR145" s="177">
        <v>9.0</v>
      </c>
      <c r="DS145" s="177">
        <v>1.0</v>
      </c>
      <c r="DT145" s="177">
        <v>1.0</v>
      </c>
      <c r="DU145" s="177">
        <v>0.0</v>
      </c>
      <c r="DV145" s="177">
        <v>1.0</v>
      </c>
      <c r="DW145" s="177">
        <v>0.0</v>
      </c>
      <c r="DX145" s="177">
        <v>0.0</v>
      </c>
      <c r="DY145" s="177">
        <v>0.0</v>
      </c>
      <c r="DZ145" s="177">
        <v>1.0</v>
      </c>
      <c r="EA145" s="177">
        <v>0.0</v>
      </c>
      <c r="EB145" s="177">
        <v>0.0</v>
      </c>
      <c r="EC145" s="177">
        <v>0.0</v>
      </c>
      <c r="ED145" s="177">
        <v>0.0</v>
      </c>
      <c r="EE145" s="177">
        <v>0.0</v>
      </c>
      <c r="EF145" s="177">
        <v>0.0</v>
      </c>
      <c r="EG145" s="179">
        <f t="shared" si="17"/>
        <v>1</v>
      </c>
      <c r="EH145" s="179">
        <f t="shared" si="18"/>
        <v>0</v>
      </c>
      <c r="EI145" s="177">
        <v>680.0</v>
      </c>
      <c r="EJ145" s="177">
        <v>219.0</v>
      </c>
      <c r="EK145" s="178">
        <v>680.0</v>
      </c>
      <c r="EL145" s="178">
        <v>219.0</v>
      </c>
      <c r="EM145" s="185">
        <f t="shared" ref="EM145:EM184" si="362">SUM(EP145:EW145)</f>
        <v>14</v>
      </c>
      <c r="EN145" s="186">
        <f t="shared" si="202"/>
        <v>4</v>
      </c>
      <c r="EO145" s="186">
        <f t="shared" si="90"/>
        <v>10</v>
      </c>
      <c r="EP145" s="177">
        <v>0.0</v>
      </c>
      <c r="EQ145" s="177">
        <v>0.0</v>
      </c>
      <c r="ER145" s="177">
        <v>4.0</v>
      </c>
      <c r="ES145" s="177">
        <v>10.0</v>
      </c>
      <c r="ET145" s="177">
        <v>0.0</v>
      </c>
      <c r="EU145" s="177">
        <v>0.0</v>
      </c>
      <c r="EV145" s="177">
        <v>0.0</v>
      </c>
      <c r="EW145" s="177">
        <v>0.0</v>
      </c>
      <c r="EX145" s="177">
        <v>1.0</v>
      </c>
      <c r="EY145" s="177">
        <v>0.0</v>
      </c>
      <c r="EZ145" s="177">
        <v>0.0</v>
      </c>
      <c r="FA145" s="177">
        <v>0.0</v>
      </c>
      <c r="FB145" s="177">
        <v>0.0</v>
      </c>
      <c r="FC145" s="177">
        <v>0.0</v>
      </c>
      <c r="FD145" s="177">
        <v>0.0</v>
      </c>
      <c r="FE145" s="177">
        <v>0.0</v>
      </c>
      <c r="FF145" s="177">
        <v>0.0</v>
      </c>
      <c r="FG145" s="177">
        <v>0.0</v>
      </c>
      <c r="FH145" s="185">
        <f t="shared" si="22"/>
        <v>1</v>
      </c>
      <c r="FI145" s="185">
        <f t="shared" si="23"/>
        <v>1</v>
      </c>
      <c r="FJ145" s="177">
        <v>684.0</v>
      </c>
      <c r="FK145" s="177">
        <v>227.0</v>
      </c>
      <c r="FL145" s="177">
        <v>684.0</v>
      </c>
      <c r="FM145" s="177">
        <v>227.0</v>
      </c>
      <c r="FN145" s="210"/>
      <c r="FO145" s="210">
        <v>11.0</v>
      </c>
      <c r="FP145" s="188">
        <f t="shared" si="343"/>
        <v>11</v>
      </c>
      <c r="FQ145" s="211">
        <v>6.0</v>
      </c>
      <c r="FR145" s="212">
        <v>5.0</v>
      </c>
      <c r="FS145" s="206">
        <v>0.0</v>
      </c>
      <c r="FT145" s="207">
        <v>0.0</v>
      </c>
      <c r="FU145" s="207">
        <v>4.0</v>
      </c>
      <c r="FV145" s="207">
        <v>4.0</v>
      </c>
      <c r="FW145" s="207">
        <v>0.0</v>
      </c>
      <c r="FX145" s="207">
        <v>0.0</v>
      </c>
      <c r="FY145" s="207">
        <v>2.0</v>
      </c>
      <c r="FZ145" s="207">
        <v>1.0</v>
      </c>
      <c r="GA145" s="207">
        <v>0.0</v>
      </c>
      <c r="GB145" s="207">
        <v>0.0</v>
      </c>
      <c r="GC145" s="207">
        <v>0.0</v>
      </c>
      <c r="GD145" s="207">
        <v>6.0</v>
      </c>
      <c r="GE145" s="207">
        <v>0.0</v>
      </c>
      <c r="GF145" s="207">
        <v>0.0</v>
      </c>
      <c r="GG145" s="207">
        <v>0.0</v>
      </c>
      <c r="GH145" s="207">
        <v>0.0</v>
      </c>
      <c r="GI145" s="207">
        <v>0.0</v>
      </c>
      <c r="GJ145" s="207">
        <v>0.0</v>
      </c>
      <c r="GK145" s="212">
        <v>6.0</v>
      </c>
      <c r="GL145" s="212">
        <v>0.0</v>
      </c>
      <c r="GM145" s="207">
        <v>682.0</v>
      </c>
      <c r="GN145" s="207">
        <v>220.0</v>
      </c>
      <c r="GO145" s="213">
        <v>682.0</v>
      </c>
      <c r="GP145" s="213">
        <v>220.0</v>
      </c>
      <c r="GQ145" s="207"/>
      <c r="GR145" s="213">
        <v>12.0</v>
      </c>
      <c r="GS145" s="193">
        <v>7.0</v>
      </c>
      <c r="GT145" s="194">
        <f t="shared" si="25"/>
        <v>12</v>
      </c>
      <c r="GU145" s="194">
        <f t="shared" si="26"/>
        <v>7</v>
      </c>
      <c r="GV145" s="194">
        <f t="shared" si="27"/>
        <v>5</v>
      </c>
      <c r="GW145" s="207">
        <v>0.0</v>
      </c>
      <c r="GX145" s="207">
        <v>0.0</v>
      </c>
      <c r="GY145" s="207">
        <v>5.0</v>
      </c>
      <c r="GZ145" s="207">
        <v>5.0</v>
      </c>
      <c r="HA145" s="207">
        <v>0.0</v>
      </c>
      <c r="HB145" s="207">
        <v>1.0</v>
      </c>
      <c r="HC145" s="207">
        <v>1.0</v>
      </c>
      <c r="HD145" s="207">
        <v>0.0</v>
      </c>
      <c r="HE145" s="207">
        <v>0.0</v>
      </c>
      <c r="HF145" s="207">
        <v>0.0</v>
      </c>
      <c r="HG145" s="207">
        <v>0.0</v>
      </c>
      <c r="HH145" s="207">
        <v>0.0</v>
      </c>
      <c r="HI145" s="207">
        <v>0.0</v>
      </c>
      <c r="HJ145" s="207">
        <v>0.0</v>
      </c>
      <c r="HK145" s="207">
        <v>0.0</v>
      </c>
      <c r="HL145" s="207">
        <v>0.0</v>
      </c>
      <c r="HM145" s="207">
        <v>0.0</v>
      </c>
      <c r="HN145" s="207">
        <v>0.0</v>
      </c>
      <c r="HO145" s="222"/>
      <c r="HP145" s="222"/>
      <c r="HQ145" s="214"/>
      <c r="HR145" s="197"/>
      <c r="HS145" s="197"/>
      <c r="HT145" s="198">
        <f t="shared" si="28"/>
        <v>23</v>
      </c>
      <c r="HU145" s="198">
        <f t="shared" si="29"/>
        <v>17</v>
      </c>
      <c r="HV145" s="198">
        <f t="shared" si="30"/>
        <v>25</v>
      </c>
      <c r="HW145" s="198">
        <f t="shared" si="99"/>
        <v>18</v>
      </c>
      <c r="HX145" s="198">
        <f t="shared" si="32"/>
        <v>13</v>
      </c>
      <c r="HY145" s="198">
        <f t="shared" si="33"/>
        <v>11</v>
      </c>
      <c r="HZ145" s="198">
        <f t="shared" si="34"/>
        <v>11</v>
      </c>
      <c r="IA145" s="198">
        <f t="shared" si="35"/>
        <v>13</v>
      </c>
      <c r="IB145" s="198">
        <f t="shared" si="36"/>
        <v>15</v>
      </c>
      <c r="IC145" s="198">
        <f t="shared" si="37"/>
        <v>14</v>
      </c>
      <c r="ID145" s="198">
        <f t="shared" si="38"/>
        <v>11</v>
      </c>
      <c r="IE145" s="198">
        <f t="shared" si="39"/>
        <v>12</v>
      </c>
      <c r="IF145" s="197"/>
      <c r="IG145" s="197"/>
      <c r="IH145" s="197"/>
      <c r="II145" s="197"/>
      <c r="IJ145" s="197"/>
      <c r="IK145" s="197"/>
      <c r="IL145" s="197"/>
      <c r="IM145" s="197"/>
      <c r="IN145" s="197"/>
      <c r="IO145" s="197"/>
      <c r="IP145" s="197"/>
      <c r="IQ145" s="197"/>
      <c r="IR145" s="197"/>
      <c r="IS145" s="197"/>
      <c r="IT145" s="197"/>
      <c r="IU145" s="197"/>
      <c r="IV145" s="197"/>
      <c r="IW145" s="197"/>
      <c r="IX145" s="197"/>
      <c r="IY145" s="197"/>
      <c r="IZ145" s="197"/>
      <c r="JA145" s="199"/>
      <c r="JB145" s="200">
        <f t="shared" si="40"/>
        <v>23</v>
      </c>
      <c r="JC145" s="200">
        <f t="shared" si="41"/>
        <v>17</v>
      </c>
      <c r="JD145" s="200">
        <f t="shared" si="42"/>
        <v>25</v>
      </c>
      <c r="JE145" s="200">
        <f t="shared" si="43"/>
        <v>18</v>
      </c>
      <c r="JF145" s="200">
        <f t="shared" si="44"/>
        <v>13</v>
      </c>
      <c r="JG145" s="200">
        <f t="shared" si="45"/>
        <v>11</v>
      </c>
      <c r="JH145" s="200">
        <f t="shared" si="46"/>
        <v>11</v>
      </c>
      <c r="JI145" s="200">
        <f t="shared" si="47"/>
        <v>13</v>
      </c>
      <c r="JJ145" s="200">
        <f t="shared" si="48"/>
        <v>15</v>
      </c>
      <c r="JK145" s="200">
        <f t="shared" si="49"/>
        <v>15</v>
      </c>
      <c r="JL145" s="200">
        <f t="shared" si="50"/>
        <v>11</v>
      </c>
      <c r="JM145" s="200">
        <f t="shared" si="51"/>
        <v>12</v>
      </c>
      <c r="JN145" s="199"/>
      <c r="JO145" s="200">
        <f t="shared" si="52"/>
        <v>23</v>
      </c>
      <c r="JP145" s="202">
        <v>17.0</v>
      </c>
      <c r="JQ145" s="202">
        <v>25.0</v>
      </c>
      <c r="JR145" s="202">
        <v>18.0</v>
      </c>
      <c r="JS145" s="202">
        <v>13.0</v>
      </c>
      <c r="JT145" s="199"/>
      <c r="JU145" s="199"/>
      <c r="JV145" s="200">
        <f t="shared" ref="JV145:JX145" si="360">IA145-JI145</f>
        <v>0</v>
      </c>
      <c r="JW145" s="200">
        <f t="shared" si="360"/>
        <v>0</v>
      </c>
      <c r="JX145" s="200">
        <f t="shared" si="360"/>
        <v>-1</v>
      </c>
      <c r="JY145" s="199"/>
      <c r="JZ145" s="199"/>
      <c r="KA145" s="199"/>
      <c r="KB145" s="200">
        <f t="shared" ref="KB145:KM145" si="361">JB145-JO145</f>
        <v>0</v>
      </c>
      <c r="KC145" s="200">
        <f t="shared" si="361"/>
        <v>0</v>
      </c>
      <c r="KD145" s="200">
        <f t="shared" si="361"/>
        <v>0</v>
      </c>
      <c r="KE145" s="200">
        <f t="shared" si="361"/>
        <v>0</v>
      </c>
      <c r="KF145" s="200">
        <f t="shared" si="361"/>
        <v>0</v>
      </c>
      <c r="KG145" s="200">
        <f t="shared" si="361"/>
        <v>11</v>
      </c>
      <c r="KH145" s="200">
        <f t="shared" si="361"/>
        <v>11</v>
      </c>
      <c r="KI145" s="200">
        <f t="shared" si="361"/>
        <v>13</v>
      </c>
      <c r="KJ145" s="200">
        <f t="shared" si="361"/>
        <v>15</v>
      </c>
      <c r="KK145" s="200">
        <f t="shared" si="361"/>
        <v>16</v>
      </c>
      <c r="KL145" s="200">
        <f t="shared" si="361"/>
        <v>11</v>
      </c>
      <c r="KM145" s="200">
        <f t="shared" si="361"/>
        <v>12</v>
      </c>
      <c r="KN145" s="199"/>
      <c r="KO145" s="199"/>
      <c r="KP145" s="199"/>
      <c r="KQ145" s="199"/>
      <c r="KR145" s="199"/>
      <c r="KS145" s="199"/>
      <c r="KT145" s="199"/>
      <c r="KU145" s="199"/>
      <c r="KV145" s="199"/>
      <c r="KW145" s="199"/>
      <c r="KX145" s="199"/>
      <c r="KY145" s="199"/>
      <c r="KZ145" s="199"/>
      <c r="LA145" s="199"/>
      <c r="LB145" s="199"/>
      <c r="LC145" s="199"/>
      <c r="LD145" s="199"/>
      <c r="LE145" s="199"/>
      <c r="LF145" s="199"/>
      <c r="LG145" s="199"/>
    </row>
    <row r="146" ht="14.25" customHeight="1">
      <c r="A146" s="156">
        <v>139.0</v>
      </c>
      <c r="B146" s="157" t="s">
        <v>240</v>
      </c>
      <c r="C146" s="158">
        <v>3374090.0</v>
      </c>
      <c r="D146" s="158" t="s">
        <v>252</v>
      </c>
      <c r="E146" s="158" t="s">
        <v>253</v>
      </c>
      <c r="F146" s="470">
        <v>9.0</v>
      </c>
      <c r="G146" s="471">
        <v>351.0</v>
      </c>
      <c r="H146" s="160">
        <v>3.0</v>
      </c>
      <c r="I146" s="161"/>
      <c r="J146" s="161">
        <v>1.0</v>
      </c>
      <c r="K146" s="161">
        <v>1.0</v>
      </c>
      <c r="L146" s="161">
        <v>1.0</v>
      </c>
      <c r="M146" s="161">
        <v>0.0</v>
      </c>
      <c r="N146" s="161">
        <v>0.0</v>
      </c>
      <c r="O146" s="162">
        <f>H146-(M146+N146)</f>
        <v>3</v>
      </c>
      <c r="P146" s="203">
        <v>3.0</v>
      </c>
      <c r="Q146" s="164"/>
      <c r="R146" s="164">
        <v>1.0</v>
      </c>
      <c r="S146" s="164">
        <v>2.0</v>
      </c>
      <c r="T146" s="165">
        <v>0.0</v>
      </c>
      <c r="U146" s="165"/>
      <c r="V146" s="165">
        <v>1.0</v>
      </c>
      <c r="W146" s="166">
        <f t="shared" si="225"/>
        <v>2</v>
      </c>
      <c r="X146" s="203">
        <v>4.0</v>
      </c>
      <c r="Y146" s="165"/>
      <c r="Z146" s="165">
        <v>2.0</v>
      </c>
      <c r="AA146" s="165"/>
      <c r="AB146" s="165">
        <v>2.0</v>
      </c>
      <c r="AC146" s="165">
        <v>1.0</v>
      </c>
      <c r="AD146" s="165">
        <v>1.0</v>
      </c>
      <c r="AE146" s="166">
        <f t="shared" si="214"/>
        <v>2</v>
      </c>
      <c r="AF146" s="167">
        <v>2.0</v>
      </c>
      <c r="AG146" s="165"/>
      <c r="AH146" s="165">
        <v>1.0</v>
      </c>
      <c r="AI146" s="165"/>
      <c r="AJ146" s="165">
        <v>1.0</v>
      </c>
      <c r="AK146" s="165">
        <v>1.0</v>
      </c>
      <c r="AL146" s="165"/>
      <c r="AM146" s="166">
        <f t="shared" si="215"/>
        <v>1</v>
      </c>
      <c r="AN146" s="167">
        <v>3.0</v>
      </c>
      <c r="AO146" s="165">
        <v>1.0</v>
      </c>
      <c r="AP146" s="165">
        <v>1.0</v>
      </c>
      <c r="AQ146" s="165"/>
      <c r="AR146" s="165">
        <v>1.0</v>
      </c>
      <c r="AS146" s="165"/>
      <c r="AT146" s="165"/>
      <c r="AU146" s="168">
        <f t="shared" si="216"/>
        <v>3</v>
      </c>
      <c r="AV146" s="472">
        <v>357.0</v>
      </c>
      <c r="AW146" s="204">
        <f t="shared" si="8"/>
        <v>4</v>
      </c>
      <c r="AX146" s="169">
        <v>1.0</v>
      </c>
      <c r="AY146" s="169">
        <v>1.0</v>
      </c>
      <c r="AZ146" s="197"/>
      <c r="BA146" s="169">
        <v>1.0</v>
      </c>
      <c r="BB146" s="197"/>
      <c r="BC146" s="197"/>
      <c r="BD146" s="197"/>
      <c r="BE146" s="169">
        <v>1.0</v>
      </c>
      <c r="BF146" s="197"/>
      <c r="BG146" s="197"/>
      <c r="BH146" s="197"/>
      <c r="BI146" s="197"/>
      <c r="BJ146" s="197"/>
      <c r="BK146" s="197"/>
      <c r="BL146" s="197"/>
      <c r="BM146" s="197"/>
      <c r="BN146" s="197"/>
      <c r="BO146" s="197"/>
      <c r="BP146" s="205">
        <f t="shared" si="131"/>
        <v>0</v>
      </c>
      <c r="BQ146" s="173">
        <v>357.0</v>
      </c>
      <c r="BR146" s="170">
        <f t="shared" si="10"/>
        <v>4</v>
      </c>
      <c r="BS146" s="6"/>
      <c r="BT146" s="173">
        <v>1.0</v>
      </c>
      <c r="BU146" s="6"/>
      <c r="BV146" s="173">
        <v>2.0</v>
      </c>
      <c r="BW146" s="173">
        <v>1.0</v>
      </c>
      <c r="BX146" s="6"/>
      <c r="BY146" s="6"/>
      <c r="BZ146" s="6"/>
      <c r="CA146" s="6"/>
      <c r="CB146" s="173">
        <v>1.0</v>
      </c>
      <c r="CC146" s="6"/>
      <c r="CD146" s="6"/>
      <c r="CE146" s="6"/>
      <c r="CF146" s="6"/>
      <c r="CG146" s="6"/>
      <c r="CH146" s="6"/>
      <c r="CI146" s="6"/>
      <c r="CJ146" s="6"/>
      <c r="CK146" s="172">
        <f t="shared" si="132"/>
        <v>1</v>
      </c>
      <c r="CL146" s="173">
        <v>357.0</v>
      </c>
      <c r="CM146" s="173">
        <v>113.0</v>
      </c>
      <c r="CN146" s="175">
        <f t="shared" si="295"/>
        <v>4</v>
      </c>
      <c r="CO146" s="173">
        <v>1.0</v>
      </c>
      <c r="CP146" s="173">
        <v>0.0</v>
      </c>
      <c r="CQ146" s="173">
        <v>0.0</v>
      </c>
      <c r="CR146" s="173">
        <v>2.0</v>
      </c>
      <c r="CS146" s="173">
        <v>0.0</v>
      </c>
      <c r="CT146" s="173">
        <v>0.0</v>
      </c>
      <c r="CU146" s="173">
        <v>0.0</v>
      </c>
      <c r="CV146" s="173">
        <v>1.0</v>
      </c>
      <c r="CW146" s="173">
        <v>0.0</v>
      </c>
      <c r="CX146" s="173">
        <v>1.0</v>
      </c>
      <c r="CY146" s="173">
        <v>0.0</v>
      </c>
      <c r="CZ146" s="173">
        <v>0.0</v>
      </c>
      <c r="DA146" s="173">
        <v>0.0</v>
      </c>
      <c r="DB146" s="173">
        <v>0.0</v>
      </c>
      <c r="DC146" s="173">
        <v>0.0</v>
      </c>
      <c r="DD146" s="173">
        <v>0.0</v>
      </c>
      <c r="DE146" s="173">
        <v>0.0</v>
      </c>
      <c r="DF146" s="173">
        <v>0.0</v>
      </c>
      <c r="DG146" s="176">
        <f t="shared" si="13"/>
        <v>1</v>
      </c>
      <c r="DH146" s="177">
        <v>343.0</v>
      </c>
      <c r="DI146" s="177">
        <v>117.0</v>
      </c>
      <c r="DJ146" s="178">
        <v>343.0</v>
      </c>
      <c r="DK146" s="178">
        <v>117.0</v>
      </c>
      <c r="DL146" s="179">
        <f t="shared" si="14"/>
        <v>7</v>
      </c>
      <c r="DM146" s="180">
        <f t="shared" si="15"/>
        <v>1</v>
      </c>
      <c r="DN146" s="180">
        <f t="shared" si="16"/>
        <v>6</v>
      </c>
      <c r="DO146" s="177">
        <v>1.0</v>
      </c>
      <c r="DP146" s="177">
        <v>0.0</v>
      </c>
      <c r="DQ146" s="177">
        <v>0.0</v>
      </c>
      <c r="DR146" s="177">
        <v>3.0</v>
      </c>
      <c r="DS146" s="226"/>
      <c r="DT146" s="226"/>
      <c r="DU146" s="226"/>
      <c r="DV146" s="177">
        <v>3.0</v>
      </c>
      <c r="DW146" s="226"/>
      <c r="DX146" s="226"/>
      <c r="DY146" s="226"/>
      <c r="DZ146" s="226"/>
      <c r="EA146" s="226"/>
      <c r="EB146" s="226"/>
      <c r="EC146" s="226"/>
      <c r="ED146" s="226"/>
      <c r="EE146" s="226"/>
      <c r="EF146" s="226"/>
      <c r="EG146" s="179">
        <f t="shared" si="17"/>
        <v>0</v>
      </c>
      <c r="EH146" s="179">
        <f t="shared" si="18"/>
        <v>0</v>
      </c>
      <c r="EI146" s="177">
        <v>348.0</v>
      </c>
      <c r="EJ146" s="177">
        <v>118.0</v>
      </c>
      <c r="EK146" s="178">
        <v>334.0</v>
      </c>
      <c r="EL146" s="178">
        <v>117.0</v>
      </c>
      <c r="EM146" s="185">
        <f t="shared" si="362"/>
        <v>5</v>
      </c>
      <c r="EN146" s="186">
        <f t="shared" si="202"/>
        <v>0</v>
      </c>
      <c r="EO146" s="186">
        <f t="shared" si="90"/>
        <v>5</v>
      </c>
      <c r="EP146" s="177">
        <v>0.0</v>
      </c>
      <c r="EQ146" s="177">
        <v>0.0</v>
      </c>
      <c r="ER146" s="177">
        <v>0.0</v>
      </c>
      <c r="ES146" s="177">
        <v>5.0</v>
      </c>
      <c r="ET146" s="177">
        <v>0.0</v>
      </c>
      <c r="EU146" s="177">
        <v>0.0</v>
      </c>
      <c r="EV146" s="177">
        <v>0.0</v>
      </c>
      <c r="EW146" s="177">
        <v>0.0</v>
      </c>
      <c r="EX146" s="177">
        <v>1.0</v>
      </c>
      <c r="EY146" s="177">
        <v>0.0</v>
      </c>
      <c r="EZ146" s="177">
        <v>0.0</v>
      </c>
      <c r="FA146" s="177">
        <v>1.0</v>
      </c>
      <c r="FB146" s="177">
        <v>0.0</v>
      </c>
      <c r="FC146" s="177">
        <v>0.0</v>
      </c>
      <c r="FD146" s="177">
        <v>0.0</v>
      </c>
      <c r="FE146" s="177">
        <v>0.0</v>
      </c>
      <c r="FF146" s="177">
        <v>0.0</v>
      </c>
      <c r="FG146" s="177">
        <v>0.0</v>
      </c>
      <c r="FH146" s="185">
        <f t="shared" si="22"/>
        <v>2</v>
      </c>
      <c r="FI146" s="185">
        <f t="shared" si="23"/>
        <v>1</v>
      </c>
      <c r="FJ146" s="177">
        <v>352.0</v>
      </c>
      <c r="FK146" s="177">
        <v>117.0</v>
      </c>
      <c r="FL146" s="177">
        <v>337.0</v>
      </c>
      <c r="FM146" s="177">
        <v>114.0</v>
      </c>
      <c r="FN146" s="180"/>
      <c r="FO146" s="180">
        <v>5.0</v>
      </c>
      <c r="FP146" s="188">
        <f t="shared" si="343"/>
        <v>5</v>
      </c>
      <c r="FQ146" s="211">
        <v>0.0</v>
      </c>
      <c r="FR146" s="212">
        <v>5.0</v>
      </c>
      <c r="FS146" s="206">
        <v>0.0</v>
      </c>
      <c r="FT146" s="207">
        <v>0.0</v>
      </c>
      <c r="FU146" s="207">
        <v>0.0</v>
      </c>
      <c r="FV146" s="207">
        <v>5.0</v>
      </c>
      <c r="FW146" s="207">
        <v>0.0</v>
      </c>
      <c r="FX146" s="207">
        <v>0.0</v>
      </c>
      <c r="FY146" s="207">
        <v>0.0</v>
      </c>
      <c r="FZ146" s="207">
        <v>0.0</v>
      </c>
      <c r="GA146" s="207">
        <v>0.0</v>
      </c>
      <c r="GB146" s="207">
        <v>0.0</v>
      </c>
      <c r="GC146" s="207">
        <v>0.0</v>
      </c>
      <c r="GD146" s="207">
        <v>0.0</v>
      </c>
      <c r="GE146" s="207">
        <v>0.0</v>
      </c>
      <c r="GF146" s="207">
        <v>0.0</v>
      </c>
      <c r="GG146" s="207">
        <v>0.0</v>
      </c>
      <c r="GH146" s="207">
        <v>0.0</v>
      </c>
      <c r="GI146" s="207">
        <v>0.0</v>
      </c>
      <c r="GJ146" s="207">
        <v>0.0</v>
      </c>
      <c r="GK146" s="212">
        <v>0.0</v>
      </c>
      <c r="GL146" s="212">
        <v>0.0</v>
      </c>
      <c r="GM146" s="207">
        <v>350.0</v>
      </c>
      <c r="GN146" s="207">
        <v>116.0</v>
      </c>
      <c r="GO146" s="213">
        <v>340.0</v>
      </c>
      <c r="GP146" s="213">
        <v>113.0</v>
      </c>
      <c r="GQ146" s="207"/>
      <c r="GR146" s="213">
        <v>4.0</v>
      </c>
      <c r="GS146" s="193">
        <v>0.0</v>
      </c>
      <c r="GT146" s="194">
        <f t="shared" si="25"/>
        <v>4</v>
      </c>
      <c r="GU146" s="194">
        <f t="shared" si="26"/>
        <v>0</v>
      </c>
      <c r="GV146" s="194">
        <f t="shared" si="27"/>
        <v>4</v>
      </c>
      <c r="GW146" s="207">
        <v>0.0</v>
      </c>
      <c r="GX146" s="207">
        <v>0.0</v>
      </c>
      <c r="GY146" s="207">
        <v>0.0</v>
      </c>
      <c r="GZ146" s="207">
        <v>4.0</v>
      </c>
      <c r="HA146" s="207">
        <v>0.0</v>
      </c>
      <c r="HB146" s="207">
        <v>0.0</v>
      </c>
      <c r="HC146" s="207">
        <v>0.0</v>
      </c>
      <c r="HD146" s="207">
        <v>0.0</v>
      </c>
      <c r="HE146" s="207">
        <v>0.0</v>
      </c>
      <c r="HF146" s="207">
        <v>0.0</v>
      </c>
      <c r="HG146" s="207">
        <v>0.0</v>
      </c>
      <c r="HH146" s="207">
        <v>1.0</v>
      </c>
      <c r="HI146" s="207">
        <v>0.0</v>
      </c>
      <c r="HJ146" s="207">
        <v>0.0</v>
      </c>
      <c r="HK146" s="207">
        <v>0.0</v>
      </c>
      <c r="HL146" s="207">
        <v>0.0</v>
      </c>
      <c r="HM146" s="207">
        <v>0.0</v>
      </c>
      <c r="HN146" s="207">
        <v>0.0</v>
      </c>
      <c r="HO146" s="222"/>
      <c r="HP146" s="222"/>
      <c r="HQ146" s="214"/>
      <c r="HR146" s="197"/>
      <c r="HS146" s="197"/>
      <c r="HT146" s="198">
        <f t="shared" si="28"/>
        <v>3</v>
      </c>
      <c r="HU146" s="198">
        <f t="shared" si="29"/>
        <v>3</v>
      </c>
      <c r="HV146" s="198">
        <f t="shared" si="30"/>
        <v>4</v>
      </c>
      <c r="HW146" s="198">
        <f t="shared" si="99"/>
        <v>2</v>
      </c>
      <c r="HX146" s="198">
        <f t="shared" si="32"/>
        <v>3</v>
      </c>
      <c r="HY146" s="198">
        <f t="shared" si="33"/>
        <v>4</v>
      </c>
      <c r="HZ146" s="198">
        <f t="shared" si="34"/>
        <v>4</v>
      </c>
      <c r="IA146" s="198">
        <f t="shared" si="35"/>
        <v>4</v>
      </c>
      <c r="IB146" s="198">
        <f t="shared" si="36"/>
        <v>7</v>
      </c>
      <c r="IC146" s="198">
        <f t="shared" si="37"/>
        <v>5</v>
      </c>
      <c r="ID146" s="198">
        <f t="shared" si="38"/>
        <v>5</v>
      </c>
      <c r="IE146" s="198">
        <f t="shared" si="39"/>
        <v>4</v>
      </c>
      <c r="IF146" s="197"/>
      <c r="IG146" s="197"/>
      <c r="IH146" s="197"/>
      <c r="II146" s="197"/>
      <c r="IJ146" s="197"/>
      <c r="IK146" s="197"/>
      <c r="IL146" s="197"/>
      <c r="IM146" s="197"/>
      <c r="IN146" s="197"/>
      <c r="IO146" s="197"/>
      <c r="IP146" s="197"/>
      <c r="IQ146" s="197"/>
      <c r="IR146" s="197"/>
      <c r="IS146" s="197"/>
      <c r="IT146" s="197"/>
      <c r="IU146" s="197"/>
      <c r="IV146" s="197"/>
      <c r="IW146" s="197"/>
      <c r="IX146" s="197"/>
      <c r="IY146" s="197"/>
      <c r="IZ146" s="197"/>
      <c r="JA146" s="199"/>
      <c r="JB146" s="200">
        <f t="shared" si="40"/>
        <v>3</v>
      </c>
      <c r="JC146" s="200">
        <f t="shared" si="41"/>
        <v>3</v>
      </c>
      <c r="JD146" s="200">
        <f t="shared" si="42"/>
        <v>4</v>
      </c>
      <c r="JE146" s="200">
        <f t="shared" si="43"/>
        <v>2</v>
      </c>
      <c r="JF146" s="200">
        <f t="shared" si="44"/>
        <v>3</v>
      </c>
      <c r="JG146" s="200">
        <f t="shared" si="45"/>
        <v>4</v>
      </c>
      <c r="JH146" s="200">
        <f t="shared" si="46"/>
        <v>4</v>
      </c>
      <c r="JI146" s="200">
        <f t="shared" si="47"/>
        <v>4</v>
      </c>
      <c r="JJ146" s="200">
        <f t="shared" si="48"/>
        <v>7</v>
      </c>
      <c r="JK146" s="200">
        <f t="shared" si="49"/>
        <v>7</v>
      </c>
      <c r="JL146" s="200">
        <f t="shared" si="50"/>
        <v>5</v>
      </c>
      <c r="JM146" s="200">
        <f t="shared" si="51"/>
        <v>4</v>
      </c>
      <c r="JN146" s="199"/>
      <c r="JO146" s="200">
        <f t="shared" si="52"/>
        <v>3</v>
      </c>
      <c r="JP146" s="202">
        <v>3.0</v>
      </c>
      <c r="JQ146" s="202">
        <v>4.0</v>
      </c>
      <c r="JR146" s="202">
        <v>2.0</v>
      </c>
      <c r="JS146" s="202">
        <v>3.0</v>
      </c>
      <c r="JT146" s="199"/>
      <c r="JU146" s="199"/>
      <c r="JV146" s="200">
        <f t="shared" ref="JV146:JX146" si="363">IA146-JI146</f>
        <v>0</v>
      </c>
      <c r="JW146" s="200">
        <f t="shared" si="363"/>
        <v>0</v>
      </c>
      <c r="JX146" s="200">
        <f t="shared" si="363"/>
        <v>-2</v>
      </c>
      <c r="JY146" s="199"/>
      <c r="JZ146" s="199"/>
      <c r="KA146" s="199"/>
      <c r="KB146" s="200">
        <f t="shared" ref="KB146:KM146" si="364">JB146-JO146</f>
        <v>0</v>
      </c>
      <c r="KC146" s="200">
        <f t="shared" si="364"/>
        <v>0</v>
      </c>
      <c r="KD146" s="200">
        <f t="shared" si="364"/>
        <v>0</v>
      </c>
      <c r="KE146" s="200">
        <f t="shared" si="364"/>
        <v>0</v>
      </c>
      <c r="KF146" s="200">
        <f t="shared" si="364"/>
        <v>0</v>
      </c>
      <c r="KG146" s="200">
        <f t="shared" si="364"/>
        <v>4</v>
      </c>
      <c r="KH146" s="200">
        <f t="shared" si="364"/>
        <v>4</v>
      </c>
      <c r="KI146" s="200">
        <f t="shared" si="364"/>
        <v>4</v>
      </c>
      <c r="KJ146" s="200">
        <f t="shared" si="364"/>
        <v>7</v>
      </c>
      <c r="KK146" s="200">
        <f t="shared" si="364"/>
        <v>9</v>
      </c>
      <c r="KL146" s="200">
        <f t="shared" si="364"/>
        <v>5</v>
      </c>
      <c r="KM146" s="200">
        <f t="shared" si="364"/>
        <v>4</v>
      </c>
      <c r="KN146" s="199"/>
      <c r="KO146" s="199"/>
      <c r="KP146" s="199"/>
      <c r="KQ146" s="199"/>
      <c r="KR146" s="199"/>
      <c r="KS146" s="199"/>
      <c r="KT146" s="199"/>
      <c r="KU146" s="199"/>
      <c r="KV146" s="199"/>
      <c r="KW146" s="199"/>
      <c r="KX146" s="199"/>
      <c r="KY146" s="199"/>
      <c r="KZ146" s="199"/>
      <c r="LA146" s="199"/>
      <c r="LB146" s="199"/>
      <c r="LC146" s="199"/>
      <c r="LD146" s="199"/>
      <c r="LE146" s="199"/>
      <c r="LF146" s="199"/>
      <c r="LG146" s="199"/>
    </row>
    <row r="147" ht="14.25" customHeight="1">
      <c r="A147" s="156">
        <v>140.0</v>
      </c>
      <c r="B147" s="157" t="s">
        <v>240</v>
      </c>
      <c r="C147" s="158">
        <v>3374090.0</v>
      </c>
      <c r="D147" s="158" t="s">
        <v>252</v>
      </c>
      <c r="E147" s="158" t="s">
        <v>254</v>
      </c>
      <c r="F147" s="470">
        <v>6.0</v>
      </c>
      <c r="G147" s="471">
        <v>156.0</v>
      </c>
      <c r="H147" s="160">
        <v>1.0</v>
      </c>
      <c r="I147" s="161"/>
      <c r="J147" s="161"/>
      <c r="K147" s="161">
        <v>1.0</v>
      </c>
      <c r="L147" s="161"/>
      <c r="M147" s="161">
        <v>1.0</v>
      </c>
      <c r="N147" s="161">
        <v>0.0</v>
      </c>
      <c r="O147" s="162">
        <v>2.0</v>
      </c>
      <c r="P147" s="203">
        <v>2.0</v>
      </c>
      <c r="Q147" s="164"/>
      <c r="R147" s="164"/>
      <c r="S147" s="164">
        <v>2.0</v>
      </c>
      <c r="T147" s="165"/>
      <c r="U147" s="165">
        <v>1.0</v>
      </c>
      <c r="V147" s="165"/>
      <c r="W147" s="166">
        <f t="shared" si="225"/>
        <v>1</v>
      </c>
      <c r="X147" s="203">
        <v>1.0</v>
      </c>
      <c r="Y147" s="165"/>
      <c r="Z147" s="165"/>
      <c r="AA147" s="165">
        <v>1.0</v>
      </c>
      <c r="AB147" s="165"/>
      <c r="AC147" s="165"/>
      <c r="AD147" s="165"/>
      <c r="AE147" s="166">
        <f t="shared" si="214"/>
        <v>1</v>
      </c>
      <c r="AF147" s="167">
        <v>1.0</v>
      </c>
      <c r="AG147" s="165"/>
      <c r="AH147" s="165"/>
      <c r="AI147" s="165"/>
      <c r="AJ147" s="165">
        <v>1.0</v>
      </c>
      <c r="AK147" s="165">
        <v>1.0</v>
      </c>
      <c r="AL147" s="165"/>
      <c r="AM147" s="166">
        <v>2.0</v>
      </c>
      <c r="AN147" s="167">
        <v>2.0</v>
      </c>
      <c r="AO147" s="165"/>
      <c r="AP147" s="165"/>
      <c r="AQ147" s="165">
        <v>1.0</v>
      </c>
      <c r="AR147" s="165">
        <v>1.0</v>
      </c>
      <c r="AS147" s="165"/>
      <c r="AT147" s="165"/>
      <c r="AU147" s="168">
        <f t="shared" si="216"/>
        <v>2</v>
      </c>
      <c r="AV147" s="472">
        <v>186.0</v>
      </c>
      <c r="AW147" s="204">
        <f t="shared" si="8"/>
        <v>2</v>
      </c>
      <c r="AX147" s="197"/>
      <c r="AY147" s="197"/>
      <c r="AZ147" s="169">
        <v>1.0</v>
      </c>
      <c r="BA147" s="169">
        <v>1.0</v>
      </c>
      <c r="BB147" s="197"/>
      <c r="BC147" s="197"/>
      <c r="BD147" s="197"/>
      <c r="BE147" s="197"/>
      <c r="BF147" s="197"/>
      <c r="BG147" s="197"/>
      <c r="BH147" s="197"/>
      <c r="BI147" s="169">
        <v>1.0</v>
      </c>
      <c r="BJ147" s="197"/>
      <c r="BK147" s="197"/>
      <c r="BL147" s="197"/>
      <c r="BM147" s="197"/>
      <c r="BN147" s="197"/>
      <c r="BO147" s="197"/>
      <c r="BP147" s="205">
        <f t="shared" si="131"/>
        <v>1</v>
      </c>
      <c r="BQ147" s="173">
        <v>178.0</v>
      </c>
      <c r="BR147" s="170">
        <f t="shared" si="10"/>
        <v>1</v>
      </c>
      <c r="BS147" s="6"/>
      <c r="BT147" s="6"/>
      <c r="BU147" s="6"/>
      <c r="BV147" s="173">
        <v>1.0</v>
      </c>
      <c r="BW147" s="6"/>
      <c r="BX147" s="6"/>
      <c r="BY147" s="6"/>
      <c r="BZ147" s="6"/>
      <c r="CA147" s="6"/>
      <c r="CB147" s="6"/>
      <c r="CC147" s="173">
        <v>1.0</v>
      </c>
      <c r="CD147" s="6"/>
      <c r="CE147" s="6"/>
      <c r="CF147" s="6"/>
      <c r="CG147" s="6"/>
      <c r="CH147" s="6"/>
      <c r="CI147" s="6"/>
      <c r="CJ147" s="6"/>
      <c r="CK147" s="172">
        <f t="shared" si="132"/>
        <v>1</v>
      </c>
      <c r="CL147" s="473">
        <v>178.0</v>
      </c>
      <c r="CM147" s="173">
        <v>52.0</v>
      </c>
      <c r="CN147" s="175">
        <f t="shared" si="295"/>
        <v>1</v>
      </c>
      <c r="CO147" s="173">
        <v>0.0</v>
      </c>
      <c r="CP147" s="173">
        <v>0.0</v>
      </c>
      <c r="CQ147" s="173">
        <v>0.0</v>
      </c>
      <c r="CR147" s="173">
        <v>1.0</v>
      </c>
      <c r="CS147" s="173">
        <v>0.0</v>
      </c>
      <c r="CT147" s="173">
        <v>0.0</v>
      </c>
      <c r="CU147" s="173">
        <v>0.0</v>
      </c>
      <c r="CV147" s="173">
        <v>0.0</v>
      </c>
      <c r="CW147" s="173">
        <v>0.0</v>
      </c>
      <c r="CX147" s="173">
        <v>0.0</v>
      </c>
      <c r="CY147" s="173">
        <v>0.0</v>
      </c>
      <c r="CZ147" s="173">
        <v>0.0</v>
      </c>
      <c r="DA147" s="173">
        <v>0.0</v>
      </c>
      <c r="DB147" s="173">
        <v>0.0</v>
      </c>
      <c r="DC147" s="173">
        <v>0.0</v>
      </c>
      <c r="DD147" s="173">
        <v>0.0</v>
      </c>
      <c r="DE147" s="173">
        <v>0.0</v>
      </c>
      <c r="DF147" s="173">
        <v>0.0</v>
      </c>
      <c r="DG147" s="176">
        <f t="shared" si="13"/>
        <v>0</v>
      </c>
      <c r="DH147" s="177">
        <v>125.0</v>
      </c>
      <c r="DI147" s="177">
        <v>32.0</v>
      </c>
      <c r="DJ147" s="178">
        <v>125.0</v>
      </c>
      <c r="DK147" s="178">
        <v>32.0</v>
      </c>
      <c r="DL147" s="179">
        <f t="shared" si="14"/>
        <v>1</v>
      </c>
      <c r="DM147" s="180">
        <f t="shared" si="15"/>
        <v>0</v>
      </c>
      <c r="DN147" s="180">
        <f t="shared" si="16"/>
        <v>1</v>
      </c>
      <c r="DO147" s="177">
        <v>0.0</v>
      </c>
      <c r="DP147" s="177">
        <v>0.0</v>
      </c>
      <c r="DQ147" s="177">
        <v>0.0</v>
      </c>
      <c r="DR147" s="177">
        <v>1.0</v>
      </c>
      <c r="DS147" s="226"/>
      <c r="DT147" s="226"/>
      <c r="DU147" s="226"/>
      <c r="DV147" s="226"/>
      <c r="DW147" s="226"/>
      <c r="DX147" s="226"/>
      <c r="DY147" s="226"/>
      <c r="DZ147" s="226"/>
      <c r="EA147" s="226"/>
      <c r="EB147" s="226"/>
      <c r="EC147" s="226"/>
      <c r="ED147" s="226"/>
      <c r="EE147" s="226"/>
      <c r="EF147" s="226"/>
      <c r="EG147" s="179">
        <f t="shared" si="17"/>
        <v>0</v>
      </c>
      <c r="EH147" s="179">
        <f t="shared" si="18"/>
        <v>0</v>
      </c>
      <c r="EI147" s="177">
        <v>129.0</v>
      </c>
      <c r="EJ147" s="177">
        <v>40.0</v>
      </c>
      <c r="EK147" s="178">
        <v>124.0</v>
      </c>
      <c r="EL147" s="178">
        <v>38.0</v>
      </c>
      <c r="EM147" s="185">
        <f t="shared" si="362"/>
        <v>1</v>
      </c>
      <c r="EN147" s="186">
        <f t="shared" si="202"/>
        <v>0</v>
      </c>
      <c r="EO147" s="186">
        <f t="shared" si="90"/>
        <v>1</v>
      </c>
      <c r="EP147" s="177">
        <v>0.0</v>
      </c>
      <c r="EQ147" s="177">
        <v>0.0</v>
      </c>
      <c r="ER147" s="177">
        <v>0.0</v>
      </c>
      <c r="ES147" s="177">
        <v>1.0</v>
      </c>
      <c r="ET147" s="177">
        <v>0.0</v>
      </c>
      <c r="EU147" s="177">
        <v>0.0</v>
      </c>
      <c r="EV147" s="177">
        <v>0.0</v>
      </c>
      <c r="EW147" s="177">
        <v>0.0</v>
      </c>
      <c r="EX147" s="177">
        <v>0.0</v>
      </c>
      <c r="EY147" s="177">
        <v>0.0</v>
      </c>
      <c r="EZ147" s="177">
        <v>0.0</v>
      </c>
      <c r="FA147" s="177">
        <v>0.0</v>
      </c>
      <c r="FB147" s="177">
        <v>0.0</v>
      </c>
      <c r="FC147" s="177">
        <v>0.0</v>
      </c>
      <c r="FD147" s="177">
        <v>0.0</v>
      </c>
      <c r="FE147" s="177">
        <v>0.0</v>
      </c>
      <c r="FF147" s="177">
        <v>0.0</v>
      </c>
      <c r="FG147" s="177">
        <v>0.0</v>
      </c>
      <c r="FH147" s="185">
        <f t="shared" si="22"/>
        <v>0</v>
      </c>
      <c r="FI147" s="185">
        <f t="shared" si="23"/>
        <v>0</v>
      </c>
      <c r="FJ147" s="177">
        <v>130.0</v>
      </c>
      <c r="FK147" s="177">
        <v>30.0</v>
      </c>
      <c r="FL147" s="177">
        <v>128.0</v>
      </c>
      <c r="FM147" s="177">
        <v>29.0</v>
      </c>
      <c r="FN147" s="180"/>
      <c r="FO147" s="180">
        <v>1.0</v>
      </c>
      <c r="FP147" s="188">
        <f t="shared" si="343"/>
        <v>1</v>
      </c>
      <c r="FQ147" s="211">
        <v>0.0</v>
      </c>
      <c r="FR147" s="212">
        <v>1.0</v>
      </c>
      <c r="FS147" s="206">
        <v>0.0</v>
      </c>
      <c r="FT147" s="207">
        <v>0.0</v>
      </c>
      <c r="FU147" s="207">
        <v>0.0</v>
      </c>
      <c r="FV147" s="207">
        <v>1.0</v>
      </c>
      <c r="FW147" s="207">
        <v>0.0</v>
      </c>
      <c r="FX147" s="207">
        <v>0.0</v>
      </c>
      <c r="FY147" s="207">
        <v>0.0</v>
      </c>
      <c r="FZ147" s="207">
        <v>0.0</v>
      </c>
      <c r="GA147" s="207">
        <v>0.0</v>
      </c>
      <c r="GB147" s="207">
        <v>0.0</v>
      </c>
      <c r="GC147" s="207">
        <v>0.0</v>
      </c>
      <c r="GD147" s="207">
        <v>0.0</v>
      </c>
      <c r="GE147" s="207">
        <v>0.0</v>
      </c>
      <c r="GF147" s="207">
        <v>0.0</v>
      </c>
      <c r="GG147" s="207">
        <v>0.0</v>
      </c>
      <c r="GH147" s="207">
        <v>0.0</v>
      </c>
      <c r="GI147" s="207">
        <v>0.0</v>
      </c>
      <c r="GJ147" s="207">
        <v>0.0</v>
      </c>
      <c r="GK147" s="212">
        <v>0.0</v>
      </c>
      <c r="GL147" s="212">
        <v>0.0</v>
      </c>
      <c r="GM147" s="207">
        <v>131.0</v>
      </c>
      <c r="GN147" s="207">
        <v>30.0</v>
      </c>
      <c r="GO147" s="213">
        <v>128.0</v>
      </c>
      <c r="GP147" s="213">
        <v>28.0</v>
      </c>
      <c r="GQ147" s="207"/>
      <c r="GR147" s="213">
        <v>2.0</v>
      </c>
      <c r="GS147" s="193">
        <v>1.0</v>
      </c>
      <c r="GT147" s="194">
        <f t="shared" si="25"/>
        <v>2</v>
      </c>
      <c r="GU147" s="194">
        <f t="shared" si="26"/>
        <v>1</v>
      </c>
      <c r="GV147" s="194">
        <f t="shared" si="27"/>
        <v>1</v>
      </c>
      <c r="GW147" s="207">
        <v>0.0</v>
      </c>
      <c r="GX147" s="207">
        <v>0.0</v>
      </c>
      <c r="GY147" s="207">
        <v>0.0</v>
      </c>
      <c r="GZ147" s="207">
        <v>1.0</v>
      </c>
      <c r="HA147" s="207">
        <v>0.0</v>
      </c>
      <c r="HB147" s="207">
        <v>0.0</v>
      </c>
      <c r="HC147" s="207">
        <v>1.0</v>
      </c>
      <c r="HD147" s="207">
        <v>0.0</v>
      </c>
      <c r="HE147" s="207">
        <v>0.0</v>
      </c>
      <c r="HF147" s="207">
        <v>0.0</v>
      </c>
      <c r="HG147" s="207">
        <v>0.0</v>
      </c>
      <c r="HH147" s="207">
        <v>0.0</v>
      </c>
      <c r="HI147" s="207">
        <v>0.0</v>
      </c>
      <c r="HJ147" s="207">
        <v>0.0</v>
      </c>
      <c r="HK147" s="207">
        <v>0.0</v>
      </c>
      <c r="HL147" s="207">
        <v>0.0</v>
      </c>
      <c r="HM147" s="207">
        <v>0.0</v>
      </c>
      <c r="HN147" s="207">
        <v>0.0</v>
      </c>
      <c r="HO147" s="222"/>
      <c r="HP147" s="222"/>
      <c r="HQ147" s="214"/>
      <c r="HR147" s="197"/>
      <c r="HS147" s="197"/>
      <c r="HT147" s="198">
        <f t="shared" si="28"/>
        <v>1</v>
      </c>
      <c r="HU147" s="198">
        <f t="shared" si="29"/>
        <v>2</v>
      </c>
      <c r="HV147" s="198">
        <f t="shared" si="30"/>
        <v>1</v>
      </c>
      <c r="HW147" s="198">
        <f t="shared" si="99"/>
        <v>1</v>
      </c>
      <c r="HX147" s="198">
        <f t="shared" si="32"/>
        <v>2</v>
      </c>
      <c r="HY147" s="198">
        <f t="shared" si="33"/>
        <v>2</v>
      </c>
      <c r="HZ147" s="198">
        <f t="shared" si="34"/>
        <v>1</v>
      </c>
      <c r="IA147" s="198">
        <f t="shared" si="35"/>
        <v>1</v>
      </c>
      <c r="IB147" s="198">
        <f t="shared" si="36"/>
        <v>1</v>
      </c>
      <c r="IC147" s="198">
        <f t="shared" si="37"/>
        <v>1</v>
      </c>
      <c r="ID147" s="198">
        <f t="shared" si="38"/>
        <v>1</v>
      </c>
      <c r="IE147" s="198">
        <f t="shared" si="39"/>
        <v>2</v>
      </c>
      <c r="IF147" s="197"/>
      <c r="IG147" s="197"/>
      <c r="IH147" s="197"/>
      <c r="II147" s="197"/>
      <c r="IJ147" s="197"/>
      <c r="IK147" s="197"/>
      <c r="IL147" s="197"/>
      <c r="IM147" s="197"/>
      <c r="IN147" s="197"/>
      <c r="IO147" s="197"/>
      <c r="IP147" s="197"/>
      <c r="IQ147" s="197"/>
      <c r="IR147" s="197"/>
      <c r="IS147" s="197"/>
      <c r="IT147" s="197"/>
      <c r="IU147" s="197"/>
      <c r="IV147" s="197"/>
      <c r="IW147" s="197"/>
      <c r="IX147" s="197"/>
      <c r="IY147" s="197"/>
      <c r="IZ147" s="197"/>
      <c r="JA147" s="199"/>
      <c r="JB147" s="200">
        <f t="shared" si="40"/>
        <v>1</v>
      </c>
      <c r="JC147" s="200">
        <f t="shared" si="41"/>
        <v>2</v>
      </c>
      <c r="JD147" s="200">
        <f t="shared" si="42"/>
        <v>1</v>
      </c>
      <c r="JE147" s="200">
        <f t="shared" si="43"/>
        <v>1</v>
      </c>
      <c r="JF147" s="200">
        <f t="shared" si="44"/>
        <v>2</v>
      </c>
      <c r="JG147" s="200">
        <f t="shared" si="45"/>
        <v>2</v>
      </c>
      <c r="JH147" s="200">
        <f t="shared" si="46"/>
        <v>1</v>
      </c>
      <c r="JI147" s="200">
        <f t="shared" si="47"/>
        <v>1</v>
      </c>
      <c r="JJ147" s="200">
        <f t="shared" si="48"/>
        <v>1</v>
      </c>
      <c r="JK147" s="200">
        <f t="shared" si="49"/>
        <v>1</v>
      </c>
      <c r="JL147" s="200">
        <f t="shared" si="50"/>
        <v>1</v>
      </c>
      <c r="JM147" s="200">
        <f t="shared" si="51"/>
        <v>2</v>
      </c>
      <c r="JN147" s="199"/>
      <c r="JO147" s="200">
        <f t="shared" si="52"/>
        <v>1</v>
      </c>
      <c r="JP147" s="202">
        <v>2.0</v>
      </c>
      <c r="JQ147" s="202">
        <v>1.0</v>
      </c>
      <c r="JR147" s="202">
        <v>1.0</v>
      </c>
      <c r="JS147" s="202">
        <v>2.0</v>
      </c>
      <c r="JT147" s="199"/>
      <c r="JU147" s="199"/>
      <c r="JV147" s="200">
        <f t="shared" ref="JV147:JX147" si="365">IA147-JI147</f>
        <v>0</v>
      </c>
      <c r="JW147" s="200">
        <f t="shared" si="365"/>
        <v>0</v>
      </c>
      <c r="JX147" s="200">
        <f t="shared" si="365"/>
        <v>0</v>
      </c>
      <c r="JY147" s="199"/>
      <c r="JZ147" s="199"/>
      <c r="KA147" s="199"/>
      <c r="KB147" s="200">
        <f t="shared" ref="KB147:KM147" si="366">JB147-JO147</f>
        <v>0</v>
      </c>
      <c r="KC147" s="200">
        <f t="shared" si="366"/>
        <v>0</v>
      </c>
      <c r="KD147" s="200">
        <f t="shared" si="366"/>
        <v>0</v>
      </c>
      <c r="KE147" s="200">
        <f t="shared" si="366"/>
        <v>0</v>
      </c>
      <c r="KF147" s="200">
        <f t="shared" si="366"/>
        <v>0</v>
      </c>
      <c r="KG147" s="200">
        <f t="shared" si="366"/>
        <v>2</v>
      </c>
      <c r="KH147" s="200">
        <f t="shared" si="366"/>
        <v>1</v>
      </c>
      <c r="KI147" s="200">
        <f t="shared" si="366"/>
        <v>1</v>
      </c>
      <c r="KJ147" s="200">
        <f t="shared" si="366"/>
        <v>1</v>
      </c>
      <c r="KK147" s="200">
        <f t="shared" si="366"/>
        <v>1</v>
      </c>
      <c r="KL147" s="200">
        <f t="shared" si="366"/>
        <v>1</v>
      </c>
      <c r="KM147" s="200">
        <f t="shared" si="366"/>
        <v>2</v>
      </c>
      <c r="KN147" s="199"/>
      <c r="KO147" s="199"/>
      <c r="KP147" s="199"/>
      <c r="KQ147" s="199"/>
      <c r="KR147" s="199"/>
      <c r="KS147" s="199"/>
      <c r="KT147" s="199"/>
      <c r="KU147" s="199"/>
      <c r="KV147" s="199"/>
      <c r="KW147" s="199"/>
      <c r="KX147" s="199"/>
      <c r="KY147" s="199"/>
      <c r="KZ147" s="199"/>
      <c r="LA147" s="199"/>
      <c r="LB147" s="199"/>
      <c r="LC147" s="199"/>
      <c r="LD147" s="199"/>
      <c r="LE147" s="199"/>
      <c r="LF147" s="199"/>
      <c r="LG147" s="199"/>
    </row>
    <row r="148" ht="14.25" customHeight="1">
      <c r="A148" s="156">
        <v>141.0</v>
      </c>
      <c r="B148" s="157" t="s">
        <v>240</v>
      </c>
      <c r="C148" s="158">
        <v>3374090.0</v>
      </c>
      <c r="D148" s="158" t="s">
        <v>252</v>
      </c>
      <c r="E148" s="158" t="s">
        <v>255</v>
      </c>
      <c r="F148" s="470">
        <v>3.0</v>
      </c>
      <c r="G148" s="471">
        <v>149.0</v>
      </c>
      <c r="H148" s="160">
        <v>4.0</v>
      </c>
      <c r="I148" s="161"/>
      <c r="J148" s="161"/>
      <c r="K148" s="161">
        <v>2.0</v>
      </c>
      <c r="L148" s="161">
        <v>2.0</v>
      </c>
      <c r="M148" s="161">
        <v>2.0</v>
      </c>
      <c r="N148" s="161">
        <v>0.0</v>
      </c>
      <c r="O148" s="162">
        <f t="shared" ref="O148:O180" si="369">H148-(M148+N148)</f>
        <v>2</v>
      </c>
      <c r="P148" s="203">
        <v>2.0</v>
      </c>
      <c r="Q148" s="164"/>
      <c r="R148" s="164"/>
      <c r="S148" s="164"/>
      <c r="T148" s="165">
        <v>2.0</v>
      </c>
      <c r="U148" s="165">
        <v>1.0</v>
      </c>
      <c r="V148" s="165"/>
      <c r="W148" s="166">
        <f t="shared" si="225"/>
        <v>1</v>
      </c>
      <c r="X148" s="203">
        <v>2.0</v>
      </c>
      <c r="Y148" s="165"/>
      <c r="Z148" s="165"/>
      <c r="AA148" s="165"/>
      <c r="AB148" s="165">
        <v>2.0</v>
      </c>
      <c r="AC148" s="165"/>
      <c r="AD148" s="165">
        <v>1.0</v>
      </c>
      <c r="AE148" s="166">
        <f t="shared" si="214"/>
        <v>1</v>
      </c>
      <c r="AF148" s="167">
        <v>1.0</v>
      </c>
      <c r="AG148" s="165"/>
      <c r="AH148" s="165"/>
      <c r="AI148" s="165"/>
      <c r="AJ148" s="165">
        <v>1.0</v>
      </c>
      <c r="AK148" s="165"/>
      <c r="AL148" s="165">
        <v>1.0</v>
      </c>
      <c r="AM148" s="166">
        <f t="shared" ref="AM148:AM184" si="370">AF148-(AK148+AL148)</f>
        <v>0</v>
      </c>
      <c r="AN148" s="167">
        <v>1.0</v>
      </c>
      <c r="AO148" s="165"/>
      <c r="AP148" s="165"/>
      <c r="AQ148" s="165"/>
      <c r="AR148" s="165">
        <v>1.0</v>
      </c>
      <c r="AS148" s="165"/>
      <c r="AT148" s="165"/>
      <c r="AU148" s="168">
        <f t="shared" si="216"/>
        <v>1</v>
      </c>
      <c r="AV148" s="472">
        <v>141.0</v>
      </c>
      <c r="AW148" s="204">
        <f t="shared" si="8"/>
        <v>1</v>
      </c>
      <c r="AX148" s="197"/>
      <c r="AY148" s="197"/>
      <c r="AZ148" s="197"/>
      <c r="BA148" s="169">
        <v>1.0</v>
      </c>
      <c r="BB148" s="197"/>
      <c r="BC148" s="197"/>
      <c r="BD148" s="197"/>
      <c r="BE148" s="197"/>
      <c r="BF148" s="197"/>
      <c r="BG148" s="197"/>
      <c r="BH148" s="197"/>
      <c r="BI148" s="197"/>
      <c r="BJ148" s="197"/>
      <c r="BK148" s="197"/>
      <c r="BL148" s="197"/>
      <c r="BM148" s="197"/>
      <c r="BN148" s="197"/>
      <c r="BO148" s="197"/>
      <c r="BP148" s="205">
        <f t="shared" si="131"/>
        <v>0</v>
      </c>
      <c r="BQ148" s="173">
        <v>141.0</v>
      </c>
      <c r="BR148" s="170">
        <f t="shared" si="10"/>
        <v>2</v>
      </c>
      <c r="BS148" s="6"/>
      <c r="BT148" s="6"/>
      <c r="BU148" s="6"/>
      <c r="BV148" s="173">
        <v>1.0</v>
      </c>
      <c r="BW148" s="6"/>
      <c r="BX148" s="6"/>
      <c r="BY148" s="6"/>
      <c r="BZ148" s="173">
        <v>1.0</v>
      </c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172">
        <f t="shared" si="132"/>
        <v>0</v>
      </c>
      <c r="CL148" s="473">
        <v>141.0</v>
      </c>
      <c r="CM148" s="173">
        <v>43.0</v>
      </c>
      <c r="CN148" s="175">
        <f t="shared" si="295"/>
        <v>2</v>
      </c>
      <c r="CO148" s="173">
        <v>0.0</v>
      </c>
      <c r="CP148" s="173">
        <v>0.0</v>
      </c>
      <c r="CQ148" s="173">
        <v>0.0</v>
      </c>
      <c r="CR148" s="173">
        <v>1.0</v>
      </c>
      <c r="CS148" s="173">
        <v>0.0</v>
      </c>
      <c r="CT148" s="173">
        <v>0.0</v>
      </c>
      <c r="CU148" s="173">
        <v>1.0</v>
      </c>
      <c r="CV148" s="173">
        <v>0.0</v>
      </c>
      <c r="CW148" s="173">
        <v>0.0</v>
      </c>
      <c r="CX148" s="173">
        <v>0.0</v>
      </c>
      <c r="CY148" s="173">
        <v>0.0</v>
      </c>
      <c r="CZ148" s="173">
        <v>1.0</v>
      </c>
      <c r="DA148" s="173">
        <v>0.0</v>
      </c>
      <c r="DB148" s="173">
        <v>0.0</v>
      </c>
      <c r="DC148" s="173">
        <v>0.0</v>
      </c>
      <c r="DD148" s="173">
        <v>0.0</v>
      </c>
      <c r="DE148" s="173">
        <v>0.0</v>
      </c>
      <c r="DF148" s="173">
        <v>0.0</v>
      </c>
      <c r="DG148" s="176">
        <f t="shared" si="13"/>
        <v>1</v>
      </c>
      <c r="DH148" s="177">
        <v>128.0</v>
      </c>
      <c r="DI148" s="177">
        <v>43.0</v>
      </c>
      <c r="DJ148" s="178">
        <v>128.0</v>
      </c>
      <c r="DK148" s="178">
        <v>43.0</v>
      </c>
      <c r="DL148" s="179">
        <f t="shared" si="14"/>
        <v>2</v>
      </c>
      <c r="DM148" s="180">
        <f t="shared" si="15"/>
        <v>1</v>
      </c>
      <c r="DN148" s="180">
        <f t="shared" si="16"/>
        <v>1</v>
      </c>
      <c r="DO148" s="177">
        <v>0.0</v>
      </c>
      <c r="DP148" s="177">
        <v>0.0</v>
      </c>
      <c r="DQ148" s="177">
        <v>1.0</v>
      </c>
      <c r="DR148" s="177">
        <v>0.0</v>
      </c>
      <c r="DS148" s="226"/>
      <c r="DT148" s="226"/>
      <c r="DU148" s="226"/>
      <c r="DV148" s="177">
        <v>1.0</v>
      </c>
      <c r="DW148" s="226"/>
      <c r="DX148" s="226"/>
      <c r="DY148" s="226"/>
      <c r="DZ148" s="226"/>
      <c r="EA148" s="226"/>
      <c r="EB148" s="226"/>
      <c r="EC148" s="226"/>
      <c r="ED148" s="226"/>
      <c r="EE148" s="177">
        <v>1.0</v>
      </c>
      <c r="EF148" s="226"/>
      <c r="EG148" s="179">
        <f t="shared" si="17"/>
        <v>1</v>
      </c>
      <c r="EH148" s="179">
        <f t="shared" si="18"/>
        <v>1</v>
      </c>
      <c r="EI148" s="177">
        <v>126.0</v>
      </c>
      <c r="EJ148" s="177">
        <v>30.0</v>
      </c>
      <c r="EK148" s="178">
        <v>121.0</v>
      </c>
      <c r="EL148" s="178">
        <v>29.0</v>
      </c>
      <c r="EM148" s="185">
        <f t="shared" si="362"/>
        <v>2</v>
      </c>
      <c r="EN148" s="186">
        <f t="shared" si="202"/>
        <v>1</v>
      </c>
      <c r="EO148" s="186">
        <f t="shared" si="90"/>
        <v>1</v>
      </c>
      <c r="EP148" s="177">
        <v>0.0</v>
      </c>
      <c r="EQ148" s="177">
        <v>0.0</v>
      </c>
      <c r="ER148" s="177">
        <v>1.0</v>
      </c>
      <c r="ES148" s="177">
        <v>1.0</v>
      </c>
      <c r="ET148" s="177">
        <v>0.0</v>
      </c>
      <c r="EU148" s="177">
        <v>0.0</v>
      </c>
      <c r="EV148" s="177">
        <v>0.0</v>
      </c>
      <c r="EW148" s="177">
        <v>0.0</v>
      </c>
      <c r="EX148" s="177">
        <v>0.0</v>
      </c>
      <c r="EY148" s="177">
        <v>0.0</v>
      </c>
      <c r="EZ148" s="177">
        <v>0.0</v>
      </c>
      <c r="FA148" s="177">
        <v>0.0</v>
      </c>
      <c r="FB148" s="177">
        <v>0.0</v>
      </c>
      <c r="FC148" s="177">
        <v>0.0</v>
      </c>
      <c r="FD148" s="177">
        <v>0.0</v>
      </c>
      <c r="FE148" s="177">
        <v>0.0</v>
      </c>
      <c r="FF148" s="177">
        <v>0.0</v>
      </c>
      <c r="FG148" s="177">
        <v>0.0</v>
      </c>
      <c r="FH148" s="185">
        <f t="shared" si="22"/>
        <v>0</v>
      </c>
      <c r="FI148" s="185">
        <f t="shared" si="23"/>
        <v>0</v>
      </c>
      <c r="FJ148" s="177">
        <v>127.0</v>
      </c>
      <c r="FK148" s="177">
        <v>40.0</v>
      </c>
      <c r="FL148" s="177">
        <v>123.0</v>
      </c>
      <c r="FM148" s="177">
        <v>37.0</v>
      </c>
      <c r="FN148" s="180"/>
      <c r="FO148" s="180">
        <v>2.0</v>
      </c>
      <c r="FP148" s="188">
        <f t="shared" si="343"/>
        <v>2</v>
      </c>
      <c r="FQ148" s="211">
        <v>1.0</v>
      </c>
      <c r="FR148" s="212">
        <v>1.0</v>
      </c>
      <c r="FS148" s="206">
        <v>0.0</v>
      </c>
      <c r="FT148" s="207">
        <v>0.0</v>
      </c>
      <c r="FU148" s="207">
        <v>1.0</v>
      </c>
      <c r="FV148" s="207">
        <v>1.0</v>
      </c>
      <c r="FW148" s="207">
        <v>0.0</v>
      </c>
      <c r="FX148" s="207">
        <v>0.0</v>
      </c>
      <c r="FY148" s="207">
        <v>0.0</v>
      </c>
      <c r="FZ148" s="207">
        <v>0.0</v>
      </c>
      <c r="GA148" s="207">
        <v>0.0</v>
      </c>
      <c r="GB148" s="207">
        <v>0.0</v>
      </c>
      <c r="GC148" s="207">
        <v>0.0</v>
      </c>
      <c r="GD148" s="207">
        <v>0.0</v>
      </c>
      <c r="GE148" s="207">
        <v>0.0</v>
      </c>
      <c r="GF148" s="207">
        <v>0.0</v>
      </c>
      <c r="GG148" s="207">
        <v>0.0</v>
      </c>
      <c r="GH148" s="207">
        <v>0.0</v>
      </c>
      <c r="GI148" s="207">
        <v>0.0</v>
      </c>
      <c r="GJ148" s="207">
        <v>0.0</v>
      </c>
      <c r="GK148" s="212">
        <v>0.0</v>
      </c>
      <c r="GL148" s="212">
        <v>0.0</v>
      </c>
      <c r="GM148" s="207">
        <v>126.0</v>
      </c>
      <c r="GN148" s="207">
        <v>37.0</v>
      </c>
      <c r="GO148" s="213">
        <v>117.0</v>
      </c>
      <c r="GP148" s="213">
        <v>35.0</v>
      </c>
      <c r="GQ148" s="207"/>
      <c r="GR148" s="213">
        <v>3.0</v>
      </c>
      <c r="GS148" s="193">
        <v>2.0</v>
      </c>
      <c r="GT148" s="194">
        <f t="shared" si="25"/>
        <v>3</v>
      </c>
      <c r="GU148" s="194">
        <f t="shared" si="26"/>
        <v>2</v>
      </c>
      <c r="GV148" s="194">
        <f t="shared" si="27"/>
        <v>1</v>
      </c>
      <c r="GW148" s="207">
        <v>0.0</v>
      </c>
      <c r="GX148" s="207">
        <v>0.0</v>
      </c>
      <c r="GY148" s="207">
        <v>1.0</v>
      </c>
      <c r="GZ148" s="207">
        <v>1.0</v>
      </c>
      <c r="HA148" s="207">
        <v>0.0</v>
      </c>
      <c r="HB148" s="207">
        <v>1.0</v>
      </c>
      <c r="HC148" s="207">
        <v>0.0</v>
      </c>
      <c r="HD148" s="207">
        <v>0.0</v>
      </c>
      <c r="HE148" s="207">
        <v>0.0</v>
      </c>
      <c r="HF148" s="207">
        <v>0.0</v>
      </c>
      <c r="HG148" s="207">
        <v>0.0</v>
      </c>
      <c r="HH148" s="207">
        <v>0.0</v>
      </c>
      <c r="HI148" s="207">
        <v>0.0</v>
      </c>
      <c r="HJ148" s="207">
        <v>0.0</v>
      </c>
      <c r="HK148" s="207">
        <v>0.0</v>
      </c>
      <c r="HL148" s="207">
        <v>0.0</v>
      </c>
      <c r="HM148" s="207">
        <v>0.0</v>
      </c>
      <c r="HN148" s="207">
        <v>0.0</v>
      </c>
      <c r="HO148" s="222"/>
      <c r="HP148" s="222"/>
      <c r="HQ148" s="214"/>
      <c r="HR148" s="197"/>
      <c r="HS148" s="197"/>
      <c r="HT148" s="198">
        <f t="shared" si="28"/>
        <v>4</v>
      </c>
      <c r="HU148" s="198">
        <f t="shared" si="29"/>
        <v>2</v>
      </c>
      <c r="HV148" s="198">
        <f t="shared" si="30"/>
        <v>2</v>
      </c>
      <c r="HW148" s="198">
        <f t="shared" si="99"/>
        <v>1</v>
      </c>
      <c r="HX148" s="198">
        <f t="shared" si="32"/>
        <v>1</v>
      </c>
      <c r="HY148" s="198">
        <f t="shared" si="33"/>
        <v>1</v>
      </c>
      <c r="HZ148" s="198">
        <f t="shared" si="34"/>
        <v>2</v>
      </c>
      <c r="IA148" s="198">
        <f t="shared" si="35"/>
        <v>2</v>
      </c>
      <c r="IB148" s="198">
        <f t="shared" si="36"/>
        <v>2</v>
      </c>
      <c r="IC148" s="198">
        <f t="shared" si="37"/>
        <v>2</v>
      </c>
      <c r="ID148" s="198">
        <f t="shared" si="38"/>
        <v>2</v>
      </c>
      <c r="IE148" s="198">
        <f t="shared" si="39"/>
        <v>3</v>
      </c>
      <c r="IF148" s="197"/>
      <c r="IG148" s="197"/>
      <c r="IH148" s="197"/>
      <c r="II148" s="197"/>
      <c r="IJ148" s="197"/>
      <c r="IK148" s="197"/>
      <c r="IL148" s="197"/>
      <c r="IM148" s="197"/>
      <c r="IN148" s="197"/>
      <c r="IO148" s="197"/>
      <c r="IP148" s="197"/>
      <c r="IQ148" s="197"/>
      <c r="IR148" s="197"/>
      <c r="IS148" s="197"/>
      <c r="IT148" s="197"/>
      <c r="IU148" s="197"/>
      <c r="IV148" s="197"/>
      <c r="IW148" s="197"/>
      <c r="IX148" s="197"/>
      <c r="IY148" s="197"/>
      <c r="IZ148" s="197"/>
      <c r="JA148" s="199"/>
      <c r="JB148" s="200">
        <f t="shared" si="40"/>
        <v>4</v>
      </c>
      <c r="JC148" s="200">
        <f t="shared" si="41"/>
        <v>2</v>
      </c>
      <c r="JD148" s="200">
        <f t="shared" si="42"/>
        <v>2</v>
      </c>
      <c r="JE148" s="200">
        <f t="shared" si="43"/>
        <v>1</v>
      </c>
      <c r="JF148" s="200">
        <f t="shared" si="44"/>
        <v>1</v>
      </c>
      <c r="JG148" s="200">
        <f t="shared" si="45"/>
        <v>1</v>
      </c>
      <c r="JH148" s="200">
        <f t="shared" si="46"/>
        <v>2</v>
      </c>
      <c r="JI148" s="200">
        <f t="shared" si="47"/>
        <v>2</v>
      </c>
      <c r="JJ148" s="200">
        <f t="shared" si="48"/>
        <v>2</v>
      </c>
      <c r="JK148" s="200">
        <f t="shared" si="49"/>
        <v>2</v>
      </c>
      <c r="JL148" s="200">
        <f t="shared" si="50"/>
        <v>2</v>
      </c>
      <c r="JM148" s="200">
        <f t="shared" si="51"/>
        <v>3</v>
      </c>
      <c r="JN148" s="199"/>
      <c r="JO148" s="200">
        <f t="shared" si="52"/>
        <v>4</v>
      </c>
      <c r="JP148" s="202">
        <v>2.0</v>
      </c>
      <c r="JQ148" s="202">
        <v>2.0</v>
      </c>
      <c r="JR148" s="202">
        <v>1.0</v>
      </c>
      <c r="JS148" s="202">
        <v>1.0</v>
      </c>
      <c r="JT148" s="199"/>
      <c r="JU148" s="199"/>
      <c r="JV148" s="200">
        <f t="shared" ref="JV148:JX148" si="367">IA148-JI148</f>
        <v>0</v>
      </c>
      <c r="JW148" s="200">
        <f t="shared" si="367"/>
        <v>0</v>
      </c>
      <c r="JX148" s="200">
        <f t="shared" si="367"/>
        <v>0</v>
      </c>
      <c r="JY148" s="199"/>
      <c r="JZ148" s="199"/>
      <c r="KA148" s="199"/>
      <c r="KB148" s="200">
        <f t="shared" ref="KB148:KM148" si="368">JB148-JO148</f>
        <v>0</v>
      </c>
      <c r="KC148" s="200">
        <f t="shared" si="368"/>
        <v>0</v>
      </c>
      <c r="KD148" s="200">
        <f t="shared" si="368"/>
        <v>0</v>
      </c>
      <c r="KE148" s="200">
        <f t="shared" si="368"/>
        <v>0</v>
      </c>
      <c r="KF148" s="200">
        <f t="shared" si="368"/>
        <v>0</v>
      </c>
      <c r="KG148" s="200">
        <f t="shared" si="368"/>
        <v>1</v>
      </c>
      <c r="KH148" s="200">
        <f t="shared" si="368"/>
        <v>2</v>
      </c>
      <c r="KI148" s="200">
        <f t="shared" si="368"/>
        <v>2</v>
      </c>
      <c r="KJ148" s="200">
        <f t="shared" si="368"/>
        <v>2</v>
      </c>
      <c r="KK148" s="200">
        <f t="shared" si="368"/>
        <v>2</v>
      </c>
      <c r="KL148" s="200">
        <f t="shared" si="368"/>
        <v>2</v>
      </c>
      <c r="KM148" s="200">
        <f t="shared" si="368"/>
        <v>3</v>
      </c>
      <c r="KN148" s="199"/>
      <c r="KO148" s="199"/>
      <c r="KP148" s="199"/>
      <c r="KQ148" s="199"/>
      <c r="KR148" s="199"/>
      <c r="KS148" s="199"/>
      <c r="KT148" s="199"/>
      <c r="KU148" s="199"/>
      <c r="KV148" s="199"/>
      <c r="KW148" s="199"/>
      <c r="KX148" s="199"/>
      <c r="KY148" s="199"/>
      <c r="KZ148" s="199"/>
      <c r="LA148" s="199"/>
      <c r="LB148" s="199"/>
      <c r="LC148" s="199"/>
      <c r="LD148" s="199"/>
      <c r="LE148" s="199"/>
      <c r="LF148" s="199"/>
      <c r="LG148" s="199"/>
    </row>
    <row r="149" ht="14.25" customHeight="1">
      <c r="A149" s="156">
        <v>142.0</v>
      </c>
      <c r="B149" s="157" t="s">
        <v>240</v>
      </c>
      <c r="C149" s="158">
        <v>3374090.0</v>
      </c>
      <c r="D149" s="158" t="s">
        <v>252</v>
      </c>
      <c r="E149" s="474" t="s">
        <v>256</v>
      </c>
      <c r="F149" s="159">
        <v>6.0</v>
      </c>
      <c r="G149" s="216">
        <v>364.0</v>
      </c>
      <c r="H149" s="160">
        <v>7.0</v>
      </c>
      <c r="I149" s="161"/>
      <c r="J149" s="161"/>
      <c r="K149" s="161">
        <v>4.0</v>
      </c>
      <c r="L149" s="161">
        <v>3.0</v>
      </c>
      <c r="M149" s="161">
        <v>0.0</v>
      </c>
      <c r="N149" s="161">
        <v>1.0</v>
      </c>
      <c r="O149" s="162">
        <f t="shared" si="369"/>
        <v>6</v>
      </c>
      <c r="P149" s="203">
        <v>6.0</v>
      </c>
      <c r="Q149" s="164"/>
      <c r="R149" s="164"/>
      <c r="S149" s="164">
        <v>4.0</v>
      </c>
      <c r="T149" s="165">
        <v>2.0</v>
      </c>
      <c r="U149" s="165"/>
      <c r="V149" s="165"/>
      <c r="W149" s="166">
        <f t="shared" si="225"/>
        <v>6</v>
      </c>
      <c r="X149" s="203">
        <v>7.0</v>
      </c>
      <c r="Y149" s="165"/>
      <c r="Z149" s="165"/>
      <c r="AA149" s="165">
        <v>4.0</v>
      </c>
      <c r="AB149" s="165">
        <v>3.0</v>
      </c>
      <c r="AC149" s="165">
        <v>1.0</v>
      </c>
      <c r="AD149" s="165"/>
      <c r="AE149" s="166">
        <f t="shared" si="214"/>
        <v>6</v>
      </c>
      <c r="AF149" s="167">
        <v>7.0</v>
      </c>
      <c r="AG149" s="165"/>
      <c r="AH149" s="165"/>
      <c r="AI149" s="165">
        <v>4.0</v>
      </c>
      <c r="AJ149" s="165">
        <v>3.0</v>
      </c>
      <c r="AK149" s="165">
        <v>0.0</v>
      </c>
      <c r="AL149" s="165"/>
      <c r="AM149" s="166">
        <f t="shared" si="370"/>
        <v>7</v>
      </c>
      <c r="AN149" s="167">
        <v>6.0</v>
      </c>
      <c r="AO149" s="165">
        <v>1.0</v>
      </c>
      <c r="AP149" s="165"/>
      <c r="AQ149" s="165">
        <v>3.0</v>
      </c>
      <c r="AR149" s="165">
        <v>2.0</v>
      </c>
      <c r="AS149" s="165">
        <v>0.0</v>
      </c>
      <c r="AT149" s="165">
        <v>1.0</v>
      </c>
      <c r="AU149" s="168">
        <v>7.0</v>
      </c>
      <c r="AV149" s="472">
        <v>342.0</v>
      </c>
      <c r="AW149" s="204">
        <f t="shared" si="8"/>
        <v>7</v>
      </c>
      <c r="AX149" s="169">
        <v>1.0</v>
      </c>
      <c r="AY149" s="197"/>
      <c r="AZ149" s="169">
        <v>3.0</v>
      </c>
      <c r="BA149" s="169">
        <v>2.0</v>
      </c>
      <c r="BB149" s="169">
        <v>1.0</v>
      </c>
      <c r="BC149" s="197"/>
      <c r="BD149" s="197"/>
      <c r="BE149" s="197"/>
      <c r="BF149" s="197"/>
      <c r="BG149" s="197"/>
      <c r="BH149" s="197"/>
      <c r="BI149" s="197"/>
      <c r="BJ149" s="197"/>
      <c r="BK149" s="197"/>
      <c r="BL149" s="197"/>
      <c r="BM149" s="197"/>
      <c r="BN149" s="197"/>
      <c r="BO149" s="197"/>
      <c r="BP149" s="205">
        <f t="shared" si="131"/>
        <v>0</v>
      </c>
      <c r="BQ149" s="173">
        <v>348.0</v>
      </c>
      <c r="BR149" s="170">
        <f t="shared" si="10"/>
        <v>6</v>
      </c>
      <c r="BS149" s="173">
        <v>2.0</v>
      </c>
      <c r="BT149" s="6"/>
      <c r="BU149" s="173">
        <v>1.0</v>
      </c>
      <c r="BV149" s="173">
        <v>3.0</v>
      </c>
      <c r="BW149" s="6"/>
      <c r="BX149" s="6"/>
      <c r="BY149" s="6"/>
      <c r="BZ149" s="6"/>
      <c r="CA149" s="6"/>
      <c r="CB149" s="6"/>
      <c r="CC149" s="173">
        <v>1.0</v>
      </c>
      <c r="CD149" s="6"/>
      <c r="CE149" s="6"/>
      <c r="CF149" s="6"/>
      <c r="CG149" s="6"/>
      <c r="CH149" s="6"/>
      <c r="CI149" s="6"/>
      <c r="CJ149" s="6"/>
      <c r="CK149" s="172">
        <f t="shared" si="132"/>
        <v>1</v>
      </c>
      <c r="CL149" s="173">
        <v>349.0</v>
      </c>
      <c r="CM149" s="173">
        <v>117.0</v>
      </c>
      <c r="CN149" s="175">
        <f t="shared" si="295"/>
        <v>7</v>
      </c>
      <c r="CO149" s="173">
        <v>1.0</v>
      </c>
      <c r="CP149" s="173">
        <v>1.0</v>
      </c>
      <c r="CQ149" s="173">
        <v>1.0</v>
      </c>
      <c r="CR149" s="173">
        <v>3.0</v>
      </c>
      <c r="CS149" s="173">
        <v>0.0</v>
      </c>
      <c r="CT149" s="173">
        <v>0.0</v>
      </c>
      <c r="CU149" s="173">
        <v>0.0</v>
      </c>
      <c r="CV149" s="173">
        <v>1.0</v>
      </c>
      <c r="CW149" s="173">
        <v>0.0</v>
      </c>
      <c r="CX149" s="173">
        <v>0.0</v>
      </c>
      <c r="CY149" s="173">
        <v>0.0</v>
      </c>
      <c r="CZ149" s="173">
        <v>0.0</v>
      </c>
      <c r="DA149" s="173">
        <v>0.0</v>
      </c>
      <c r="DB149" s="173">
        <v>0.0</v>
      </c>
      <c r="DC149" s="173">
        <v>0.0</v>
      </c>
      <c r="DD149" s="173">
        <v>0.0</v>
      </c>
      <c r="DE149" s="173">
        <v>0.0</v>
      </c>
      <c r="DF149" s="173">
        <v>0.0</v>
      </c>
      <c r="DG149" s="176">
        <f t="shared" si="13"/>
        <v>0</v>
      </c>
      <c r="DH149" s="177">
        <v>350.0</v>
      </c>
      <c r="DI149" s="177">
        <v>127.0</v>
      </c>
      <c r="DJ149" s="178">
        <v>350.0</v>
      </c>
      <c r="DK149" s="178">
        <v>127.0</v>
      </c>
      <c r="DL149" s="179">
        <f t="shared" si="14"/>
        <v>7</v>
      </c>
      <c r="DM149" s="180">
        <f t="shared" si="15"/>
        <v>4</v>
      </c>
      <c r="DN149" s="180">
        <f t="shared" si="16"/>
        <v>3</v>
      </c>
      <c r="DO149" s="177">
        <v>1.0</v>
      </c>
      <c r="DP149" s="177">
        <v>1.0</v>
      </c>
      <c r="DQ149" s="177">
        <v>2.0</v>
      </c>
      <c r="DR149" s="177">
        <v>3.0</v>
      </c>
      <c r="DS149" s="226"/>
      <c r="DT149" s="226"/>
      <c r="DU149" s="226"/>
      <c r="DV149" s="226"/>
      <c r="DW149" s="226"/>
      <c r="DX149" s="226"/>
      <c r="DY149" s="226"/>
      <c r="DZ149" s="177">
        <v>1.0</v>
      </c>
      <c r="EA149" s="226"/>
      <c r="EB149" s="226"/>
      <c r="EC149" s="226"/>
      <c r="ED149" s="226"/>
      <c r="EE149" s="226"/>
      <c r="EF149" s="226"/>
      <c r="EG149" s="179">
        <f t="shared" si="17"/>
        <v>1</v>
      </c>
      <c r="EH149" s="179">
        <f t="shared" si="18"/>
        <v>0</v>
      </c>
      <c r="EI149" s="177">
        <v>365.0</v>
      </c>
      <c r="EJ149" s="177">
        <v>133.0</v>
      </c>
      <c r="EK149" s="178">
        <v>344.0</v>
      </c>
      <c r="EL149" s="178">
        <v>125.0</v>
      </c>
      <c r="EM149" s="185">
        <f t="shared" si="362"/>
        <v>9</v>
      </c>
      <c r="EN149" s="186">
        <f t="shared" si="202"/>
        <v>4</v>
      </c>
      <c r="EO149" s="186">
        <f t="shared" si="90"/>
        <v>5</v>
      </c>
      <c r="EP149" s="177">
        <v>1.0</v>
      </c>
      <c r="EQ149" s="177">
        <v>1.0</v>
      </c>
      <c r="ER149" s="177">
        <v>1.0</v>
      </c>
      <c r="ES149" s="177">
        <v>4.0</v>
      </c>
      <c r="ET149" s="177">
        <v>0.0</v>
      </c>
      <c r="EU149" s="177">
        <v>0.0</v>
      </c>
      <c r="EV149" s="177">
        <v>1.0</v>
      </c>
      <c r="EW149" s="177">
        <v>1.0</v>
      </c>
      <c r="EX149" s="177">
        <v>0.0</v>
      </c>
      <c r="EY149" s="177">
        <v>0.0</v>
      </c>
      <c r="EZ149" s="177">
        <v>0.0</v>
      </c>
      <c r="FA149" s="177">
        <v>0.0</v>
      </c>
      <c r="FB149" s="177">
        <v>0.0</v>
      </c>
      <c r="FC149" s="177">
        <v>0.0</v>
      </c>
      <c r="FD149" s="177">
        <v>0.0</v>
      </c>
      <c r="FE149" s="177">
        <v>0.0</v>
      </c>
      <c r="FF149" s="177">
        <v>0.0</v>
      </c>
      <c r="FG149" s="177">
        <v>0.0</v>
      </c>
      <c r="FH149" s="185">
        <f t="shared" si="22"/>
        <v>0</v>
      </c>
      <c r="FI149" s="185">
        <f t="shared" si="23"/>
        <v>0</v>
      </c>
      <c r="FJ149" s="177">
        <v>364.0</v>
      </c>
      <c r="FK149" s="177">
        <v>130.0</v>
      </c>
      <c r="FL149" s="177">
        <v>353.0</v>
      </c>
      <c r="FM149" s="177">
        <v>126.0</v>
      </c>
      <c r="FN149" s="180"/>
      <c r="FO149" s="180">
        <v>8.0</v>
      </c>
      <c r="FP149" s="188">
        <f t="shared" si="343"/>
        <v>8</v>
      </c>
      <c r="FQ149" s="211">
        <v>4.0</v>
      </c>
      <c r="FR149" s="212">
        <v>4.0</v>
      </c>
      <c r="FS149" s="206">
        <v>1.0</v>
      </c>
      <c r="FT149" s="207">
        <v>1.0</v>
      </c>
      <c r="FU149" s="207">
        <v>2.0</v>
      </c>
      <c r="FV149" s="207">
        <v>4.0</v>
      </c>
      <c r="FW149" s="207">
        <v>0.0</v>
      </c>
      <c r="FX149" s="207">
        <v>0.0</v>
      </c>
      <c r="FY149" s="207">
        <v>0.0</v>
      </c>
      <c r="FZ149" s="207">
        <v>0.0</v>
      </c>
      <c r="GA149" s="207">
        <v>0.0</v>
      </c>
      <c r="GB149" s="207">
        <v>0.0</v>
      </c>
      <c r="GC149" s="207">
        <v>0.0</v>
      </c>
      <c r="GD149" s="207">
        <v>1.0</v>
      </c>
      <c r="GE149" s="207">
        <v>0.0</v>
      </c>
      <c r="GF149" s="207">
        <v>0.0</v>
      </c>
      <c r="GG149" s="207">
        <v>0.0</v>
      </c>
      <c r="GH149" s="207">
        <v>0.0</v>
      </c>
      <c r="GI149" s="207">
        <v>0.0</v>
      </c>
      <c r="GJ149" s="207">
        <v>0.0</v>
      </c>
      <c r="GK149" s="212">
        <v>1.0</v>
      </c>
      <c r="GL149" s="212">
        <v>0.0</v>
      </c>
      <c r="GM149" s="207">
        <v>372.0</v>
      </c>
      <c r="GN149" s="207">
        <v>130.0</v>
      </c>
      <c r="GO149" s="213">
        <v>356.0</v>
      </c>
      <c r="GP149" s="213">
        <v>126.0</v>
      </c>
      <c r="GQ149" s="207"/>
      <c r="GR149" s="213">
        <v>6.0</v>
      </c>
      <c r="GS149" s="193">
        <v>4.0</v>
      </c>
      <c r="GT149" s="194">
        <f t="shared" si="25"/>
        <v>6</v>
      </c>
      <c r="GU149" s="194">
        <f t="shared" si="26"/>
        <v>4</v>
      </c>
      <c r="GV149" s="194">
        <f t="shared" si="27"/>
        <v>2</v>
      </c>
      <c r="GW149" s="207">
        <v>0.0</v>
      </c>
      <c r="GX149" s="207">
        <v>1.0</v>
      </c>
      <c r="GY149" s="207">
        <v>2.0</v>
      </c>
      <c r="GZ149" s="207">
        <v>2.0</v>
      </c>
      <c r="HA149" s="207">
        <v>0.0</v>
      </c>
      <c r="HB149" s="207">
        <v>1.0</v>
      </c>
      <c r="HC149" s="207">
        <v>0.0</v>
      </c>
      <c r="HD149" s="207">
        <v>0.0</v>
      </c>
      <c r="HE149" s="207">
        <v>0.0</v>
      </c>
      <c r="HF149" s="207">
        <v>1.0</v>
      </c>
      <c r="HG149" s="207">
        <v>0.0</v>
      </c>
      <c r="HH149" s="207">
        <v>2.0</v>
      </c>
      <c r="HI149" s="207">
        <v>0.0</v>
      </c>
      <c r="HJ149" s="207">
        <v>0.0</v>
      </c>
      <c r="HK149" s="207">
        <v>0.0</v>
      </c>
      <c r="HL149" s="207">
        <v>0.0</v>
      </c>
      <c r="HM149" s="207">
        <v>0.0</v>
      </c>
      <c r="HN149" s="207">
        <v>0.0</v>
      </c>
      <c r="HO149" s="222"/>
      <c r="HP149" s="222"/>
      <c r="HQ149" s="214"/>
      <c r="HR149" s="197"/>
      <c r="HS149" s="197"/>
      <c r="HT149" s="198">
        <f t="shared" si="28"/>
        <v>7</v>
      </c>
      <c r="HU149" s="198">
        <f t="shared" si="29"/>
        <v>6</v>
      </c>
      <c r="HV149" s="198">
        <f t="shared" si="30"/>
        <v>7</v>
      </c>
      <c r="HW149" s="198">
        <f t="shared" si="99"/>
        <v>7</v>
      </c>
      <c r="HX149" s="198">
        <f t="shared" si="32"/>
        <v>6</v>
      </c>
      <c r="HY149" s="198">
        <f t="shared" si="33"/>
        <v>7</v>
      </c>
      <c r="HZ149" s="198">
        <f t="shared" si="34"/>
        <v>6</v>
      </c>
      <c r="IA149" s="198">
        <f t="shared" si="35"/>
        <v>7</v>
      </c>
      <c r="IB149" s="198">
        <f t="shared" si="36"/>
        <v>7</v>
      </c>
      <c r="IC149" s="198">
        <f t="shared" si="37"/>
        <v>9</v>
      </c>
      <c r="ID149" s="198">
        <f t="shared" si="38"/>
        <v>8</v>
      </c>
      <c r="IE149" s="198">
        <f t="shared" si="39"/>
        <v>6</v>
      </c>
      <c r="IF149" s="197"/>
      <c r="IG149" s="197"/>
      <c r="IH149" s="197"/>
      <c r="II149" s="197"/>
      <c r="IJ149" s="197"/>
      <c r="IK149" s="197"/>
      <c r="IL149" s="197"/>
      <c r="IM149" s="197"/>
      <c r="IN149" s="197"/>
      <c r="IO149" s="197"/>
      <c r="IP149" s="197"/>
      <c r="IQ149" s="197"/>
      <c r="IR149" s="197"/>
      <c r="IS149" s="197"/>
      <c r="IT149" s="197"/>
      <c r="IU149" s="197"/>
      <c r="IV149" s="197"/>
      <c r="IW149" s="197"/>
      <c r="IX149" s="197"/>
      <c r="IY149" s="197"/>
      <c r="IZ149" s="197"/>
      <c r="JA149" s="199"/>
      <c r="JB149" s="200">
        <f t="shared" si="40"/>
        <v>7</v>
      </c>
      <c r="JC149" s="200">
        <f t="shared" si="41"/>
        <v>6</v>
      </c>
      <c r="JD149" s="200">
        <f t="shared" si="42"/>
        <v>7</v>
      </c>
      <c r="JE149" s="200">
        <f t="shared" si="43"/>
        <v>7</v>
      </c>
      <c r="JF149" s="200">
        <f t="shared" si="44"/>
        <v>6</v>
      </c>
      <c r="JG149" s="200">
        <f t="shared" si="45"/>
        <v>7</v>
      </c>
      <c r="JH149" s="200">
        <f t="shared" si="46"/>
        <v>6</v>
      </c>
      <c r="JI149" s="200">
        <f t="shared" si="47"/>
        <v>7</v>
      </c>
      <c r="JJ149" s="200">
        <f t="shared" si="48"/>
        <v>7</v>
      </c>
      <c r="JK149" s="200">
        <f t="shared" si="49"/>
        <v>9</v>
      </c>
      <c r="JL149" s="200">
        <f t="shared" si="50"/>
        <v>8</v>
      </c>
      <c r="JM149" s="200">
        <f t="shared" si="51"/>
        <v>6</v>
      </c>
      <c r="JN149" s="199"/>
      <c r="JO149" s="200">
        <f t="shared" si="52"/>
        <v>7</v>
      </c>
      <c r="JP149" s="202">
        <v>6.0</v>
      </c>
      <c r="JQ149" s="202">
        <v>7.0</v>
      </c>
      <c r="JR149" s="202">
        <v>7.0</v>
      </c>
      <c r="JS149" s="202">
        <v>6.0</v>
      </c>
      <c r="JT149" s="199"/>
      <c r="JU149" s="199"/>
      <c r="JV149" s="200">
        <f t="shared" ref="JV149:JX149" si="371">IA149-JI149</f>
        <v>0</v>
      </c>
      <c r="JW149" s="200">
        <f t="shared" si="371"/>
        <v>0</v>
      </c>
      <c r="JX149" s="200">
        <f t="shared" si="371"/>
        <v>0</v>
      </c>
      <c r="JY149" s="199"/>
      <c r="JZ149" s="199"/>
      <c r="KA149" s="199"/>
      <c r="KB149" s="200">
        <f t="shared" ref="KB149:KM149" si="372">JB149-JO149</f>
        <v>0</v>
      </c>
      <c r="KC149" s="200">
        <f t="shared" si="372"/>
        <v>0</v>
      </c>
      <c r="KD149" s="200">
        <f t="shared" si="372"/>
        <v>0</v>
      </c>
      <c r="KE149" s="200">
        <f t="shared" si="372"/>
        <v>0</v>
      </c>
      <c r="KF149" s="200">
        <f t="shared" si="372"/>
        <v>0</v>
      </c>
      <c r="KG149" s="200">
        <f t="shared" si="372"/>
        <v>7</v>
      </c>
      <c r="KH149" s="200">
        <f t="shared" si="372"/>
        <v>6</v>
      </c>
      <c r="KI149" s="200">
        <f t="shared" si="372"/>
        <v>7</v>
      </c>
      <c r="KJ149" s="200">
        <f t="shared" si="372"/>
        <v>7</v>
      </c>
      <c r="KK149" s="200">
        <f t="shared" si="372"/>
        <v>9</v>
      </c>
      <c r="KL149" s="200">
        <f t="shared" si="372"/>
        <v>8</v>
      </c>
      <c r="KM149" s="200">
        <f t="shared" si="372"/>
        <v>6</v>
      </c>
      <c r="KN149" s="199"/>
      <c r="KO149" s="199"/>
      <c r="KP149" s="199"/>
      <c r="KQ149" s="199"/>
      <c r="KR149" s="199"/>
      <c r="KS149" s="199"/>
      <c r="KT149" s="199"/>
      <c r="KU149" s="199"/>
      <c r="KV149" s="199"/>
      <c r="KW149" s="199"/>
      <c r="KX149" s="199"/>
      <c r="KY149" s="199"/>
      <c r="KZ149" s="199"/>
      <c r="LA149" s="199"/>
      <c r="LB149" s="199"/>
      <c r="LC149" s="199"/>
      <c r="LD149" s="199"/>
      <c r="LE149" s="199"/>
      <c r="LF149" s="199"/>
      <c r="LG149" s="199"/>
    </row>
    <row r="150" ht="14.25" customHeight="1">
      <c r="A150" s="156">
        <v>143.0</v>
      </c>
      <c r="B150" s="157" t="s">
        <v>240</v>
      </c>
      <c r="C150" s="158">
        <v>3374140.0</v>
      </c>
      <c r="D150" s="158" t="s">
        <v>257</v>
      </c>
      <c r="E150" s="158" t="s">
        <v>258</v>
      </c>
      <c r="F150" s="159">
        <v>13.0</v>
      </c>
      <c r="G150" s="285">
        <v>758.0</v>
      </c>
      <c r="H150" s="160">
        <v>16.0</v>
      </c>
      <c r="I150" s="161">
        <v>0.0</v>
      </c>
      <c r="J150" s="161">
        <v>0.0</v>
      </c>
      <c r="K150" s="161">
        <v>4.0</v>
      </c>
      <c r="L150" s="161">
        <v>12.0</v>
      </c>
      <c r="M150" s="161">
        <v>2.0</v>
      </c>
      <c r="N150" s="161">
        <v>0.0</v>
      </c>
      <c r="O150" s="162">
        <f t="shared" si="369"/>
        <v>14</v>
      </c>
      <c r="P150" s="203">
        <v>16.0</v>
      </c>
      <c r="Q150" s="164">
        <v>0.0</v>
      </c>
      <c r="R150" s="164">
        <v>0.0</v>
      </c>
      <c r="S150" s="164">
        <v>4.0</v>
      </c>
      <c r="T150" s="165">
        <v>12.0</v>
      </c>
      <c r="U150" s="165">
        <v>5.0</v>
      </c>
      <c r="V150" s="165">
        <v>3.0</v>
      </c>
      <c r="W150" s="166">
        <f t="shared" si="225"/>
        <v>8</v>
      </c>
      <c r="X150" s="203">
        <v>17.0</v>
      </c>
      <c r="Y150" s="165">
        <v>0.0</v>
      </c>
      <c r="Z150" s="165">
        <v>1.0</v>
      </c>
      <c r="AA150" s="165">
        <v>3.0</v>
      </c>
      <c r="AB150" s="165">
        <v>13.0</v>
      </c>
      <c r="AC150" s="165">
        <v>1.0</v>
      </c>
      <c r="AD150" s="165">
        <v>0.0</v>
      </c>
      <c r="AE150" s="166">
        <f t="shared" si="214"/>
        <v>16</v>
      </c>
      <c r="AF150" s="167">
        <v>16.0</v>
      </c>
      <c r="AG150" s="165">
        <v>0.0</v>
      </c>
      <c r="AH150" s="165">
        <v>1.0</v>
      </c>
      <c r="AI150" s="165">
        <v>3.0</v>
      </c>
      <c r="AJ150" s="165">
        <v>12.0</v>
      </c>
      <c r="AK150" s="165">
        <v>0.0</v>
      </c>
      <c r="AL150" s="165">
        <v>0.0</v>
      </c>
      <c r="AM150" s="166">
        <f t="shared" si="370"/>
        <v>16</v>
      </c>
      <c r="AN150" s="167">
        <v>15.0</v>
      </c>
      <c r="AO150" s="165">
        <v>0.0</v>
      </c>
      <c r="AP150" s="165">
        <v>1.0</v>
      </c>
      <c r="AQ150" s="165">
        <v>2.0</v>
      </c>
      <c r="AR150" s="165">
        <v>12.0</v>
      </c>
      <c r="AS150" s="165">
        <v>0.0</v>
      </c>
      <c r="AT150" s="165">
        <v>0.0</v>
      </c>
      <c r="AU150" s="168">
        <f t="shared" ref="AU150:AU184" si="375">AN150-(AS150+AT150)</f>
        <v>15</v>
      </c>
      <c r="AV150" s="328">
        <v>759.0</v>
      </c>
      <c r="AW150" s="170">
        <f t="shared" si="8"/>
        <v>14</v>
      </c>
      <c r="AX150" s="165">
        <v>0.0</v>
      </c>
      <c r="AY150" s="165">
        <v>1.0</v>
      </c>
      <c r="AZ150" s="165">
        <v>2.0</v>
      </c>
      <c r="BA150" s="171">
        <v>10.0</v>
      </c>
      <c r="BB150" s="169">
        <v>0.0</v>
      </c>
      <c r="BC150" s="169">
        <v>0.0</v>
      </c>
      <c r="BD150" s="169">
        <v>1.0</v>
      </c>
      <c r="BE150" s="169">
        <v>0.0</v>
      </c>
      <c r="BF150" s="169">
        <v>0.0</v>
      </c>
      <c r="BG150" s="169">
        <v>0.0</v>
      </c>
      <c r="BH150" s="169">
        <v>0.0</v>
      </c>
      <c r="BI150" s="169">
        <v>1.0</v>
      </c>
      <c r="BJ150" s="169">
        <v>0.0</v>
      </c>
      <c r="BK150" s="169">
        <v>0.0</v>
      </c>
      <c r="BL150" s="169">
        <v>0.0</v>
      </c>
      <c r="BM150" s="169">
        <v>0.0</v>
      </c>
      <c r="BN150" s="169">
        <v>1.0</v>
      </c>
      <c r="BO150" s="169">
        <v>0.0</v>
      </c>
      <c r="BP150" s="205">
        <f t="shared" si="131"/>
        <v>2</v>
      </c>
      <c r="BQ150" s="173">
        <v>759.0</v>
      </c>
      <c r="BR150" s="170">
        <f t="shared" si="10"/>
        <v>14</v>
      </c>
      <c r="BS150" s="165">
        <v>0.0</v>
      </c>
      <c r="BT150" s="165">
        <v>1.0</v>
      </c>
      <c r="BU150" s="171">
        <v>3.0</v>
      </c>
      <c r="BV150" s="171">
        <v>10.0</v>
      </c>
      <c r="BW150" s="169">
        <v>0.0</v>
      </c>
      <c r="BX150" s="169">
        <v>0.0</v>
      </c>
      <c r="BY150" s="169">
        <v>0.0</v>
      </c>
      <c r="BZ150" s="169">
        <v>0.0</v>
      </c>
      <c r="CA150" s="169">
        <v>0.0</v>
      </c>
      <c r="CB150" s="169">
        <v>0.0</v>
      </c>
      <c r="CC150" s="169">
        <v>0.0</v>
      </c>
      <c r="CD150" s="169">
        <v>0.0</v>
      </c>
      <c r="CE150" s="169">
        <v>0.0</v>
      </c>
      <c r="CF150" s="169">
        <v>0.0</v>
      </c>
      <c r="CG150" s="169">
        <v>0.0</v>
      </c>
      <c r="CH150" s="169">
        <v>0.0</v>
      </c>
      <c r="CI150" s="169">
        <v>0.0</v>
      </c>
      <c r="CJ150" s="169">
        <v>0.0</v>
      </c>
      <c r="CK150" s="205">
        <f t="shared" si="132"/>
        <v>0</v>
      </c>
      <c r="CL150" s="173">
        <v>731.0</v>
      </c>
      <c r="CM150" s="173">
        <v>248.0</v>
      </c>
      <c r="CN150" s="175">
        <f t="shared" si="295"/>
        <v>14</v>
      </c>
      <c r="CO150" s="173">
        <v>0.0</v>
      </c>
      <c r="CP150" s="173">
        <v>1.0</v>
      </c>
      <c r="CQ150" s="173">
        <v>3.0</v>
      </c>
      <c r="CR150" s="173">
        <v>10.0</v>
      </c>
      <c r="CS150" s="173">
        <v>0.0</v>
      </c>
      <c r="CT150" s="173">
        <v>0.0</v>
      </c>
      <c r="CU150" s="173">
        <v>0.0</v>
      </c>
      <c r="CV150" s="173">
        <v>0.0</v>
      </c>
      <c r="CW150" s="173">
        <v>0.0</v>
      </c>
      <c r="CX150" s="173">
        <v>0.0</v>
      </c>
      <c r="CY150" s="173">
        <v>0.0</v>
      </c>
      <c r="CZ150" s="173">
        <v>0.0</v>
      </c>
      <c r="DA150" s="173">
        <v>0.0</v>
      </c>
      <c r="DB150" s="173">
        <v>0.0</v>
      </c>
      <c r="DC150" s="173">
        <v>0.0</v>
      </c>
      <c r="DD150" s="173">
        <v>0.0</v>
      </c>
      <c r="DE150" s="173">
        <v>0.0</v>
      </c>
      <c r="DF150" s="173">
        <v>0.0</v>
      </c>
      <c r="DG150" s="176">
        <f t="shared" si="13"/>
        <v>0</v>
      </c>
      <c r="DH150" s="177">
        <v>610.0</v>
      </c>
      <c r="DI150" s="177">
        <v>229.0</v>
      </c>
      <c r="DJ150" s="178">
        <v>610.0</v>
      </c>
      <c r="DK150" s="178">
        <v>229.0</v>
      </c>
      <c r="DL150" s="179">
        <f t="shared" si="14"/>
        <v>15</v>
      </c>
      <c r="DM150" s="180">
        <f t="shared" si="15"/>
        <v>9</v>
      </c>
      <c r="DN150" s="180">
        <f t="shared" si="16"/>
        <v>6</v>
      </c>
      <c r="DO150" s="177">
        <v>0.0</v>
      </c>
      <c r="DP150" s="177">
        <v>1.0</v>
      </c>
      <c r="DQ150" s="177">
        <v>3.0</v>
      </c>
      <c r="DR150" s="177">
        <v>6.0</v>
      </c>
      <c r="DS150" s="475">
        <v>0.0</v>
      </c>
      <c r="DT150" s="177">
        <v>0.0</v>
      </c>
      <c r="DU150" s="177">
        <v>5.0</v>
      </c>
      <c r="DV150" s="177">
        <v>0.0</v>
      </c>
      <c r="DW150" s="177">
        <v>0.0</v>
      </c>
      <c r="DX150" s="177">
        <v>0.0</v>
      </c>
      <c r="DY150" s="177">
        <v>0.0</v>
      </c>
      <c r="DZ150" s="177">
        <v>4.0</v>
      </c>
      <c r="EA150" s="177">
        <v>0.0</v>
      </c>
      <c r="EB150" s="177">
        <v>0.0</v>
      </c>
      <c r="EC150" s="177">
        <v>0.0</v>
      </c>
      <c r="ED150" s="177">
        <v>0.0</v>
      </c>
      <c r="EE150" s="177">
        <v>0.0</v>
      </c>
      <c r="EF150" s="177">
        <v>0.0</v>
      </c>
      <c r="EG150" s="179">
        <f t="shared" si="17"/>
        <v>4</v>
      </c>
      <c r="EH150" s="179">
        <f t="shared" si="18"/>
        <v>0</v>
      </c>
      <c r="EI150" s="177">
        <v>608.0</v>
      </c>
      <c r="EJ150" s="177">
        <v>223.0</v>
      </c>
      <c r="EK150" s="178">
        <v>608.0</v>
      </c>
      <c r="EL150" s="178">
        <v>223.0</v>
      </c>
      <c r="EM150" s="185">
        <f t="shared" si="362"/>
        <v>16</v>
      </c>
      <c r="EN150" s="186">
        <f t="shared" si="202"/>
        <v>7</v>
      </c>
      <c r="EO150" s="186">
        <f t="shared" si="90"/>
        <v>9</v>
      </c>
      <c r="EP150" s="177">
        <v>0.0</v>
      </c>
      <c r="EQ150" s="177">
        <v>1.0</v>
      </c>
      <c r="ER150" s="177">
        <v>5.0</v>
      </c>
      <c r="ES150" s="177">
        <v>9.0</v>
      </c>
      <c r="ET150" s="475">
        <v>0.0</v>
      </c>
      <c r="EU150" s="177">
        <v>1.0</v>
      </c>
      <c r="EV150" s="177">
        <v>0.0</v>
      </c>
      <c r="EW150" s="177">
        <v>0.0</v>
      </c>
      <c r="EX150" s="177">
        <v>0.0</v>
      </c>
      <c r="EY150" s="177">
        <v>0.0</v>
      </c>
      <c r="EZ150" s="177">
        <v>0.0</v>
      </c>
      <c r="FA150" s="177">
        <v>0.0</v>
      </c>
      <c r="FB150" s="177">
        <v>0.0</v>
      </c>
      <c r="FC150" s="177">
        <v>0.0</v>
      </c>
      <c r="FD150" s="177">
        <v>0.0</v>
      </c>
      <c r="FE150" s="177">
        <v>0.0</v>
      </c>
      <c r="FF150" s="177">
        <v>0.0</v>
      </c>
      <c r="FG150" s="177">
        <v>0.0</v>
      </c>
      <c r="FH150" s="185">
        <f t="shared" si="22"/>
        <v>0</v>
      </c>
      <c r="FI150" s="185">
        <f t="shared" si="23"/>
        <v>0</v>
      </c>
      <c r="FJ150" s="177">
        <v>605.0</v>
      </c>
      <c r="FK150" s="177">
        <v>221.0</v>
      </c>
      <c r="FL150" s="177">
        <v>605.0</v>
      </c>
      <c r="FM150" s="177">
        <v>221.0</v>
      </c>
      <c r="FN150" s="180"/>
      <c r="FO150" s="180">
        <v>14.0</v>
      </c>
      <c r="FP150" s="188">
        <f t="shared" si="343"/>
        <v>14</v>
      </c>
      <c r="FQ150" s="211">
        <v>7.0</v>
      </c>
      <c r="FR150" s="212">
        <v>7.0</v>
      </c>
      <c r="FS150" s="206">
        <v>0.0</v>
      </c>
      <c r="FT150" s="207">
        <v>2.0</v>
      </c>
      <c r="FU150" s="207">
        <v>5.0</v>
      </c>
      <c r="FV150" s="207">
        <v>6.0</v>
      </c>
      <c r="FW150" s="207">
        <v>0.0</v>
      </c>
      <c r="FX150" s="207">
        <v>0.0</v>
      </c>
      <c r="FY150" s="207">
        <v>0.0</v>
      </c>
      <c r="FZ150" s="207">
        <v>1.0</v>
      </c>
      <c r="GA150" s="207">
        <v>0.0</v>
      </c>
      <c r="GB150" s="207">
        <v>0.0</v>
      </c>
      <c r="GC150" s="207">
        <v>0.0</v>
      </c>
      <c r="GD150" s="207">
        <v>3.0</v>
      </c>
      <c r="GE150" s="207">
        <v>0.0</v>
      </c>
      <c r="GF150" s="207">
        <v>0.0</v>
      </c>
      <c r="GG150" s="207">
        <v>0.0</v>
      </c>
      <c r="GH150" s="207">
        <v>0.0</v>
      </c>
      <c r="GI150" s="207">
        <v>0.0</v>
      </c>
      <c r="GJ150" s="207">
        <v>0.0</v>
      </c>
      <c r="GK150" s="212">
        <v>3.0</v>
      </c>
      <c r="GL150" s="212">
        <v>0.0</v>
      </c>
      <c r="GM150" s="207">
        <v>607.0</v>
      </c>
      <c r="GN150" s="207">
        <v>225.0</v>
      </c>
      <c r="GO150" s="213">
        <v>607.0</v>
      </c>
      <c r="GP150" s="213">
        <v>225.0</v>
      </c>
      <c r="GQ150" s="207"/>
      <c r="GR150" s="213">
        <v>15.0</v>
      </c>
      <c r="GS150" s="193">
        <v>8.0</v>
      </c>
      <c r="GT150" s="194">
        <f t="shared" si="25"/>
        <v>15</v>
      </c>
      <c r="GU150" s="194">
        <f t="shared" si="26"/>
        <v>8</v>
      </c>
      <c r="GV150" s="194">
        <f t="shared" si="27"/>
        <v>7</v>
      </c>
      <c r="GW150" s="207">
        <v>0.0</v>
      </c>
      <c r="GX150" s="207">
        <v>2.0</v>
      </c>
      <c r="GY150" s="207">
        <v>5.0</v>
      </c>
      <c r="GZ150" s="207">
        <v>7.0</v>
      </c>
      <c r="HA150" s="207">
        <v>0.0</v>
      </c>
      <c r="HB150" s="207">
        <v>0.0</v>
      </c>
      <c r="HC150" s="207">
        <v>1.0</v>
      </c>
      <c r="HD150" s="207">
        <v>0.0</v>
      </c>
      <c r="HE150" s="207">
        <v>0.0</v>
      </c>
      <c r="HF150" s="207">
        <v>0.0</v>
      </c>
      <c r="HG150" s="207">
        <v>0.0</v>
      </c>
      <c r="HH150" s="207">
        <v>0.0</v>
      </c>
      <c r="HI150" s="207">
        <v>0.0</v>
      </c>
      <c r="HJ150" s="207">
        <v>0.0</v>
      </c>
      <c r="HK150" s="207">
        <v>0.0</v>
      </c>
      <c r="HL150" s="207">
        <v>0.0</v>
      </c>
      <c r="HM150" s="207">
        <v>0.0</v>
      </c>
      <c r="HN150" s="207">
        <v>0.0</v>
      </c>
      <c r="HO150" s="222"/>
      <c r="HP150" s="222"/>
      <c r="HQ150" s="214"/>
      <c r="HR150" s="197"/>
      <c r="HS150" s="197"/>
      <c r="HT150" s="198">
        <f t="shared" si="28"/>
        <v>16</v>
      </c>
      <c r="HU150" s="198">
        <f t="shared" si="29"/>
        <v>16</v>
      </c>
      <c r="HV150" s="198">
        <f t="shared" si="30"/>
        <v>17</v>
      </c>
      <c r="HW150" s="198">
        <f t="shared" si="99"/>
        <v>16</v>
      </c>
      <c r="HX150" s="198">
        <f t="shared" si="32"/>
        <v>15</v>
      </c>
      <c r="HY150" s="198">
        <f t="shared" si="33"/>
        <v>14</v>
      </c>
      <c r="HZ150" s="198">
        <f t="shared" si="34"/>
        <v>14</v>
      </c>
      <c r="IA150" s="198">
        <f t="shared" si="35"/>
        <v>14</v>
      </c>
      <c r="IB150" s="198">
        <f t="shared" si="36"/>
        <v>15</v>
      </c>
      <c r="IC150" s="198">
        <f t="shared" si="37"/>
        <v>16</v>
      </c>
      <c r="ID150" s="198">
        <f t="shared" si="38"/>
        <v>14</v>
      </c>
      <c r="IE150" s="198">
        <f t="shared" si="39"/>
        <v>15</v>
      </c>
      <c r="IF150" s="197"/>
      <c r="IG150" s="197"/>
      <c r="IH150" s="197"/>
      <c r="II150" s="197"/>
      <c r="IJ150" s="197"/>
      <c r="IK150" s="197"/>
      <c r="IL150" s="197"/>
      <c r="IM150" s="197"/>
      <c r="IN150" s="197"/>
      <c r="IO150" s="197"/>
      <c r="IP150" s="197"/>
      <c r="IQ150" s="197"/>
      <c r="IR150" s="197"/>
      <c r="IS150" s="197"/>
      <c r="IT150" s="197"/>
      <c r="IU150" s="197"/>
      <c r="IV150" s="197"/>
      <c r="IW150" s="197"/>
      <c r="IX150" s="197"/>
      <c r="IY150" s="197"/>
      <c r="IZ150" s="197"/>
      <c r="JA150" s="199"/>
      <c r="JB150" s="200">
        <f t="shared" si="40"/>
        <v>16</v>
      </c>
      <c r="JC150" s="200">
        <f t="shared" si="41"/>
        <v>16</v>
      </c>
      <c r="JD150" s="200">
        <f t="shared" si="42"/>
        <v>17</v>
      </c>
      <c r="JE150" s="200">
        <f t="shared" si="43"/>
        <v>16</v>
      </c>
      <c r="JF150" s="200">
        <f t="shared" si="44"/>
        <v>15</v>
      </c>
      <c r="JG150" s="200">
        <f t="shared" si="45"/>
        <v>14</v>
      </c>
      <c r="JH150" s="200">
        <f t="shared" si="46"/>
        <v>14</v>
      </c>
      <c r="JI150" s="200">
        <f t="shared" si="47"/>
        <v>14</v>
      </c>
      <c r="JJ150" s="200">
        <f t="shared" si="48"/>
        <v>15</v>
      </c>
      <c r="JK150" s="200">
        <f t="shared" si="49"/>
        <v>16</v>
      </c>
      <c r="JL150" s="200">
        <f t="shared" si="50"/>
        <v>14</v>
      </c>
      <c r="JM150" s="200">
        <f t="shared" si="51"/>
        <v>15</v>
      </c>
      <c r="JN150" s="199"/>
      <c r="JO150" s="200">
        <f t="shared" si="52"/>
        <v>16</v>
      </c>
      <c r="JP150" s="202">
        <v>16.0</v>
      </c>
      <c r="JQ150" s="202">
        <v>17.0</v>
      </c>
      <c r="JR150" s="202">
        <v>16.0</v>
      </c>
      <c r="JS150" s="202">
        <v>15.0</v>
      </c>
      <c r="JT150" s="199"/>
      <c r="JU150" s="199"/>
      <c r="JV150" s="200">
        <f t="shared" ref="JV150:JX150" si="373">IA150-JI150</f>
        <v>0</v>
      </c>
      <c r="JW150" s="200">
        <f t="shared" si="373"/>
        <v>0</v>
      </c>
      <c r="JX150" s="200">
        <f t="shared" si="373"/>
        <v>0</v>
      </c>
      <c r="JY150" s="199"/>
      <c r="JZ150" s="199"/>
      <c r="KA150" s="199"/>
      <c r="KB150" s="200">
        <f t="shared" ref="KB150:KM150" si="374">JB150-JO150</f>
        <v>0</v>
      </c>
      <c r="KC150" s="200">
        <f t="shared" si="374"/>
        <v>0</v>
      </c>
      <c r="KD150" s="200">
        <f t="shared" si="374"/>
        <v>0</v>
      </c>
      <c r="KE150" s="200">
        <f t="shared" si="374"/>
        <v>0</v>
      </c>
      <c r="KF150" s="200">
        <f t="shared" si="374"/>
        <v>0</v>
      </c>
      <c r="KG150" s="200">
        <f t="shared" si="374"/>
        <v>14</v>
      </c>
      <c r="KH150" s="200">
        <f t="shared" si="374"/>
        <v>14</v>
      </c>
      <c r="KI150" s="200">
        <f t="shared" si="374"/>
        <v>14</v>
      </c>
      <c r="KJ150" s="200">
        <f t="shared" si="374"/>
        <v>15</v>
      </c>
      <c r="KK150" s="200">
        <f t="shared" si="374"/>
        <v>16</v>
      </c>
      <c r="KL150" s="200">
        <f t="shared" si="374"/>
        <v>14</v>
      </c>
      <c r="KM150" s="200">
        <f t="shared" si="374"/>
        <v>15</v>
      </c>
      <c r="KN150" s="199"/>
      <c r="KO150" s="199"/>
      <c r="KP150" s="199"/>
      <c r="KQ150" s="199"/>
      <c r="KR150" s="199"/>
      <c r="KS150" s="199"/>
      <c r="KT150" s="199"/>
      <c r="KU150" s="199"/>
      <c r="KV150" s="199"/>
      <c r="KW150" s="199"/>
      <c r="KX150" s="199"/>
      <c r="KY150" s="199"/>
      <c r="KZ150" s="199"/>
      <c r="LA150" s="199"/>
      <c r="LB150" s="199"/>
      <c r="LC150" s="199"/>
      <c r="LD150" s="199"/>
      <c r="LE150" s="199"/>
      <c r="LF150" s="199"/>
      <c r="LG150" s="199"/>
    </row>
    <row r="151" ht="14.25" customHeight="1">
      <c r="A151" s="156">
        <v>144.0</v>
      </c>
      <c r="B151" s="157" t="s">
        <v>240</v>
      </c>
      <c r="C151" s="158">
        <v>3374140.0</v>
      </c>
      <c r="D151" s="158" t="s">
        <v>257</v>
      </c>
      <c r="E151" s="158" t="s">
        <v>259</v>
      </c>
      <c r="F151" s="470">
        <v>4.0</v>
      </c>
      <c r="G151" s="476">
        <v>264.0</v>
      </c>
      <c r="H151" s="160">
        <v>8.0</v>
      </c>
      <c r="I151" s="161">
        <v>0.0</v>
      </c>
      <c r="J151" s="161">
        <v>0.0</v>
      </c>
      <c r="K151" s="161">
        <v>2.0</v>
      </c>
      <c r="L151" s="161">
        <v>6.0</v>
      </c>
      <c r="M151" s="161">
        <v>1.0</v>
      </c>
      <c r="N151" s="161">
        <v>0.0</v>
      </c>
      <c r="O151" s="162">
        <f t="shared" si="369"/>
        <v>7</v>
      </c>
      <c r="P151" s="203">
        <v>11.0</v>
      </c>
      <c r="Q151" s="164">
        <v>0.0</v>
      </c>
      <c r="R151" s="164">
        <v>0.0</v>
      </c>
      <c r="S151" s="164">
        <v>3.0</v>
      </c>
      <c r="T151" s="165">
        <v>8.0</v>
      </c>
      <c r="U151" s="165">
        <v>2.0</v>
      </c>
      <c r="V151" s="165">
        <v>1.0</v>
      </c>
      <c r="W151" s="166">
        <f t="shared" si="225"/>
        <v>8</v>
      </c>
      <c r="X151" s="203">
        <v>11.0</v>
      </c>
      <c r="Y151" s="165">
        <v>0.0</v>
      </c>
      <c r="Z151" s="165">
        <v>0.0</v>
      </c>
      <c r="AA151" s="165">
        <v>2.0</v>
      </c>
      <c r="AB151" s="165">
        <v>9.0</v>
      </c>
      <c r="AC151" s="165">
        <v>0.0</v>
      </c>
      <c r="AD151" s="165">
        <v>0.0</v>
      </c>
      <c r="AE151" s="166">
        <f t="shared" si="214"/>
        <v>11</v>
      </c>
      <c r="AF151" s="167">
        <v>10.0</v>
      </c>
      <c r="AG151" s="165">
        <v>0.0</v>
      </c>
      <c r="AH151" s="165">
        <v>0.0</v>
      </c>
      <c r="AI151" s="165">
        <v>1.0</v>
      </c>
      <c r="AJ151" s="165">
        <v>9.0</v>
      </c>
      <c r="AK151" s="165">
        <v>0.0</v>
      </c>
      <c r="AL151" s="165">
        <v>0.0</v>
      </c>
      <c r="AM151" s="166">
        <f t="shared" si="370"/>
        <v>10</v>
      </c>
      <c r="AN151" s="167">
        <v>15.0</v>
      </c>
      <c r="AO151" s="165">
        <v>0.0</v>
      </c>
      <c r="AP151" s="165">
        <v>0.0</v>
      </c>
      <c r="AQ151" s="165">
        <v>3.0</v>
      </c>
      <c r="AR151" s="165">
        <v>12.0</v>
      </c>
      <c r="AS151" s="165">
        <v>2.0</v>
      </c>
      <c r="AT151" s="165">
        <v>0.0</v>
      </c>
      <c r="AU151" s="168">
        <f t="shared" si="375"/>
        <v>13</v>
      </c>
      <c r="AV151" s="477">
        <v>265.0</v>
      </c>
      <c r="AW151" s="170">
        <f t="shared" si="8"/>
        <v>12</v>
      </c>
      <c r="AX151" s="165">
        <v>0.0</v>
      </c>
      <c r="AY151" s="165">
        <v>0.0</v>
      </c>
      <c r="AZ151" s="165">
        <v>3.0</v>
      </c>
      <c r="BA151" s="171">
        <v>9.0</v>
      </c>
      <c r="BB151" s="169">
        <v>0.0</v>
      </c>
      <c r="BC151" s="169">
        <v>0.0</v>
      </c>
      <c r="BD151" s="169">
        <v>0.0</v>
      </c>
      <c r="BE151" s="169">
        <v>0.0</v>
      </c>
      <c r="BF151" s="169">
        <v>0.0</v>
      </c>
      <c r="BG151" s="169">
        <v>0.0</v>
      </c>
      <c r="BH151" s="169">
        <v>0.0</v>
      </c>
      <c r="BI151" s="169">
        <v>3.0</v>
      </c>
      <c r="BJ151" s="169">
        <v>0.0</v>
      </c>
      <c r="BK151" s="169">
        <v>0.0</v>
      </c>
      <c r="BL151" s="169">
        <v>0.0</v>
      </c>
      <c r="BM151" s="169">
        <v>0.0</v>
      </c>
      <c r="BN151" s="169">
        <v>0.0</v>
      </c>
      <c r="BO151" s="169">
        <v>0.0</v>
      </c>
      <c r="BP151" s="205">
        <f t="shared" si="131"/>
        <v>3</v>
      </c>
      <c r="BQ151" s="173">
        <v>265.0</v>
      </c>
      <c r="BR151" s="170">
        <f t="shared" si="10"/>
        <v>12</v>
      </c>
      <c r="BS151" s="165">
        <v>0.0</v>
      </c>
      <c r="BT151" s="165">
        <v>0.0</v>
      </c>
      <c r="BU151" s="165">
        <v>3.0</v>
      </c>
      <c r="BV151" s="171">
        <v>9.0</v>
      </c>
      <c r="BW151" s="169">
        <v>0.0</v>
      </c>
      <c r="BX151" s="169">
        <v>0.0</v>
      </c>
      <c r="BY151" s="169">
        <v>0.0</v>
      </c>
      <c r="BZ151" s="169">
        <v>0.0</v>
      </c>
      <c r="CA151" s="169">
        <v>0.0</v>
      </c>
      <c r="CB151" s="169">
        <v>0.0</v>
      </c>
      <c r="CC151" s="169">
        <v>0.0</v>
      </c>
      <c r="CD151" s="169">
        <v>0.0</v>
      </c>
      <c r="CE151" s="169">
        <v>0.0</v>
      </c>
      <c r="CF151" s="169">
        <v>0.0</v>
      </c>
      <c r="CG151" s="169">
        <v>0.0</v>
      </c>
      <c r="CH151" s="169">
        <v>0.0</v>
      </c>
      <c r="CI151" s="169">
        <v>0.0</v>
      </c>
      <c r="CJ151" s="169">
        <v>0.0</v>
      </c>
      <c r="CK151" s="205">
        <f t="shared" si="132"/>
        <v>0</v>
      </c>
      <c r="CL151" s="173">
        <v>262.0</v>
      </c>
      <c r="CM151" s="173">
        <v>126.0</v>
      </c>
      <c r="CN151" s="175">
        <f t="shared" si="295"/>
        <v>12</v>
      </c>
      <c r="CO151" s="173">
        <v>0.0</v>
      </c>
      <c r="CP151" s="173">
        <v>0.0</v>
      </c>
      <c r="CQ151" s="173">
        <v>3.0</v>
      </c>
      <c r="CR151" s="173">
        <v>9.0</v>
      </c>
      <c r="CS151" s="173">
        <v>0.0</v>
      </c>
      <c r="CT151" s="173">
        <v>0.0</v>
      </c>
      <c r="CU151" s="173">
        <v>0.0</v>
      </c>
      <c r="CV151" s="173">
        <v>0.0</v>
      </c>
      <c r="CW151" s="173">
        <v>0.0</v>
      </c>
      <c r="CX151" s="173">
        <v>0.0</v>
      </c>
      <c r="CY151" s="173">
        <v>0.0</v>
      </c>
      <c r="CZ151" s="173">
        <v>0.0</v>
      </c>
      <c r="DA151" s="173">
        <v>0.0</v>
      </c>
      <c r="DB151" s="173">
        <v>0.0</v>
      </c>
      <c r="DC151" s="173">
        <v>0.0</v>
      </c>
      <c r="DD151" s="173">
        <v>0.0</v>
      </c>
      <c r="DE151" s="173">
        <v>0.0</v>
      </c>
      <c r="DF151" s="173">
        <v>0.0</v>
      </c>
      <c r="DG151" s="176">
        <f t="shared" si="13"/>
        <v>0</v>
      </c>
      <c r="DH151" s="177">
        <v>212.0</v>
      </c>
      <c r="DI151" s="177">
        <v>75.0</v>
      </c>
      <c r="DJ151" s="178">
        <v>212.0</v>
      </c>
      <c r="DK151" s="178">
        <v>75.0</v>
      </c>
      <c r="DL151" s="179">
        <f t="shared" si="14"/>
        <v>12</v>
      </c>
      <c r="DM151" s="180">
        <f t="shared" si="15"/>
        <v>4</v>
      </c>
      <c r="DN151" s="180">
        <f t="shared" si="16"/>
        <v>8</v>
      </c>
      <c r="DO151" s="177">
        <v>0.0</v>
      </c>
      <c r="DP151" s="177">
        <v>0.0</v>
      </c>
      <c r="DQ151" s="177">
        <v>2.0</v>
      </c>
      <c r="DR151" s="177">
        <v>8.0</v>
      </c>
      <c r="DS151" s="177">
        <v>0.0</v>
      </c>
      <c r="DT151" s="177">
        <v>1.0</v>
      </c>
      <c r="DU151" s="177">
        <v>1.0</v>
      </c>
      <c r="DV151" s="177">
        <v>0.0</v>
      </c>
      <c r="DW151" s="177">
        <v>0.0</v>
      </c>
      <c r="DX151" s="177">
        <v>0.0</v>
      </c>
      <c r="DY151" s="177">
        <v>1.0</v>
      </c>
      <c r="DZ151" s="177">
        <v>1.0</v>
      </c>
      <c r="EA151" s="177">
        <v>0.0</v>
      </c>
      <c r="EB151" s="177">
        <v>0.0</v>
      </c>
      <c r="EC151" s="177">
        <v>0.0</v>
      </c>
      <c r="ED151" s="177">
        <v>0.0</v>
      </c>
      <c r="EE151" s="177">
        <v>0.0</v>
      </c>
      <c r="EF151" s="177">
        <v>0.0</v>
      </c>
      <c r="EG151" s="179">
        <f t="shared" si="17"/>
        <v>2</v>
      </c>
      <c r="EH151" s="179">
        <f t="shared" si="18"/>
        <v>1</v>
      </c>
      <c r="EI151" s="177">
        <v>215.0</v>
      </c>
      <c r="EJ151" s="177">
        <v>74.0</v>
      </c>
      <c r="EK151" s="178">
        <v>215.0</v>
      </c>
      <c r="EL151" s="178">
        <v>74.0</v>
      </c>
      <c r="EM151" s="185">
        <f t="shared" si="362"/>
        <v>13</v>
      </c>
      <c r="EN151" s="186">
        <f t="shared" si="202"/>
        <v>4</v>
      </c>
      <c r="EO151" s="186">
        <f t="shared" si="90"/>
        <v>9</v>
      </c>
      <c r="EP151" s="177">
        <v>0.0</v>
      </c>
      <c r="EQ151" s="177">
        <v>1.0</v>
      </c>
      <c r="ER151" s="177">
        <v>2.0</v>
      </c>
      <c r="ES151" s="177">
        <v>8.0</v>
      </c>
      <c r="ET151" s="177">
        <v>0.0</v>
      </c>
      <c r="EU151" s="177">
        <v>0.0</v>
      </c>
      <c r="EV151" s="177">
        <v>1.0</v>
      </c>
      <c r="EW151" s="177">
        <v>1.0</v>
      </c>
      <c r="EX151" s="177">
        <v>0.0</v>
      </c>
      <c r="EY151" s="177">
        <v>0.0</v>
      </c>
      <c r="EZ151" s="177">
        <v>0.0</v>
      </c>
      <c r="FA151" s="177">
        <v>1.0</v>
      </c>
      <c r="FB151" s="177">
        <v>0.0</v>
      </c>
      <c r="FC151" s="177">
        <v>0.0</v>
      </c>
      <c r="FD151" s="177">
        <v>0.0</v>
      </c>
      <c r="FE151" s="177">
        <v>0.0</v>
      </c>
      <c r="FF151" s="177">
        <v>0.0</v>
      </c>
      <c r="FG151" s="177">
        <v>0.0</v>
      </c>
      <c r="FH151" s="185">
        <f t="shared" si="22"/>
        <v>1</v>
      </c>
      <c r="FI151" s="185">
        <f t="shared" si="23"/>
        <v>0</v>
      </c>
      <c r="FJ151" s="177">
        <v>213.0</v>
      </c>
      <c r="FK151" s="177">
        <v>71.0</v>
      </c>
      <c r="FL151" s="177">
        <v>213.0</v>
      </c>
      <c r="FM151" s="177">
        <v>71.0</v>
      </c>
      <c r="FN151" s="180"/>
      <c r="FO151" s="180">
        <v>12.0</v>
      </c>
      <c r="FP151" s="188">
        <f t="shared" si="343"/>
        <v>12</v>
      </c>
      <c r="FQ151" s="211">
        <v>3.0</v>
      </c>
      <c r="FR151" s="212">
        <v>9.0</v>
      </c>
      <c r="FS151" s="206">
        <v>0.0</v>
      </c>
      <c r="FT151" s="207">
        <v>1.0</v>
      </c>
      <c r="FU151" s="207">
        <v>2.0</v>
      </c>
      <c r="FV151" s="207">
        <v>9.0</v>
      </c>
      <c r="FW151" s="207">
        <v>0.0</v>
      </c>
      <c r="FX151" s="207">
        <v>0.0</v>
      </c>
      <c r="FY151" s="207">
        <v>0.0</v>
      </c>
      <c r="FZ151" s="207">
        <v>0.0</v>
      </c>
      <c r="GA151" s="207">
        <v>0.0</v>
      </c>
      <c r="GB151" s="207">
        <v>0.0</v>
      </c>
      <c r="GC151" s="207">
        <v>0.0</v>
      </c>
      <c r="GD151" s="207">
        <v>0.0</v>
      </c>
      <c r="GE151" s="207">
        <v>0.0</v>
      </c>
      <c r="GF151" s="207">
        <v>0.0</v>
      </c>
      <c r="GG151" s="207">
        <v>1.0</v>
      </c>
      <c r="GH151" s="207">
        <v>0.0</v>
      </c>
      <c r="GI151" s="207">
        <v>0.0</v>
      </c>
      <c r="GJ151" s="207">
        <v>0.0</v>
      </c>
      <c r="GK151" s="212">
        <v>1.0</v>
      </c>
      <c r="GL151" s="212">
        <v>1.0</v>
      </c>
      <c r="GM151" s="207">
        <v>215.0</v>
      </c>
      <c r="GN151" s="207">
        <v>74.0</v>
      </c>
      <c r="GO151" s="213">
        <v>215.0</v>
      </c>
      <c r="GP151" s="213">
        <v>74.0</v>
      </c>
      <c r="GQ151" s="207"/>
      <c r="GR151" s="213">
        <v>10.0</v>
      </c>
      <c r="GS151" s="193">
        <v>3.0</v>
      </c>
      <c r="GT151" s="194">
        <f t="shared" si="25"/>
        <v>10</v>
      </c>
      <c r="GU151" s="194">
        <f t="shared" si="26"/>
        <v>3</v>
      </c>
      <c r="GV151" s="194">
        <f t="shared" si="27"/>
        <v>7</v>
      </c>
      <c r="GW151" s="207">
        <v>0.0</v>
      </c>
      <c r="GX151" s="207">
        <v>1.0</v>
      </c>
      <c r="GY151" s="207">
        <v>2.0</v>
      </c>
      <c r="GZ151" s="207">
        <v>7.0</v>
      </c>
      <c r="HA151" s="207">
        <v>0.0</v>
      </c>
      <c r="HB151" s="207">
        <v>0.0</v>
      </c>
      <c r="HC151" s="207">
        <v>0.0</v>
      </c>
      <c r="HD151" s="207">
        <v>0.0</v>
      </c>
      <c r="HE151" s="207">
        <v>0.0</v>
      </c>
      <c r="HF151" s="207">
        <v>0.0</v>
      </c>
      <c r="HG151" s="207">
        <v>0.0</v>
      </c>
      <c r="HH151" s="207">
        <v>2.0</v>
      </c>
      <c r="HI151" s="207">
        <v>0.0</v>
      </c>
      <c r="HJ151" s="207">
        <v>0.0</v>
      </c>
      <c r="HK151" s="207">
        <v>0.0</v>
      </c>
      <c r="HL151" s="207">
        <v>0.0</v>
      </c>
      <c r="HM151" s="207">
        <v>0.0</v>
      </c>
      <c r="HN151" s="207">
        <v>0.0</v>
      </c>
      <c r="HO151" s="222"/>
      <c r="HP151" s="222"/>
      <c r="HQ151" s="214"/>
      <c r="HR151" s="197"/>
      <c r="HS151" s="197"/>
      <c r="HT151" s="198">
        <f t="shared" si="28"/>
        <v>8</v>
      </c>
      <c r="HU151" s="198">
        <f t="shared" si="29"/>
        <v>11</v>
      </c>
      <c r="HV151" s="198">
        <f t="shared" si="30"/>
        <v>11</v>
      </c>
      <c r="HW151" s="198">
        <f t="shared" si="99"/>
        <v>10</v>
      </c>
      <c r="HX151" s="198">
        <f t="shared" si="32"/>
        <v>15</v>
      </c>
      <c r="HY151" s="198">
        <f t="shared" si="33"/>
        <v>12</v>
      </c>
      <c r="HZ151" s="198">
        <f t="shared" si="34"/>
        <v>12</v>
      </c>
      <c r="IA151" s="198">
        <f t="shared" si="35"/>
        <v>12</v>
      </c>
      <c r="IB151" s="198">
        <f t="shared" si="36"/>
        <v>12</v>
      </c>
      <c r="IC151" s="198">
        <f t="shared" si="37"/>
        <v>13</v>
      </c>
      <c r="ID151" s="198">
        <f t="shared" si="38"/>
        <v>12</v>
      </c>
      <c r="IE151" s="198">
        <f t="shared" si="39"/>
        <v>10</v>
      </c>
      <c r="IF151" s="197"/>
      <c r="IG151" s="197"/>
      <c r="IH151" s="197"/>
      <c r="II151" s="197"/>
      <c r="IJ151" s="197"/>
      <c r="IK151" s="197"/>
      <c r="IL151" s="197"/>
      <c r="IM151" s="197"/>
      <c r="IN151" s="197"/>
      <c r="IO151" s="197"/>
      <c r="IP151" s="197"/>
      <c r="IQ151" s="197"/>
      <c r="IR151" s="197"/>
      <c r="IS151" s="197"/>
      <c r="IT151" s="197"/>
      <c r="IU151" s="197"/>
      <c r="IV151" s="197"/>
      <c r="IW151" s="197"/>
      <c r="IX151" s="197"/>
      <c r="IY151" s="197"/>
      <c r="IZ151" s="197"/>
      <c r="JA151" s="199"/>
      <c r="JB151" s="200">
        <f t="shared" si="40"/>
        <v>8</v>
      </c>
      <c r="JC151" s="200">
        <f t="shared" si="41"/>
        <v>11</v>
      </c>
      <c r="JD151" s="200">
        <f t="shared" si="42"/>
        <v>11</v>
      </c>
      <c r="JE151" s="200">
        <f t="shared" si="43"/>
        <v>10</v>
      </c>
      <c r="JF151" s="200">
        <f t="shared" si="44"/>
        <v>15</v>
      </c>
      <c r="JG151" s="200">
        <f t="shared" si="45"/>
        <v>12</v>
      </c>
      <c r="JH151" s="200">
        <f t="shared" si="46"/>
        <v>12</v>
      </c>
      <c r="JI151" s="200">
        <f t="shared" si="47"/>
        <v>12</v>
      </c>
      <c r="JJ151" s="200">
        <f t="shared" si="48"/>
        <v>12</v>
      </c>
      <c r="JK151" s="200">
        <f t="shared" si="49"/>
        <v>14</v>
      </c>
      <c r="JL151" s="200">
        <f t="shared" si="50"/>
        <v>12</v>
      </c>
      <c r="JM151" s="200">
        <f t="shared" si="51"/>
        <v>10</v>
      </c>
      <c r="JN151" s="199"/>
      <c r="JO151" s="200">
        <f t="shared" si="52"/>
        <v>8</v>
      </c>
      <c r="JP151" s="202">
        <v>11.0</v>
      </c>
      <c r="JQ151" s="202">
        <v>11.0</v>
      </c>
      <c r="JR151" s="202">
        <v>10.0</v>
      </c>
      <c r="JS151" s="202">
        <v>15.0</v>
      </c>
      <c r="JT151" s="199"/>
      <c r="JU151" s="199"/>
      <c r="JV151" s="200">
        <f t="shared" ref="JV151:JX151" si="376">IA151-JI151</f>
        <v>0</v>
      </c>
      <c r="JW151" s="200">
        <f t="shared" si="376"/>
        <v>0</v>
      </c>
      <c r="JX151" s="200">
        <f t="shared" si="376"/>
        <v>-1</v>
      </c>
      <c r="JY151" s="199"/>
      <c r="JZ151" s="199"/>
      <c r="KA151" s="199"/>
      <c r="KB151" s="200">
        <f t="shared" ref="KB151:KM151" si="377">JB151-JO151</f>
        <v>0</v>
      </c>
      <c r="KC151" s="200">
        <f t="shared" si="377"/>
        <v>0</v>
      </c>
      <c r="KD151" s="200">
        <f t="shared" si="377"/>
        <v>0</v>
      </c>
      <c r="KE151" s="200">
        <f t="shared" si="377"/>
        <v>0</v>
      </c>
      <c r="KF151" s="200">
        <f t="shared" si="377"/>
        <v>0</v>
      </c>
      <c r="KG151" s="200">
        <f t="shared" si="377"/>
        <v>12</v>
      </c>
      <c r="KH151" s="200">
        <f t="shared" si="377"/>
        <v>12</v>
      </c>
      <c r="KI151" s="200">
        <f t="shared" si="377"/>
        <v>12</v>
      </c>
      <c r="KJ151" s="200">
        <f t="shared" si="377"/>
        <v>12</v>
      </c>
      <c r="KK151" s="200">
        <f t="shared" si="377"/>
        <v>15</v>
      </c>
      <c r="KL151" s="200">
        <f t="shared" si="377"/>
        <v>12</v>
      </c>
      <c r="KM151" s="200">
        <f t="shared" si="377"/>
        <v>10</v>
      </c>
      <c r="KN151" s="199"/>
      <c r="KO151" s="199"/>
      <c r="KP151" s="199"/>
      <c r="KQ151" s="199"/>
      <c r="KR151" s="199"/>
      <c r="KS151" s="199"/>
      <c r="KT151" s="199"/>
      <c r="KU151" s="199"/>
      <c r="KV151" s="199"/>
      <c r="KW151" s="199"/>
      <c r="KX151" s="199"/>
      <c r="KY151" s="199"/>
      <c r="KZ151" s="199"/>
      <c r="LA151" s="199"/>
      <c r="LB151" s="199"/>
      <c r="LC151" s="199"/>
      <c r="LD151" s="199"/>
      <c r="LE151" s="199"/>
      <c r="LF151" s="199"/>
      <c r="LG151" s="199"/>
    </row>
    <row r="152" ht="14.25" customHeight="1">
      <c r="A152" s="156">
        <v>145.0</v>
      </c>
      <c r="B152" s="157" t="s">
        <v>240</v>
      </c>
      <c r="C152" s="158">
        <v>3374140.0</v>
      </c>
      <c r="D152" s="158" t="s">
        <v>257</v>
      </c>
      <c r="E152" s="158" t="s">
        <v>260</v>
      </c>
      <c r="F152" s="470">
        <v>1.0</v>
      </c>
      <c r="G152" s="476">
        <v>108.0</v>
      </c>
      <c r="H152" s="160">
        <v>4.0</v>
      </c>
      <c r="I152" s="161">
        <v>0.0</v>
      </c>
      <c r="J152" s="161">
        <v>0.0</v>
      </c>
      <c r="K152" s="161">
        <v>1.0</v>
      </c>
      <c r="L152" s="161">
        <v>3.0</v>
      </c>
      <c r="M152" s="161">
        <v>1.0</v>
      </c>
      <c r="N152" s="161">
        <v>0.0</v>
      </c>
      <c r="O152" s="162">
        <f t="shared" si="369"/>
        <v>3</v>
      </c>
      <c r="P152" s="203">
        <v>4.0</v>
      </c>
      <c r="Q152" s="164">
        <v>0.0</v>
      </c>
      <c r="R152" s="164">
        <v>0.0</v>
      </c>
      <c r="S152" s="164">
        <v>1.0</v>
      </c>
      <c r="T152" s="165">
        <v>3.0</v>
      </c>
      <c r="U152" s="165">
        <v>0.0</v>
      </c>
      <c r="V152" s="165">
        <v>0.0</v>
      </c>
      <c r="W152" s="166">
        <f t="shared" si="225"/>
        <v>4</v>
      </c>
      <c r="X152" s="203">
        <v>4.0</v>
      </c>
      <c r="Y152" s="165">
        <v>0.0</v>
      </c>
      <c r="Z152" s="165">
        <v>0.0</v>
      </c>
      <c r="AA152" s="165">
        <v>1.0</v>
      </c>
      <c r="AB152" s="165">
        <v>3.0</v>
      </c>
      <c r="AC152" s="165">
        <v>0.0</v>
      </c>
      <c r="AD152" s="165">
        <v>0.0</v>
      </c>
      <c r="AE152" s="166">
        <f t="shared" si="214"/>
        <v>4</v>
      </c>
      <c r="AF152" s="167">
        <v>5.0</v>
      </c>
      <c r="AG152" s="165">
        <v>0.0</v>
      </c>
      <c r="AH152" s="165">
        <v>0.0</v>
      </c>
      <c r="AI152" s="165">
        <v>1.0</v>
      </c>
      <c r="AJ152" s="165">
        <v>4.0</v>
      </c>
      <c r="AK152" s="165">
        <v>0.0</v>
      </c>
      <c r="AL152" s="165">
        <v>0.0</v>
      </c>
      <c r="AM152" s="166">
        <f t="shared" si="370"/>
        <v>5</v>
      </c>
      <c r="AN152" s="167">
        <v>4.0</v>
      </c>
      <c r="AO152" s="165">
        <v>0.0</v>
      </c>
      <c r="AP152" s="165">
        <v>0.0</v>
      </c>
      <c r="AQ152" s="165">
        <v>0.0</v>
      </c>
      <c r="AR152" s="165">
        <v>4.0</v>
      </c>
      <c r="AS152" s="165">
        <v>0.0</v>
      </c>
      <c r="AT152" s="165">
        <v>1.0</v>
      </c>
      <c r="AU152" s="168">
        <f t="shared" si="375"/>
        <v>3</v>
      </c>
      <c r="AV152" s="477">
        <v>109.0</v>
      </c>
      <c r="AW152" s="170">
        <f t="shared" si="8"/>
        <v>3</v>
      </c>
      <c r="AX152" s="165">
        <v>0.0</v>
      </c>
      <c r="AY152" s="165">
        <v>0.0</v>
      </c>
      <c r="AZ152" s="165">
        <v>0.0</v>
      </c>
      <c r="BA152" s="171">
        <v>3.0</v>
      </c>
      <c r="BB152" s="169">
        <v>0.0</v>
      </c>
      <c r="BC152" s="169">
        <v>0.0</v>
      </c>
      <c r="BD152" s="169">
        <v>0.0</v>
      </c>
      <c r="BE152" s="169">
        <v>0.0</v>
      </c>
      <c r="BF152" s="169">
        <v>0.0</v>
      </c>
      <c r="BG152" s="169">
        <v>0.0</v>
      </c>
      <c r="BH152" s="169">
        <v>0.0</v>
      </c>
      <c r="BI152" s="169">
        <v>1.0</v>
      </c>
      <c r="BJ152" s="169">
        <v>0.0</v>
      </c>
      <c r="BK152" s="169">
        <v>0.0</v>
      </c>
      <c r="BL152" s="169">
        <v>0.0</v>
      </c>
      <c r="BM152" s="169">
        <v>0.0</v>
      </c>
      <c r="BN152" s="169">
        <v>0.0</v>
      </c>
      <c r="BO152" s="169">
        <v>0.0</v>
      </c>
      <c r="BP152" s="205">
        <f t="shared" si="131"/>
        <v>1</v>
      </c>
      <c r="BQ152" s="173">
        <v>109.0</v>
      </c>
      <c r="BR152" s="170">
        <f t="shared" si="10"/>
        <v>2</v>
      </c>
      <c r="BS152" s="165">
        <v>0.0</v>
      </c>
      <c r="BT152" s="165">
        <v>0.0</v>
      </c>
      <c r="BU152" s="165">
        <v>0.0</v>
      </c>
      <c r="BV152" s="171">
        <v>2.0</v>
      </c>
      <c r="BW152" s="169">
        <v>0.0</v>
      </c>
      <c r="BX152" s="169">
        <v>0.0</v>
      </c>
      <c r="BY152" s="169">
        <v>0.0</v>
      </c>
      <c r="BZ152" s="169">
        <v>0.0</v>
      </c>
      <c r="CA152" s="169">
        <v>0.0</v>
      </c>
      <c r="CB152" s="169">
        <v>0.0</v>
      </c>
      <c r="CC152" s="169">
        <v>0.0</v>
      </c>
      <c r="CD152" s="169">
        <v>0.0</v>
      </c>
      <c r="CE152" s="169">
        <v>0.0</v>
      </c>
      <c r="CF152" s="169">
        <v>0.0</v>
      </c>
      <c r="CG152" s="169">
        <v>0.0</v>
      </c>
      <c r="CH152" s="169">
        <v>1.0</v>
      </c>
      <c r="CI152" s="169">
        <v>0.0</v>
      </c>
      <c r="CJ152" s="169">
        <v>0.0</v>
      </c>
      <c r="CK152" s="205">
        <f t="shared" si="132"/>
        <v>1</v>
      </c>
      <c r="CL152" s="173">
        <v>107.0</v>
      </c>
      <c r="CM152" s="173">
        <v>83.0</v>
      </c>
      <c r="CN152" s="175">
        <f t="shared" si="295"/>
        <v>2</v>
      </c>
      <c r="CO152" s="173">
        <v>0.0</v>
      </c>
      <c r="CP152" s="173">
        <v>0.0</v>
      </c>
      <c r="CQ152" s="173">
        <v>0.0</v>
      </c>
      <c r="CR152" s="173">
        <v>2.0</v>
      </c>
      <c r="CS152" s="173">
        <v>0.0</v>
      </c>
      <c r="CT152" s="173">
        <v>0.0</v>
      </c>
      <c r="CU152" s="173">
        <v>0.0</v>
      </c>
      <c r="CV152" s="173">
        <v>0.0</v>
      </c>
      <c r="CW152" s="173">
        <v>0.0</v>
      </c>
      <c r="CX152" s="173">
        <v>0.0</v>
      </c>
      <c r="CY152" s="173">
        <v>0.0</v>
      </c>
      <c r="CZ152" s="173">
        <v>0.0</v>
      </c>
      <c r="DA152" s="173">
        <v>0.0</v>
      </c>
      <c r="DB152" s="173">
        <v>0.0</v>
      </c>
      <c r="DC152" s="173">
        <v>0.0</v>
      </c>
      <c r="DD152" s="173">
        <v>0.0</v>
      </c>
      <c r="DE152" s="173">
        <v>0.0</v>
      </c>
      <c r="DF152" s="173">
        <v>0.0</v>
      </c>
      <c r="DG152" s="176">
        <f t="shared" si="13"/>
        <v>0</v>
      </c>
      <c r="DH152" s="177">
        <v>31.0</v>
      </c>
      <c r="DI152" s="177">
        <v>5.0</v>
      </c>
      <c r="DJ152" s="178">
        <v>31.0</v>
      </c>
      <c r="DK152" s="178">
        <v>5.0</v>
      </c>
      <c r="DL152" s="179">
        <f t="shared" si="14"/>
        <v>1</v>
      </c>
      <c r="DM152" s="180">
        <f t="shared" si="15"/>
        <v>0</v>
      </c>
      <c r="DN152" s="180">
        <f t="shared" si="16"/>
        <v>1</v>
      </c>
      <c r="DO152" s="177">
        <v>0.0</v>
      </c>
      <c r="DP152" s="177">
        <v>0.0</v>
      </c>
      <c r="DQ152" s="177">
        <v>0.0</v>
      </c>
      <c r="DR152" s="177">
        <v>1.0</v>
      </c>
      <c r="DS152" s="177">
        <v>0.0</v>
      </c>
      <c r="DT152" s="177">
        <v>0.0</v>
      </c>
      <c r="DU152" s="177">
        <v>0.0</v>
      </c>
      <c r="DV152" s="177">
        <v>0.0</v>
      </c>
      <c r="DW152" s="177">
        <v>0.0</v>
      </c>
      <c r="DX152" s="177">
        <v>0.0</v>
      </c>
      <c r="DY152" s="177">
        <v>0.0</v>
      </c>
      <c r="DZ152" s="177">
        <v>0.0</v>
      </c>
      <c r="EA152" s="177">
        <v>0.0</v>
      </c>
      <c r="EB152" s="177">
        <v>0.0</v>
      </c>
      <c r="EC152" s="177">
        <v>0.0</v>
      </c>
      <c r="ED152" s="177">
        <v>0.0</v>
      </c>
      <c r="EE152" s="177">
        <v>1.0</v>
      </c>
      <c r="EF152" s="177">
        <v>0.0</v>
      </c>
      <c r="EG152" s="179">
        <f t="shared" si="17"/>
        <v>1</v>
      </c>
      <c r="EH152" s="179">
        <f t="shared" si="18"/>
        <v>1</v>
      </c>
      <c r="EI152" s="177">
        <v>31.0</v>
      </c>
      <c r="EJ152" s="177">
        <v>5.0</v>
      </c>
      <c r="EK152" s="178">
        <v>31.0</v>
      </c>
      <c r="EL152" s="178">
        <v>5.0</v>
      </c>
      <c r="EM152" s="185">
        <f t="shared" si="362"/>
        <v>1</v>
      </c>
      <c r="EN152" s="186">
        <f t="shared" si="202"/>
        <v>0</v>
      </c>
      <c r="EO152" s="186">
        <f t="shared" si="90"/>
        <v>1</v>
      </c>
      <c r="EP152" s="177">
        <v>0.0</v>
      </c>
      <c r="EQ152" s="177">
        <v>0.0</v>
      </c>
      <c r="ER152" s="177">
        <v>0.0</v>
      </c>
      <c r="ES152" s="177">
        <v>1.0</v>
      </c>
      <c r="ET152" s="177">
        <v>0.0</v>
      </c>
      <c r="EU152" s="177">
        <v>0.0</v>
      </c>
      <c r="EV152" s="177">
        <v>0.0</v>
      </c>
      <c r="EW152" s="177">
        <v>0.0</v>
      </c>
      <c r="EX152" s="177">
        <v>0.0</v>
      </c>
      <c r="EY152" s="177">
        <v>0.0</v>
      </c>
      <c r="EZ152" s="177">
        <v>0.0</v>
      </c>
      <c r="FA152" s="177">
        <v>0.0</v>
      </c>
      <c r="FB152" s="177">
        <v>0.0</v>
      </c>
      <c r="FC152" s="177">
        <v>0.0</v>
      </c>
      <c r="FD152" s="177">
        <v>0.0</v>
      </c>
      <c r="FE152" s="177">
        <v>0.0</v>
      </c>
      <c r="FF152" s="177">
        <v>0.0</v>
      </c>
      <c r="FG152" s="177">
        <v>0.0</v>
      </c>
      <c r="FH152" s="185">
        <f t="shared" si="22"/>
        <v>0</v>
      </c>
      <c r="FI152" s="185">
        <f t="shared" si="23"/>
        <v>0</v>
      </c>
      <c r="FJ152" s="177">
        <v>33.0</v>
      </c>
      <c r="FK152" s="177">
        <v>7.0</v>
      </c>
      <c r="FL152" s="177">
        <v>33.0</v>
      </c>
      <c r="FM152" s="177">
        <v>7.0</v>
      </c>
      <c r="FN152" s="180"/>
      <c r="FO152" s="180">
        <v>1.0</v>
      </c>
      <c r="FP152" s="188">
        <f t="shared" si="343"/>
        <v>1</v>
      </c>
      <c r="FQ152" s="211">
        <v>0.0</v>
      </c>
      <c r="FR152" s="212">
        <v>1.0</v>
      </c>
      <c r="FS152" s="206">
        <v>0.0</v>
      </c>
      <c r="FT152" s="207">
        <v>0.0</v>
      </c>
      <c r="FU152" s="207">
        <v>0.0</v>
      </c>
      <c r="FV152" s="207">
        <v>1.0</v>
      </c>
      <c r="FW152" s="207">
        <v>0.0</v>
      </c>
      <c r="FX152" s="207">
        <v>0.0</v>
      </c>
      <c r="FY152" s="207">
        <v>0.0</v>
      </c>
      <c r="FZ152" s="207">
        <v>0.0</v>
      </c>
      <c r="GA152" s="207">
        <v>0.0</v>
      </c>
      <c r="GB152" s="207">
        <v>0.0</v>
      </c>
      <c r="GC152" s="207">
        <v>0.0</v>
      </c>
      <c r="GD152" s="207">
        <v>0.0</v>
      </c>
      <c r="GE152" s="207">
        <v>0.0</v>
      </c>
      <c r="GF152" s="207">
        <v>0.0</v>
      </c>
      <c r="GG152" s="207">
        <v>0.0</v>
      </c>
      <c r="GH152" s="207">
        <v>0.0</v>
      </c>
      <c r="GI152" s="207">
        <v>0.0</v>
      </c>
      <c r="GJ152" s="207">
        <v>0.0</v>
      </c>
      <c r="GK152" s="212">
        <v>0.0</v>
      </c>
      <c r="GL152" s="212">
        <v>0.0</v>
      </c>
      <c r="GM152" s="207">
        <v>32.0</v>
      </c>
      <c r="GN152" s="207">
        <v>6.0</v>
      </c>
      <c r="GO152" s="213">
        <v>32.0</v>
      </c>
      <c r="GP152" s="213">
        <v>6.0</v>
      </c>
      <c r="GQ152" s="207"/>
      <c r="GR152" s="213">
        <v>1.0</v>
      </c>
      <c r="GS152" s="193">
        <v>0.0</v>
      </c>
      <c r="GT152" s="194">
        <f t="shared" si="25"/>
        <v>1</v>
      </c>
      <c r="GU152" s="194">
        <f t="shared" si="26"/>
        <v>0</v>
      </c>
      <c r="GV152" s="194">
        <f t="shared" si="27"/>
        <v>1</v>
      </c>
      <c r="GW152" s="207">
        <v>0.0</v>
      </c>
      <c r="GX152" s="207">
        <v>0.0</v>
      </c>
      <c r="GY152" s="207">
        <v>0.0</v>
      </c>
      <c r="GZ152" s="207">
        <v>1.0</v>
      </c>
      <c r="HA152" s="207">
        <v>0.0</v>
      </c>
      <c r="HB152" s="207">
        <v>0.0</v>
      </c>
      <c r="HC152" s="207">
        <v>0.0</v>
      </c>
      <c r="HD152" s="207">
        <v>0.0</v>
      </c>
      <c r="HE152" s="207">
        <v>0.0</v>
      </c>
      <c r="HF152" s="207">
        <v>0.0</v>
      </c>
      <c r="HG152" s="207">
        <v>0.0</v>
      </c>
      <c r="HH152" s="207">
        <v>0.0</v>
      </c>
      <c r="HI152" s="207">
        <v>0.0</v>
      </c>
      <c r="HJ152" s="207">
        <v>0.0</v>
      </c>
      <c r="HK152" s="207">
        <v>0.0</v>
      </c>
      <c r="HL152" s="207">
        <v>0.0</v>
      </c>
      <c r="HM152" s="207">
        <v>0.0</v>
      </c>
      <c r="HN152" s="207">
        <v>0.0</v>
      </c>
      <c r="HO152" s="222"/>
      <c r="HP152" s="222"/>
      <c r="HQ152" s="214"/>
      <c r="HR152" s="197"/>
      <c r="HS152" s="197"/>
      <c r="HT152" s="198">
        <f t="shared" si="28"/>
        <v>4</v>
      </c>
      <c r="HU152" s="198">
        <f t="shared" si="29"/>
        <v>4</v>
      </c>
      <c r="HV152" s="198">
        <f t="shared" si="30"/>
        <v>4</v>
      </c>
      <c r="HW152" s="198">
        <f t="shared" si="99"/>
        <v>5</v>
      </c>
      <c r="HX152" s="198">
        <f t="shared" si="32"/>
        <v>4</v>
      </c>
      <c r="HY152" s="198">
        <f t="shared" si="33"/>
        <v>3</v>
      </c>
      <c r="HZ152" s="198">
        <f t="shared" si="34"/>
        <v>2</v>
      </c>
      <c r="IA152" s="198">
        <f t="shared" si="35"/>
        <v>2</v>
      </c>
      <c r="IB152" s="198">
        <f t="shared" si="36"/>
        <v>1</v>
      </c>
      <c r="IC152" s="198">
        <f t="shared" si="37"/>
        <v>1</v>
      </c>
      <c r="ID152" s="198">
        <f t="shared" si="38"/>
        <v>1</v>
      </c>
      <c r="IE152" s="198">
        <f t="shared" si="39"/>
        <v>1</v>
      </c>
      <c r="IF152" s="197"/>
      <c r="IG152" s="197"/>
      <c r="IH152" s="197"/>
      <c r="II152" s="197"/>
      <c r="IJ152" s="197"/>
      <c r="IK152" s="197"/>
      <c r="IL152" s="197"/>
      <c r="IM152" s="197"/>
      <c r="IN152" s="197"/>
      <c r="IO152" s="197"/>
      <c r="IP152" s="197"/>
      <c r="IQ152" s="197"/>
      <c r="IR152" s="197"/>
      <c r="IS152" s="197"/>
      <c r="IT152" s="197"/>
      <c r="IU152" s="197"/>
      <c r="IV152" s="197"/>
      <c r="IW152" s="197"/>
      <c r="IX152" s="197"/>
      <c r="IY152" s="197"/>
      <c r="IZ152" s="197"/>
      <c r="JA152" s="199"/>
      <c r="JB152" s="200">
        <f t="shared" si="40"/>
        <v>4</v>
      </c>
      <c r="JC152" s="200">
        <f t="shared" si="41"/>
        <v>4</v>
      </c>
      <c r="JD152" s="200">
        <f t="shared" si="42"/>
        <v>4</v>
      </c>
      <c r="JE152" s="200">
        <f t="shared" si="43"/>
        <v>5</v>
      </c>
      <c r="JF152" s="200">
        <f t="shared" si="44"/>
        <v>4</v>
      </c>
      <c r="JG152" s="200">
        <f t="shared" si="45"/>
        <v>3</v>
      </c>
      <c r="JH152" s="200">
        <f t="shared" si="46"/>
        <v>2</v>
      </c>
      <c r="JI152" s="200">
        <f t="shared" si="47"/>
        <v>2</v>
      </c>
      <c r="JJ152" s="200">
        <f t="shared" si="48"/>
        <v>1</v>
      </c>
      <c r="JK152" s="200">
        <f t="shared" si="49"/>
        <v>1</v>
      </c>
      <c r="JL152" s="200">
        <f t="shared" si="50"/>
        <v>1</v>
      </c>
      <c r="JM152" s="200">
        <f t="shared" si="51"/>
        <v>1</v>
      </c>
      <c r="JN152" s="199"/>
      <c r="JO152" s="200">
        <f t="shared" si="52"/>
        <v>4</v>
      </c>
      <c r="JP152" s="202">
        <v>4.0</v>
      </c>
      <c r="JQ152" s="202">
        <v>4.0</v>
      </c>
      <c r="JR152" s="202">
        <v>5.0</v>
      </c>
      <c r="JS152" s="202">
        <v>4.0</v>
      </c>
      <c r="JT152" s="199"/>
      <c r="JU152" s="199"/>
      <c r="JV152" s="200">
        <f t="shared" ref="JV152:JX152" si="378">IA152-JI152</f>
        <v>0</v>
      </c>
      <c r="JW152" s="200">
        <f t="shared" si="378"/>
        <v>0</v>
      </c>
      <c r="JX152" s="200">
        <f t="shared" si="378"/>
        <v>0</v>
      </c>
      <c r="JY152" s="199"/>
      <c r="JZ152" s="199"/>
      <c r="KA152" s="199"/>
      <c r="KB152" s="200">
        <f t="shared" ref="KB152:KM152" si="379">JB152-JO152</f>
        <v>0</v>
      </c>
      <c r="KC152" s="200">
        <f t="shared" si="379"/>
        <v>0</v>
      </c>
      <c r="KD152" s="200">
        <f t="shared" si="379"/>
        <v>0</v>
      </c>
      <c r="KE152" s="200">
        <f t="shared" si="379"/>
        <v>0</v>
      </c>
      <c r="KF152" s="200">
        <f t="shared" si="379"/>
        <v>0</v>
      </c>
      <c r="KG152" s="200">
        <f t="shared" si="379"/>
        <v>3</v>
      </c>
      <c r="KH152" s="200">
        <f t="shared" si="379"/>
        <v>2</v>
      </c>
      <c r="KI152" s="200">
        <f t="shared" si="379"/>
        <v>2</v>
      </c>
      <c r="KJ152" s="200">
        <f t="shared" si="379"/>
        <v>1</v>
      </c>
      <c r="KK152" s="200">
        <f t="shared" si="379"/>
        <v>1</v>
      </c>
      <c r="KL152" s="200">
        <f t="shared" si="379"/>
        <v>1</v>
      </c>
      <c r="KM152" s="200">
        <f t="shared" si="379"/>
        <v>1</v>
      </c>
      <c r="KN152" s="199"/>
      <c r="KO152" s="199"/>
      <c r="KP152" s="199"/>
      <c r="KQ152" s="199"/>
      <c r="KR152" s="199"/>
      <c r="KS152" s="199"/>
      <c r="KT152" s="199"/>
      <c r="KU152" s="199"/>
      <c r="KV152" s="199"/>
      <c r="KW152" s="199"/>
      <c r="KX152" s="199"/>
      <c r="KY152" s="199"/>
      <c r="KZ152" s="199"/>
      <c r="LA152" s="199"/>
      <c r="LB152" s="199"/>
      <c r="LC152" s="199"/>
      <c r="LD152" s="199"/>
      <c r="LE152" s="199"/>
      <c r="LF152" s="199"/>
      <c r="LG152" s="199"/>
    </row>
    <row r="153" ht="14.25" customHeight="1">
      <c r="A153" s="156">
        <v>146.0</v>
      </c>
      <c r="B153" s="463" t="s">
        <v>240</v>
      </c>
      <c r="C153" s="464">
        <v>3374140.0</v>
      </c>
      <c r="D153" s="464" t="s">
        <v>243</v>
      </c>
      <c r="E153" s="464" t="s">
        <v>261</v>
      </c>
      <c r="F153" s="465">
        <v>14.0</v>
      </c>
      <c r="G153" s="466">
        <v>1151.0</v>
      </c>
      <c r="H153" s="233">
        <v>48.0</v>
      </c>
      <c r="I153" s="162">
        <v>3.0</v>
      </c>
      <c r="J153" s="162">
        <v>3.0</v>
      </c>
      <c r="K153" s="162">
        <v>9.0</v>
      </c>
      <c r="L153" s="162">
        <v>33.0</v>
      </c>
      <c r="M153" s="162">
        <v>0.0</v>
      </c>
      <c r="N153" s="162">
        <v>0.0</v>
      </c>
      <c r="O153" s="162">
        <f t="shared" si="369"/>
        <v>48</v>
      </c>
      <c r="P153" s="162">
        <v>33.0</v>
      </c>
      <c r="Q153" s="166">
        <v>2.0</v>
      </c>
      <c r="R153" s="166">
        <v>1.0</v>
      </c>
      <c r="S153" s="166">
        <v>7.0</v>
      </c>
      <c r="T153" s="236">
        <v>23.0</v>
      </c>
      <c r="U153" s="236">
        <v>8.0</v>
      </c>
      <c r="V153" s="236">
        <v>23.0</v>
      </c>
      <c r="W153" s="166">
        <f t="shared" si="225"/>
        <v>2</v>
      </c>
      <c r="X153" s="162">
        <v>38.0</v>
      </c>
      <c r="Y153" s="236">
        <v>3.0</v>
      </c>
      <c r="Z153" s="236">
        <v>6.0</v>
      </c>
      <c r="AA153" s="236">
        <v>9.0</v>
      </c>
      <c r="AB153" s="236">
        <v>20.0</v>
      </c>
      <c r="AC153" s="236">
        <v>20.0</v>
      </c>
      <c r="AD153" s="236">
        <v>15.0</v>
      </c>
      <c r="AE153" s="166">
        <f t="shared" si="214"/>
        <v>3</v>
      </c>
      <c r="AF153" s="236">
        <v>32.0</v>
      </c>
      <c r="AG153" s="236">
        <v>2.0</v>
      </c>
      <c r="AH153" s="236">
        <v>4.0</v>
      </c>
      <c r="AI153" s="236">
        <v>4.0</v>
      </c>
      <c r="AJ153" s="236">
        <v>22.0</v>
      </c>
      <c r="AK153" s="236">
        <v>4.0</v>
      </c>
      <c r="AL153" s="236">
        <v>26.0</v>
      </c>
      <c r="AM153" s="166">
        <f t="shared" si="370"/>
        <v>2</v>
      </c>
      <c r="AN153" s="236">
        <v>23.0</v>
      </c>
      <c r="AO153" s="236">
        <v>0.0</v>
      </c>
      <c r="AP153" s="236">
        <v>4.0</v>
      </c>
      <c r="AQ153" s="236">
        <v>5.0</v>
      </c>
      <c r="AR153" s="236">
        <v>14.0</v>
      </c>
      <c r="AS153" s="236">
        <v>3.0</v>
      </c>
      <c r="AT153" s="236">
        <v>18.0</v>
      </c>
      <c r="AU153" s="168">
        <f t="shared" si="375"/>
        <v>2</v>
      </c>
      <c r="AV153" s="240">
        <v>1038.0</v>
      </c>
      <c r="AW153" s="239">
        <f t="shared" si="8"/>
        <v>15</v>
      </c>
      <c r="AX153" s="240">
        <v>0.0</v>
      </c>
      <c r="AY153" s="240">
        <v>2.0</v>
      </c>
      <c r="AZ153" s="240">
        <v>1.0</v>
      </c>
      <c r="BA153" s="240">
        <v>6.0</v>
      </c>
      <c r="BB153" s="240">
        <v>0.0</v>
      </c>
      <c r="BC153" s="240">
        <v>1.0</v>
      </c>
      <c r="BD153" s="240">
        <v>1.0</v>
      </c>
      <c r="BE153" s="240">
        <v>4.0</v>
      </c>
      <c r="BF153" s="240">
        <v>0.0</v>
      </c>
      <c r="BG153" s="240">
        <v>2.0</v>
      </c>
      <c r="BH153" s="240">
        <v>4.0</v>
      </c>
      <c r="BI153" s="240">
        <v>6.0</v>
      </c>
      <c r="BJ153" s="240">
        <v>0.0</v>
      </c>
      <c r="BK153" s="240">
        <v>0.0</v>
      </c>
      <c r="BL153" s="240">
        <v>0.0</v>
      </c>
      <c r="BM153" s="240">
        <v>0.0</v>
      </c>
      <c r="BN153" s="240">
        <v>1.0</v>
      </c>
      <c r="BO153" s="240">
        <v>0.0</v>
      </c>
      <c r="BP153" s="166">
        <f t="shared" si="131"/>
        <v>13</v>
      </c>
      <c r="BQ153" s="235">
        <v>1131.0</v>
      </c>
      <c r="BR153" s="170">
        <f t="shared" si="10"/>
        <v>18</v>
      </c>
      <c r="BS153" s="235">
        <v>0.0</v>
      </c>
      <c r="BT153" s="235">
        <v>3.0</v>
      </c>
      <c r="BU153" s="235">
        <v>2.0</v>
      </c>
      <c r="BV153" s="235">
        <v>9.0</v>
      </c>
      <c r="BW153" s="235">
        <v>0.0</v>
      </c>
      <c r="BX153" s="235">
        <v>1.0</v>
      </c>
      <c r="BY153" s="235">
        <v>0.0</v>
      </c>
      <c r="BZ153" s="235">
        <v>3.0</v>
      </c>
      <c r="CA153" s="235">
        <v>0.0</v>
      </c>
      <c r="CB153" s="235">
        <v>0.0</v>
      </c>
      <c r="CC153" s="235">
        <v>0.0</v>
      </c>
      <c r="CD153" s="235">
        <v>1.0</v>
      </c>
      <c r="CE153" s="235">
        <v>0.0</v>
      </c>
      <c r="CF153" s="235">
        <v>0.0</v>
      </c>
      <c r="CG153" s="235">
        <v>0.0</v>
      </c>
      <c r="CH153" s="235">
        <v>0.0</v>
      </c>
      <c r="CI153" s="235">
        <v>0.0</v>
      </c>
      <c r="CJ153" s="235">
        <v>0.0</v>
      </c>
      <c r="CK153" s="236">
        <f t="shared" si="132"/>
        <v>1</v>
      </c>
      <c r="CL153" s="173">
        <v>1140.0</v>
      </c>
      <c r="CM153" s="173">
        <v>468.0</v>
      </c>
      <c r="CN153" s="175">
        <f t="shared" si="295"/>
        <v>14</v>
      </c>
      <c r="CO153" s="173">
        <v>0.0</v>
      </c>
      <c r="CP153" s="173">
        <v>3.0</v>
      </c>
      <c r="CQ153" s="173">
        <v>1.0</v>
      </c>
      <c r="CR153" s="173">
        <v>8.0</v>
      </c>
      <c r="CS153" s="173">
        <v>0.0</v>
      </c>
      <c r="CT153" s="173">
        <v>0.0</v>
      </c>
      <c r="CU153" s="173">
        <v>0.0</v>
      </c>
      <c r="CV153" s="173">
        <v>2.0</v>
      </c>
      <c r="CW153" s="173">
        <v>0.0</v>
      </c>
      <c r="CX153" s="173">
        <v>1.0</v>
      </c>
      <c r="CY153" s="173">
        <v>1.0</v>
      </c>
      <c r="CZ153" s="173">
        <v>4.0</v>
      </c>
      <c r="DA153" s="173">
        <v>0.0</v>
      </c>
      <c r="DB153" s="173">
        <v>0.0</v>
      </c>
      <c r="DC153" s="173">
        <v>0.0</v>
      </c>
      <c r="DD153" s="173">
        <v>0.0</v>
      </c>
      <c r="DE153" s="173">
        <v>0.0</v>
      </c>
      <c r="DF153" s="173">
        <v>0.0</v>
      </c>
      <c r="DG153" s="176">
        <f t="shared" si="13"/>
        <v>6</v>
      </c>
      <c r="DH153" s="177">
        <v>1085.0</v>
      </c>
      <c r="DI153" s="177">
        <v>453.0</v>
      </c>
      <c r="DJ153" s="178">
        <v>1085.0</v>
      </c>
      <c r="DK153" s="178">
        <v>453.0</v>
      </c>
      <c r="DL153" s="179">
        <f t="shared" si="14"/>
        <v>15</v>
      </c>
      <c r="DM153" s="180">
        <f t="shared" si="15"/>
        <v>6</v>
      </c>
      <c r="DN153" s="180">
        <f t="shared" si="16"/>
        <v>9</v>
      </c>
      <c r="DO153" s="177">
        <v>0.0</v>
      </c>
      <c r="DP153" s="177">
        <v>2.0</v>
      </c>
      <c r="DQ153" s="177">
        <v>4.0</v>
      </c>
      <c r="DR153" s="177">
        <v>7.0</v>
      </c>
      <c r="DS153" s="177">
        <v>0.0</v>
      </c>
      <c r="DT153" s="177">
        <v>0.0</v>
      </c>
      <c r="DU153" s="177">
        <v>0.0</v>
      </c>
      <c r="DV153" s="177">
        <v>2.0</v>
      </c>
      <c r="DW153" s="177">
        <v>0.0</v>
      </c>
      <c r="DX153" s="177">
        <v>0.0</v>
      </c>
      <c r="DY153" s="177">
        <v>0.0</v>
      </c>
      <c r="DZ153" s="177">
        <v>1.0</v>
      </c>
      <c r="EA153" s="177">
        <v>0.0</v>
      </c>
      <c r="EB153" s="177">
        <v>0.0</v>
      </c>
      <c r="EC153" s="177">
        <v>0.0</v>
      </c>
      <c r="ED153" s="177">
        <v>0.0</v>
      </c>
      <c r="EE153" s="177">
        <v>0.0</v>
      </c>
      <c r="EF153" s="177">
        <v>0.0</v>
      </c>
      <c r="EG153" s="179">
        <f t="shared" si="17"/>
        <v>1</v>
      </c>
      <c r="EH153" s="179">
        <f t="shared" si="18"/>
        <v>0</v>
      </c>
      <c r="EI153" s="177">
        <v>1089.0</v>
      </c>
      <c r="EJ153" s="177">
        <v>457.0</v>
      </c>
      <c r="EK153" s="178">
        <v>1089.0</v>
      </c>
      <c r="EL153" s="178">
        <v>457.0</v>
      </c>
      <c r="EM153" s="185">
        <f t="shared" si="362"/>
        <v>14</v>
      </c>
      <c r="EN153" s="186">
        <f t="shared" si="202"/>
        <v>6</v>
      </c>
      <c r="EO153" s="186">
        <f t="shared" si="90"/>
        <v>8</v>
      </c>
      <c r="EP153" s="177">
        <v>0.0</v>
      </c>
      <c r="EQ153" s="177">
        <v>1.0</v>
      </c>
      <c r="ER153" s="177">
        <v>5.0</v>
      </c>
      <c r="ES153" s="177">
        <v>8.0</v>
      </c>
      <c r="ET153" s="177">
        <v>0.0</v>
      </c>
      <c r="EU153" s="177">
        <v>0.0</v>
      </c>
      <c r="EV153" s="177">
        <v>0.0</v>
      </c>
      <c r="EW153" s="177">
        <v>0.0</v>
      </c>
      <c r="EX153" s="177">
        <v>0.0</v>
      </c>
      <c r="EY153" s="177">
        <v>0.0</v>
      </c>
      <c r="EZ153" s="177">
        <v>0.0</v>
      </c>
      <c r="FA153" s="177">
        <v>1.0</v>
      </c>
      <c r="FB153" s="177">
        <v>0.0</v>
      </c>
      <c r="FC153" s="177">
        <v>0.0</v>
      </c>
      <c r="FD153" s="177">
        <v>0.0</v>
      </c>
      <c r="FE153" s="177">
        <v>0.0</v>
      </c>
      <c r="FF153" s="177">
        <v>0.0</v>
      </c>
      <c r="FG153" s="177">
        <v>0.0</v>
      </c>
      <c r="FH153" s="185">
        <f t="shared" si="22"/>
        <v>1</v>
      </c>
      <c r="FI153" s="185">
        <f t="shared" si="23"/>
        <v>0</v>
      </c>
      <c r="FJ153" s="177">
        <v>1093.0</v>
      </c>
      <c r="FK153" s="177">
        <v>473.0</v>
      </c>
      <c r="FL153" s="177">
        <v>1093.0</v>
      </c>
      <c r="FM153" s="177">
        <v>473.0</v>
      </c>
      <c r="FN153" s="180"/>
      <c r="FO153" s="180">
        <v>16.0</v>
      </c>
      <c r="FP153" s="188">
        <f t="shared" si="343"/>
        <v>16</v>
      </c>
      <c r="FQ153" s="211">
        <v>6.0</v>
      </c>
      <c r="FR153" s="212">
        <v>10.0</v>
      </c>
      <c r="FS153" s="206">
        <v>0.0</v>
      </c>
      <c r="FT153" s="207">
        <v>0.0</v>
      </c>
      <c r="FU153" s="207">
        <v>5.0</v>
      </c>
      <c r="FV153" s="207">
        <v>9.0</v>
      </c>
      <c r="FW153" s="207">
        <v>0.0</v>
      </c>
      <c r="FX153" s="207">
        <v>0.0</v>
      </c>
      <c r="FY153" s="207">
        <v>1.0</v>
      </c>
      <c r="FZ153" s="207">
        <v>1.0</v>
      </c>
      <c r="GA153" s="207">
        <v>0.0</v>
      </c>
      <c r="GB153" s="207">
        <v>0.0</v>
      </c>
      <c r="GC153" s="207">
        <v>0.0</v>
      </c>
      <c r="GD153" s="207">
        <v>0.0</v>
      </c>
      <c r="GE153" s="207">
        <v>0.0</v>
      </c>
      <c r="GF153" s="207">
        <v>0.0</v>
      </c>
      <c r="GG153" s="207">
        <v>0.0</v>
      </c>
      <c r="GH153" s="207">
        <v>0.0</v>
      </c>
      <c r="GI153" s="207">
        <v>0.0</v>
      </c>
      <c r="GJ153" s="207">
        <v>0.0</v>
      </c>
      <c r="GK153" s="212">
        <v>0.0</v>
      </c>
      <c r="GL153" s="212">
        <v>0.0</v>
      </c>
      <c r="GM153" s="207">
        <v>1102.0</v>
      </c>
      <c r="GN153" s="207">
        <v>473.0</v>
      </c>
      <c r="GO153" s="213">
        <v>1102.0</v>
      </c>
      <c r="GP153" s="213">
        <v>473.0</v>
      </c>
      <c r="GQ153" s="207"/>
      <c r="GR153" s="213">
        <v>15.0</v>
      </c>
      <c r="GS153" s="193">
        <v>6.0</v>
      </c>
      <c r="GT153" s="194">
        <f t="shared" si="25"/>
        <v>15</v>
      </c>
      <c r="GU153" s="194">
        <f t="shared" si="26"/>
        <v>6</v>
      </c>
      <c r="GV153" s="194">
        <f t="shared" si="27"/>
        <v>9</v>
      </c>
      <c r="GW153" s="207">
        <v>0.0</v>
      </c>
      <c r="GX153" s="207">
        <v>0.0</v>
      </c>
      <c r="GY153" s="207">
        <v>4.0</v>
      </c>
      <c r="GZ153" s="207">
        <v>9.0</v>
      </c>
      <c r="HA153" s="207">
        <v>0.0</v>
      </c>
      <c r="HB153" s="207">
        <v>0.0</v>
      </c>
      <c r="HC153" s="207">
        <v>2.0</v>
      </c>
      <c r="HD153" s="207">
        <v>0.0</v>
      </c>
      <c r="HE153" s="207">
        <v>0.0</v>
      </c>
      <c r="HF153" s="207">
        <v>0.0</v>
      </c>
      <c r="HG153" s="207">
        <v>2.0</v>
      </c>
      <c r="HH153" s="207">
        <v>2.0</v>
      </c>
      <c r="HI153" s="207">
        <v>0.0</v>
      </c>
      <c r="HJ153" s="207">
        <v>0.0</v>
      </c>
      <c r="HK153" s="207">
        <v>0.0</v>
      </c>
      <c r="HL153" s="207">
        <v>0.0</v>
      </c>
      <c r="HM153" s="207">
        <v>0.0</v>
      </c>
      <c r="HN153" s="207">
        <v>0.0</v>
      </c>
      <c r="HO153" s="222"/>
      <c r="HP153" s="222"/>
      <c r="HQ153" s="214"/>
      <c r="HR153" s="197"/>
      <c r="HS153" s="197"/>
      <c r="HT153" s="166">
        <f t="shared" si="28"/>
        <v>48</v>
      </c>
      <c r="HU153" s="166">
        <f t="shared" si="29"/>
        <v>33</v>
      </c>
      <c r="HV153" s="166">
        <f t="shared" si="30"/>
        <v>38</v>
      </c>
      <c r="HW153" s="166">
        <f t="shared" si="99"/>
        <v>32</v>
      </c>
      <c r="HX153" s="166">
        <f t="shared" si="32"/>
        <v>23</v>
      </c>
      <c r="HY153" s="166">
        <f t="shared" si="33"/>
        <v>15</v>
      </c>
      <c r="HZ153" s="166">
        <f t="shared" si="34"/>
        <v>18</v>
      </c>
      <c r="IA153" s="166">
        <f t="shared" si="35"/>
        <v>14</v>
      </c>
      <c r="IB153" s="166">
        <f t="shared" si="36"/>
        <v>15</v>
      </c>
      <c r="IC153" s="198">
        <f t="shared" si="37"/>
        <v>14</v>
      </c>
      <c r="ID153" s="198">
        <f t="shared" si="38"/>
        <v>16</v>
      </c>
      <c r="IE153" s="198">
        <f t="shared" si="39"/>
        <v>15</v>
      </c>
      <c r="IF153" s="166"/>
      <c r="IG153" s="197"/>
      <c r="IH153" s="166"/>
      <c r="II153" s="166"/>
      <c r="IJ153" s="166"/>
      <c r="IK153" s="166"/>
      <c r="IL153" s="166"/>
      <c r="IM153" s="166"/>
      <c r="IN153" s="166"/>
      <c r="IO153" s="166"/>
      <c r="IP153" s="166"/>
      <c r="IQ153" s="166"/>
      <c r="IR153" s="166"/>
      <c r="IS153" s="166"/>
      <c r="IT153" s="166"/>
      <c r="IU153" s="166"/>
      <c r="IV153" s="166"/>
      <c r="IW153" s="166"/>
      <c r="IX153" s="166"/>
      <c r="IY153" s="166"/>
      <c r="IZ153" s="166"/>
      <c r="JA153" s="199"/>
      <c r="JB153" s="200">
        <f t="shared" si="40"/>
        <v>48</v>
      </c>
      <c r="JC153" s="200">
        <f t="shared" si="41"/>
        <v>33</v>
      </c>
      <c r="JD153" s="200">
        <f t="shared" si="42"/>
        <v>38</v>
      </c>
      <c r="JE153" s="200">
        <f t="shared" si="43"/>
        <v>32</v>
      </c>
      <c r="JF153" s="200">
        <f t="shared" si="44"/>
        <v>23</v>
      </c>
      <c r="JG153" s="200">
        <f t="shared" si="45"/>
        <v>15</v>
      </c>
      <c r="JH153" s="200">
        <f t="shared" si="46"/>
        <v>18</v>
      </c>
      <c r="JI153" s="200">
        <f t="shared" si="47"/>
        <v>14</v>
      </c>
      <c r="JJ153" s="200">
        <f t="shared" si="48"/>
        <v>15</v>
      </c>
      <c r="JK153" s="200">
        <f t="shared" si="49"/>
        <v>15</v>
      </c>
      <c r="JL153" s="200">
        <f t="shared" si="50"/>
        <v>16</v>
      </c>
      <c r="JM153" s="200">
        <f t="shared" si="51"/>
        <v>15</v>
      </c>
      <c r="JN153" s="199"/>
      <c r="JO153" s="200">
        <f t="shared" si="52"/>
        <v>48</v>
      </c>
      <c r="JP153" s="162">
        <v>33.0</v>
      </c>
      <c r="JQ153" s="162">
        <v>38.0</v>
      </c>
      <c r="JR153" s="162">
        <v>32.0</v>
      </c>
      <c r="JS153" s="162">
        <v>23.0</v>
      </c>
      <c r="JT153" s="199"/>
      <c r="JU153" s="199"/>
      <c r="JV153" s="200">
        <f t="shared" ref="JV153:JX153" si="380">IA153-JI153</f>
        <v>0</v>
      </c>
      <c r="JW153" s="200">
        <f t="shared" si="380"/>
        <v>0</v>
      </c>
      <c r="JX153" s="200">
        <f t="shared" si="380"/>
        <v>-1</v>
      </c>
      <c r="JY153" s="199"/>
      <c r="JZ153" s="199"/>
      <c r="KA153" s="199"/>
      <c r="KB153" s="200">
        <f t="shared" ref="KB153:KM153" si="381">JB153-JO153</f>
        <v>0</v>
      </c>
      <c r="KC153" s="200">
        <f t="shared" si="381"/>
        <v>0</v>
      </c>
      <c r="KD153" s="200">
        <f t="shared" si="381"/>
        <v>0</v>
      </c>
      <c r="KE153" s="200">
        <f t="shared" si="381"/>
        <v>0</v>
      </c>
      <c r="KF153" s="200">
        <f t="shared" si="381"/>
        <v>0</v>
      </c>
      <c r="KG153" s="200">
        <f t="shared" si="381"/>
        <v>15</v>
      </c>
      <c r="KH153" s="200">
        <f t="shared" si="381"/>
        <v>18</v>
      </c>
      <c r="KI153" s="200">
        <f t="shared" si="381"/>
        <v>14</v>
      </c>
      <c r="KJ153" s="200">
        <f t="shared" si="381"/>
        <v>15</v>
      </c>
      <c r="KK153" s="200">
        <f t="shared" si="381"/>
        <v>16</v>
      </c>
      <c r="KL153" s="200">
        <f t="shared" si="381"/>
        <v>16</v>
      </c>
      <c r="KM153" s="200">
        <f t="shared" si="381"/>
        <v>15</v>
      </c>
      <c r="KN153" s="199"/>
      <c r="KO153" s="199"/>
      <c r="KP153" s="199"/>
      <c r="KQ153" s="199"/>
      <c r="KR153" s="199"/>
      <c r="KS153" s="199"/>
      <c r="KT153" s="199"/>
      <c r="KU153" s="199"/>
      <c r="KV153" s="199"/>
      <c r="KW153" s="199"/>
      <c r="KX153" s="199"/>
      <c r="KY153" s="199"/>
      <c r="KZ153" s="199"/>
      <c r="LA153" s="199"/>
      <c r="LB153" s="199"/>
      <c r="LC153" s="199"/>
      <c r="LD153" s="199"/>
      <c r="LE153" s="199"/>
      <c r="LF153" s="199"/>
      <c r="LG153" s="199"/>
      <c r="LH153" s="247"/>
      <c r="LI153" s="247"/>
      <c r="LJ153" s="247"/>
      <c r="LK153" s="247"/>
    </row>
    <row r="154" ht="14.25" customHeight="1">
      <c r="A154" s="156">
        <v>147.0</v>
      </c>
      <c r="B154" s="157" t="s">
        <v>262</v>
      </c>
      <c r="C154" s="158">
        <v>3374010.0</v>
      </c>
      <c r="D154" s="158" t="s">
        <v>262</v>
      </c>
      <c r="E154" s="158" t="s">
        <v>263</v>
      </c>
      <c r="F154" s="159">
        <v>8.0</v>
      </c>
      <c r="G154" s="285">
        <v>403.0</v>
      </c>
      <c r="H154" s="160">
        <v>7.0</v>
      </c>
      <c r="I154" s="161">
        <v>0.0</v>
      </c>
      <c r="J154" s="161">
        <v>1.0</v>
      </c>
      <c r="K154" s="161">
        <v>2.0</v>
      </c>
      <c r="L154" s="161">
        <v>4.0</v>
      </c>
      <c r="M154" s="161">
        <v>0.0</v>
      </c>
      <c r="N154" s="161">
        <v>2.0</v>
      </c>
      <c r="O154" s="162">
        <f t="shared" si="369"/>
        <v>5</v>
      </c>
      <c r="P154" s="203">
        <v>8.0</v>
      </c>
      <c r="Q154" s="164">
        <v>0.0</v>
      </c>
      <c r="R154" s="164">
        <v>1.0</v>
      </c>
      <c r="S154" s="164">
        <v>2.0</v>
      </c>
      <c r="T154" s="165">
        <v>5.0</v>
      </c>
      <c r="U154" s="165">
        <v>0.0</v>
      </c>
      <c r="V154" s="165">
        <v>2.0</v>
      </c>
      <c r="W154" s="166">
        <f t="shared" si="225"/>
        <v>6</v>
      </c>
      <c r="X154" s="203">
        <v>5.0</v>
      </c>
      <c r="Y154" s="165">
        <v>0.0</v>
      </c>
      <c r="Z154" s="165">
        <v>1.0</v>
      </c>
      <c r="AA154" s="165">
        <v>2.0</v>
      </c>
      <c r="AB154" s="165">
        <v>2.0</v>
      </c>
      <c r="AC154" s="165">
        <v>0.0</v>
      </c>
      <c r="AD154" s="165">
        <v>1.0</v>
      </c>
      <c r="AE154" s="166">
        <f t="shared" si="214"/>
        <v>4</v>
      </c>
      <c r="AF154" s="167">
        <v>4.0</v>
      </c>
      <c r="AG154" s="165">
        <v>0.0</v>
      </c>
      <c r="AH154" s="165">
        <v>0.0</v>
      </c>
      <c r="AI154" s="165">
        <v>2.0</v>
      </c>
      <c r="AJ154" s="165">
        <v>2.0</v>
      </c>
      <c r="AK154" s="165">
        <v>1.0</v>
      </c>
      <c r="AL154" s="165">
        <v>0.0</v>
      </c>
      <c r="AM154" s="166">
        <f t="shared" si="370"/>
        <v>3</v>
      </c>
      <c r="AN154" s="167">
        <v>7.0</v>
      </c>
      <c r="AO154" s="165">
        <v>0.0</v>
      </c>
      <c r="AP154" s="165">
        <v>0.0</v>
      </c>
      <c r="AQ154" s="165">
        <v>4.0</v>
      </c>
      <c r="AR154" s="165">
        <v>3.0</v>
      </c>
      <c r="AS154" s="165">
        <v>2.0</v>
      </c>
      <c r="AT154" s="165"/>
      <c r="AU154" s="168">
        <f t="shared" si="375"/>
        <v>5</v>
      </c>
      <c r="AV154" s="169">
        <v>396.0</v>
      </c>
      <c r="AW154" s="204">
        <f t="shared" si="8"/>
        <v>9</v>
      </c>
      <c r="AX154" s="169">
        <v>0.0</v>
      </c>
      <c r="AY154" s="169">
        <v>0.0</v>
      </c>
      <c r="AZ154" s="169">
        <v>1.0</v>
      </c>
      <c r="BA154" s="169">
        <v>5.0</v>
      </c>
      <c r="BB154" s="169">
        <v>0.0</v>
      </c>
      <c r="BC154" s="169">
        <v>0.0</v>
      </c>
      <c r="BD154" s="169"/>
      <c r="BE154" s="169">
        <v>3.0</v>
      </c>
      <c r="BF154" s="169">
        <v>0.0</v>
      </c>
      <c r="BG154" s="169">
        <v>0.0</v>
      </c>
      <c r="BH154" s="169">
        <v>0.0</v>
      </c>
      <c r="BI154" s="169">
        <v>0.0</v>
      </c>
      <c r="BJ154" s="169">
        <v>0.0</v>
      </c>
      <c r="BK154" s="169">
        <v>0.0</v>
      </c>
      <c r="BL154" s="169">
        <v>0.0</v>
      </c>
      <c r="BM154" s="169">
        <v>0.0</v>
      </c>
      <c r="BN154" s="169">
        <v>1.0</v>
      </c>
      <c r="BO154" s="169">
        <v>0.0</v>
      </c>
      <c r="BP154" s="205">
        <f t="shared" si="131"/>
        <v>1</v>
      </c>
      <c r="BQ154" s="173">
        <v>396.0</v>
      </c>
      <c r="BR154" s="170">
        <f t="shared" si="10"/>
        <v>8</v>
      </c>
      <c r="BS154" s="173">
        <v>0.0</v>
      </c>
      <c r="BT154" s="173">
        <v>0.0</v>
      </c>
      <c r="BU154" s="173">
        <v>1.0</v>
      </c>
      <c r="BV154" s="173">
        <v>7.0</v>
      </c>
      <c r="BW154" s="173">
        <v>0.0</v>
      </c>
      <c r="BX154" s="173">
        <v>0.0</v>
      </c>
      <c r="BY154" s="173">
        <v>0.0</v>
      </c>
      <c r="BZ154" s="173">
        <v>0.0</v>
      </c>
      <c r="CA154" s="173">
        <v>0.0</v>
      </c>
      <c r="CB154" s="173">
        <v>0.0</v>
      </c>
      <c r="CC154" s="173">
        <v>0.0</v>
      </c>
      <c r="CD154" s="173">
        <v>0.0</v>
      </c>
      <c r="CE154" s="173">
        <v>0.0</v>
      </c>
      <c r="CF154" s="173">
        <v>0.0</v>
      </c>
      <c r="CG154" s="173">
        <v>0.0</v>
      </c>
      <c r="CH154" s="173">
        <v>0.0</v>
      </c>
      <c r="CI154" s="173">
        <v>0.0</v>
      </c>
      <c r="CJ154" s="173">
        <v>0.0</v>
      </c>
      <c r="CK154" s="172">
        <f t="shared" si="132"/>
        <v>0</v>
      </c>
      <c r="CL154" s="173">
        <v>418.0</v>
      </c>
      <c r="CM154" s="173">
        <v>120.0</v>
      </c>
      <c r="CN154" s="175">
        <f t="shared" si="295"/>
        <v>7</v>
      </c>
      <c r="CO154" s="173">
        <v>0.0</v>
      </c>
      <c r="CP154" s="173">
        <v>0.0</v>
      </c>
      <c r="CQ154" s="173">
        <v>1.0</v>
      </c>
      <c r="CR154" s="173">
        <v>6.0</v>
      </c>
      <c r="CS154" s="173">
        <v>0.0</v>
      </c>
      <c r="CT154" s="173">
        <v>0.0</v>
      </c>
      <c r="CU154" s="173">
        <v>0.0</v>
      </c>
      <c r="CV154" s="173">
        <v>0.0</v>
      </c>
      <c r="CW154" s="173">
        <v>0.0</v>
      </c>
      <c r="CX154" s="173">
        <v>0.0</v>
      </c>
      <c r="CY154" s="173">
        <v>0.0</v>
      </c>
      <c r="CZ154" s="173">
        <v>1.0</v>
      </c>
      <c r="DA154" s="173">
        <v>0.0</v>
      </c>
      <c r="DB154" s="173">
        <v>0.0</v>
      </c>
      <c r="DC154" s="173">
        <v>0.0</v>
      </c>
      <c r="DD154" s="173">
        <v>0.0</v>
      </c>
      <c r="DE154" s="173">
        <v>0.0</v>
      </c>
      <c r="DF154" s="173">
        <v>0.0</v>
      </c>
      <c r="DG154" s="176">
        <f t="shared" si="13"/>
        <v>1</v>
      </c>
      <c r="DH154" s="177">
        <v>395.0</v>
      </c>
      <c r="DI154" s="177">
        <v>105.0</v>
      </c>
      <c r="DJ154" s="178">
        <v>384.0</v>
      </c>
      <c r="DK154" s="178">
        <v>95.0</v>
      </c>
      <c r="DL154" s="179">
        <f t="shared" si="14"/>
        <v>7</v>
      </c>
      <c r="DM154" s="180">
        <f t="shared" si="15"/>
        <v>1</v>
      </c>
      <c r="DN154" s="180">
        <f t="shared" si="16"/>
        <v>6</v>
      </c>
      <c r="DO154" s="177"/>
      <c r="DP154" s="226"/>
      <c r="DQ154" s="177">
        <v>1.0</v>
      </c>
      <c r="DR154" s="177">
        <v>6.0</v>
      </c>
      <c r="DS154" s="226"/>
      <c r="DT154" s="226"/>
      <c r="DU154" s="226"/>
      <c r="DV154" s="226"/>
      <c r="DW154" s="226"/>
      <c r="DX154" s="226"/>
      <c r="DY154" s="226"/>
      <c r="DZ154" s="226"/>
      <c r="EA154" s="226"/>
      <c r="EB154" s="226"/>
      <c r="EC154" s="226"/>
      <c r="ED154" s="226"/>
      <c r="EE154" s="226"/>
      <c r="EF154" s="226"/>
      <c r="EG154" s="179">
        <f t="shared" si="17"/>
        <v>0</v>
      </c>
      <c r="EH154" s="179">
        <f t="shared" si="18"/>
        <v>0</v>
      </c>
      <c r="EI154" s="177">
        <v>384.0</v>
      </c>
      <c r="EJ154" s="177">
        <v>98.0</v>
      </c>
      <c r="EK154" s="178">
        <v>377.0</v>
      </c>
      <c r="EL154" s="178">
        <v>95.0</v>
      </c>
      <c r="EM154" s="185">
        <f t="shared" si="362"/>
        <v>9</v>
      </c>
      <c r="EN154" s="186">
        <f t="shared" si="202"/>
        <v>2</v>
      </c>
      <c r="EO154" s="186">
        <f t="shared" si="90"/>
        <v>7</v>
      </c>
      <c r="EP154" s="177">
        <v>0.0</v>
      </c>
      <c r="EQ154" s="177">
        <v>0.0</v>
      </c>
      <c r="ER154" s="177">
        <v>1.0</v>
      </c>
      <c r="ES154" s="177">
        <v>6.0</v>
      </c>
      <c r="ET154" s="177">
        <v>0.0</v>
      </c>
      <c r="EU154" s="177">
        <v>0.0</v>
      </c>
      <c r="EV154" s="177">
        <v>1.0</v>
      </c>
      <c r="EW154" s="177">
        <v>1.0</v>
      </c>
      <c r="EX154" s="177">
        <v>0.0</v>
      </c>
      <c r="EY154" s="177">
        <v>0.0</v>
      </c>
      <c r="EZ154" s="177">
        <v>0.0</v>
      </c>
      <c r="FA154" s="177">
        <v>0.0</v>
      </c>
      <c r="FB154" s="177">
        <v>0.0</v>
      </c>
      <c r="FC154" s="177">
        <v>0.0</v>
      </c>
      <c r="FD154" s="177">
        <v>0.0</v>
      </c>
      <c r="FE154" s="177">
        <v>0.0</v>
      </c>
      <c r="FF154" s="177">
        <v>0.0</v>
      </c>
      <c r="FG154" s="177">
        <v>0.0</v>
      </c>
      <c r="FH154" s="185">
        <f t="shared" si="22"/>
        <v>0</v>
      </c>
      <c r="FI154" s="185">
        <f t="shared" si="23"/>
        <v>0</v>
      </c>
      <c r="FJ154" s="177">
        <v>367.0</v>
      </c>
      <c r="FK154" s="177">
        <v>97.0</v>
      </c>
      <c r="FL154" s="177">
        <v>364.0</v>
      </c>
      <c r="FM154" s="177">
        <v>96.0</v>
      </c>
      <c r="FN154" s="210"/>
      <c r="FO154" s="210">
        <v>8.0</v>
      </c>
      <c r="FP154" s="243">
        <v>8.0</v>
      </c>
      <c r="FQ154" s="211">
        <v>2.0</v>
      </c>
      <c r="FR154" s="212">
        <v>6.0</v>
      </c>
      <c r="FS154" s="335"/>
      <c r="FT154" s="293"/>
      <c r="FU154" s="207">
        <v>2.0</v>
      </c>
      <c r="FV154" s="207">
        <v>6.0</v>
      </c>
      <c r="FW154" s="207">
        <v>0.0</v>
      </c>
      <c r="FX154" s="207">
        <v>0.0</v>
      </c>
      <c r="FY154" s="207">
        <v>0.0</v>
      </c>
      <c r="FZ154" s="207">
        <v>0.0</v>
      </c>
      <c r="GA154" s="293"/>
      <c r="GB154" s="293"/>
      <c r="GC154" s="207">
        <v>1.0</v>
      </c>
      <c r="GD154" s="293"/>
      <c r="GE154" s="293"/>
      <c r="GF154" s="293"/>
      <c r="GG154" s="293"/>
      <c r="GH154" s="293"/>
      <c r="GI154" s="293"/>
      <c r="GJ154" s="293"/>
      <c r="GK154" s="212">
        <v>1.0</v>
      </c>
      <c r="GL154" s="212">
        <v>1.0</v>
      </c>
      <c r="GM154" s="207">
        <v>368.0</v>
      </c>
      <c r="GN154" s="207">
        <v>94.0</v>
      </c>
      <c r="GO154" s="213">
        <v>366.0</v>
      </c>
      <c r="GP154" s="213">
        <v>93.0</v>
      </c>
      <c r="GQ154" s="207"/>
      <c r="GR154" s="213">
        <v>8.0</v>
      </c>
      <c r="GS154" s="193">
        <v>2.0</v>
      </c>
      <c r="GT154" s="194">
        <f t="shared" si="25"/>
        <v>8</v>
      </c>
      <c r="GU154" s="194">
        <f t="shared" si="26"/>
        <v>2</v>
      </c>
      <c r="GV154" s="194">
        <f t="shared" si="27"/>
        <v>6</v>
      </c>
      <c r="GW154" s="207"/>
      <c r="GX154" s="207"/>
      <c r="GY154" s="207">
        <v>2.0</v>
      </c>
      <c r="GZ154" s="207">
        <v>6.0</v>
      </c>
      <c r="HA154" s="207"/>
      <c r="HB154" s="207"/>
      <c r="HC154" s="207"/>
      <c r="HD154" s="207"/>
      <c r="HE154" s="207"/>
      <c r="HF154" s="207"/>
      <c r="HG154" s="207"/>
      <c r="HH154" s="207"/>
      <c r="HI154" s="207"/>
      <c r="HJ154" s="207"/>
      <c r="HK154" s="207"/>
      <c r="HL154" s="207"/>
      <c r="HM154" s="207"/>
      <c r="HN154" s="207"/>
      <c r="HO154" s="222"/>
      <c r="HP154" s="222"/>
      <c r="HQ154" s="214"/>
      <c r="HR154" s="197"/>
      <c r="HS154" s="197"/>
      <c r="HT154" s="198">
        <f t="shared" si="28"/>
        <v>7</v>
      </c>
      <c r="HU154" s="198">
        <f t="shared" si="29"/>
        <v>8</v>
      </c>
      <c r="HV154" s="198">
        <f t="shared" si="30"/>
        <v>5</v>
      </c>
      <c r="HW154" s="198">
        <f t="shared" si="99"/>
        <v>4</v>
      </c>
      <c r="HX154" s="198">
        <f t="shared" si="32"/>
        <v>7</v>
      </c>
      <c r="HY154" s="198">
        <f t="shared" si="33"/>
        <v>9</v>
      </c>
      <c r="HZ154" s="198">
        <f t="shared" si="34"/>
        <v>8</v>
      </c>
      <c r="IA154" s="198">
        <f t="shared" si="35"/>
        <v>7</v>
      </c>
      <c r="IB154" s="198">
        <f t="shared" si="36"/>
        <v>7</v>
      </c>
      <c r="IC154" s="198">
        <f t="shared" si="37"/>
        <v>9</v>
      </c>
      <c r="ID154" s="198">
        <f t="shared" si="38"/>
        <v>8</v>
      </c>
      <c r="IE154" s="198">
        <f t="shared" si="39"/>
        <v>8</v>
      </c>
      <c r="IF154" s="197"/>
      <c r="IG154" s="197"/>
      <c r="IH154" s="197"/>
      <c r="II154" s="197"/>
      <c r="IJ154" s="197"/>
      <c r="IK154" s="197"/>
      <c r="IL154" s="197"/>
      <c r="IM154" s="197"/>
      <c r="IN154" s="197"/>
      <c r="IO154" s="197"/>
      <c r="IP154" s="197"/>
      <c r="IQ154" s="197"/>
      <c r="IR154" s="197"/>
      <c r="IS154" s="197"/>
      <c r="IT154" s="197"/>
      <c r="IU154" s="197"/>
      <c r="IV154" s="197"/>
      <c r="IW154" s="197"/>
      <c r="IX154" s="197"/>
      <c r="IY154" s="197"/>
      <c r="IZ154" s="197"/>
      <c r="JA154" s="199"/>
      <c r="JB154" s="200">
        <f t="shared" si="40"/>
        <v>7</v>
      </c>
      <c r="JC154" s="200">
        <f t="shared" si="41"/>
        <v>8</v>
      </c>
      <c r="JD154" s="200">
        <f t="shared" si="42"/>
        <v>5</v>
      </c>
      <c r="JE154" s="200">
        <f t="shared" si="43"/>
        <v>4</v>
      </c>
      <c r="JF154" s="200">
        <f t="shared" si="44"/>
        <v>7</v>
      </c>
      <c r="JG154" s="200">
        <f t="shared" si="45"/>
        <v>9</v>
      </c>
      <c r="JH154" s="200">
        <f t="shared" si="46"/>
        <v>8</v>
      </c>
      <c r="JI154" s="200">
        <f t="shared" si="47"/>
        <v>7</v>
      </c>
      <c r="JJ154" s="200">
        <f t="shared" si="48"/>
        <v>7</v>
      </c>
      <c r="JK154" s="200">
        <f t="shared" si="49"/>
        <v>9</v>
      </c>
      <c r="JL154" s="200">
        <f t="shared" si="50"/>
        <v>8</v>
      </c>
      <c r="JM154" s="200">
        <f t="shared" si="51"/>
        <v>8</v>
      </c>
      <c r="JN154" s="199"/>
      <c r="JO154" s="200">
        <f t="shared" si="52"/>
        <v>7</v>
      </c>
      <c r="JP154" s="202">
        <v>8.0</v>
      </c>
      <c r="JQ154" s="202">
        <v>5.0</v>
      </c>
      <c r="JR154" s="202">
        <v>4.0</v>
      </c>
      <c r="JS154" s="202">
        <v>7.0</v>
      </c>
      <c r="JT154" s="199"/>
      <c r="JU154" s="199"/>
      <c r="JV154" s="200">
        <f t="shared" ref="JV154:JX154" si="382">IA154-JI154</f>
        <v>0</v>
      </c>
      <c r="JW154" s="200">
        <f t="shared" si="382"/>
        <v>0</v>
      </c>
      <c r="JX154" s="200">
        <f t="shared" si="382"/>
        <v>0</v>
      </c>
      <c r="JY154" s="199"/>
      <c r="JZ154" s="199"/>
      <c r="KA154" s="199"/>
      <c r="KB154" s="200">
        <f t="shared" ref="KB154:KM154" si="383">JB154-JO154</f>
        <v>0</v>
      </c>
      <c r="KC154" s="200">
        <f t="shared" si="383"/>
        <v>0</v>
      </c>
      <c r="KD154" s="200">
        <f t="shared" si="383"/>
        <v>0</v>
      </c>
      <c r="KE154" s="200">
        <f t="shared" si="383"/>
        <v>0</v>
      </c>
      <c r="KF154" s="200">
        <f t="shared" si="383"/>
        <v>0</v>
      </c>
      <c r="KG154" s="200">
        <f t="shared" si="383"/>
        <v>9</v>
      </c>
      <c r="KH154" s="200">
        <f t="shared" si="383"/>
        <v>8</v>
      </c>
      <c r="KI154" s="200">
        <f t="shared" si="383"/>
        <v>7</v>
      </c>
      <c r="KJ154" s="200">
        <f t="shared" si="383"/>
        <v>7</v>
      </c>
      <c r="KK154" s="200">
        <f t="shared" si="383"/>
        <v>9</v>
      </c>
      <c r="KL154" s="200">
        <f t="shared" si="383"/>
        <v>8</v>
      </c>
      <c r="KM154" s="200">
        <f t="shared" si="383"/>
        <v>8</v>
      </c>
      <c r="KN154" s="199"/>
      <c r="KO154" s="199"/>
      <c r="KP154" s="199"/>
      <c r="KQ154" s="199"/>
      <c r="KR154" s="199"/>
      <c r="KS154" s="199"/>
      <c r="KT154" s="199"/>
      <c r="KU154" s="199"/>
      <c r="KV154" s="199"/>
      <c r="KW154" s="199"/>
      <c r="KX154" s="199"/>
      <c r="KY154" s="199"/>
      <c r="KZ154" s="199"/>
      <c r="LA154" s="199"/>
      <c r="LB154" s="199"/>
      <c r="LC154" s="199"/>
      <c r="LD154" s="199"/>
      <c r="LE154" s="199"/>
      <c r="LF154" s="199"/>
      <c r="LG154" s="199"/>
    </row>
    <row r="155" ht="14.25" customHeight="1">
      <c r="A155" s="156">
        <v>148.0</v>
      </c>
      <c r="B155" s="478" t="s">
        <v>262</v>
      </c>
      <c r="C155" s="479">
        <v>3374010.0</v>
      </c>
      <c r="D155" s="479" t="s">
        <v>264</v>
      </c>
      <c r="E155" s="479" t="s">
        <v>265</v>
      </c>
      <c r="F155" s="480">
        <v>5.0</v>
      </c>
      <c r="G155" s="481">
        <f t="shared" ref="G155:G158" si="386">SUM(I155:L155)</f>
        <v>8</v>
      </c>
      <c r="H155" s="482">
        <v>8.0</v>
      </c>
      <c r="I155" s="483">
        <v>0.0</v>
      </c>
      <c r="J155" s="483">
        <v>0.0</v>
      </c>
      <c r="K155" s="483">
        <v>2.0</v>
      </c>
      <c r="L155" s="480">
        <v>6.0</v>
      </c>
      <c r="M155" s="480">
        <v>8.0</v>
      </c>
      <c r="N155" s="483">
        <v>0.0</v>
      </c>
      <c r="O155" s="162">
        <f t="shared" si="369"/>
        <v>0</v>
      </c>
      <c r="P155" s="203">
        <v>8.0</v>
      </c>
      <c r="Q155" s="484">
        <v>0.0</v>
      </c>
      <c r="R155" s="484">
        <v>0.0</v>
      </c>
      <c r="S155" s="484">
        <v>2.0</v>
      </c>
      <c r="T155" s="485">
        <v>6.0</v>
      </c>
      <c r="U155" s="485">
        <v>0.0</v>
      </c>
      <c r="V155" s="485">
        <v>0.0</v>
      </c>
      <c r="W155" s="166">
        <f t="shared" si="225"/>
        <v>8</v>
      </c>
      <c r="X155" s="203">
        <v>9.0</v>
      </c>
      <c r="Y155" s="485">
        <v>0.0</v>
      </c>
      <c r="Z155" s="485">
        <v>0.0</v>
      </c>
      <c r="AA155" s="485">
        <v>2.0</v>
      </c>
      <c r="AB155" s="485">
        <v>7.0</v>
      </c>
      <c r="AC155" s="485">
        <v>1.0</v>
      </c>
      <c r="AD155" s="485">
        <v>0.0</v>
      </c>
      <c r="AE155" s="166">
        <f t="shared" si="214"/>
        <v>8</v>
      </c>
      <c r="AF155" s="167">
        <v>9.0</v>
      </c>
      <c r="AG155" s="485">
        <v>0.0</v>
      </c>
      <c r="AH155" s="485">
        <v>0.0</v>
      </c>
      <c r="AI155" s="485">
        <v>2.0</v>
      </c>
      <c r="AJ155" s="485">
        <v>7.0</v>
      </c>
      <c r="AK155" s="485">
        <v>0.0</v>
      </c>
      <c r="AL155" s="485">
        <v>0.0</v>
      </c>
      <c r="AM155" s="166">
        <f t="shared" si="370"/>
        <v>9</v>
      </c>
      <c r="AN155" s="167">
        <v>7.0</v>
      </c>
      <c r="AO155" s="485">
        <v>0.0</v>
      </c>
      <c r="AP155" s="485">
        <v>0.0</v>
      </c>
      <c r="AQ155" s="485">
        <v>2.0</v>
      </c>
      <c r="AR155" s="485">
        <v>5.0</v>
      </c>
      <c r="AS155" s="485">
        <v>0.0</v>
      </c>
      <c r="AT155" s="485">
        <v>2.0</v>
      </c>
      <c r="AU155" s="168">
        <f t="shared" si="375"/>
        <v>5</v>
      </c>
      <c r="AV155" s="169">
        <v>341.0</v>
      </c>
      <c r="AW155" s="204">
        <f t="shared" si="8"/>
        <v>8</v>
      </c>
      <c r="AX155" s="486">
        <v>0.0</v>
      </c>
      <c r="AY155" s="486">
        <v>0.0</v>
      </c>
      <c r="AZ155" s="486">
        <v>0.0</v>
      </c>
      <c r="BA155" s="486">
        <v>5.0</v>
      </c>
      <c r="BB155" s="486">
        <v>0.0</v>
      </c>
      <c r="BC155" s="486">
        <v>0.0</v>
      </c>
      <c r="BD155" s="486">
        <v>0.0</v>
      </c>
      <c r="BE155" s="486">
        <v>3.0</v>
      </c>
      <c r="BF155" s="484"/>
      <c r="BG155" s="484"/>
      <c r="BH155" s="484"/>
      <c r="BI155" s="484"/>
      <c r="BJ155" s="484"/>
      <c r="BK155" s="484"/>
      <c r="BL155" s="484"/>
      <c r="BM155" s="484"/>
      <c r="BN155" s="484"/>
      <c r="BO155" s="484"/>
      <c r="BP155" s="205">
        <f t="shared" si="131"/>
        <v>0</v>
      </c>
      <c r="BQ155" s="173">
        <v>209.0</v>
      </c>
      <c r="BR155" s="170">
        <f t="shared" si="10"/>
        <v>8</v>
      </c>
      <c r="BS155" s="485"/>
      <c r="BT155" s="485"/>
      <c r="BU155" s="485"/>
      <c r="BV155" s="487">
        <v>8.0</v>
      </c>
      <c r="BW155" s="485"/>
      <c r="BX155" s="485"/>
      <c r="BY155" s="485"/>
      <c r="BZ155" s="485"/>
      <c r="CA155" s="485"/>
      <c r="CB155" s="485"/>
      <c r="CC155" s="485"/>
      <c r="CD155" s="485"/>
      <c r="CE155" s="485"/>
      <c r="CF155" s="485"/>
      <c r="CG155" s="485"/>
      <c r="CH155" s="485"/>
      <c r="CI155" s="485"/>
      <c r="CJ155" s="485"/>
      <c r="CK155" s="485">
        <f t="shared" si="132"/>
        <v>0</v>
      </c>
      <c r="CL155" s="487">
        <v>337.0</v>
      </c>
      <c r="CM155" s="487">
        <v>120.0</v>
      </c>
      <c r="CN155" s="175">
        <f t="shared" si="295"/>
        <v>8</v>
      </c>
      <c r="CO155" s="485"/>
      <c r="CP155" s="485"/>
      <c r="CQ155" s="485"/>
      <c r="CR155" s="487">
        <v>8.0</v>
      </c>
      <c r="CS155" s="485"/>
      <c r="CT155" s="485"/>
      <c r="CU155" s="485"/>
      <c r="CV155" s="485"/>
      <c r="CW155" s="485"/>
      <c r="CX155" s="485"/>
      <c r="CY155" s="485"/>
      <c r="CZ155" s="485"/>
      <c r="DA155" s="485"/>
      <c r="DB155" s="485"/>
      <c r="DC155" s="485"/>
      <c r="DD155" s="485"/>
      <c r="DE155" s="485"/>
      <c r="DF155" s="485"/>
      <c r="DG155" s="176">
        <f t="shared" si="13"/>
        <v>0</v>
      </c>
      <c r="DH155" s="487">
        <v>343.0</v>
      </c>
      <c r="DI155" s="487">
        <v>137.0</v>
      </c>
      <c r="DJ155" s="178">
        <v>317.0</v>
      </c>
      <c r="DK155" s="178">
        <v>126.0</v>
      </c>
      <c r="DL155" s="179">
        <f t="shared" si="14"/>
        <v>8</v>
      </c>
      <c r="DM155" s="180">
        <f t="shared" si="15"/>
        <v>1</v>
      </c>
      <c r="DN155" s="180">
        <f t="shared" si="16"/>
        <v>7</v>
      </c>
      <c r="DO155" s="485"/>
      <c r="DP155" s="485"/>
      <c r="DQ155" s="485"/>
      <c r="DR155" s="487">
        <v>7.0</v>
      </c>
      <c r="DS155" s="485"/>
      <c r="DT155" s="485"/>
      <c r="DU155" s="487">
        <v>1.0</v>
      </c>
      <c r="DV155" s="485"/>
      <c r="DW155" s="485"/>
      <c r="DX155" s="485"/>
      <c r="DY155" s="485"/>
      <c r="DZ155" s="487">
        <v>1.0</v>
      </c>
      <c r="EA155" s="485"/>
      <c r="EB155" s="485"/>
      <c r="EC155" s="485"/>
      <c r="ED155" s="485"/>
      <c r="EE155" s="485"/>
      <c r="EF155" s="485"/>
      <c r="EG155" s="179">
        <f t="shared" si="17"/>
        <v>1</v>
      </c>
      <c r="EH155" s="179">
        <f t="shared" si="18"/>
        <v>0</v>
      </c>
      <c r="EI155" s="487">
        <v>337.0</v>
      </c>
      <c r="EJ155" s="487">
        <v>130.0</v>
      </c>
      <c r="EK155" s="178">
        <v>306.0</v>
      </c>
      <c r="EL155" s="178">
        <v>124.0</v>
      </c>
      <c r="EM155" s="185">
        <f t="shared" si="362"/>
        <v>8</v>
      </c>
      <c r="EN155" s="186">
        <f t="shared" si="202"/>
        <v>1</v>
      </c>
      <c r="EO155" s="186">
        <f t="shared" si="90"/>
        <v>7</v>
      </c>
      <c r="EP155" s="485"/>
      <c r="EQ155" s="485"/>
      <c r="ER155" s="487">
        <v>1.0</v>
      </c>
      <c r="ES155" s="487">
        <v>7.0</v>
      </c>
      <c r="ET155" s="485"/>
      <c r="EU155" s="485"/>
      <c r="EV155" s="488"/>
      <c r="EW155" s="485"/>
      <c r="EX155" s="485"/>
      <c r="EY155" s="485"/>
      <c r="EZ155" s="485"/>
      <c r="FA155" s="488"/>
      <c r="FB155" s="485"/>
      <c r="FC155" s="485"/>
      <c r="FD155" s="485"/>
      <c r="FE155" s="485"/>
      <c r="FF155" s="485"/>
      <c r="FG155" s="485"/>
      <c r="FH155" s="185">
        <f t="shared" si="22"/>
        <v>0</v>
      </c>
      <c r="FI155" s="185">
        <f t="shared" si="23"/>
        <v>0</v>
      </c>
      <c r="FJ155" s="177">
        <v>336.0</v>
      </c>
      <c r="FK155" s="177">
        <v>124.0</v>
      </c>
      <c r="FL155" s="177">
        <v>299.0</v>
      </c>
      <c r="FM155" s="177">
        <v>108.0</v>
      </c>
      <c r="FN155" s="180"/>
      <c r="FO155" s="180">
        <v>8.0</v>
      </c>
      <c r="FP155" s="188">
        <f t="shared" ref="FP155:FP158" si="387">SUM(FS155:FZ155)</f>
        <v>8</v>
      </c>
      <c r="FQ155" s="211">
        <v>1.0</v>
      </c>
      <c r="FR155" s="212">
        <v>7.0</v>
      </c>
      <c r="FS155" s="335"/>
      <c r="FT155" s="293"/>
      <c r="FU155" s="207">
        <v>1.0</v>
      </c>
      <c r="FV155" s="207">
        <v>7.0</v>
      </c>
      <c r="FW155" s="293"/>
      <c r="FX155" s="293"/>
      <c r="FY155" s="293"/>
      <c r="FZ155" s="293"/>
      <c r="GA155" s="293"/>
      <c r="GB155" s="293"/>
      <c r="GC155" s="293"/>
      <c r="GD155" s="293"/>
      <c r="GE155" s="293"/>
      <c r="GF155" s="293"/>
      <c r="GG155" s="293"/>
      <c r="GH155" s="293"/>
      <c r="GI155" s="293"/>
      <c r="GJ155" s="293"/>
      <c r="GK155" s="212">
        <v>0.0</v>
      </c>
      <c r="GL155" s="212">
        <v>0.0</v>
      </c>
      <c r="GM155" s="207">
        <v>344.0</v>
      </c>
      <c r="GN155" s="207">
        <v>143.0</v>
      </c>
      <c r="GO155" s="213">
        <v>315.0</v>
      </c>
      <c r="GP155" s="213">
        <v>117.0</v>
      </c>
      <c r="GQ155" s="207"/>
      <c r="GR155" s="213">
        <v>8.0</v>
      </c>
      <c r="GS155" s="193">
        <v>1.0</v>
      </c>
      <c r="GT155" s="194">
        <f t="shared" si="25"/>
        <v>8</v>
      </c>
      <c r="GU155" s="194">
        <f t="shared" si="26"/>
        <v>1</v>
      </c>
      <c r="GV155" s="194">
        <f t="shared" si="27"/>
        <v>7</v>
      </c>
      <c r="GW155" s="207"/>
      <c r="GX155" s="207"/>
      <c r="GY155" s="207">
        <v>1.0</v>
      </c>
      <c r="GZ155" s="207">
        <v>7.0</v>
      </c>
      <c r="HA155" s="207"/>
      <c r="HB155" s="207"/>
      <c r="HC155" s="207"/>
      <c r="HD155" s="207"/>
      <c r="HE155" s="207"/>
      <c r="HF155" s="207"/>
      <c r="HG155" s="207"/>
      <c r="HH155" s="207"/>
      <c r="HI155" s="207"/>
      <c r="HJ155" s="207"/>
      <c r="HK155" s="207"/>
      <c r="HL155" s="207"/>
      <c r="HM155" s="207"/>
      <c r="HN155" s="207"/>
      <c r="HO155" s="222"/>
      <c r="HP155" s="222"/>
      <c r="HQ155" s="214"/>
      <c r="HR155" s="197"/>
      <c r="HS155" s="197"/>
      <c r="HT155" s="198">
        <f t="shared" si="28"/>
        <v>8</v>
      </c>
      <c r="HU155" s="198">
        <f t="shared" si="29"/>
        <v>8</v>
      </c>
      <c r="HV155" s="198">
        <f t="shared" si="30"/>
        <v>9</v>
      </c>
      <c r="HW155" s="198">
        <f t="shared" si="99"/>
        <v>9</v>
      </c>
      <c r="HX155" s="198">
        <f t="shared" si="32"/>
        <v>7</v>
      </c>
      <c r="HY155" s="198">
        <f t="shared" si="33"/>
        <v>8</v>
      </c>
      <c r="HZ155" s="198">
        <f t="shared" si="34"/>
        <v>8</v>
      </c>
      <c r="IA155" s="198">
        <f t="shared" si="35"/>
        <v>8</v>
      </c>
      <c r="IB155" s="198">
        <f t="shared" si="36"/>
        <v>8</v>
      </c>
      <c r="IC155" s="198">
        <f t="shared" si="37"/>
        <v>8</v>
      </c>
      <c r="ID155" s="198">
        <f t="shared" si="38"/>
        <v>8</v>
      </c>
      <c r="IE155" s="198">
        <f t="shared" si="39"/>
        <v>8</v>
      </c>
      <c r="IF155" s="197"/>
      <c r="IG155" s="197"/>
      <c r="IH155" s="197"/>
      <c r="II155" s="197"/>
      <c r="IJ155" s="197"/>
      <c r="IK155" s="197"/>
      <c r="IL155" s="197"/>
      <c r="IM155" s="197"/>
      <c r="IN155" s="197"/>
      <c r="IO155" s="197"/>
      <c r="IP155" s="197"/>
      <c r="IQ155" s="197"/>
      <c r="IR155" s="197"/>
      <c r="IS155" s="197"/>
      <c r="IT155" s="197"/>
      <c r="IU155" s="197"/>
      <c r="IV155" s="197"/>
      <c r="IW155" s="197"/>
      <c r="IX155" s="197"/>
      <c r="IY155" s="197"/>
      <c r="IZ155" s="197"/>
      <c r="JA155" s="199"/>
      <c r="JB155" s="200">
        <f t="shared" si="40"/>
        <v>8</v>
      </c>
      <c r="JC155" s="200">
        <f t="shared" si="41"/>
        <v>8</v>
      </c>
      <c r="JD155" s="200">
        <f t="shared" si="42"/>
        <v>9</v>
      </c>
      <c r="JE155" s="200">
        <f t="shared" si="43"/>
        <v>9</v>
      </c>
      <c r="JF155" s="200">
        <f t="shared" si="44"/>
        <v>7</v>
      </c>
      <c r="JG155" s="200">
        <f t="shared" si="45"/>
        <v>8</v>
      </c>
      <c r="JH155" s="200">
        <f t="shared" si="46"/>
        <v>8</v>
      </c>
      <c r="JI155" s="200">
        <f t="shared" si="47"/>
        <v>8</v>
      </c>
      <c r="JJ155" s="200">
        <f t="shared" si="48"/>
        <v>8</v>
      </c>
      <c r="JK155" s="200">
        <f t="shared" si="49"/>
        <v>8</v>
      </c>
      <c r="JL155" s="200">
        <f t="shared" si="50"/>
        <v>8</v>
      </c>
      <c r="JM155" s="200">
        <f t="shared" si="51"/>
        <v>8</v>
      </c>
      <c r="JN155" s="199"/>
      <c r="JO155" s="200">
        <f t="shared" si="52"/>
        <v>8</v>
      </c>
      <c r="JP155" s="202">
        <v>8.0</v>
      </c>
      <c r="JQ155" s="202">
        <v>9.0</v>
      </c>
      <c r="JR155" s="202">
        <v>9.0</v>
      </c>
      <c r="JS155" s="202">
        <v>7.0</v>
      </c>
      <c r="JT155" s="199"/>
      <c r="JU155" s="199"/>
      <c r="JV155" s="200">
        <f t="shared" ref="JV155:JX155" si="384">IA155-JI155</f>
        <v>0</v>
      </c>
      <c r="JW155" s="200">
        <f t="shared" si="384"/>
        <v>0</v>
      </c>
      <c r="JX155" s="200">
        <f t="shared" si="384"/>
        <v>0</v>
      </c>
      <c r="JY155" s="199"/>
      <c r="JZ155" s="199"/>
      <c r="KA155" s="199"/>
      <c r="KB155" s="200">
        <f t="shared" ref="KB155:KM155" si="385">JB155-JO155</f>
        <v>0</v>
      </c>
      <c r="KC155" s="200">
        <f t="shared" si="385"/>
        <v>0</v>
      </c>
      <c r="KD155" s="200">
        <f t="shared" si="385"/>
        <v>0</v>
      </c>
      <c r="KE155" s="200">
        <f t="shared" si="385"/>
        <v>0</v>
      </c>
      <c r="KF155" s="200">
        <f t="shared" si="385"/>
        <v>0</v>
      </c>
      <c r="KG155" s="200">
        <f t="shared" si="385"/>
        <v>8</v>
      </c>
      <c r="KH155" s="200">
        <f t="shared" si="385"/>
        <v>8</v>
      </c>
      <c r="KI155" s="200">
        <f t="shared" si="385"/>
        <v>8</v>
      </c>
      <c r="KJ155" s="200">
        <f t="shared" si="385"/>
        <v>8</v>
      </c>
      <c r="KK155" s="200">
        <f t="shared" si="385"/>
        <v>8</v>
      </c>
      <c r="KL155" s="200">
        <f t="shared" si="385"/>
        <v>8</v>
      </c>
      <c r="KM155" s="200">
        <f t="shared" si="385"/>
        <v>8</v>
      </c>
      <c r="KN155" s="199"/>
      <c r="KO155" s="199"/>
      <c r="KP155" s="199"/>
      <c r="KQ155" s="199"/>
      <c r="KR155" s="199"/>
      <c r="KS155" s="199"/>
      <c r="KT155" s="199"/>
      <c r="KU155" s="199"/>
      <c r="KV155" s="199"/>
      <c r="KW155" s="199"/>
      <c r="KX155" s="199"/>
      <c r="KY155" s="199"/>
      <c r="KZ155" s="199"/>
      <c r="LA155" s="199"/>
      <c r="LB155" s="199"/>
      <c r="LC155" s="199"/>
      <c r="LD155" s="199"/>
      <c r="LE155" s="199"/>
      <c r="LF155" s="199"/>
      <c r="LG155" s="199"/>
    </row>
    <row r="156" ht="14.25" customHeight="1">
      <c r="A156" s="156">
        <v>149.0</v>
      </c>
      <c r="B156" s="478" t="s">
        <v>262</v>
      </c>
      <c r="C156" s="479">
        <v>3374010.0</v>
      </c>
      <c r="D156" s="479" t="s">
        <v>264</v>
      </c>
      <c r="E156" s="479" t="s">
        <v>266</v>
      </c>
      <c r="F156" s="480">
        <v>9.0</v>
      </c>
      <c r="G156" s="481">
        <f t="shared" si="386"/>
        <v>9</v>
      </c>
      <c r="H156" s="482">
        <v>9.0</v>
      </c>
      <c r="I156" s="483">
        <v>0.0</v>
      </c>
      <c r="J156" s="483">
        <v>0.0</v>
      </c>
      <c r="K156" s="483">
        <v>1.0</v>
      </c>
      <c r="L156" s="480">
        <v>8.0</v>
      </c>
      <c r="M156" s="480">
        <v>9.0</v>
      </c>
      <c r="N156" s="483">
        <v>0.0</v>
      </c>
      <c r="O156" s="162">
        <f t="shared" si="369"/>
        <v>0</v>
      </c>
      <c r="P156" s="203">
        <v>9.0</v>
      </c>
      <c r="Q156" s="484">
        <v>0.0</v>
      </c>
      <c r="R156" s="484">
        <v>0.0</v>
      </c>
      <c r="S156" s="484">
        <v>1.0</v>
      </c>
      <c r="T156" s="485">
        <v>8.0</v>
      </c>
      <c r="U156" s="485">
        <v>0.0</v>
      </c>
      <c r="V156" s="485">
        <v>0.0</v>
      </c>
      <c r="W156" s="166">
        <f t="shared" si="225"/>
        <v>9</v>
      </c>
      <c r="X156" s="203">
        <v>7.0</v>
      </c>
      <c r="Y156" s="485">
        <v>0.0</v>
      </c>
      <c r="Z156" s="485">
        <v>0.0</v>
      </c>
      <c r="AA156" s="485">
        <v>1.0</v>
      </c>
      <c r="AB156" s="485">
        <v>6.0</v>
      </c>
      <c r="AC156" s="485">
        <v>0.0</v>
      </c>
      <c r="AD156" s="485">
        <v>2.0</v>
      </c>
      <c r="AE156" s="166">
        <f t="shared" si="214"/>
        <v>5</v>
      </c>
      <c r="AF156" s="167">
        <v>9.0</v>
      </c>
      <c r="AG156" s="485">
        <v>0.0</v>
      </c>
      <c r="AH156" s="485">
        <v>0.0</v>
      </c>
      <c r="AI156" s="485">
        <v>1.0</v>
      </c>
      <c r="AJ156" s="485">
        <v>8.0</v>
      </c>
      <c r="AK156" s="485">
        <v>2.0</v>
      </c>
      <c r="AL156" s="485">
        <v>0.0</v>
      </c>
      <c r="AM156" s="166">
        <f t="shared" si="370"/>
        <v>7</v>
      </c>
      <c r="AN156" s="167">
        <v>8.0</v>
      </c>
      <c r="AO156" s="485">
        <v>0.0</v>
      </c>
      <c r="AP156" s="485">
        <v>0.0</v>
      </c>
      <c r="AQ156" s="485">
        <v>1.0</v>
      </c>
      <c r="AR156" s="485">
        <v>7.0</v>
      </c>
      <c r="AS156" s="485">
        <v>0.0</v>
      </c>
      <c r="AT156" s="485">
        <v>1.0</v>
      </c>
      <c r="AU156" s="168">
        <f t="shared" si="375"/>
        <v>7</v>
      </c>
      <c r="AV156" s="169">
        <v>210.0</v>
      </c>
      <c r="AW156" s="204">
        <f t="shared" si="8"/>
        <v>9</v>
      </c>
      <c r="AX156" s="486">
        <v>0.0</v>
      </c>
      <c r="AY156" s="486">
        <v>0.0</v>
      </c>
      <c r="AZ156" s="486">
        <v>0.0</v>
      </c>
      <c r="BA156" s="486">
        <v>7.0</v>
      </c>
      <c r="BB156" s="486">
        <v>0.0</v>
      </c>
      <c r="BC156" s="486">
        <v>1.0</v>
      </c>
      <c r="BD156" s="486">
        <v>0.0</v>
      </c>
      <c r="BE156" s="486">
        <v>1.0</v>
      </c>
      <c r="BF156" s="484"/>
      <c r="BG156" s="484"/>
      <c r="BH156" s="484"/>
      <c r="BI156" s="484"/>
      <c r="BJ156" s="484"/>
      <c r="BK156" s="484"/>
      <c r="BL156" s="484"/>
      <c r="BM156" s="484"/>
      <c r="BN156" s="484"/>
      <c r="BO156" s="484"/>
      <c r="BP156" s="205">
        <f t="shared" si="131"/>
        <v>0</v>
      </c>
      <c r="BQ156" s="173">
        <v>353.0</v>
      </c>
      <c r="BR156" s="170">
        <f t="shared" si="10"/>
        <v>9</v>
      </c>
      <c r="BS156" s="485"/>
      <c r="BT156" s="487">
        <v>1.0</v>
      </c>
      <c r="BU156" s="485"/>
      <c r="BV156" s="487">
        <v>8.0</v>
      </c>
      <c r="BW156" s="485"/>
      <c r="BX156" s="485"/>
      <c r="BY156" s="485"/>
      <c r="BZ156" s="485"/>
      <c r="CA156" s="485"/>
      <c r="CB156" s="485"/>
      <c r="CC156" s="485"/>
      <c r="CD156" s="485"/>
      <c r="CE156" s="485"/>
      <c r="CF156" s="485"/>
      <c r="CG156" s="485"/>
      <c r="CH156" s="485"/>
      <c r="CI156" s="485"/>
      <c r="CJ156" s="485"/>
      <c r="CK156" s="485">
        <f t="shared" si="132"/>
        <v>0</v>
      </c>
      <c r="CL156" s="487">
        <v>202.0</v>
      </c>
      <c r="CM156" s="487">
        <v>73.0</v>
      </c>
      <c r="CN156" s="175">
        <f t="shared" si="295"/>
        <v>9</v>
      </c>
      <c r="CO156" s="485"/>
      <c r="CP156" s="487">
        <v>1.0</v>
      </c>
      <c r="CQ156" s="485"/>
      <c r="CR156" s="487">
        <v>8.0</v>
      </c>
      <c r="CS156" s="485"/>
      <c r="CT156" s="485"/>
      <c r="CU156" s="485"/>
      <c r="CV156" s="485"/>
      <c r="CW156" s="485"/>
      <c r="CX156" s="485"/>
      <c r="CY156" s="485"/>
      <c r="CZ156" s="485"/>
      <c r="DA156" s="485"/>
      <c r="DB156" s="485"/>
      <c r="DC156" s="485"/>
      <c r="DD156" s="485"/>
      <c r="DE156" s="485"/>
      <c r="DF156" s="485"/>
      <c r="DG156" s="176">
        <f t="shared" si="13"/>
        <v>0</v>
      </c>
      <c r="DH156" s="487">
        <v>191.0</v>
      </c>
      <c r="DI156" s="487">
        <v>75.0</v>
      </c>
      <c r="DJ156" s="178">
        <v>190.0</v>
      </c>
      <c r="DK156" s="178">
        <v>75.0</v>
      </c>
      <c r="DL156" s="179">
        <f t="shared" si="14"/>
        <v>8</v>
      </c>
      <c r="DM156" s="180">
        <f t="shared" si="15"/>
        <v>1</v>
      </c>
      <c r="DN156" s="180">
        <f t="shared" si="16"/>
        <v>7</v>
      </c>
      <c r="DO156" s="485"/>
      <c r="DP156" s="485"/>
      <c r="DQ156" s="487">
        <v>1.0</v>
      </c>
      <c r="DR156" s="487">
        <v>7.0</v>
      </c>
      <c r="DS156" s="485"/>
      <c r="DT156" s="485"/>
      <c r="DU156" s="485"/>
      <c r="DV156" s="485"/>
      <c r="DW156" s="485"/>
      <c r="DX156" s="485"/>
      <c r="DY156" s="485"/>
      <c r="DZ156" s="487">
        <v>1.0</v>
      </c>
      <c r="EA156" s="485"/>
      <c r="EB156" s="485"/>
      <c r="EC156" s="485"/>
      <c r="ED156" s="485"/>
      <c r="EE156" s="485"/>
      <c r="EF156" s="485"/>
      <c r="EG156" s="179">
        <f t="shared" si="17"/>
        <v>1</v>
      </c>
      <c r="EH156" s="179">
        <f t="shared" si="18"/>
        <v>0</v>
      </c>
      <c r="EI156" s="487">
        <v>192.0</v>
      </c>
      <c r="EJ156" s="487">
        <v>70.0</v>
      </c>
      <c r="EK156" s="178">
        <v>177.0</v>
      </c>
      <c r="EL156" s="178">
        <v>67.0</v>
      </c>
      <c r="EM156" s="185">
        <f t="shared" si="362"/>
        <v>9</v>
      </c>
      <c r="EN156" s="186">
        <f t="shared" si="202"/>
        <v>1</v>
      </c>
      <c r="EO156" s="186">
        <f t="shared" si="90"/>
        <v>8</v>
      </c>
      <c r="EP156" s="485"/>
      <c r="EQ156" s="485"/>
      <c r="ER156" s="487">
        <v>1.0</v>
      </c>
      <c r="ES156" s="487">
        <v>7.0</v>
      </c>
      <c r="ET156" s="485"/>
      <c r="EU156" s="485"/>
      <c r="EV156" s="485"/>
      <c r="EW156" s="487">
        <v>1.0</v>
      </c>
      <c r="EX156" s="485"/>
      <c r="EY156" s="485"/>
      <c r="EZ156" s="485"/>
      <c r="FA156" s="488"/>
      <c r="FB156" s="485"/>
      <c r="FC156" s="485"/>
      <c r="FD156" s="485"/>
      <c r="FE156" s="485"/>
      <c r="FF156" s="485"/>
      <c r="FG156" s="485"/>
      <c r="FH156" s="185">
        <f t="shared" si="22"/>
        <v>0</v>
      </c>
      <c r="FI156" s="185">
        <f t="shared" si="23"/>
        <v>0</v>
      </c>
      <c r="FJ156" s="177">
        <v>186.0</v>
      </c>
      <c r="FK156" s="177">
        <v>69.0</v>
      </c>
      <c r="FL156" s="177">
        <v>169.0</v>
      </c>
      <c r="FM156" s="177">
        <v>64.0</v>
      </c>
      <c r="FN156" s="180"/>
      <c r="FO156" s="180">
        <v>9.0</v>
      </c>
      <c r="FP156" s="188">
        <f t="shared" si="387"/>
        <v>9</v>
      </c>
      <c r="FQ156" s="211">
        <v>1.0</v>
      </c>
      <c r="FR156" s="212">
        <v>8.0</v>
      </c>
      <c r="FS156" s="335"/>
      <c r="FT156" s="293"/>
      <c r="FU156" s="207">
        <v>1.0</v>
      </c>
      <c r="FV156" s="207">
        <v>7.0</v>
      </c>
      <c r="FW156" s="293"/>
      <c r="FX156" s="293"/>
      <c r="FY156" s="293"/>
      <c r="FZ156" s="207">
        <v>1.0</v>
      </c>
      <c r="GA156" s="293"/>
      <c r="GB156" s="293"/>
      <c r="GC156" s="293"/>
      <c r="GD156" s="293"/>
      <c r="GE156" s="293"/>
      <c r="GF156" s="293"/>
      <c r="GG156" s="293"/>
      <c r="GH156" s="293"/>
      <c r="GI156" s="207">
        <v>1.0</v>
      </c>
      <c r="GJ156" s="293"/>
      <c r="GK156" s="212">
        <v>1.0</v>
      </c>
      <c r="GL156" s="212">
        <v>0.0</v>
      </c>
      <c r="GM156" s="207">
        <v>187.0</v>
      </c>
      <c r="GN156" s="489">
        <v>72.0</v>
      </c>
      <c r="GO156" s="213">
        <v>176.0</v>
      </c>
      <c r="GP156" s="213">
        <v>67.0</v>
      </c>
      <c r="GQ156" s="207"/>
      <c r="GR156" s="213">
        <v>10.0</v>
      </c>
      <c r="GS156" s="193">
        <v>2.0</v>
      </c>
      <c r="GT156" s="194">
        <f t="shared" si="25"/>
        <v>10</v>
      </c>
      <c r="GU156" s="194">
        <f t="shared" si="26"/>
        <v>2</v>
      </c>
      <c r="GV156" s="194">
        <f t="shared" si="27"/>
        <v>8</v>
      </c>
      <c r="GW156" s="207"/>
      <c r="GX156" s="207"/>
      <c r="GY156" s="207">
        <v>1.0</v>
      </c>
      <c r="GZ156" s="207">
        <v>8.0</v>
      </c>
      <c r="HA156" s="207"/>
      <c r="HB156" s="207"/>
      <c r="HC156" s="207">
        <v>1.0</v>
      </c>
      <c r="HD156" s="207"/>
      <c r="HE156" s="207"/>
      <c r="HF156" s="207"/>
      <c r="HG156" s="207"/>
      <c r="HH156" s="207"/>
      <c r="HI156" s="207"/>
      <c r="HJ156" s="207"/>
      <c r="HK156" s="207"/>
      <c r="HL156" s="207"/>
      <c r="HM156" s="207"/>
      <c r="HN156" s="207"/>
      <c r="HO156" s="222"/>
      <c r="HP156" s="222"/>
      <c r="HQ156" s="214"/>
      <c r="HR156" s="197"/>
      <c r="HS156" s="197"/>
      <c r="HT156" s="198">
        <f t="shared" si="28"/>
        <v>9</v>
      </c>
      <c r="HU156" s="198">
        <f t="shared" si="29"/>
        <v>9</v>
      </c>
      <c r="HV156" s="198">
        <f t="shared" si="30"/>
        <v>7</v>
      </c>
      <c r="HW156" s="198">
        <f t="shared" si="99"/>
        <v>9</v>
      </c>
      <c r="HX156" s="198">
        <f t="shared" si="32"/>
        <v>8</v>
      </c>
      <c r="HY156" s="198">
        <f t="shared" si="33"/>
        <v>9</v>
      </c>
      <c r="HZ156" s="198">
        <f t="shared" si="34"/>
        <v>9</v>
      </c>
      <c r="IA156" s="198">
        <f t="shared" si="35"/>
        <v>9</v>
      </c>
      <c r="IB156" s="198">
        <f t="shared" si="36"/>
        <v>8</v>
      </c>
      <c r="IC156" s="198">
        <f t="shared" si="37"/>
        <v>9</v>
      </c>
      <c r="ID156" s="198">
        <f t="shared" si="38"/>
        <v>9</v>
      </c>
      <c r="IE156" s="198">
        <f t="shared" si="39"/>
        <v>10</v>
      </c>
      <c r="IF156" s="197"/>
      <c r="IG156" s="197"/>
      <c r="IH156" s="197"/>
      <c r="II156" s="197"/>
      <c r="IJ156" s="197"/>
      <c r="IK156" s="197"/>
      <c r="IL156" s="197"/>
      <c r="IM156" s="197"/>
      <c r="IN156" s="197"/>
      <c r="IO156" s="197"/>
      <c r="IP156" s="197"/>
      <c r="IQ156" s="197"/>
      <c r="IR156" s="197"/>
      <c r="IS156" s="197"/>
      <c r="IT156" s="197"/>
      <c r="IU156" s="197"/>
      <c r="IV156" s="197"/>
      <c r="IW156" s="197"/>
      <c r="IX156" s="197"/>
      <c r="IY156" s="197"/>
      <c r="IZ156" s="197"/>
      <c r="JA156" s="199"/>
      <c r="JB156" s="200">
        <f t="shared" si="40"/>
        <v>9</v>
      </c>
      <c r="JC156" s="200">
        <f t="shared" si="41"/>
        <v>9</v>
      </c>
      <c r="JD156" s="200">
        <f t="shared" si="42"/>
        <v>7</v>
      </c>
      <c r="JE156" s="200">
        <f t="shared" si="43"/>
        <v>9</v>
      </c>
      <c r="JF156" s="200">
        <f t="shared" si="44"/>
        <v>8</v>
      </c>
      <c r="JG156" s="200">
        <f t="shared" si="45"/>
        <v>9</v>
      </c>
      <c r="JH156" s="200">
        <f t="shared" si="46"/>
        <v>9</v>
      </c>
      <c r="JI156" s="200">
        <f t="shared" si="47"/>
        <v>9</v>
      </c>
      <c r="JJ156" s="200">
        <f t="shared" si="48"/>
        <v>8</v>
      </c>
      <c r="JK156" s="200">
        <f t="shared" si="49"/>
        <v>9</v>
      </c>
      <c r="JL156" s="200">
        <f t="shared" si="50"/>
        <v>9</v>
      </c>
      <c r="JM156" s="200">
        <f t="shared" si="51"/>
        <v>10</v>
      </c>
      <c r="JN156" s="199"/>
      <c r="JO156" s="200">
        <f t="shared" si="52"/>
        <v>9</v>
      </c>
      <c r="JP156" s="202">
        <v>9.0</v>
      </c>
      <c r="JQ156" s="202">
        <v>7.0</v>
      </c>
      <c r="JR156" s="202">
        <v>9.0</v>
      </c>
      <c r="JS156" s="202">
        <v>8.0</v>
      </c>
      <c r="JT156" s="199"/>
      <c r="JU156" s="199"/>
      <c r="JV156" s="200">
        <f t="shared" ref="JV156:JX156" si="388">IA156-JI156</f>
        <v>0</v>
      </c>
      <c r="JW156" s="200">
        <f t="shared" si="388"/>
        <v>0</v>
      </c>
      <c r="JX156" s="200">
        <f t="shared" si="388"/>
        <v>0</v>
      </c>
      <c r="JY156" s="199"/>
      <c r="JZ156" s="199"/>
      <c r="KA156" s="199"/>
      <c r="KB156" s="200">
        <f t="shared" ref="KB156:KM156" si="389">JB156-JO156</f>
        <v>0</v>
      </c>
      <c r="KC156" s="200">
        <f t="shared" si="389"/>
        <v>0</v>
      </c>
      <c r="KD156" s="200">
        <f t="shared" si="389"/>
        <v>0</v>
      </c>
      <c r="KE156" s="200">
        <f t="shared" si="389"/>
        <v>0</v>
      </c>
      <c r="KF156" s="200">
        <f t="shared" si="389"/>
        <v>0</v>
      </c>
      <c r="KG156" s="200">
        <f t="shared" si="389"/>
        <v>9</v>
      </c>
      <c r="KH156" s="200">
        <f t="shared" si="389"/>
        <v>9</v>
      </c>
      <c r="KI156" s="200">
        <f t="shared" si="389"/>
        <v>9</v>
      </c>
      <c r="KJ156" s="200">
        <f t="shared" si="389"/>
        <v>8</v>
      </c>
      <c r="KK156" s="200">
        <f t="shared" si="389"/>
        <v>9</v>
      </c>
      <c r="KL156" s="200">
        <f t="shared" si="389"/>
        <v>9</v>
      </c>
      <c r="KM156" s="200">
        <f t="shared" si="389"/>
        <v>10</v>
      </c>
      <c r="KN156" s="199"/>
      <c r="KO156" s="199"/>
      <c r="KP156" s="199"/>
      <c r="KQ156" s="199"/>
      <c r="KR156" s="199"/>
      <c r="KS156" s="199"/>
      <c r="KT156" s="199"/>
      <c r="KU156" s="199"/>
      <c r="KV156" s="199"/>
      <c r="KW156" s="199"/>
      <c r="KX156" s="199"/>
      <c r="KY156" s="199"/>
      <c r="KZ156" s="199"/>
      <c r="LA156" s="199"/>
      <c r="LB156" s="199"/>
      <c r="LC156" s="199"/>
      <c r="LD156" s="199"/>
      <c r="LE156" s="199"/>
      <c r="LF156" s="199"/>
      <c r="LG156" s="199"/>
    </row>
    <row r="157" ht="14.25" customHeight="1">
      <c r="A157" s="156">
        <v>150.0</v>
      </c>
      <c r="B157" s="478" t="s">
        <v>262</v>
      </c>
      <c r="C157" s="479">
        <v>3374010.0</v>
      </c>
      <c r="D157" s="479" t="s">
        <v>264</v>
      </c>
      <c r="E157" s="479" t="s">
        <v>267</v>
      </c>
      <c r="F157" s="480">
        <v>3.0</v>
      </c>
      <c r="G157" s="481">
        <f t="shared" si="386"/>
        <v>9</v>
      </c>
      <c r="H157" s="482">
        <v>9.0</v>
      </c>
      <c r="I157" s="483">
        <v>0.0</v>
      </c>
      <c r="J157" s="483">
        <v>0.0</v>
      </c>
      <c r="K157" s="483">
        <v>1.0</v>
      </c>
      <c r="L157" s="480">
        <v>8.0</v>
      </c>
      <c r="M157" s="480">
        <v>9.0</v>
      </c>
      <c r="N157" s="483">
        <v>0.0</v>
      </c>
      <c r="O157" s="162">
        <f t="shared" si="369"/>
        <v>0</v>
      </c>
      <c r="P157" s="203">
        <v>9.0</v>
      </c>
      <c r="Q157" s="484">
        <v>0.0</v>
      </c>
      <c r="R157" s="484">
        <v>0.0</v>
      </c>
      <c r="S157" s="484">
        <v>1.0</v>
      </c>
      <c r="T157" s="485">
        <v>8.0</v>
      </c>
      <c r="U157" s="485">
        <v>0.0</v>
      </c>
      <c r="V157" s="485">
        <v>0.0</v>
      </c>
      <c r="W157" s="166">
        <f t="shared" si="225"/>
        <v>9</v>
      </c>
      <c r="X157" s="203">
        <v>13.0</v>
      </c>
      <c r="Y157" s="485">
        <v>0.0</v>
      </c>
      <c r="Z157" s="485">
        <v>0.0</v>
      </c>
      <c r="AA157" s="485">
        <v>1.0</v>
      </c>
      <c r="AB157" s="485">
        <v>12.0</v>
      </c>
      <c r="AC157" s="485">
        <v>4.0</v>
      </c>
      <c r="AD157" s="485">
        <v>0.0</v>
      </c>
      <c r="AE157" s="166">
        <f t="shared" si="214"/>
        <v>9</v>
      </c>
      <c r="AF157" s="167">
        <v>11.0</v>
      </c>
      <c r="AG157" s="485">
        <v>0.0</v>
      </c>
      <c r="AH157" s="485">
        <v>0.0</v>
      </c>
      <c r="AI157" s="485">
        <v>1.0</v>
      </c>
      <c r="AJ157" s="485">
        <v>10.0</v>
      </c>
      <c r="AK157" s="485">
        <v>0.0</v>
      </c>
      <c r="AL157" s="485">
        <v>2.0</v>
      </c>
      <c r="AM157" s="166">
        <f t="shared" si="370"/>
        <v>9</v>
      </c>
      <c r="AN157" s="167">
        <v>9.0</v>
      </c>
      <c r="AO157" s="485">
        <v>0.0</v>
      </c>
      <c r="AP157" s="485">
        <v>0.0</v>
      </c>
      <c r="AQ157" s="485">
        <v>1.0</v>
      </c>
      <c r="AR157" s="485">
        <v>8.0</v>
      </c>
      <c r="AS157" s="485">
        <v>0.0</v>
      </c>
      <c r="AT157" s="485">
        <v>3.0</v>
      </c>
      <c r="AU157" s="168">
        <f t="shared" si="375"/>
        <v>6</v>
      </c>
      <c r="AV157" s="169">
        <v>119.0</v>
      </c>
      <c r="AW157" s="204">
        <f t="shared" si="8"/>
        <v>9</v>
      </c>
      <c r="AX157" s="486">
        <v>0.0</v>
      </c>
      <c r="AY157" s="486">
        <v>0.0</v>
      </c>
      <c r="AZ157" s="486">
        <v>0.0</v>
      </c>
      <c r="BA157" s="486">
        <v>6.0</v>
      </c>
      <c r="BB157" s="486">
        <v>2.0</v>
      </c>
      <c r="BC157" s="486">
        <v>0.0</v>
      </c>
      <c r="BD157" s="486">
        <v>0.0</v>
      </c>
      <c r="BE157" s="486">
        <v>1.0</v>
      </c>
      <c r="BF157" s="484"/>
      <c r="BG157" s="484"/>
      <c r="BH157" s="484"/>
      <c r="BI157" s="484"/>
      <c r="BJ157" s="484"/>
      <c r="BK157" s="484"/>
      <c r="BL157" s="484"/>
      <c r="BM157" s="484"/>
      <c r="BN157" s="484"/>
      <c r="BO157" s="484"/>
      <c r="BP157" s="205">
        <f t="shared" si="131"/>
        <v>0</v>
      </c>
      <c r="BQ157" s="173">
        <v>115.0</v>
      </c>
      <c r="BR157" s="170">
        <f t="shared" si="10"/>
        <v>8</v>
      </c>
      <c r="BS157" s="485"/>
      <c r="BT157" s="487">
        <v>2.0</v>
      </c>
      <c r="BU157" s="485"/>
      <c r="BV157" s="487">
        <v>6.0</v>
      </c>
      <c r="BW157" s="485"/>
      <c r="BX157" s="485"/>
      <c r="BY157" s="485"/>
      <c r="BZ157" s="485"/>
      <c r="CA157" s="485"/>
      <c r="CB157" s="485"/>
      <c r="CC157" s="485"/>
      <c r="CD157" s="485"/>
      <c r="CE157" s="485"/>
      <c r="CF157" s="485"/>
      <c r="CG157" s="485"/>
      <c r="CH157" s="485"/>
      <c r="CI157" s="487">
        <v>1.0</v>
      </c>
      <c r="CJ157" s="485"/>
      <c r="CK157" s="485">
        <f t="shared" si="132"/>
        <v>1</v>
      </c>
      <c r="CL157" s="487">
        <v>119.0</v>
      </c>
      <c r="CM157" s="487">
        <v>55.0</v>
      </c>
      <c r="CN157" s="175">
        <f t="shared" si="295"/>
        <v>7</v>
      </c>
      <c r="CO157" s="485"/>
      <c r="CP157" s="487">
        <v>1.0</v>
      </c>
      <c r="CQ157" s="485"/>
      <c r="CR157" s="487">
        <v>6.0</v>
      </c>
      <c r="CS157" s="485"/>
      <c r="CT157" s="485"/>
      <c r="CU157" s="485"/>
      <c r="CV157" s="485"/>
      <c r="CW157" s="485"/>
      <c r="CX157" s="487">
        <v>1.0</v>
      </c>
      <c r="CY157" s="485"/>
      <c r="CZ157" s="485"/>
      <c r="DA157" s="485"/>
      <c r="DB157" s="485"/>
      <c r="DC157" s="485"/>
      <c r="DD157" s="485"/>
      <c r="DE157" s="485"/>
      <c r="DF157" s="485"/>
      <c r="DG157" s="176">
        <f t="shared" si="13"/>
        <v>1</v>
      </c>
      <c r="DH157" s="487">
        <v>120.0</v>
      </c>
      <c r="DI157" s="487">
        <v>57.0</v>
      </c>
      <c r="DJ157" s="178">
        <v>113.0</v>
      </c>
      <c r="DK157" s="178">
        <v>55.0</v>
      </c>
      <c r="DL157" s="179">
        <f t="shared" si="14"/>
        <v>5</v>
      </c>
      <c r="DM157" s="180">
        <f t="shared" si="15"/>
        <v>1</v>
      </c>
      <c r="DN157" s="180">
        <f t="shared" si="16"/>
        <v>4</v>
      </c>
      <c r="DO157" s="485"/>
      <c r="DP157" s="485"/>
      <c r="DQ157" s="487"/>
      <c r="DR157" s="487">
        <v>4.0</v>
      </c>
      <c r="DS157" s="485"/>
      <c r="DT157" s="485"/>
      <c r="DU157" s="487">
        <v>1.0</v>
      </c>
      <c r="DV157" s="485"/>
      <c r="DW157" s="485"/>
      <c r="DX157" s="487">
        <v>1.0</v>
      </c>
      <c r="DY157" s="485"/>
      <c r="DZ157" s="485"/>
      <c r="EA157" s="485"/>
      <c r="EB157" s="485"/>
      <c r="EC157" s="485"/>
      <c r="ED157" s="487"/>
      <c r="EE157" s="487">
        <v>2.0</v>
      </c>
      <c r="EF157" s="485"/>
      <c r="EG157" s="179">
        <f t="shared" si="17"/>
        <v>3</v>
      </c>
      <c r="EH157" s="179">
        <f t="shared" si="18"/>
        <v>3</v>
      </c>
      <c r="EI157" s="487">
        <v>121.0</v>
      </c>
      <c r="EJ157" s="487">
        <v>61.0</v>
      </c>
      <c r="EK157" s="178">
        <v>112.0</v>
      </c>
      <c r="EL157" s="178">
        <v>57.0</v>
      </c>
      <c r="EM157" s="185">
        <f t="shared" si="362"/>
        <v>3</v>
      </c>
      <c r="EN157" s="186">
        <f t="shared" si="202"/>
        <v>1</v>
      </c>
      <c r="EO157" s="186">
        <f t="shared" si="90"/>
        <v>2</v>
      </c>
      <c r="EP157" s="485"/>
      <c r="EQ157" s="485"/>
      <c r="ER157" s="487">
        <v>1.0</v>
      </c>
      <c r="ES157" s="487">
        <v>2.0</v>
      </c>
      <c r="ET157" s="485"/>
      <c r="EU157" s="485"/>
      <c r="EV157" s="488"/>
      <c r="EW157" s="485"/>
      <c r="EX157" s="485"/>
      <c r="EY157" s="488"/>
      <c r="EZ157" s="485"/>
      <c r="FA157" s="487">
        <v>2.0</v>
      </c>
      <c r="FB157" s="485"/>
      <c r="FC157" s="485"/>
      <c r="FD157" s="485"/>
      <c r="FE157" s="488"/>
      <c r="FF157" s="488"/>
      <c r="FG157" s="485"/>
      <c r="FH157" s="185">
        <f t="shared" si="22"/>
        <v>2</v>
      </c>
      <c r="FI157" s="185">
        <f t="shared" si="23"/>
        <v>0</v>
      </c>
      <c r="FJ157" s="177">
        <v>116.0</v>
      </c>
      <c r="FK157" s="177">
        <v>61.0</v>
      </c>
      <c r="FL157" s="177">
        <v>105.0</v>
      </c>
      <c r="FM157" s="177">
        <v>56.0</v>
      </c>
      <c r="FN157" s="180"/>
      <c r="FO157" s="180">
        <v>4.0</v>
      </c>
      <c r="FP157" s="188">
        <f t="shared" si="387"/>
        <v>4</v>
      </c>
      <c r="FQ157" s="211">
        <v>2.0</v>
      </c>
      <c r="FR157" s="212">
        <v>2.0</v>
      </c>
      <c r="FS157" s="335"/>
      <c r="FT157" s="293"/>
      <c r="FU157" s="207">
        <v>1.0</v>
      </c>
      <c r="FV157" s="207">
        <v>2.0</v>
      </c>
      <c r="FW157" s="293"/>
      <c r="FX157" s="293"/>
      <c r="FY157" s="207">
        <v>1.0</v>
      </c>
      <c r="FZ157" s="293"/>
      <c r="GA157" s="293"/>
      <c r="GB157" s="293"/>
      <c r="GC157" s="293"/>
      <c r="GD157" s="293"/>
      <c r="GE157" s="293"/>
      <c r="GF157" s="293"/>
      <c r="GG157" s="293"/>
      <c r="GH157" s="293"/>
      <c r="GI157" s="293"/>
      <c r="GJ157" s="293"/>
      <c r="GK157" s="212">
        <v>0.0</v>
      </c>
      <c r="GL157" s="212">
        <v>0.0</v>
      </c>
      <c r="GM157" s="207">
        <v>112.0</v>
      </c>
      <c r="GN157" s="207">
        <v>55.0</v>
      </c>
      <c r="GO157" s="213">
        <v>107.0</v>
      </c>
      <c r="GP157" s="213">
        <v>45.0</v>
      </c>
      <c r="GQ157" s="207"/>
      <c r="GR157" s="213">
        <v>4.0</v>
      </c>
      <c r="GS157" s="193">
        <v>2.0</v>
      </c>
      <c r="GT157" s="194">
        <f t="shared" si="25"/>
        <v>4</v>
      </c>
      <c r="GU157" s="194">
        <f t="shared" si="26"/>
        <v>2</v>
      </c>
      <c r="GV157" s="194">
        <f t="shared" si="27"/>
        <v>2</v>
      </c>
      <c r="GW157" s="207"/>
      <c r="GX157" s="207"/>
      <c r="GY157" s="207">
        <v>2.0</v>
      </c>
      <c r="GZ157" s="207">
        <v>2.0</v>
      </c>
      <c r="HA157" s="207"/>
      <c r="HB157" s="207"/>
      <c r="HC157" s="207"/>
      <c r="HD157" s="207"/>
      <c r="HE157" s="207"/>
      <c r="HF157" s="207"/>
      <c r="HG157" s="207"/>
      <c r="HH157" s="207"/>
      <c r="HI157" s="207"/>
      <c r="HJ157" s="207"/>
      <c r="HK157" s="207"/>
      <c r="HL157" s="207"/>
      <c r="HM157" s="207"/>
      <c r="HN157" s="207"/>
      <c r="HO157" s="222"/>
      <c r="HP157" s="222"/>
      <c r="HQ157" s="214"/>
      <c r="HR157" s="197"/>
      <c r="HS157" s="197"/>
      <c r="HT157" s="198">
        <f t="shared" si="28"/>
        <v>9</v>
      </c>
      <c r="HU157" s="198">
        <f t="shared" si="29"/>
        <v>9</v>
      </c>
      <c r="HV157" s="198">
        <f t="shared" si="30"/>
        <v>13</v>
      </c>
      <c r="HW157" s="198">
        <f t="shared" si="99"/>
        <v>11</v>
      </c>
      <c r="HX157" s="198">
        <f t="shared" si="32"/>
        <v>9</v>
      </c>
      <c r="HY157" s="198">
        <f t="shared" si="33"/>
        <v>9</v>
      </c>
      <c r="HZ157" s="198">
        <f t="shared" si="34"/>
        <v>8</v>
      </c>
      <c r="IA157" s="198">
        <f t="shared" si="35"/>
        <v>7</v>
      </c>
      <c r="IB157" s="198">
        <f t="shared" si="36"/>
        <v>5</v>
      </c>
      <c r="IC157" s="198">
        <f t="shared" si="37"/>
        <v>3</v>
      </c>
      <c r="ID157" s="198">
        <f t="shared" si="38"/>
        <v>4</v>
      </c>
      <c r="IE157" s="198">
        <f t="shared" si="39"/>
        <v>4</v>
      </c>
      <c r="IF157" s="197"/>
      <c r="IG157" s="197"/>
      <c r="IH157" s="197"/>
      <c r="II157" s="197"/>
      <c r="IJ157" s="197"/>
      <c r="IK157" s="197"/>
      <c r="IL157" s="197"/>
      <c r="IM157" s="197"/>
      <c r="IN157" s="197"/>
      <c r="IO157" s="197"/>
      <c r="IP157" s="197"/>
      <c r="IQ157" s="197"/>
      <c r="IR157" s="197"/>
      <c r="IS157" s="197"/>
      <c r="IT157" s="197"/>
      <c r="IU157" s="197"/>
      <c r="IV157" s="197"/>
      <c r="IW157" s="197"/>
      <c r="IX157" s="197"/>
      <c r="IY157" s="197"/>
      <c r="IZ157" s="197"/>
      <c r="JA157" s="199"/>
      <c r="JB157" s="200">
        <f t="shared" si="40"/>
        <v>9</v>
      </c>
      <c r="JC157" s="200">
        <f t="shared" si="41"/>
        <v>9</v>
      </c>
      <c r="JD157" s="200">
        <f t="shared" si="42"/>
        <v>13</v>
      </c>
      <c r="JE157" s="200">
        <f t="shared" si="43"/>
        <v>11</v>
      </c>
      <c r="JF157" s="200">
        <f t="shared" si="44"/>
        <v>9</v>
      </c>
      <c r="JG157" s="200">
        <f t="shared" si="45"/>
        <v>9</v>
      </c>
      <c r="JH157" s="200">
        <f t="shared" si="46"/>
        <v>8</v>
      </c>
      <c r="JI157" s="200">
        <f t="shared" si="47"/>
        <v>7</v>
      </c>
      <c r="JJ157" s="200">
        <f t="shared" si="48"/>
        <v>5</v>
      </c>
      <c r="JK157" s="200">
        <f t="shared" si="49"/>
        <v>5</v>
      </c>
      <c r="JL157" s="200">
        <f t="shared" si="50"/>
        <v>4</v>
      </c>
      <c r="JM157" s="200">
        <f t="shared" si="51"/>
        <v>4</v>
      </c>
      <c r="JN157" s="199"/>
      <c r="JO157" s="200">
        <f t="shared" si="52"/>
        <v>9</v>
      </c>
      <c r="JP157" s="202">
        <v>9.0</v>
      </c>
      <c r="JQ157" s="202">
        <v>13.0</v>
      </c>
      <c r="JR157" s="202">
        <v>11.0</v>
      </c>
      <c r="JS157" s="202">
        <v>9.0</v>
      </c>
      <c r="JT157" s="199"/>
      <c r="JU157" s="199"/>
      <c r="JV157" s="200">
        <f t="shared" ref="JV157:JX157" si="390">IA157-JI157</f>
        <v>0</v>
      </c>
      <c r="JW157" s="200">
        <f t="shared" si="390"/>
        <v>0</v>
      </c>
      <c r="JX157" s="200">
        <f t="shared" si="390"/>
        <v>-2</v>
      </c>
      <c r="JY157" s="199"/>
      <c r="JZ157" s="199"/>
      <c r="KA157" s="199"/>
      <c r="KB157" s="200">
        <f t="shared" ref="KB157:KM157" si="391">JB157-JO157</f>
        <v>0</v>
      </c>
      <c r="KC157" s="200">
        <f t="shared" si="391"/>
        <v>0</v>
      </c>
      <c r="KD157" s="200">
        <f t="shared" si="391"/>
        <v>0</v>
      </c>
      <c r="KE157" s="200">
        <f t="shared" si="391"/>
        <v>0</v>
      </c>
      <c r="KF157" s="200">
        <f t="shared" si="391"/>
        <v>0</v>
      </c>
      <c r="KG157" s="200">
        <f t="shared" si="391"/>
        <v>9</v>
      </c>
      <c r="KH157" s="200">
        <f t="shared" si="391"/>
        <v>8</v>
      </c>
      <c r="KI157" s="200">
        <f t="shared" si="391"/>
        <v>7</v>
      </c>
      <c r="KJ157" s="200">
        <f t="shared" si="391"/>
        <v>5</v>
      </c>
      <c r="KK157" s="200">
        <f t="shared" si="391"/>
        <v>7</v>
      </c>
      <c r="KL157" s="200">
        <f t="shared" si="391"/>
        <v>4</v>
      </c>
      <c r="KM157" s="200">
        <f t="shared" si="391"/>
        <v>4</v>
      </c>
      <c r="KN157" s="199"/>
      <c r="KO157" s="199"/>
      <c r="KP157" s="199"/>
      <c r="KQ157" s="199"/>
      <c r="KR157" s="199"/>
      <c r="KS157" s="199"/>
      <c r="KT157" s="199"/>
      <c r="KU157" s="199"/>
      <c r="KV157" s="199"/>
      <c r="KW157" s="199"/>
      <c r="KX157" s="199"/>
      <c r="KY157" s="199"/>
      <c r="KZ157" s="199"/>
      <c r="LA157" s="199"/>
      <c r="LB157" s="199"/>
      <c r="LC157" s="199"/>
      <c r="LD157" s="199"/>
      <c r="LE157" s="199"/>
      <c r="LF157" s="199"/>
      <c r="LG157" s="199"/>
    </row>
    <row r="158" ht="14.25" customHeight="1">
      <c r="A158" s="156">
        <v>151.0</v>
      </c>
      <c r="B158" s="478" t="s">
        <v>262</v>
      </c>
      <c r="C158" s="479">
        <v>3374010.0</v>
      </c>
      <c r="D158" s="479" t="s">
        <v>264</v>
      </c>
      <c r="E158" s="479" t="s">
        <v>100</v>
      </c>
      <c r="F158" s="480">
        <v>5.0</v>
      </c>
      <c r="G158" s="481">
        <f t="shared" si="386"/>
        <v>18</v>
      </c>
      <c r="H158" s="482">
        <v>18.0</v>
      </c>
      <c r="I158" s="483">
        <v>0.0</v>
      </c>
      <c r="J158" s="483">
        <v>0.0</v>
      </c>
      <c r="K158" s="483">
        <v>3.0</v>
      </c>
      <c r="L158" s="480">
        <v>15.0</v>
      </c>
      <c r="M158" s="480">
        <v>18.0</v>
      </c>
      <c r="N158" s="483">
        <v>0.0</v>
      </c>
      <c r="O158" s="162">
        <f t="shared" si="369"/>
        <v>0</v>
      </c>
      <c r="P158" s="203">
        <v>18.0</v>
      </c>
      <c r="Q158" s="484">
        <v>0.0</v>
      </c>
      <c r="R158" s="484">
        <v>0.0</v>
      </c>
      <c r="S158" s="484">
        <v>3.0</v>
      </c>
      <c r="T158" s="485">
        <v>15.0</v>
      </c>
      <c r="U158" s="485">
        <v>0.0</v>
      </c>
      <c r="V158" s="485">
        <v>0.0</v>
      </c>
      <c r="W158" s="166">
        <f t="shared" si="225"/>
        <v>18</v>
      </c>
      <c r="X158" s="203">
        <v>20.0</v>
      </c>
      <c r="Y158" s="485">
        <v>0.0</v>
      </c>
      <c r="Z158" s="485">
        <v>0.0</v>
      </c>
      <c r="AA158" s="485">
        <v>3.0</v>
      </c>
      <c r="AB158" s="485">
        <v>17.0</v>
      </c>
      <c r="AC158" s="485">
        <v>2.0</v>
      </c>
      <c r="AD158" s="485">
        <v>0.0</v>
      </c>
      <c r="AE158" s="166">
        <f t="shared" si="214"/>
        <v>18</v>
      </c>
      <c r="AF158" s="167">
        <v>13.0</v>
      </c>
      <c r="AG158" s="485">
        <v>0.0</v>
      </c>
      <c r="AH158" s="485">
        <v>0.0</v>
      </c>
      <c r="AI158" s="485">
        <v>3.0</v>
      </c>
      <c r="AJ158" s="485">
        <v>10.0</v>
      </c>
      <c r="AK158" s="485">
        <v>0.0</v>
      </c>
      <c r="AL158" s="485">
        <v>7.0</v>
      </c>
      <c r="AM158" s="166">
        <f t="shared" si="370"/>
        <v>6</v>
      </c>
      <c r="AN158" s="167">
        <v>13.0</v>
      </c>
      <c r="AO158" s="485">
        <v>0.0</v>
      </c>
      <c r="AP158" s="485">
        <v>0.0</v>
      </c>
      <c r="AQ158" s="485">
        <v>3.0</v>
      </c>
      <c r="AR158" s="485">
        <v>10.0</v>
      </c>
      <c r="AS158" s="485">
        <v>0.0</v>
      </c>
      <c r="AT158" s="485">
        <v>0.0</v>
      </c>
      <c r="AU158" s="168">
        <f t="shared" si="375"/>
        <v>13</v>
      </c>
      <c r="AV158" s="169">
        <v>326.0</v>
      </c>
      <c r="AW158" s="204">
        <f t="shared" si="8"/>
        <v>15</v>
      </c>
      <c r="AX158" s="486">
        <v>0.0</v>
      </c>
      <c r="AY158" s="486">
        <v>0.0</v>
      </c>
      <c r="AZ158" s="486">
        <v>0.0</v>
      </c>
      <c r="BA158" s="486">
        <v>13.0</v>
      </c>
      <c r="BB158" s="486">
        <v>0.0</v>
      </c>
      <c r="BC158" s="486">
        <v>0.0</v>
      </c>
      <c r="BD158" s="486">
        <v>0.0</v>
      </c>
      <c r="BE158" s="486">
        <v>2.0</v>
      </c>
      <c r="BF158" s="484"/>
      <c r="BG158" s="484"/>
      <c r="BH158" s="484"/>
      <c r="BI158" s="484"/>
      <c r="BJ158" s="484"/>
      <c r="BK158" s="484"/>
      <c r="BL158" s="484"/>
      <c r="BM158" s="484"/>
      <c r="BN158" s="484"/>
      <c r="BO158" s="484"/>
      <c r="BP158" s="205">
        <f t="shared" si="131"/>
        <v>0</v>
      </c>
      <c r="BQ158" s="173">
        <v>328.0</v>
      </c>
      <c r="BR158" s="170">
        <f t="shared" si="10"/>
        <v>16</v>
      </c>
      <c r="BS158" s="485"/>
      <c r="BT158" s="485"/>
      <c r="BU158" s="485"/>
      <c r="BV158" s="487">
        <v>15.0</v>
      </c>
      <c r="BW158" s="485"/>
      <c r="BX158" s="485"/>
      <c r="BY158" s="485"/>
      <c r="BZ158" s="487">
        <v>1.0</v>
      </c>
      <c r="CA158" s="485"/>
      <c r="CB158" s="485"/>
      <c r="CC158" s="485"/>
      <c r="CD158" s="485"/>
      <c r="CE158" s="485"/>
      <c r="CF158" s="485"/>
      <c r="CG158" s="485"/>
      <c r="CH158" s="485"/>
      <c r="CI158" s="487"/>
      <c r="CJ158" s="485"/>
      <c r="CK158" s="485">
        <f t="shared" si="132"/>
        <v>0</v>
      </c>
      <c r="CL158" s="487">
        <v>330.0</v>
      </c>
      <c r="CM158" s="487">
        <v>111.0</v>
      </c>
      <c r="CN158" s="175">
        <f t="shared" si="295"/>
        <v>16</v>
      </c>
      <c r="CO158" s="485"/>
      <c r="CP158" s="485"/>
      <c r="CQ158" s="485"/>
      <c r="CR158" s="487">
        <v>15.0</v>
      </c>
      <c r="CS158" s="485"/>
      <c r="CT158" s="485"/>
      <c r="CU158" s="487">
        <v>1.0</v>
      </c>
      <c r="CV158" s="485"/>
      <c r="CW158" s="485"/>
      <c r="CX158" s="485"/>
      <c r="CY158" s="485"/>
      <c r="CZ158" s="487">
        <v>1.0</v>
      </c>
      <c r="DA158" s="485"/>
      <c r="DB158" s="485"/>
      <c r="DC158" s="485"/>
      <c r="DD158" s="485"/>
      <c r="DE158" s="485"/>
      <c r="DF158" s="485"/>
      <c r="DG158" s="176">
        <f t="shared" si="13"/>
        <v>1</v>
      </c>
      <c r="DH158" s="487">
        <v>327.0</v>
      </c>
      <c r="DI158" s="487">
        <v>111.0</v>
      </c>
      <c r="DJ158" s="178">
        <v>314.0</v>
      </c>
      <c r="DK158" s="178">
        <v>107.0</v>
      </c>
      <c r="DL158" s="179">
        <f t="shared" si="14"/>
        <v>15</v>
      </c>
      <c r="DM158" s="180">
        <f t="shared" si="15"/>
        <v>1</v>
      </c>
      <c r="DN158" s="180">
        <f t="shared" si="16"/>
        <v>14</v>
      </c>
      <c r="DO158" s="485"/>
      <c r="DP158" s="485"/>
      <c r="DQ158" s="487">
        <v>1.0</v>
      </c>
      <c r="DR158" s="487">
        <v>14.0</v>
      </c>
      <c r="DS158" s="485"/>
      <c r="DT158" s="485"/>
      <c r="DU158" s="485"/>
      <c r="DV158" s="485"/>
      <c r="DW158" s="485"/>
      <c r="DX158" s="485"/>
      <c r="DY158" s="485"/>
      <c r="DZ158" s="487">
        <v>1.0</v>
      </c>
      <c r="EA158" s="485"/>
      <c r="EB158" s="485"/>
      <c r="EC158" s="485"/>
      <c r="ED158" s="485"/>
      <c r="EE158" s="485"/>
      <c r="EF158" s="485"/>
      <c r="EG158" s="179">
        <f t="shared" si="17"/>
        <v>1</v>
      </c>
      <c r="EH158" s="179">
        <f t="shared" si="18"/>
        <v>0</v>
      </c>
      <c r="EI158" s="487">
        <v>323.0</v>
      </c>
      <c r="EJ158" s="487">
        <v>110.0</v>
      </c>
      <c r="EK158" s="178">
        <v>295.0</v>
      </c>
      <c r="EL158" s="178">
        <v>100.0</v>
      </c>
      <c r="EM158" s="185">
        <f t="shared" si="362"/>
        <v>15</v>
      </c>
      <c r="EN158" s="186">
        <f t="shared" si="202"/>
        <v>1</v>
      </c>
      <c r="EO158" s="186">
        <f t="shared" si="90"/>
        <v>14</v>
      </c>
      <c r="EP158" s="485"/>
      <c r="EQ158" s="485"/>
      <c r="ER158" s="487">
        <v>1.0</v>
      </c>
      <c r="ES158" s="487">
        <v>12.0</v>
      </c>
      <c r="ET158" s="485"/>
      <c r="EU158" s="485"/>
      <c r="EV158" s="485"/>
      <c r="EW158" s="487">
        <v>2.0</v>
      </c>
      <c r="EX158" s="485"/>
      <c r="EY158" s="485"/>
      <c r="EZ158" s="485"/>
      <c r="FA158" s="488"/>
      <c r="FB158" s="485"/>
      <c r="FC158" s="485"/>
      <c r="FD158" s="485"/>
      <c r="FE158" s="485"/>
      <c r="FF158" s="487">
        <v>2.0</v>
      </c>
      <c r="FG158" s="485"/>
      <c r="FH158" s="185">
        <f t="shared" si="22"/>
        <v>2</v>
      </c>
      <c r="FI158" s="185">
        <f t="shared" si="23"/>
        <v>0</v>
      </c>
      <c r="FJ158" s="177">
        <v>317.0</v>
      </c>
      <c r="FK158" s="177">
        <v>107.0</v>
      </c>
      <c r="FL158" s="177">
        <v>297.0</v>
      </c>
      <c r="FM158" s="177">
        <v>102.0</v>
      </c>
      <c r="FN158" s="180"/>
      <c r="FO158" s="180">
        <v>13.0</v>
      </c>
      <c r="FP158" s="188">
        <f t="shared" si="387"/>
        <v>13</v>
      </c>
      <c r="FQ158" s="211">
        <v>1.0</v>
      </c>
      <c r="FR158" s="212">
        <v>12.0</v>
      </c>
      <c r="FS158" s="335"/>
      <c r="FT158" s="293"/>
      <c r="FU158" s="207">
        <v>1.0</v>
      </c>
      <c r="FV158" s="207">
        <v>12.0</v>
      </c>
      <c r="FW158" s="293"/>
      <c r="FX158" s="293"/>
      <c r="FY158" s="293"/>
      <c r="FZ158" s="293"/>
      <c r="GA158" s="293"/>
      <c r="GB158" s="293"/>
      <c r="GC158" s="293"/>
      <c r="GD158" s="207">
        <v>2.0</v>
      </c>
      <c r="GE158" s="293"/>
      <c r="GF158" s="293"/>
      <c r="GG158" s="293"/>
      <c r="GH158" s="293"/>
      <c r="GI158" s="293"/>
      <c r="GJ158" s="293"/>
      <c r="GK158" s="212">
        <v>2.0</v>
      </c>
      <c r="GL158" s="212">
        <v>0.0</v>
      </c>
      <c r="GM158" s="207">
        <v>300.0</v>
      </c>
      <c r="GN158" s="207">
        <v>105.0</v>
      </c>
      <c r="GO158" s="213">
        <v>298.0</v>
      </c>
      <c r="GP158" s="213">
        <v>97.0</v>
      </c>
      <c r="GQ158" s="207"/>
      <c r="GR158" s="213">
        <v>15.0</v>
      </c>
      <c r="GS158" s="193">
        <v>1.0</v>
      </c>
      <c r="GT158" s="194">
        <f t="shared" si="25"/>
        <v>15</v>
      </c>
      <c r="GU158" s="194">
        <f t="shared" si="26"/>
        <v>1</v>
      </c>
      <c r="GV158" s="194">
        <f t="shared" si="27"/>
        <v>14</v>
      </c>
      <c r="GW158" s="207"/>
      <c r="GX158" s="207"/>
      <c r="GY158" s="207">
        <v>1.0</v>
      </c>
      <c r="GZ158" s="207">
        <v>12.0</v>
      </c>
      <c r="HA158" s="207"/>
      <c r="HB158" s="207"/>
      <c r="HC158" s="207"/>
      <c r="HD158" s="207">
        <v>2.0</v>
      </c>
      <c r="HE158" s="207"/>
      <c r="HF158" s="207"/>
      <c r="HG158" s="207"/>
      <c r="HH158" s="207"/>
      <c r="HI158" s="207"/>
      <c r="HJ158" s="207"/>
      <c r="HK158" s="207"/>
      <c r="HL158" s="207"/>
      <c r="HM158" s="207"/>
      <c r="HN158" s="207"/>
      <c r="HO158" s="222"/>
      <c r="HP158" s="222"/>
      <c r="HQ158" s="214"/>
      <c r="HR158" s="197"/>
      <c r="HS158" s="197"/>
      <c r="HT158" s="198">
        <f t="shared" si="28"/>
        <v>18</v>
      </c>
      <c r="HU158" s="198">
        <f t="shared" si="29"/>
        <v>18</v>
      </c>
      <c r="HV158" s="198">
        <f t="shared" si="30"/>
        <v>20</v>
      </c>
      <c r="HW158" s="198">
        <f t="shared" si="99"/>
        <v>13</v>
      </c>
      <c r="HX158" s="198">
        <f t="shared" si="32"/>
        <v>13</v>
      </c>
      <c r="HY158" s="198">
        <f t="shared" si="33"/>
        <v>15</v>
      </c>
      <c r="HZ158" s="198">
        <f t="shared" si="34"/>
        <v>16</v>
      </c>
      <c r="IA158" s="198">
        <f t="shared" si="35"/>
        <v>16</v>
      </c>
      <c r="IB158" s="198">
        <f t="shared" si="36"/>
        <v>15</v>
      </c>
      <c r="IC158" s="198">
        <f t="shared" si="37"/>
        <v>15</v>
      </c>
      <c r="ID158" s="198">
        <f t="shared" si="38"/>
        <v>13</v>
      </c>
      <c r="IE158" s="198">
        <f t="shared" si="39"/>
        <v>15</v>
      </c>
      <c r="IF158" s="197"/>
      <c r="IG158" s="197"/>
      <c r="IH158" s="197"/>
      <c r="II158" s="197"/>
      <c r="IJ158" s="197"/>
      <c r="IK158" s="197"/>
      <c r="IL158" s="197"/>
      <c r="IM158" s="197"/>
      <c r="IN158" s="197"/>
      <c r="IO158" s="197"/>
      <c r="IP158" s="197"/>
      <c r="IQ158" s="197"/>
      <c r="IR158" s="197"/>
      <c r="IS158" s="197"/>
      <c r="IT158" s="197"/>
      <c r="IU158" s="197"/>
      <c r="IV158" s="197"/>
      <c r="IW158" s="197"/>
      <c r="IX158" s="197"/>
      <c r="IY158" s="197"/>
      <c r="IZ158" s="197"/>
      <c r="JA158" s="199"/>
      <c r="JB158" s="200">
        <f t="shared" si="40"/>
        <v>18</v>
      </c>
      <c r="JC158" s="200">
        <f t="shared" si="41"/>
        <v>18</v>
      </c>
      <c r="JD158" s="200">
        <f t="shared" si="42"/>
        <v>20</v>
      </c>
      <c r="JE158" s="200">
        <f t="shared" si="43"/>
        <v>13</v>
      </c>
      <c r="JF158" s="200">
        <f t="shared" si="44"/>
        <v>13</v>
      </c>
      <c r="JG158" s="200">
        <f t="shared" si="45"/>
        <v>15</v>
      </c>
      <c r="JH158" s="200">
        <f t="shared" si="46"/>
        <v>16</v>
      </c>
      <c r="JI158" s="200">
        <f t="shared" si="47"/>
        <v>16</v>
      </c>
      <c r="JJ158" s="200">
        <f t="shared" si="48"/>
        <v>15</v>
      </c>
      <c r="JK158" s="200">
        <f t="shared" si="49"/>
        <v>15</v>
      </c>
      <c r="JL158" s="200">
        <f t="shared" si="50"/>
        <v>13</v>
      </c>
      <c r="JM158" s="200">
        <f t="shared" si="51"/>
        <v>15</v>
      </c>
      <c r="JN158" s="199"/>
      <c r="JO158" s="200">
        <f t="shared" si="52"/>
        <v>18</v>
      </c>
      <c r="JP158" s="202">
        <v>18.0</v>
      </c>
      <c r="JQ158" s="202">
        <v>20.0</v>
      </c>
      <c r="JR158" s="202">
        <v>13.0</v>
      </c>
      <c r="JS158" s="202">
        <v>13.0</v>
      </c>
      <c r="JT158" s="199"/>
      <c r="JU158" s="199"/>
      <c r="JV158" s="200">
        <f t="shared" ref="JV158:JX158" si="392">IA158-JI158</f>
        <v>0</v>
      </c>
      <c r="JW158" s="200">
        <f t="shared" si="392"/>
        <v>0</v>
      </c>
      <c r="JX158" s="200">
        <f t="shared" si="392"/>
        <v>0</v>
      </c>
      <c r="JY158" s="199"/>
      <c r="JZ158" s="199"/>
      <c r="KA158" s="199"/>
      <c r="KB158" s="200">
        <f t="shared" ref="KB158:KM158" si="393">JB158-JO158</f>
        <v>0</v>
      </c>
      <c r="KC158" s="200">
        <f t="shared" si="393"/>
        <v>0</v>
      </c>
      <c r="KD158" s="200">
        <f t="shared" si="393"/>
        <v>0</v>
      </c>
      <c r="KE158" s="200">
        <f t="shared" si="393"/>
        <v>0</v>
      </c>
      <c r="KF158" s="200">
        <f t="shared" si="393"/>
        <v>0</v>
      </c>
      <c r="KG158" s="200">
        <f t="shared" si="393"/>
        <v>15</v>
      </c>
      <c r="KH158" s="200">
        <f t="shared" si="393"/>
        <v>16</v>
      </c>
      <c r="KI158" s="200">
        <f t="shared" si="393"/>
        <v>16</v>
      </c>
      <c r="KJ158" s="200">
        <f t="shared" si="393"/>
        <v>15</v>
      </c>
      <c r="KK158" s="200">
        <f t="shared" si="393"/>
        <v>15</v>
      </c>
      <c r="KL158" s="200">
        <f t="shared" si="393"/>
        <v>13</v>
      </c>
      <c r="KM158" s="200">
        <f t="shared" si="393"/>
        <v>15</v>
      </c>
      <c r="KN158" s="199"/>
      <c r="KO158" s="199"/>
      <c r="KP158" s="199"/>
      <c r="KQ158" s="199"/>
      <c r="KR158" s="199"/>
      <c r="KS158" s="199"/>
      <c r="KT158" s="199"/>
      <c r="KU158" s="199"/>
      <c r="KV158" s="199"/>
      <c r="KW158" s="199"/>
      <c r="KX158" s="199"/>
      <c r="KY158" s="199"/>
      <c r="KZ158" s="199"/>
      <c r="LA158" s="199"/>
      <c r="LB158" s="199"/>
      <c r="LC158" s="199"/>
      <c r="LD158" s="199"/>
      <c r="LE158" s="199"/>
      <c r="LF158" s="199"/>
      <c r="LG158" s="199"/>
    </row>
    <row r="159" ht="14.25" customHeight="1">
      <c r="A159" s="156">
        <v>152.0</v>
      </c>
      <c r="B159" s="157" t="s">
        <v>262</v>
      </c>
      <c r="C159" s="158">
        <v>3374010.0</v>
      </c>
      <c r="D159" s="158" t="s">
        <v>262</v>
      </c>
      <c r="E159" s="158" t="s">
        <v>268</v>
      </c>
      <c r="F159" s="159">
        <v>4.0</v>
      </c>
      <c r="G159" s="285">
        <v>335.0</v>
      </c>
      <c r="H159" s="160">
        <v>8.0</v>
      </c>
      <c r="I159" s="161">
        <v>0.0</v>
      </c>
      <c r="J159" s="161">
        <v>0.0</v>
      </c>
      <c r="K159" s="161">
        <v>6.0</v>
      </c>
      <c r="L159" s="161">
        <v>2.0</v>
      </c>
      <c r="M159" s="161">
        <v>2.0</v>
      </c>
      <c r="N159" s="159">
        <v>0.0</v>
      </c>
      <c r="O159" s="162">
        <f t="shared" si="369"/>
        <v>6</v>
      </c>
      <c r="P159" s="203">
        <v>6.0</v>
      </c>
      <c r="Q159" s="164">
        <v>0.0</v>
      </c>
      <c r="R159" s="164">
        <v>0.0</v>
      </c>
      <c r="S159" s="164">
        <v>3.0</v>
      </c>
      <c r="T159" s="165">
        <v>3.0</v>
      </c>
      <c r="U159" s="165">
        <v>0.0</v>
      </c>
      <c r="V159" s="165">
        <v>4.0</v>
      </c>
      <c r="W159" s="166">
        <f t="shared" si="225"/>
        <v>2</v>
      </c>
      <c r="X159" s="203">
        <v>3.0</v>
      </c>
      <c r="Y159" s="165">
        <v>0.0</v>
      </c>
      <c r="Z159" s="165">
        <v>0.0</v>
      </c>
      <c r="AA159" s="165">
        <v>0.0</v>
      </c>
      <c r="AB159" s="165">
        <v>3.0</v>
      </c>
      <c r="AC159" s="165">
        <v>0.0</v>
      </c>
      <c r="AD159" s="165">
        <v>2.0</v>
      </c>
      <c r="AE159" s="166">
        <f t="shared" si="214"/>
        <v>1</v>
      </c>
      <c r="AF159" s="167">
        <v>3.0</v>
      </c>
      <c r="AG159" s="165">
        <v>0.0</v>
      </c>
      <c r="AH159" s="165">
        <v>0.0</v>
      </c>
      <c r="AI159" s="165">
        <v>0.0</v>
      </c>
      <c r="AJ159" s="165">
        <v>3.0</v>
      </c>
      <c r="AK159" s="165">
        <v>0.0</v>
      </c>
      <c r="AL159" s="165">
        <v>0.0</v>
      </c>
      <c r="AM159" s="166">
        <f t="shared" si="370"/>
        <v>3</v>
      </c>
      <c r="AN159" s="167">
        <v>5.0</v>
      </c>
      <c r="AO159" s="165">
        <v>0.0</v>
      </c>
      <c r="AP159" s="165">
        <v>0.0</v>
      </c>
      <c r="AQ159" s="165">
        <v>0.0</v>
      </c>
      <c r="AR159" s="165">
        <v>5.0</v>
      </c>
      <c r="AS159" s="165">
        <v>2.0</v>
      </c>
      <c r="AT159" s="165">
        <v>0.0</v>
      </c>
      <c r="AU159" s="168">
        <f t="shared" si="375"/>
        <v>3</v>
      </c>
      <c r="AV159" s="169">
        <v>346.0</v>
      </c>
      <c r="AW159" s="204">
        <f t="shared" si="8"/>
        <v>5</v>
      </c>
      <c r="AX159" s="169">
        <v>0.0</v>
      </c>
      <c r="AY159" s="169">
        <v>0.0</v>
      </c>
      <c r="AZ159" s="169">
        <v>1.0</v>
      </c>
      <c r="BA159" s="169">
        <v>4.0</v>
      </c>
      <c r="BB159" s="197"/>
      <c r="BC159" s="197"/>
      <c r="BD159" s="197"/>
      <c r="BE159" s="197"/>
      <c r="BF159" s="197"/>
      <c r="BG159" s="197"/>
      <c r="BH159" s="197"/>
      <c r="BI159" s="197"/>
      <c r="BJ159" s="197"/>
      <c r="BK159" s="197"/>
      <c r="BL159" s="197"/>
      <c r="BM159" s="197"/>
      <c r="BN159" s="197"/>
      <c r="BO159" s="197"/>
      <c r="BP159" s="205">
        <f t="shared" si="131"/>
        <v>0</v>
      </c>
      <c r="BQ159" s="169">
        <v>346.0</v>
      </c>
      <c r="BR159" s="170">
        <f t="shared" si="10"/>
        <v>5</v>
      </c>
      <c r="BS159" s="173">
        <v>0.0</v>
      </c>
      <c r="BT159" s="173">
        <v>0.0</v>
      </c>
      <c r="BU159" s="173">
        <v>1.0</v>
      </c>
      <c r="BV159" s="173">
        <v>4.0</v>
      </c>
      <c r="BW159" s="173">
        <v>0.0</v>
      </c>
      <c r="BX159" s="173">
        <v>0.0</v>
      </c>
      <c r="BY159" s="173">
        <v>0.0</v>
      </c>
      <c r="BZ159" s="173">
        <v>0.0</v>
      </c>
      <c r="CA159" s="173">
        <v>0.0</v>
      </c>
      <c r="CB159" s="173">
        <v>0.0</v>
      </c>
      <c r="CC159" s="173">
        <v>0.0</v>
      </c>
      <c r="CD159" s="173">
        <v>0.0</v>
      </c>
      <c r="CE159" s="173">
        <v>0.0</v>
      </c>
      <c r="CF159" s="173">
        <v>0.0</v>
      </c>
      <c r="CG159" s="173">
        <v>0.0</v>
      </c>
      <c r="CH159" s="173">
        <v>0.0</v>
      </c>
      <c r="CI159" s="173">
        <v>0.0</v>
      </c>
      <c r="CJ159" s="173">
        <v>0.0</v>
      </c>
      <c r="CK159" s="172">
        <f t="shared" si="132"/>
        <v>0</v>
      </c>
      <c r="CL159" s="173">
        <v>376.0</v>
      </c>
      <c r="CM159" s="173">
        <v>114.0</v>
      </c>
      <c r="CN159" s="175">
        <f t="shared" si="295"/>
        <v>4</v>
      </c>
      <c r="CO159" s="173">
        <v>0.0</v>
      </c>
      <c r="CP159" s="173">
        <v>0.0</v>
      </c>
      <c r="CQ159" s="173">
        <v>1.0</v>
      </c>
      <c r="CR159" s="173">
        <v>3.0</v>
      </c>
      <c r="CS159" s="173">
        <v>0.0</v>
      </c>
      <c r="CT159" s="173">
        <v>0.0</v>
      </c>
      <c r="CU159" s="173">
        <v>0.0</v>
      </c>
      <c r="CV159" s="173">
        <v>0.0</v>
      </c>
      <c r="CW159" s="173">
        <v>0.0</v>
      </c>
      <c r="CX159" s="173">
        <v>0.0</v>
      </c>
      <c r="CY159" s="173">
        <v>0.0</v>
      </c>
      <c r="CZ159" s="173">
        <v>1.0</v>
      </c>
      <c r="DA159" s="173">
        <v>0.0</v>
      </c>
      <c r="DB159" s="173">
        <v>0.0</v>
      </c>
      <c r="DC159" s="173">
        <v>0.0</v>
      </c>
      <c r="DD159" s="173">
        <v>0.0</v>
      </c>
      <c r="DE159" s="173">
        <v>0.0</v>
      </c>
      <c r="DF159" s="173">
        <v>0.0</v>
      </c>
      <c r="DG159" s="176">
        <f t="shared" si="13"/>
        <v>1</v>
      </c>
      <c r="DH159" s="177">
        <v>332.0</v>
      </c>
      <c r="DI159" s="177">
        <v>102.0</v>
      </c>
      <c r="DJ159" s="178">
        <v>328.0</v>
      </c>
      <c r="DK159" s="178">
        <v>98.0</v>
      </c>
      <c r="DL159" s="179">
        <f t="shared" si="14"/>
        <v>4</v>
      </c>
      <c r="DM159" s="180">
        <f t="shared" si="15"/>
        <v>1</v>
      </c>
      <c r="DN159" s="180">
        <f t="shared" si="16"/>
        <v>3</v>
      </c>
      <c r="DO159" s="226"/>
      <c r="DP159" s="226"/>
      <c r="DQ159" s="177">
        <v>1.0</v>
      </c>
      <c r="DR159" s="177">
        <v>3.0</v>
      </c>
      <c r="DS159" s="226"/>
      <c r="DT159" s="226"/>
      <c r="DU159" s="226"/>
      <c r="DV159" s="226"/>
      <c r="DW159" s="226"/>
      <c r="DX159" s="226"/>
      <c r="DY159" s="226"/>
      <c r="DZ159" s="226"/>
      <c r="EA159" s="226"/>
      <c r="EB159" s="226"/>
      <c r="EC159" s="226"/>
      <c r="ED159" s="226"/>
      <c r="EE159" s="226"/>
      <c r="EF159" s="226"/>
      <c r="EG159" s="179">
        <f t="shared" si="17"/>
        <v>0</v>
      </c>
      <c r="EH159" s="179">
        <f t="shared" si="18"/>
        <v>0</v>
      </c>
      <c r="EI159" s="177">
        <v>329.0</v>
      </c>
      <c r="EJ159" s="177">
        <v>98.0</v>
      </c>
      <c r="EK159" s="178">
        <v>316.0</v>
      </c>
      <c r="EL159" s="178">
        <v>89.0</v>
      </c>
      <c r="EM159" s="185">
        <f t="shared" si="362"/>
        <v>4</v>
      </c>
      <c r="EN159" s="186">
        <f t="shared" si="202"/>
        <v>0</v>
      </c>
      <c r="EO159" s="186">
        <f t="shared" si="90"/>
        <v>4</v>
      </c>
      <c r="EP159" s="177">
        <v>0.0</v>
      </c>
      <c r="EQ159" s="177">
        <v>0.0</v>
      </c>
      <c r="ER159" s="177">
        <v>0.0</v>
      </c>
      <c r="ES159" s="177">
        <v>4.0</v>
      </c>
      <c r="ET159" s="177">
        <v>0.0</v>
      </c>
      <c r="EU159" s="177">
        <v>0.0</v>
      </c>
      <c r="EV159" s="177">
        <v>0.0</v>
      </c>
      <c r="EW159" s="177">
        <v>0.0</v>
      </c>
      <c r="EX159" s="177">
        <v>0.0</v>
      </c>
      <c r="EY159" s="177">
        <v>0.0</v>
      </c>
      <c r="EZ159" s="177">
        <v>0.0</v>
      </c>
      <c r="FA159" s="177">
        <v>0.0</v>
      </c>
      <c r="FB159" s="177">
        <v>0.0</v>
      </c>
      <c r="FC159" s="177">
        <v>0.0</v>
      </c>
      <c r="FD159" s="177">
        <v>0.0</v>
      </c>
      <c r="FE159" s="177">
        <v>0.0</v>
      </c>
      <c r="FF159" s="177">
        <v>0.0</v>
      </c>
      <c r="FG159" s="177">
        <v>0.0</v>
      </c>
      <c r="FH159" s="185">
        <f t="shared" si="22"/>
        <v>0</v>
      </c>
      <c r="FI159" s="185">
        <f t="shared" si="23"/>
        <v>0</v>
      </c>
      <c r="FJ159" s="177">
        <v>327.0</v>
      </c>
      <c r="FK159" s="177">
        <v>99.0</v>
      </c>
      <c r="FL159" s="177">
        <v>320.0</v>
      </c>
      <c r="FM159" s="177">
        <v>93.0</v>
      </c>
      <c r="FN159" s="210"/>
      <c r="FO159" s="210">
        <v>3.0</v>
      </c>
      <c r="FP159" s="243">
        <v>3.0</v>
      </c>
      <c r="FQ159" s="211">
        <v>0.0</v>
      </c>
      <c r="FR159" s="212">
        <v>3.0</v>
      </c>
      <c r="FS159" s="335"/>
      <c r="FT159" s="293"/>
      <c r="FU159" s="293"/>
      <c r="FV159" s="207">
        <v>3.0</v>
      </c>
      <c r="FW159" s="207">
        <v>0.0</v>
      </c>
      <c r="FX159" s="207">
        <v>0.0</v>
      </c>
      <c r="FY159" s="207">
        <v>0.0</v>
      </c>
      <c r="FZ159" s="207">
        <v>0.0</v>
      </c>
      <c r="GA159" s="293"/>
      <c r="GB159" s="293"/>
      <c r="GC159" s="293"/>
      <c r="GD159" s="207">
        <v>1.0</v>
      </c>
      <c r="GE159" s="293"/>
      <c r="GF159" s="293"/>
      <c r="GG159" s="293"/>
      <c r="GH159" s="293"/>
      <c r="GI159" s="293"/>
      <c r="GJ159" s="293"/>
      <c r="GK159" s="212">
        <v>1.0</v>
      </c>
      <c r="GL159" s="212">
        <v>0.0</v>
      </c>
      <c r="GM159" s="207">
        <v>325.0</v>
      </c>
      <c r="GN159" s="207">
        <v>94.0</v>
      </c>
      <c r="GO159" s="213">
        <v>322.0</v>
      </c>
      <c r="GP159" s="213">
        <v>93.0</v>
      </c>
      <c r="GQ159" s="207"/>
      <c r="GR159" s="213">
        <v>3.0</v>
      </c>
      <c r="GS159" s="193">
        <v>0.0</v>
      </c>
      <c r="GT159" s="194">
        <f t="shared" si="25"/>
        <v>3</v>
      </c>
      <c r="GU159" s="194">
        <f t="shared" si="26"/>
        <v>0</v>
      </c>
      <c r="GV159" s="194">
        <f t="shared" si="27"/>
        <v>3</v>
      </c>
      <c r="GW159" s="207"/>
      <c r="GX159" s="207"/>
      <c r="GY159" s="207"/>
      <c r="GZ159" s="207">
        <v>3.0</v>
      </c>
      <c r="HA159" s="207"/>
      <c r="HB159" s="207"/>
      <c r="HC159" s="207"/>
      <c r="HD159" s="207"/>
      <c r="HE159" s="207"/>
      <c r="HF159" s="207"/>
      <c r="HG159" s="207"/>
      <c r="HH159" s="207"/>
      <c r="HI159" s="207"/>
      <c r="HJ159" s="207"/>
      <c r="HK159" s="207"/>
      <c r="HL159" s="207"/>
      <c r="HM159" s="207"/>
      <c r="HN159" s="207"/>
      <c r="HO159" s="222"/>
      <c r="HP159" s="222"/>
      <c r="HQ159" s="214"/>
      <c r="HR159" s="197"/>
      <c r="HS159" s="197"/>
      <c r="HT159" s="198">
        <f t="shared" si="28"/>
        <v>8</v>
      </c>
      <c r="HU159" s="198">
        <f t="shared" si="29"/>
        <v>6</v>
      </c>
      <c r="HV159" s="198">
        <f t="shared" si="30"/>
        <v>3</v>
      </c>
      <c r="HW159" s="198">
        <f t="shared" si="99"/>
        <v>3</v>
      </c>
      <c r="HX159" s="198">
        <f t="shared" si="32"/>
        <v>5</v>
      </c>
      <c r="HY159" s="198">
        <f t="shared" si="33"/>
        <v>5</v>
      </c>
      <c r="HZ159" s="198">
        <f t="shared" si="34"/>
        <v>5</v>
      </c>
      <c r="IA159" s="198">
        <f t="shared" si="35"/>
        <v>4</v>
      </c>
      <c r="IB159" s="198">
        <f t="shared" si="36"/>
        <v>4</v>
      </c>
      <c r="IC159" s="198">
        <f t="shared" si="37"/>
        <v>4</v>
      </c>
      <c r="ID159" s="198">
        <f t="shared" si="38"/>
        <v>3</v>
      </c>
      <c r="IE159" s="198">
        <f t="shared" si="39"/>
        <v>3</v>
      </c>
      <c r="IF159" s="197"/>
      <c r="IG159" s="197"/>
      <c r="IH159" s="197"/>
      <c r="II159" s="197"/>
      <c r="IJ159" s="197"/>
      <c r="IK159" s="197"/>
      <c r="IL159" s="197"/>
      <c r="IM159" s="197"/>
      <c r="IN159" s="197"/>
      <c r="IO159" s="197"/>
      <c r="IP159" s="197"/>
      <c r="IQ159" s="197"/>
      <c r="IR159" s="197"/>
      <c r="IS159" s="197"/>
      <c r="IT159" s="197"/>
      <c r="IU159" s="197"/>
      <c r="IV159" s="197"/>
      <c r="IW159" s="197"/>
      <c r="IX159" s="197"/>
      <c r="IY159" s="197"/>
      <c r="IZ159" s="197"/>
      <c r="JA159" s="199"/>
      <c r="JB159" s="200">
        <f t="shared" si="40"/>
        <v>8</v>
      </c>
      <c r="JC159" s="200">
        <f t="shared" si="41"/>
        <v>6</v>
      </c>
      <c r="JD159" s="200">
        <f t="shared" si="42"/>
        <v>3</v>
      </c>
      <c r="JE159" s="200">
        <f t="shared" si="43"/>
        <v>3</v>
      </c>
      <c r="JF159" s="200">
        <f t="shared" si="44"/>
        <v>5</v>
      </c>
      <c r="JG159" s="200">
        <f t="shared" si="45"/>
        <v>5</v>
      </c>
      <c r="JH159" s="200">
        <f t="shared" si="46"/>
        <v>5</v>
      </c>
      <c r="JI159" s="200">
        <f t="shared" si="47"/>
        <v>4</v>
      </c>
      <c r="JJ159" s="200">
        <f t="shared" si="48"/>
        <v>4</v>
      </c>
      <c r="JK159" s="200">
        <f t="shared" si="49"/>
        <v>4</v>
      </c>
      <c r="JL159" s="200">
        <f t="shared" si="50"/>
        <v>3</v>
      </c>
      <c r="JM159" s="200">
        <f t="shared" si="51"/>
        <v>3</v>
      </c>
      <c r="JN159" s="199"/>
      <c r="JO159" s="200">
        <f t="shared" si="52"/>
        <v>8</v>
      </c>
      <c r="JP159" s="202">
        <v>6.0</v>
      </c>
      <c r="JQ159" s="202">
        <v>3.0</v>
      </c>
      <c r="JR159" s="202">
        <v>3.0</v>
      </c>
      <c r="JS159" s="202">
        <v>5.0</v>
      </c>
      <c r="JT159" s="199"/>
      <c r="JU159" s="199"/>
      <c r="JV159" s="200">
        <f t="shared" ref="JV159:JX159" si="394">IA159-JI159</f>
        <v>0</v>
      </c>
      <c r="JW159" s="200">
        <f t="shared" si="394"/>
        <v>0</v>
      </c>
      <c r="JX159" s="200">
        <f t="shared" si="394"/>
        <v>0</v>
      </c>
      <c r="JY159" s="199"/>
      <c r="JZ159" s="199"/>
      <c r="KA159" s="199"/>
      <c r="KB159" s="200">
        <f t="shared" ref="KB159:KM159" si="395">JB159-JO159</f>
        <v>0</v>
      </c>
      <c r="KC159" s="200">
        <f t="shared" si="395"/>
        <v>0</v>
      </c>
      <c r="KD159" s="200">
        <f t="shared" si="395"/>
        <v>0</v>
      </c>
      <c r="KE159" s="200">
        <f t="shared" si="395"/>
        <v>0</v>
      </c>
      <c r="KF159" s="200">
        <f t="shared" si="395"/>
        <v>0</v>
      </c>
      <c r="KG159" s="200">
        <f t="shared" si="395"/>
        <v>5</v>
      </c>
      <c r="KH159" s="200">
        <f t="shared" si="395"/>
        <v>5</v>
      </c>
      <c r="KI159" s="200">
        <f t="shared" si="395"/>
        <v>4</v>
      </c>
      <c r="KJ159" s="200">
        <f t="shared" si="395"/>
        <v>4</v>
      </c>
      <c r="KK159" s="200">
        <f t="shared" si="395"/>
        <v>4</v>
      </c>
      <c r="KL159" s="200">
        <f t="shared" si="395"/>
        <v>3</v>
      </c>
      <c r="KM159" s="200">
        <f t="shared" si="395"/>
        <v>3</v>
      </c>
      <c r="KN159" s="199"/>
      <c r="KO159" s="199"/>
      <c r="KP159" s="199"/>
      <c r="KQ159" s="199"/>
      <c r="KR159" s="199"/>
      <c r="KS159" s="199"/>
      <c r="KT159" s="199"/>
      <c r="KU159" s="199"/>
      <c r="KV159" s="199"/>
      <c r="KW159" s="199"/>
      <c r="KX159" s="199"/>
      <c r="KY159" s="199"/>
      <c r="KZ159" s="199"/>
      <c r="LA159" s="199"/>
      <c r="LB159" s="199"/>
      <c r="LC159" s="199"/>
      <c r="LD159" s="199"/>
      <c r="LE159" s="199"/>
      <c r="LF159" s="199"/>
      <c r="LG159" s="199"/>
    </row>
    <row r="160" ht="14.25" customHeight="1">
      <c r="A160" s="156">
        <v>153.0</v>
      </c>
      <c r="B160" s="157" t="s">
        <v>262</v>
      </c>
      <c r="C160" s="158">
        <v>3374010.0</v>
      </c>
      <c r="D160" s="158" t="s">
        <v>262</v>
      </c>
      <c r="E160" s="158" t="s">
        <v>269</v>
      </c>
      <c r="F160" s="159">
        <v>15.0</v>
      </c>
      <c r="G160" s="285">
        <v>689.0</v>
      </c>
      <c r="H160" s="160">
        <v>8.0</v>
      </c>
      <c r="I160" s="161">
        <v>0.0</v>
      </c>
      <c r="J160" s="161">
        <v>0.0</v>
      </c>
      <c r="K160" s="161">
        <v>1.0</v>
      </c>
      <c r="L160" s="161">
        <v>7.0</v>
      </c>
      <c r="M160" s="161">
        <v>0.0</v>
      </c>
      <c r="N160" s="159">
        <v>2.0</v>
      </c>
      <c r="O160" s="162">
        <f t="shared" si="369"/>
        <v>6</v>
      </c>
      <c r="P160" s="203">
        <v>14.0</v>
      </c>
      <c r="Q160" s="164">
        <v>0.0</v>
      </c>
      <c r="R160" s="164">
        <v>0.0</v>
      </c>
      <c r="S160" s="164">
        <v>5.0</v>
      </c>
      <c r="T160" s="165">
        <v>9.0</v>
      </c>
      <c r="U160" s="165">
        <v>3.0</v>
      </c>
      <c r="V160" s="165">
        <v>1.0</v>
      </c>
      <c r="W160" s="166">
        <f t="shared" si="225"/>
        <v>10</v>
      </c>
      <c r="X160" s="203">
        <v>9.0</v>
      </c>
      <c r="Y160" s="165">
        <v>0.0</v>
      </c>
      <c r="Z160" s="165">
        <v>0.0</v>
      </c>
      <c r="AA160" s="165">
        <v>2.0</v>
      </c>
      <c r="AB160" s="165">
        <v>7.0</v>
      </c>
      <c r="AC160" s="165">
        <v>0.0</v>
      </c>
      <c r="AD160" s="165">
        <v>4.0</v>
      </c>
      <c r="AE160" s="166">
        <f t="shared" si="214"/>
        <v>5</v>
      </c>
      <c r="AF160" s="167">
        <v>11.0</v>
      </c>
      <c r="AG160" s="165">
        <v>0.0</v>
      </c>
      <c r="AH160" s="165">
        <v>0.0</v>
      </c>
      <c r="AI160" s="165">
        <v>7.0</v>
      </c>
      <c r="AJ160" s="165">
        <v>4.0</v>
      </c>
      <c r="AK160" s="165">
        <v>5.0</v>
      </c>
      <c r="AL160" s="165">
        <v>1.0</v>
      </c>
      <c r="AM160" s="166">
        <f t="shared" si="370"/>
        <v>5</v>
      </c>
      <c r="AN160" s="167">
        <v>13.0</v>
      </c>
      <c r="AO160" s="165">
        <v>0.0</v>
      </c>
      <c r="AP160" s="165">
        <v>0.0</v>
      </c>
      <c r="AQ160" s="165">
        <v>0.0</v>
      </c>
      <c r="AR160" s="165">
        <v>13.0</v>
      </c>
      <c r="AS160" s="165">
        <v>2.0</v>
      </c>
      <c r="AT160" s="165">
        <v>0.0</v>
      </c>
      <c r="AU160" s="168">
        <f t="shared" si="375"/>
        <v>11</v>
      </c>
      <c r="AV160" s="169">
        <v>708.0</v>
      </c>
      <c r="AW160" s="204">
        <f t="shared" si="8"/>
        <v>13</v>
      </c>
      <c r="AX160" s="169">
        <v>0.0</v>
      </c>
      <c r="AY160" s="169">
        <v>0.0</v>
      </c>
      <c r="AZ160" s="169">
        <v>1.0</v>
      </c>
      <c r="BA160" s="169">
        <v>12.0</v>
      </c>
      <c r="BB160" s="197"/>
      <c r="BC160" s="197"/>
      <c r="BD160" s="197"/>
      <c r="BE160" s="197"/>
      <c r="BF160" s="197"/>
      <c r="BG160" s="197"/>
      <c r="BH160" s="197"/>
      <c r="BI160" s="197"/>
      <c r="BJ160" s="197"/>
      <c r="BK160" s="197"/>
      <c r="BL160" s="197"/>
      <c r="BM160" s="197"/>
      <c r="BN160" s="197"/>
      <c r="BO160" s="197"/>
      <c r="BP160" s="205">
        <f t="shared" si="131"/>
        <v>0</v>
      </c>
      <c r="BQ160" s="169">
        <v>708.0</v>
      </c>
      <c r="BR160" s="170">
        <f t="shared" si="10"/>
        <v>14</v>
      </c>
      <c r="BS160" s="173">
        <v>0.0</v>
      </c>
      <c r="BT160" s="173">
        <v>0.0</v>
      </c>
      <c r="BU160" s="173">
        <v>0.0</v>
      </c>
      <c r="BV160" s="173">
        <v>12.0</v>
      </c>
      <c r="BW160" s="173">
        <v>0.0</v>
      </c>
      <c r="BX160" s="173">
        <v>0.0</v>
      </c>
      <c r="BY160" s="173">
        <v>2.0</v>
      </c>
      <c r="BZ160" s="173">
        <v>0.0</v>
      </c>
      <c r="CA160" s="173">
        <v>0.0</v>
      </c>
      <c r="CB160" s="173">
        <v>0.0</v>
      </c>
      <c r="CC160" s="173">
        <v>1.0</v>
      </c>
      <c r="CD160" s="173">
        <v>1.0</v>
      </c>
      <c r="CE160" s="173">
        <v>0.0</v>
      </c>
      <c r="CF160" s="173">
        <v>0.0</v>
      </c>
      <c r="CG160" s="173">
        <v>0.0</v>
      </c>
      <c r="CH160" s="173">
        <v>0.0</v>
      </c>
      <c r="CI160" s="173">
        <v>0.0</v>
      </c>
      <c r="CJ160" s="173">
        <v>0.0</v>
      </c>
      <c r="CK160" s="172">
        <f t="shared" si="132"/>
        <v>2</v>
      </c>
      <c r="CL160" s="173">
        <v>723.0</v>
      </c>
      <c r="CM160" s="173">
        <v>249.0</v>
      </c>
      <c r="CN160" s="175">
        <f t="shared" si="295"/>
        <v>11</v>
      </c>
      <c r="CO160" s="173">
        <v>0.0</v>
      </c>
      <c r="CP160" s="173">
        <v>0.0</v>
      </c>
      <c r="CQ160" s="173">
        <v>1.0</v>
      </c>
      <c r="CR160" s="173">
        <v>10.0</v>
      </c>
      <c r="CS160" s="173">
        <v>0.0</v>
      </c>
      <c r="CT160" s="173">
        <v>0.0</v>
      </c>
      <c r="CU160" s="173">
        <v>0.0</v>
      </c>
      <c r="CV160" s="173">
        <v>0.0</v>
      </c>
      <c r="CW160" s="173">
        <v>0.0</v>
      </c>
      <c r="CX160" s="173">
        <v>0.0</v>
      </c>
      <c r="CY160" s="173">
        <v>0.0</v>
      </c>
      <c r="CZ160" s="173">
        <v>2.0</v>
      </c>
      <c r="DA160" s="173">
        <v>0.0</v>
      </c>
      <c r="DB160" s="173">
        <v>0.0</v>
      </c>
      <c r="DC160" s="173">
        <v>0.0</v>
      </c>
      <c r="DD160" s="173">
        <v>0.0</v>
      </c>
      <c r="DE160" s="173">
        <v>0.0</v>
      </c>
      <c r="DF160" s="173">
        <v>0.0</v>
      </c>
      <c r="DG160" s="176">
        <f t="shared" si="13"/>
        <v>2</v>
      </c>
      <c r="DH160" s="177">
        <v>704.0</v>
      </c>
      <c r="DI160" s="177">
        <v>249.0</v>
      </c>
      <c r="DJ160" s="178">
        <v>688.0</v>
      </c>
      <c r="DK160" s="178">
        <v>236.0</v>
      </c>
      <c r="DL160" s="179">
        <f t="shared" si="14"/>
        <v>12</v>
      </c>
      <c r="DM160" s="180">
        <f t="shared" si="15"/>
        <v>1</v>
      </c>
      <c r="DN160" s="180">
        <f t="shared" si="16"/>
        <v>11</v>
      </c>
      <c r="DO160" s="226"/>
      <c r="DP160" s="226"/>
      <c r="DQ160" s="177">
        <v>1.0</v>
      </c>
      <c r="DR160" s="177">
        <v>10.0</v>
      </c>
      <c r="DS160" s="226"/>
      <c r="DT160" s="226"/>
      <c r="DU160" s="226"/>
      <c r="DV160" s="177">
        <v>1.0</v>
      </c>
      <c r="DW160" s="226"/>
      <c r="DX160" s="226"/>
      <c r="DY160" s="226"/>
      <c r="DZ160" s="226"/>
      <c r="EA160" s="226"/>
      <c r="EB160" s="226"/>
      <c r="EC160" s="226"/>
      <c r="ED160" s="226"/>
      <c r="EE160" s="226"/>
      <c r="EF160" s="226"/>
      <c r="EG160" s="179">
        <f t="shared" si="17"/>
        <v>0</v>
      </c>
      <c r="EH160" s="179">
        <f t="shared" si="18"/>
        <v>0</v>
      </c>
      <c r="EI160" s="177">
        <v>702.0</v>
      </c>
      <c r="EJ160" s="177">
        <v>244.0</v>
      </c>
      <c r="EK160" s="178">
        <v>670.0</v>
      </c>
      <c r="EL160" s="178">
        <v>227.0</v>
      </c>
      <c r="EM160" s="185">
        <f t="shared" si="362"/>
        <v>12</v>
      </c>
      <c r="EN160" s="186">
        <f t="shared" si="202"/>
        <v>1</v>
      </c>
      <c r="EO160" s="186">
        <f t="shared" si="90"/>
        <v>11</v>
      </c>
      <c r="EP160" s="177">
        <v>0.0</v>
      </c>
      <c r="EQ160" s="177">
        <v>0.0</v>
      </c>
      <c r="ER160" s="177">
        <v>1.0</v>
      </c>
      <c r="ES160" s="177">
        <v>11.0</v>
      </c>
      <c r="ET160" s="177">
        <v>0.0</v>
      </c>
      <c r="EU160" s="177">
        <v>0.0</v>
      </c>
      <c r="EV160" s="177">
        <v>0.0</v>
      </c>
      <c r="EW160" s="177">
        <v>0.0</v>
      </c>
      <c r="EX160" s="177">
        <v>0.0</v>
      </c>
      <c r="EY160" s="177">
        <v>0.0</v>
      </c>
      <c r="EZ160" s="177">
        <v>0.0</v>
      </c>
      <c r="FA160" s="177">
        <v>0.0</v>
      </c>
      <c r="FB160" s="177">
        <v>0.0</v>
      </c>
      <c r="FC160" s="177">
        <v>0.0</v>
      </c>
      <c r="FD160" s="177">
        <v>0.0</v>
      </c>
      <c r="FE160" s="177">
        <v>0.0</v>
      </c>
      <c r="FF160" s="177">
        <v>0.0</v>
      </c>
      <c r="FG160" s="177">
        <v>0.0</v>
      </c>
      <c r="FH160" s="185">
        <f t="shared" si="22"/>
        <v>0</v>
      </c>
      <c r="FI160" s="185">
        <f t="shared" si="23"/>
        <v>0</v>
      </c>
      <c r="FJ160" s="177">
        <v>704.0</v>
      </c>
      <c r="FK160" s="177">
        <v>243.0</v>
      </c>
      <c r="FL160" s="177">
        <v>692.0</v>
      </c>
      <c r="FM160" s="177">
        <v>236.0</v>
      </c>
      <c r="FN160" s="210"/>
      <c r="FO160" s="210">
        <v>10.0</v>
      </c>
      <c r="FP160" s="243">
        <v>10.0</v>
      </c>
      <c r="FQ160" s="211">
        <v>1.0</v>
      </c>
      <c r="FR160" s="212">
        <v>9.0</v>
      </c>
      <c r="FS160" s="335"/>
      <c r="FT160" s="293"/>
      <c r="FU160" s="207">
        <v>1.0</v>
      </c>
      <c r="FV160" s="207">
        <v>9.0</v>
      </c>
      <c r="FW160" s="207">
        <v>0.0</v>
      </c>
      <c r="FX160" s="207">
        <v>0.0</v>
      </c>
      <c r="FY160" s="207">
        <v>0.0</v>
      </c>
      <c r="FZ160" s="207">
        <v>0.0</v>
      </c>
      <c r="GA160" s="293"/>
      <c r="GB160" s="293"/>
      <c r="GC160" s="293"/>
      <c r="GD160" s="207">
        <v>2.0</v>
      </c>
      <c r="GE160" s="293"/>
      <c r="GF160" s="293"/>
      <c r="GG160" s="293"/>
      <c r="GH160" s="293"/>
      <c r="GI160" s="293"/>
      <c r="GJ160" s="293"/>
      <c r="GK160" s="212">
        <v>2.0</v>
      </c>
      <c r="GL160" s="212">
        <v>0.0</v>
      </c>
      <c r="GM160" s="207">
        <v>694.0</v>
      </c>
      <c r="GN160" s="207">
        <v>233.0</v>
      </c>
      <c r="GO160" s="213">
        <v>680.0</v>
      </c>
      <c r="GP160" s="213">
        <v>225.0</v>
      </c>
      <c r="GQ160" s="207"/>
      <c r="GR160" s="213">
        <v>10.0</v>
      </c>
      <c r="GS160" s="193">
        <v>0.0</v>
      </c>
      <c r="GT160" s="194">
        <f t="shared" si="25"/>
        <v>10</v>
      </c>
      <c r="GU160" s="194">
        <f t="shared" si="26"/>
        <v>0</v>
      </c>
      <c r="GV160" s="194">
        <f t="shared" si="27"/>
        <v>10</v>
      </c>
      <c r="GW160" s="207"/>
      <c r="GX160" s="207"/>
      <c r="GY160" s="207">
        <v>0.0</v>
      </c>
      <c r="GZ160" s="207">
        <v>10.0</v>
      </c>
      <c r="HA160" s="207"/>
      <c r="HB160" s="207"/>
      <c r="HC160" s="207"/>
      <c r="HD160" s="207"/>
      <c r="HE160" s="207"/>
      <c r="HF160" s="207"/>
      <c r="HG160" s="207"/>
      <c r="HH160" s="207"/>
      <c r="HI160" s="207"/>
      <c r="HJ160" s="207"/>
      <c r="HK160" s="207"/>
      <c r="HL160" s="207"/>
      <c r="HM160" s="207"/>
      <c r="HN160" s="207"/>
      <c r="HO160" s="222"/>
      <c r="HP160" s="222"/>
      <c r="HQ160" s="214"/>
      <c r="HR160" s="197"/>
      <c r="HS160" s="197"/>
      <c r="HT160" s="198">
        <f t="shared" si="28"/>
        <v>8</v>
      </c>
      <c r="HU160" s="198">
        <f t="shared" si="29"/>
        <v>14</v>
      </c>
      <c r="HV160" s="198">
        <f t="shared" si="30"/>
        <v>9</v>
      </c>
      <c r="HW160" s="198">
        <f t="shared" si="99"/>
        <v>11</v>
      </c>
      <c r="HX160" s="198">
        <f t="shared" si="32"/>
        <v>13</v>
      </c>
      <c r="HY160" s="198">
        <f t="shared" si="33"/>
        <v>13</v>
      </c>
      <c r="HZ160" s="198">
        <f t="shared" si="34"/>
        <v>14</v>
      </c>
      <c r="IA160" s="198">
        <f t="shared" si="35"/>
        <v>11</v>
      </c>
      <c r="IB160" s="198">
        <f t="shared" si="36"/>
        <v>12</v>
      </c>
      <c r="IC160" s="198">
        <f t="shared" si="37"/>
        <v>12</v>
      </c>
      <c r="ID160" s="198">
        <f t="shared" si="38"/>
        <v>10</v>
      </c>
      <c r="IE160" s="198">
        <f t="shared" si="39"/>
        <v>10</v>
      </c>
      <c r="IF160" s="197"/>
      <c r="IG160" s="197"/>
      <c r="IH160" s="197"/>
      <c r="II160" s="197"/>
      <c r="IJ160" s="197"/>
      <c r="IK160" s="197"/>
      <c r="IL160" s="197"/>
      <c r="IM160" s="197"/>
      <c r="IN160" s="197"/>
      <c r="IO160" s="197"/>
      <c r="IP160" s="197"/>
      <c r="IQ160" s="197"/>
      <c r="IR160" s="197"/>
      <c r="IS160" s="197"/>
      <c r="IT160" s="197"/>
      <c r="IU160" s="197"/>
      <c r="IV160" s="197"/>
      <c r="IW160" s="197"/>
      <c r="IX160" s="197"/>
      <c r="IY160" s="197"/>
      <c r="IZ160" s="197"/>
      <c r="JA160" s="199"/>
      <c r="JB160" s="200">
        <f t="shared" si="40"/>
        <v>8</v>
      </c>
      <c r="JC160" s="200">
        <f t="shared" si="41"/>
        <v>14</v>
      </c>
      <c r="JD160" s="200">
        <f t="shared" si="42"/>
        <v>9</v>
      </c>
      <c r="JE160" s="200">
        <f t="shared" si="43"/>
        <v>11</v>
      </c>
      <c r="JF160" s="200">
        <f t="shared" si="44"/>
        <v>13</v>
      </c>
      <c r="JG160" s="200">
        <f t="shared" si="45"/>
        <v>13</v>
      </c>
      <c r="JH160" s="200">
        <f t="shared" si="46"/>
        <v>14</v>
      </c>
      <c r="JI160" s="200">
        <f t="shared" si="47"/>
        <v>11</v>
      </c>
      <c r="JJ160" s="200">
        <f t="shared" si="48"/>
        <v>12</v>
      </c>
      <c r="JK160" s="200">
        <f t="shared" si="49"/>
        <v>12</v>
      </c>
      <c r="JL160" s="200">
        <f t="shared" si="50"/>
        <v>10</v>
      </c>
      <c r="JM160" s="200">
        <f t="shared" si="51"/>
        <v>10</v>
      </c>
      <c r="JN160" s="199"/>
      <c r="JO160" s="200">
        <f t="shared" si="52"/>
        <v>8</v>
      </c>
      <c r="JP160" s="202">
        <v>14.0</v>
      </c>
      <c r="JQ160" s="202">
        <v>9.0</v>
      </c>
      <c r="JR160" s="202">
        <v>11.0</v>
      </c>
      <c r="JS160" s="202">
        <v>13.0</v>
      </c>
      <c r="JT160" s="199"/>
      <c r="JU160" s="199"/>
      <c r="JV160" s="200">
        <f t="shared" ref="JV160:JX160" si="396">IA160-JI160</f>
        <v>0</v>
      </c>
      <c r="JW160" s="200">
        <f t="shared" si="396"/>
        <v>0</v>
      </c>
      <c r="JX160" s="200">
        <f t="shared" si="396"/>
        <v>0</v>
      </c>
      <c r="JY160" s="199"/>
      <c r="JZ160" s="199"/>
      <c r="KA160" s="199"/>
      <c r="KB160" s="200">
        <f t="shared" ref="KB160:KM160" si="397">JB160-JO160</f>
        <v>0</v>
      </c>
      <c r="KC160" s="200">
        <f t="shared" si="397"/>
        <v>0</v>
      </c>
      <c r="KD160" s="200">
        <f t="shared" si="397"/>
        <v>0</v>
      </c>
      <c r="KE160" s="200">
        <f t="shared" si="397"/>
        <v>0</v>
      </c>
      <c r="KF160" s="200">
        <f t="shared" si="397"/>
        <v>0</v>
      </c>
      <c r="KG160" s="200">
        <f t="shared" si="397"/>
        <v>13</v>
      </c>
      <c r="KH160" s="200">
        <f t="shared" si="397"/>
        <v>14</v>
      </c>
      <c r="KI160" s="200">
        <f t="shared" si="397"/>
        <v>11</v>
      </c>
      <c r="KJ160" s="200">
        <f t="shared" si="397"/>
        <v>12</v>
      </c>
      <c r="KK160" s="200">
        <f t="shared" si="397"/>
        <v>12</v>
      </c>
      <c r="KL160" s="200">
        <f t="shared" si="397"/>
        <v>10</v>
      </c>
      <c r="KM160" s="200">
        <f t="shared" si="397"/>
        <v>10</v>
      </c>
      <c r="KN160" s="199"/>
      <c r="KO160" s="199"/>
      <c r="KP160" s="199"/>
      <c r="KQ160" s="199"/>
      <c r="KR160" s="199"/>
      <c r="KS160" s="199"/>
      <c r="KT160" s="199"/>
      <c r="KU160" s="199"/>
      <c r="KV160" s="199"/>
      <c r="KW160" s="199"/>
      <c r="KX160" s="199"/>
      <c r="KY160" s="199"/>
      <c r="KZ160" s="199"/>
      <c r="LA160" s="199"/>
      <c r="LB160" s="199"/>
      <c r="LC160" s="199"/>
      <c r="LD160" s="199"/>
      <c r="LE160" s="199"/>
      <c r="LF160" s="199"/>
      <c r="LG160" s="199"/>
    </row>
    <row r="161" ht="14.25" customHeight="1">
      <c r="A161" s="156">
        <v>154.0</v>
      </c>
      <c r="B161" s="157" t="s">
        <v>262</v>
      </c>
      <c r="C161" s="158">
        <v>3374010.0</v>
      </c>
      <c r="D161" s="158" t="s">
        <v>262</v>
      </c>
      <c r="E161" s="158" t="s">
        <v>270</v>
      </c>
      <c r="F161" s="159">
        <v>10.0</v>
      </c>
      <c r="G161" s="285">
        <v>551.0</v>
      </c>
      <c r="H161" s="160">
        <v>5.0</v>
      </c>
      <c r="I161" s="161">
        <v>0.0</v>
      </c>
      <c r="J161" s="161">
        <v>0.0</v>
      </c>
      <c r="K161" s="161">
        <v>1.0</v>
      </c>
      <c r="L161" s="161">
        <v>4.0</v>
      </c>
      <c r="M161" s="161">
        <v>1.0</v>
      </c>
      <c r="N161" s="159">
        <v>1.0</v>
      </c>
      <c r="O161" s="162">
        <f t="shared" si="369"/>
        <v>3</v>
      </c>
      <c r="P161" s="203">
        <v>5.0</v>
      </c>
      <c r="Q161" s="164">
        <v>0.0</v>
      </c>
      <c r="R161" s="164">
        <v>0.0</v>
      </c>
      <c r="S161" s="164">
        <v>1.0</v>
      </c>
      <c r="T161" s="165">
        <v>4.0</v>
      </c>
      <c r="U161" s="165">
        <v>0.0</v>
      </c>
      <c r="V161" s="165">
        <v>1.0</v>
      </c>
      <c r="W161" s="166">
        <f t="shared" si="225"/>
        <v>4</v>
      </c>
      <c r="X161" s="203">
        <v>4.0</v>
      </c>
      <c r="Y161" s="165">
        <v>0.0</v>
      </c>
      <c r="Z161" s="165">
        <v>0.0</v>
      </c>
      <c r="AA161" s="165">
        <v>0.0</v>
      </c>
      <c r="AB161" s="165">
        <v>4.0</v>
      </c>
      <c r="AC161" s="165">
        <v>0.0</v>
      </c>
      <c r="AD161" s="165">
        <v>0.0</v>
      </c>
      <c r="AE161" s="166">
        <f t="shared" si="214"/>
        <v>4</v>
      </c>
      <c r="AF161" s="167">
        <v>2.0</v>
      </c>
      <c r="AG161" s="165">
        <v>0.0</v>
      </c>
      <c r="AH161" s="165">
        <v>0.0</v>
      </c>
      <c r="AI161" s="165">
        <v>0.0</v>
      </c>
      <c r="AJ161" s="165">
        <v>2.0</v>
      </c>
      <c r="AK161" s="165">
        <v>0.0</v>
      </c>
      <c r="AL161" s="165">
        <v>0.0</v>
      </c>
      <c r="AM161" s="166">
        <f t="shared" si="370"/>
        <v>2</v>
      </c>
      <c r="AN161" s="167">
        <v>8.0</v>
      </c>
      <c r="AO161" s="165">
        <v>0.0</v>
      </c>
      <c r="AP161" s="165">
        <v>1.0</v>
      </c>
      <c r="AQ161" s="165">
        <v>0.0</v>
      </c>
      <c r="AR161" s="165">
        <v>7.0</v>
      </c>
      <c r="AS161" s="165">
        <v>2.0</v>
      </c>
      <c r="AT161" s="165">
        <v>1.0</v>
      </c>
      <c r="AU161" s="168">
        <f t="shared" si="375"/>
        <v>5</v>
      </c>
      <c r="AV161" s="169">
        <v>500.0</v>
      </c>
      <c r="AW161" s="204">
        <f t="shared" si="8"/>
        <v>5</v>
      </c>
      <c r="AX161" s="169">
        <v>0.0</v>
      </c>
      <c r="AY161" s="169">
        <v>0.0</v>
      </c>
      <c r="AZ161" s="169">
        <v>0.0</v>
      </c>
      <c r="BA161" s="169">
        <v>5.0</v>
      </c>
      <c r="BB161" s="197"/>
      <c r="BC161" s="169"/>
      <c r="BD161" s="197"/>
      <c r="BE161" s="197"/>
      <c r="BF161" s="197"/>
      <c r="BG161" s="169">
        <v>1.0</v>
      </c>
      <c r="BH161" s="197"/>
      <c r="BI161" s="169">
        <v>2.0</v>
      </c>
      <c r="BJ161" s="197"/>
      <c r="BK161" s="197"/>
      <c r="BL161" s="197"/>
      <c r="BM161" s="197"/>
      <c r="BN161" s="197"/>
      <c r="BO161" s="197"/>
      <c r="BP161" s="205">
        <f t="shared" si="131"/>
        <v>3</v>
      </c>
      <c r="BQ161" s="169">
        <v>500.0</v>
      </c>
      <c r="BR161" s="170">
        <f t="shared" si="10"/>
        <v>3</v>
      </c>
      <c r="BS161" s="173">
        <v>0.0</v>
      </c>
      <c r="BT161" s="173">
        <v>0.0</v>
      </c>
      <c r="BU161" s="173">
        <v>0.0</v>
      </c>
      <c r="BV161" s="173">
        <v>3.0</v>
      </c>
      <c r="BW161" s="173">
        <v>0.0</v>
      </c>
      <c r="BX161" s="173">
        <v>0.0</v>
      </c>
      <c r="BY161" s="173">
        <v>0.0</v>
      </c>
      <c r="BZ161" s="173">
        <v>0.0</v>
      </c>
      <c r="CA161" s="173">
        <v>0.0</v>
      </c>
      <c r="CB161" s="173">
        <v>0.0</v>
      </c>
      <c r="CC161" s="173">
        <v>0.0</v>
      </c>
      <c r="CD161" s="173">
        <v>2.0</v>
      </c>
      <c r="CE161" s="173">
        <v>0.0</v>
      </c>
      <c r="CF161" s="173">
        <v>0.0</v>
      </c>
      <c r="CG161" s="173">
        <v>0.0</v>
      </c>
      <c r="CH161" s="173">
        <v>0.0</v>
      </c>
      <c r="CI161" s="173">
        <v>0.0</v>
      </c>
      <c r="CJ161" s="173">
        <v>0.0</v>
      </c>
      <c r="CK161" s="172">
        <f t="shared" si="132"/>
        <v>2</v>
      </c>
      <c r="CL161" s="173">
        <v>533.0</v>
      </c>
      <c r="CM161" s="173">
        <v>149.0</v>
      </c>
      <c r="CN161" s="175">
        <f t="shared" si="295"/>
        <v>3</v>
      </c>
      <c r="CO161" s="173">
        <v>0.0</v>
      </c>
      <c r="CP161" s="173">
        <v>0.0</v>
      </c>
      <c r="CQ161" s="173">
        <v>0.0</v>
      </c>
      <c r="CR161" s="173">
        <v>3.0</v>
      </c>
      <c r="CS161" s="173">
        <v>0.0</v>
      </c>
      <c r="CT161" s="173">
        <v>0.0</v>
      </c>
      <c r="CU161" s="173">
        <v>0.0</v>
      </c>
      <c r="CV161" s="173">
        <v>0.0</v>
      </c>
      <c r="CW161" s="173">
        <v>0.0</v>
      </c>
      <c r="CX161" s="173">
        <v>0.0</v>
      </c>
      <c r="CY161" s="173">
        <v>0.0</v>
      </c>
      <c r="CZ161" s="173">
        <v>0.0</v>
      </c>
      <c r="DA161" s="173">
        <v>0.0</v>
      </c>
      <c r="DB161" s="173">
        <v>0.0</v>
      </c>
      <c r="DC161" s="173">
        <v>0.0</v>
      </c>
      <c r="DD161" s="173">
        <v>0.0</v>
      </c>
      <c r="DE161" s="173">
        <v>0.0</v>
      </c>
      <c r="DF161" s="173">
        <v>0.0</v>
      </c>
      <c r="DG161" s="176">
        <f t="shared" si="13"/>
        <v>0</v>
      </c>
      <c r="DH161" s="177">
        <v>526.0</v>
      </c>
      <c r="DI161" s="177">
        <v>159.0</v>
      </c>
      <c r="DJ161" s="178">
        <v>517.0</v>
      </c>
      <c r="DK161" s="178">
        <v>149.0</v>
      </c>
      <c r="DL161" s="179">
        <f t="shared" si="14"/>
        <v>5</v>
      </c>
      <c r="DM161" s="180">
        <f t="shared" si="15"/>
        <v>2</v>
      </c>
      <c r="DN161" s="180">
        <f t="shared" si="16"/>
        <v>3</v>
      </c>
      <c r="DO161" s="226"/>
      <c r="DP161" s="226"/>
      <c r="DQ161" s="226"/>
      <c r="DR161" s="177">
        <v>3.0</v>
      </c>
      <c r="DS161" s="226"/>
      <c r="DT161" s="226"/>
      <c r="DU161" s="177">
        <v>2.0</v>
      </c>
      <c r="DV161" s="226"/>
      <c r="DW161" s="226"/>
      <c r="DX161" s="226"/>
      <c r="DY161" s="226"/>
      <c r="DZ161" s="226"/>
      <c r="EA161" s="226"/>
      <c r="EB161" s="226"/>
      <c r="EC161" s="226"/>
      <c r="ED161" s="226"/>
      <c r="EE161" s="226"/>
      <c r="EF161" s="226"/>
      <c r="EG161" s="179">
        <f t="shared" si="17"/>
        <v>0</v>
      </c>
      <c r="EH161" s="179">
        <f t="shared" si="18"/>
        <v>0</v>
      </c>
      <c r="EI161" s="177">
        <v>516.0</v>
      </c>
      <c r="EJ161" s="177">
        <v>152.0</v>
      </c>
      <c r="EK161" s="178">
        <v>499.0</v>
      </c>
      <c r="EL161" s="178">
        <v>139.0</v>
      </c>
      <c r="EM161" s="185">
        <f t="shared" si="362"/>
        <v>5</v>
      </c>
      <c r="EN161" s="186">
        <f t="shared" si="202"/>
        <v>2</v>
      </c>
      <c r="EO161" s="186">
        <f t="shared" si="90"/>
        <v>3</v>
      </c>
      <c r="EP161" s="177">
        <v>0.0</v>
      </c>
      <c r="EQ161" s="177">
        <v>2.0</v>
      </c>
      <c r="ER161" s="177">
        <v>0.0</v>
      </c>
      <c r="ES161" s="177">
        <v>3.0</v>
      </c>
      <c r="ET161" s="177">
        <v>0.0</v>
      </c>
      <c r="EU161" s="177">
        <v>0.0</v>
      </c>
      <c r="EV161" s="177">
        <v>0.0</v>
      </c>
      <c r="EW161" s="177">
        <v>0.0</v>
      </c>
      <c r="EX161" s="177">
        <v>0.0</v>
      </c>
      <c r="EY161" s="177">
        <v>0.0</v>
      </c>
      <c r="EZ161" s="177">
        <v>0.0</v>
      </c>
      <c r="FA161" s="177">
        <v>0.0</v>
      </c>
      <c r="FB161" s="177">
        <v>0.0</v>
      </c>
      <c r="FC161" s="177">
        <v>0.0</v>
      </c>
      <c r="FD161" s="177">
        <v>0.0</v>
      </c>
      <c r="FE161" s="177">
        <v>0.0</v>
      </c>
      <c r="FF161" s="177">
        <v>0.0</v>
      </c>
      <c r="FG161" s="177">
        <v>0.0</v>
      </c>
      <c r="FH161" s="185">
        <f t="shared" si="22"/>
        <v>0</v>
      </c>
      <c r="FI161" s="185">
        <f t="shared" si="23"/>
        <v>0</v>
      </c>
      <c r="FJ161" s="177">
        <v>513.0</v>
      </c>
      <c r="FK161" s="177">
        <v>150.0</v>
      </c>
      <c r="FL161" s="177">
        <v>453.0</v>
      </c>
      <c r="FM161" s="177">
        <v>135.0</v>
      </c>
      <c r="FN161" s="210"/>
      <c r="FO161" s="210">
        <v>4.0</v>
      </c>
      <c r="FP161" s="243">
        <v>4.0</v>
      </c>
      <c r="FQ161" s="211">
        <v>2.0</v>
      </c>
      <c r="FR161" s="212">
        <v>2.0</v>
      </c>
      <c r="FS161" s="335"/>
      <c r="FT161" s="293"/>
      <c r="FU161" s="207">
        <v>2.0</v>
      </c>
      <c r="FV161" s="207">
        <v>2.0</v>
      </c>
      <c r="FW161" s="207">
        <v>0.0</v>
      </c>
      <c r="FX161" s="207">
        <v>0.0</v>
      </c>
      <c r="FY161" s="207">
        <v>0.0</v>
      </c>
      <c r="FZ161" s="207">
        <v>0.0</v>
      </c>
      <c r="GA161" s="293"/>
      <c r="GB161" s="293"/>
      <c r="GC161" s="293"/>
      <c r="GD161" s="207">
        <v>1.0</v>
      </c>
      <c r="GE161" s="293"/>
      <c r="GF161" s="293"/>
      <c r="GG161" s="293"/>
      <c r="GH161" s="293"/>
      <c r="GI161" s="293"/>
      <c r="GJ161" s="293"/>
      <c r="GK161" s="212">
        <v>1.0</v>
      </c>
      <c r="GL161" s="212">
        <v>0.0</v>
      </c>
      <c r="GM161" s="207">
        <v>504.0</v>
      </c>
      <c r="GN161" s="207">
        <v>142.0</v>
      </c>
      <c r="GO161" s="213">
        <v>450.0</v>
      </c>
      <c r="GP161" s="213">
        <v>128.0</v>
      </c>
      <c r="GQ161" s="207"/>
      <c r="GR161" s="213">
        <v>4.0</v>
      </c>
      <c r="GS161" s="193">
        <v>1.0</v>
      </c>
      <c r="GT161" s="194">
        <f t="shared" si="25"/>
        <v>4</v>
      </c>
      <c r="GU161" s="194">
        <f t="shared" si="26"/>
        <v>1</v>
      </c>
      <c r="GV161" s="194">
        <f t="shared" si="27"/>
        <v>3</v>
      </c>
      <c r="GW161" s="207"/>
      <c r="GX161" s="207"/>
      <c r="GY161" s="207">
        <v>1.0</v>
      </c>
      <c r="GZ161" s="207">
        <v>3.0</v>
      </c>
      <c r="HA161" s="207"/>
      <c r="HB161" s="207"/>
      <c r="HC161" s="207"/>
      <c r="HD161" s="207"/>
      <c r="HE161" s="207"/>
      <c r="HF161" s="207"/>
      <c r="HG161" s="207"/>
      <c r="HH161" s="207"/>
      <c r="HI161" s="207"/>
      <c r="HJ161" s="207"/>
      <c r="HK161" s="207"/>
      <c r="HL161" s="207"/>
      <c r="HM161" s="207"/>
      <c r="HN161" s="207"/>
      <c r="HO161" s="222"/>
      <c r="HP161" s="222"/>
      <c r="HQ161" s="214"/>
      <c r="HR161" s="197"/>
      <c r="HS161" s="197"/>
      <c r="HT161" s="198">
        <f t="shared" si="28"/>
        <v>5</v>
      </c>
      <c r="HU161" s="198">
        <f t="shared" si="29"/>
        <v>5</v>
      </c>
      <c r="HV161" s="198">
        <f t="shared" si="30"/>
        <v>4</v>
      </c>
      <c r="HW161" s="198">
        <f t="shared" si="99"/>
        <v>2</v>
      </c>
      <c r="HX161" s="198">
        <f t="shared" si="32"/>
        <v>8</v>
      </c>
      <c r="HY161" s="198">
        <f t="shared" si="33"/>
        <v>5</v>
      </c>
      <c r="HZ161" s="198">
        <f t="shared" si="34"/>
        <v>3</v>
      </c>
      <c r="IA161" s="198">
        <f t="shared" si="35"/>
        <v>3</v>
      </c>
      <c r="IB161" s="198">
        <f t="shared" si="36"/>
        <v>5</v>
      </c>
      <c r="IC161" s="198">
        <f t="shared" si="37"/>
        <v>5</v>
      </c>
      <c r="ID161" s="198">
        <f t="shared" si="38"/>
        <v>4</v>
      </c>
      <c r="IE161" s="198">
        <f t="shared" si="39"/>
        <v>4</v>
      </c>
      <c r="IF161" s="197"/>
      <c r="IG161" s="197"/>
      <c r="IH161" s="197"/>
      <c r="II161" s="197"/>
      <c r="IJ161" s="197"/>
      <c r="IK161" s="197"/>
      <c r="IL161" s="197"/>
      <c r="IM161" s="197"/>
      <c r="IN161" s="197"/>
      <c r="IO161" s="197"/>
      <c r="IP161" s="197"/>
      <c r="IQ161" s="197"/>
      <c r="IR161" s="197"/>
      <c r="IS161" s="197"/>
      <c r="IT161" s="197"/>
      <c r="IU161" s="197"/>
      <c r="IV161" s="197"/>
      <c r="IW161" s="197"/>
      <c r="IX161" s="197"/>
      <c r="IY161" s="197"/>
      <c r="IZ161" s="197"/>
      <c r="JA161" s="199"/>
      <c r="JB161" s="200">
        <f t="shared" si="40"/>
        <v>5</v>
      </c>
      <c r="JC161" s="200">
        <f t="shared" si="41"/>
        <v>5</v>
      </c>
      <c r="JD161" s="200">
        <f t="shared" si="42"/>
        <v>4</v>
      </c>
      <c r="JE161" s="200">
        <f t="shared" si="43"/>
        <v>2</v>
      </c>
      <c r="JF161" s="200">
        <f t="shared" si="44"/>
        <v>8</v>
      </c>
      <c r="JG161" s="200">
        <f t="shared" si="45"/>
        <v>5</v>
      </c>
      <c r="JH161" s="200">
        <f t="shared" si="46"/>
        <v>3</v>
      </c>
      <c r="JI161" s="200">
        <f t="shared" si="47"/>
        <v>3</v>
      </c>
      <c r="JJ161" s="200">
        <f t="shared" si="48"/>
        <v>5</v>
      </c>
      <c r="JK161" s="200">
        <f t="shared" si="49"/>
        <v>5</v>
      </c>
      <c r="JL161" s="200">
        <f t="shared" si="50"/>
        <v>4</v>
      </c>
      <c r="JM161" s="200">
        <f t="shared" si="51"/>
        <v>4</v>
      </c>
      <c r="JN161" s="199"/>
      <c r="JO161" s="200">
        <f t="shared" si="52"/>
        <v>5</v>
      </c>
      <c r="JP161" s="202">
        <v>5.0</v>
      </c>
      <c r="JQ161" s="202">
        <v>4.0</v>
      </c>
      <c r="JR161" s="202">
        <v>2.0</v>
      </c>
      <c r="JS161" s="202">
        <v>8.0</v>
      </c>
      <c r="JT161" s="199"/>
      <c r="JU161" s="199"/>
      <c r="JV161" s="200">
        <f t="shared" ref="JV161:JX161" si="398">IA161-JI161</f>
        <v>0</v>
      </c>
      <c r="JW161" s="200">
        <f t="shared" si="398"/>
        <v>0</v>
      </c>
      <c r="JX161" s="200">
        <f t="shared" si="398"/>
        <v>0</v>
      </c>
      <c r="JY161" s="199"/>
      <c r="JZ161" s="199"/>
      <c r="KA161" s="199"/>
      <c r="KB161" s="200">
        <f t="shared" ref="KB161:KM161" si="399">JB161-JO161</f>
        <v>0</v>
      </c>
      <c r="KC161" s="200">
        <f t="shared" si="399"/>
        <v>0</v>
      </c>
      <c r="KD161" s="200">
        <f t="shared" si="399"/>
        <v>0</v>
      </c>
      <c r="KE161" s="200">
        <f t="shared" si="399"/>
        <v>0</v>
      </c>
      <c r="KF161" s="200">
        <f t="shared" si="399"/>
        <v>0</v>
      </c>
      <c r="KG161" s="200">
        <f t="shared" si="399"/>
        <v>5</v>
      </c>
      <c r="KH161" s="200">
        <f t="shared" si="399"/>
        <v>3</v>
      </c>
      <c r="KI161" s="200">
        <f t="shared" si="399"/>
        <v>3</v>
      </c>
      <c r="KJ161" s="200">
        <f t="shared" si="399"/>
        <v>5</v>
      </c>
      <c r="KK161" s="200">
        <f t="shared" si="399"/>
        <v>5</v>
      </c>
      <c r="KL161" s="200">
        <f t="shared" si="399"/>
        <v>4</v>
      </c>
      <c r="KM161" s="200">
        <f t="shared" si="399"/>
        <v>4</v>
      </c>
      <c r="KN161" s="199"/>
      <c r="KO161" s="199"/>
      <c r="KP161" s="199"/>
      <c r="KQ161" s="199"/>
      <c r="KR161" s="199"/>
      <c r="KS161" s="199"/>
      <c r="KT161" s="199"/>
      <c r="KU161" s="199"/>
      <c r="KV161" s="199"/>
      <c r="KW161" s="199"/>
      <c r="KX161" s="199"/>
      <c r="KY161" s="199"/>
      <c r="KZ161" s="199"/>
      <c r="LA161" s="199"/>
      <c r="LB161" s="199"/>
      <c r="LC161" s="199"/>
      <c r="LD161" s="199"/>
      <c r="LE161" s="199"/>
      <c r="LF161" s="199"/>
      <c r="LG161" s="199"/>
    </row>
    <row r="162" ht="14.25" customHeight="1">
      <c r="A162" s="156">
        <v>155.0</v>
      </c>
      <c r="B162" s="157" t="s">
        <v>262</v>
      </c>
      <c r="C162" s="158">
        <v>3374010.0</v>
      </c>
      <c r="D162" s="158" t="s">
        <v>262</v>
      </c>
      <c r="E162" s="158" t="s">
        <v>271</v>
      </c>
      <c r="F162" s="159">
        <v>6.0</v>
      </c>
      <c r="G162" s="285">
        <v>273.0</v>
      </c>
      <c r="H162" s="160">
        <v>2.0</v>
      </c>
      <c r="I162" s="161">
        <v>0.0</v>
      </c>
      <c r="J162" s="161">
        <v>0.0</v>
      </c>
      <c r="K162" s="161">
        <v>0.0</v>
      </c>
      <c r="L162" s="161">
        <v>2.0</v>
      </c>
      <c r="M162" s="161">
        <v>0.0</v>
      </c>
      <c r="N162" s="159">
        <v>0.0</v>
      </c>
      <c r="O162" s="162">
        <f t="shared" si="369"/>
        <v>2</v>
      </c>
      <c r="P162" s="203">
        <v>2.0</v>
      </c>
      <c r="Q162" s="164">
        <v>0.0</v>
      </c>
      <c r="R162" s="164">
        <v>0.0</v>
      </c>
      <c r="S162" s="164">
        <v>0.0</v>
      </c>
      <c r="T162" s="165">
        <v>2.0</v>
      </c>
      <c r="U162" s="165">
        <v>0.0</v>
      </c>
      <c r="V162" s="165">
        <v>0.0</v>
      </c>
      <c r="W162" s="166">
        <f t="shared" si="225"/>
        <v>2</v>
      </c>
      <c r="X162" s="203">
        <v>2.0</v>
      </c>
      <c r="Y162" s="165">
        <v>0.0</v>
      </c>
      <c r="Z162" s="165">
        <v>0.0</v>
      </c>
      <c r="AA162" s="165">
        <v>0.0</v>
      </c>
      <c r="AB162" s="165">
        <v>2.0</v>
      </c>
      <c r="AC162" s="165">
        <v>0.0</v>
      </c>
      <c r="AD162" s="165">
        <v>0.0</v>
      </c>
      <c r="AE162" s="166">
        <f t="shared" si="214"/>
        <v>2</v>
      </c>
      <c r="AF162" s="167">
        <v>2.0</v>
      </c>
      <c r="AG162" s="165">
        <v>0.0</v>
      </c>
      <c r="AH162" s="165">
        <v>0.0</v>
      </c>
      <c r="AI162" s="165">
        <v>0.0</v>
      </c>
      <c r="AJ162" s="165">
        <v>2.0</v>
      </c>
      <c r="AK162" s="165">
        <v>0.0</v>
      </c>
      <c r="AL162" s="165">
        <v>0.0</v>
      </c>
      <c r="AM162" s="166">
        <f t="shared" si="370"/>
        <v>2</v>
      </c>
      <c r="AN162" s="167">
        <v>5.0</v>
      </c>
      <c r="AO162" s="165">
        <v>0.0</v>
      </c>
      <c r="AP162" s="165">
        <v>0.0</v>
      </c>
      <c r="AQ162" s="165">
        <v>2.0</v>
      </c>
      <c r="AR162" s="165">
        <v>3.0</v>
      </c>
      <c r="AS162" s="165">
        <v>3.0</v>
      </c>
      <c r="AT162" s="165">
        <v>0.0</v>
      </c>
      <c r="AU162" s="168">
        <f t="shared" si="375"/>
        <v>2</v>
      </c>
      <c r="AV162" s="169">
        <v>240.0</v>
      </c>
      <c r="AW162" s="204">
        <f t="shared" si="8"/>
        <v>4</v>
      </c>
      <c r="AX162" s="169">
        <v>0.0</v>
      </c>
      <c r="AY162" s="169">
        <v>0.0</v>
      </c>
      <c r="AZ162" s="169">
        <v>0.0</v>
      </c>
      <c r="BA162" s="169">
        <v>4.0</v>
      </c>
      <c r="BB162" s="197"/>
      <c r="BC162" s="197"/>
      <c r="BD162" s="197"/>
      <c r="BE162" s="197"/>
      <c r="BF162" s="197"/>
      <c r="BG162" s="197"/>
      <c r="BH162" s="169">
        <v>1.0</v>
      </c>
      <c r="BI162" s="197"/>
      <c r="BJ162" s="197"/>
      <c r="BK162" s="197"/>
      <c r="BL162" s="197"/>
      <c r="BM162" s="197"/>
      <c r="BN162" s="197"/>
      <c r="BO162" s="197"/>
      <c r="BP162" s="205">
        <f t="shared" si="131"/>
        <v>1</v>
      </c>
      <c r="BQ162" s="169">
        <v>240.0</v>
      </c>
      <c r="BR162" s="170">
        <f t="shared" si="10"/>
        <v>4</v>
      </c>
      <c r="BS162" s="173">
        <v>0.0</v>
      </c>
      <c r="BT162" s="173">
        <v>0.0</v>
      </c>
      <c r="BU162" s="173">
        <v>0.0</v>
      </c>
      <c r="BV162" s="173">
        <v>4.0</v>
      </c>
      <c r="BW162" s="173">
        <v>0.0</v>
      </c>
      <c r="BX162" s="173">
        <v>0.0</v>
      </c>
      <c r="BY162" s="173">
        <v>0.0</v>
      </c>
      <c r="BZ162" s="173">
        <v>0.0</v>
      </c>
      <c r="CA162" s="173">
        <v>0.0</v>
      </c>
      <c r="CB162" s="173">
        <v>0.0</v>
      </c>
      <c r="CC162" s="173">
        <v>0.0</v>
      </c>
      <c r="CD162" s="173">
        <v>0.0</v>
      </c>
      <c r="CE162" s="173">
        <v>0.0</v>
      </c>
      <c r="CF162" s="173">
        <v>0.0</v>
      </c>
      <c r="CG162" s="173">
        <v>0.0</v>
      </c>
      <c r="CH162" s="173">
        <v>0.0</v>
      </c>
      <c r="CI162" s="173">
        <v>0.0</v>
      </c>
      <c r="CJ162" s="173">
        <v>0.0</v>
      </c>
      <c r="CK162" s="172">
        <f t="shared" si="132"/>
        <v>0</v>
      </c>
      <c r="CL162" s="173">
        <v>248.0</v>
      </c>
      <c r="CM162" s="173">
        <v>74.0</v>
      </c>
      <c r="CN162" s="175">
        <f t="shared" si="295"/>
        <v>4</v>
      </c>
      <c r="CO162" s="173">
        <v>0.0</v>
      </c>
      <c r="CP162" s="173">
        <v>0.0</v>
      </c>
      <c r="CQ162" s="173">
        <v>0.0</v>
      </c>
      <c r="CR162" s="173">
        <v>4.0</v>
      </c>
      <c r="CS162" s="173">
        <v>0.0</v>
      </c>
      <c r="CT162" s="173">
        <v>0.0</v>
      </c>
      <c r="CU162" s="173">
        <v>0.0</v>
      </c>
      <c r="CV162" s="173">
        <v>0.0</v>
      </c>
      <c r="CW162" s="173">
        <v>0.0</v>
      </c>
      <c r="CX162" s="173">
        <v>0.0</v>
      </c>
      <c r="CY162" s="173">
        <v>0.0</v>
      </c>
      <c r="CZ162" s="173">
        <v>0.0</v>
      </c>
      <c r="DA162" s="173">
        <v>0.0</v>
      </c>
      <c r="DB162" s="173">
        <v>0.0</v>
      </c>
      <c r="DC162" s="173">
        <v>0.0</v>
      </c>
      <c r="DD162" s="173">
        <v>0.0</v>
      </c>
      <c r="DE162" s="173">
        <v>0.0</v>
      </c>
      <c r="DF162" s="173">
        <v>0.0</v>
      </c>
      <c r="DG162" s="176">
        <f t="shared" si="13"/>
        <v>0</v>
      </c>
      <c r="DH162" s="177">
        <v>239.0</v>
      </c>
      <c r="DI162" s="177">
        <v>71.0</v>
      </c>
      <c r="DJ162" s="178">
        <v>240.0</v>
      </c>
      <c r="DK162" s="178">
        <v>71.0</v>
      </c>
      <c r="DL162" s="179">
        <f t="shared" si="14"/>
        <v>5</v>
      </c>
      <c r="DM162" s="180">
        <f t="shared" si="15"/>
        <v>1</v>
      </c>
      <c r="DN162" s="180">
        <f t="shared" si="16"/>
        <v>4</v>
      </c>
      <c r="DO162" s="226"/>
      <c r="DP162" s="226"/>
      <c r="DQ162" s="226"/>
      <c r="DR162" s="177">
        <v>4.0</v>
      </c>
      <c r="DS162" s="226"/>
      <c r="DT162" s="177">
        <v>1.0</v>
      </c>
      <c r="DU162" s="226"/>
      <c r="DV162" s="226"/>
      <c r="DW162" s="226"/>
      <c r="DX162" s="226"/>
      <c r="DY162" s="226"/>
      <c r="DZ162" s="226"/>
      <c r="EA162" s="226"/>
      <c r="EB162" s="226"/>
      <c r="EC162" s="226"/>
      <c r="ED162" s="226"/>
      <c r="EE162" s="226"/>
      <c r="EF162" s="226"/>
      <c r="EG162" s="179">
        <f t="shared" si="17"/>
        <v>0</v>
      </c>
      <c r="EH162" s="179">
        <f t="shared" si="18"/>
        <v>0</v>
      </c>
      <c r="EI162" s="177">
        <v>237.0</v>
      </c>
      <c r="EJ162" s="177">
        <v>69.0</v>
      </c>
      <c r="EK162" s="178">
        <v>233.0</v>
      </c>
      <c r="EL162" s="178">
        <v>69.0</v>
      </c>
      <c r="EM162" s="185">
        <f t="shared" si="362"/>
        <v>5</v>
      </c>
      <c r="EN162" s="186">
        <f t="shared" si="202"/>
        <v>1</v>
      </c>
      <c r="EO162" s="186">
        <f t="shared" si="90"/>
        <v>4</v>
      </c>
      <c r="EP162" s="177">
        <v>0.0</v>
      </c>
      <c r="EQ162" s="177">
        <v>0.0</v>
      </c>
      <c r="ER162" s="177">
        <v>1.0</v>
      </c>
      <c r="ES162" s="177">
        <v>4.0</v>
      </c>
      <c r="ET162" s="177">
        <v>0.0</v>
      </c>
      <c r="EU162" s="177">
        <v>0.0</v>
      </c>
      <c r="EV162" s="177">
        <v>0.0</v>
      </c>
      <c r="EW162" s="177">
        <v>0.0</v>
      </c>
      <c r="EX162" s="177">
        <v>0.0</v>
      </c>
      <c r="EY162" s="177">
        <v>0.0</v>
      </c>
      <c r="EZ162" s="177">
        <v>0.0</v>
      </c>
      <c r="FA162" s="177">
        <v>0.0</v>
      </c>
      <c r="FB162" s="177">
        <v>0.0</v>
      </c>
      <c r="FC162" s="177">
        <v>0.0</v>
      </c>
      <c r="FD162" s="177">
        <v>0.0</v>
      </c>
      <c r="FE162" s="177">
        <v>0.0</v>
      </c>
      <c r="FF162" s="177">
        <v>0.0</v>
      </c>
      <c r="FG162" s="177">
        <v>0.0</v>
      </c>
      <c r="FH162" s="185">
        <f t="shared" si="22"/>
        <v>0</v>
      </c>
      <c r="FI162" s="185">
        <f t="shared" si="23"/>
        <v>0</v>
      </c>
      <c r="FJ162" s="177">
        <v>229.0</v>
      </c>
      <c r="FK162" s="177">
        <v>72.0</v>
      </c>
      <c r="FL162" s="177">
        <v>179.0</v>
      </c>
      <c r="FM162" s="177">
        <v>63.0</v>
      </c>
      <c r="FN162" s="210"/>
      <c r="FO162" s="210">
        <v>4.0</v>
      </c>
      <c r="FP162" s="243">
        <v>4.0</v>
      </c>
      <c r="FQ162" s="211">
        <v>1.0</v>
      </c>
      <c r="FR162" s="212">
        <v>3.0</v>
      </c>
      <c r="FS162" s="335"/>
      <c r="FT162" s="293"/>
      <c r="FU162" s="207">
        <v>1.0</v>
      </c>
      <c r="FV162" s="207">
        <v>3.0</v>
      </c>
      <c r="FW162" s="207">
        <v>0.0</v>
      </c>
      <c r="FX162" s="207">
        <v>0.0</v>
      </c>
      <c r="FY162" s="207">
        <v>0.0</v>
      </c>
      <c r="FZ162" s="207">
        <v>0.0</v>
      </c>
      <c r="GA162" s="293"/>
      <c r="GB162" s="293"/>
      <c r="GC162" s="293"/>
      <c r="GD162" s="207">
        <v>1.0</v>
      </c>
      <c r="GE162" s="293"/>
      <c r="GF162" s="293"/>
      <c r="GG162" s="293"/>
      <c r="GH162" s="293"/>
      <c r="GI162" s="293"/>
      <c r="GJ162" s="293"/>
      <c r="GK162" s="212">
        <v>1.0</v>
      </c>
      <c r="GL162" s="212">
        <v>0.0</v>
      </c>
      <c r="GM162" s="207">
        <v>226.0</v>
      </c>
      <c r="GN162" s="207">
        <v>69.0</v>
      </c>
      <c r="GO162" s="213">
        <v>194.0</v>
      </c>
      <c r="GP162" s="213">
        <v>56.0</v>
      </c>
      <c r="GQ162" s="207"/>
      <c r="GR162" s="213">
        <v>2.0</v>
      </c>
      <c r="GS162" s="193">
        <v>1.0</v>
      </c>
      <c r="GT162" s="194">
        <f t="shared" si="25"/>
        <v>2</v>
      </c>
      <c r="GU162" s="194">
        <f t="shared" si="26"/>
        <v>1</v>
      </c>
      <c r="GV162" s="194">
        <f t="shared" si="27"/>
        <v>1</v>
      </c>
      <c r="GW162" s="207"/>
      <c r="GX162" s="207"/>
      <c r="GY162" s="207">
        <v>1.0</v>
      </c>
      <c r="GZ162" s="207">
        <v>1.0</v>
      </c>
      <c r="HA162" s="207"/>
      <c r="HB162" s="207"/>
      <c r="HC162" s="207"/>
      <c r="HD162" s="207"/>
      <c r="HE162" s="207"/>
      <c r="HF162" s="207"/>
      <c r="HG162" s="207"/>
      <c r="HH162" s="207">
        <v>2.0</v>
      </c>
      <c r="HI162" s="207"/>
      <c r="HJ162" s="207"/>
      <c r="HK162" s="207"/>
      <c r="HL162" s="207"/>
      <c r="HM162" s="207"/>
      <c r="HN162" s="207"/>
      <c r="HO162" s="222"/>
      <c r="HP162" s="222"/>
      <c r="HQ162" s="214"/>
      <c r="HR162" s="197"/>
      <c r="HS162" s="197"/>
      <c r="HT162" s="198">
        <f t="shared" si="28"/>
        <v>2</v>
      </c>
      <c r="HU162" s="198">
        <f t="shared" si="29"/>
        <v>2</v>
      </c>
      <c r="HV162" s="198">
        <f t="shared" si="30"/>
        <v>2</v>
      </c>
      <c r="HW162" s="198">
        <f t="shared" si="99"/>
        <v>2</v>
      </c>
      <c r="HX162" s="198">
        <f t="shared" si="32"/>
        <v>5</v>
      </c>
      <c r="HY162" s="198">
        <f t="shared" si="33"/>
        <v>4</v>
      </c>
      <c r="HZ162" s="198">
        <f t="shared" si="34"/>
        <v>4</v>
      </c>
      <c r="IA162" s="198">
        <f t="shared" si="35"/>
        <v>4</v>
      </c>
      <c r="IB162" s="198">
        <f t="shared" si="36"/>
        <v>5</v>
      </c>
      <c r="IC162" s="198">
        <f t="shared" si="37"/>
        <v>5</v>
      </c>
      <c r="ID162" s="198">
        <f t="shared" si="38"/>
        <v>4</v>
      </c>
      <c r="IE162" s="198">
        <f t="shared" si="39"/>
        <v>2</v>
      </c>
      <c r="IF162" s="197"/>
      <c r="IG162" s="197"/>
      <c r="IH162" s="197"/>
      <c r="II162" s="197"/>
      <c r="IJ162" s="197"/>
      <c r="IK162" s="197"/>
      <c r="IL162" s="197"/>
      <c r="IM162" s="197"/>
      <c r="IN162" s="197"/>
      <c r="IO162" s="197"/>
      <c r="IP162" s="197"/>
      <c r="IQ162" s="197"/>
      <c r="IR162" s="197"/>
      <c r="IS162" s="197"/>
      <c r="IT162" s="197"/>
      <c r="IU162" s="197"/>
      <c r="IV162" s="197"/>
      <c r="IW162" s="197"/>
      <c r="IX162" s="197"/>
      <c r="IY162" s="197"/>
      <c r="IZ162" s="197"/>
      <c r="JA162" s="199"/>
      <c r="JB162" s="200">
        <f t="shared" si="40"/>
        <v>2</v>
      </c>
      <c r="JC162" s="200">
        <f t="shared" si="41"/>
        <v>2</v>
      </c>
      <c r="JD162" s="200">
        <f t="shared" si="42"/>
        <v>2</v>
      </c>
      <c r="JE162" s="200">
        <f t="shared" si="43"/>
        <v>2</v>
      </c>
      <c r="JF162" s="200">
        <f t="shared" si="44"/>
        <v>5</v>
      </c>
      <c r="JG162" s="200">
        <f t="shared" si="45"/>
        <v>4</v>
      </c>
      <c r="JH162" s="200">
        <f t="shared" si="46"/>
        <v>4</v>
      </c>
      <c r="JI162" s="200">
        <f t="shared" si="47"/>
        <v>4</v>
      </c>
      <c r="JJ162" s="200">
        <f t="shared" si="48"/>
        <v>5</v>
      </c>
      <c r="JK162" s="200">
        <f t="shared" si="49"/>
        <v>5</v>
      </c>
      <c r="JL162" s="200">
        <f t="shared" si="50"/>
        <v>4</v>
      </c>
      <c r="JM162" s="200">
        <f t="shared" si="51"/>
        <v>2</v>
      </c>
      <c r="JN162" s="199"/>
      <c r="JO162" s="200">
        <f t="shared" si="52"/>
        <v>2</v>
      </c>
      <c r="JP162" s="202">
        <v>2.0</v>
      </c>
      <c r="JQ162" s="202">
        <v>2.0</v>
      </c>
      <c r="JR162" s="202">
        <v>2.0</v>
      </c>
      <c r="JS162" s="202">
        <v>5.0</v>
      </c>
      <c r="JT162" s="199"/>
      <c r="JU162" s="199"/>
      <c r="JV162" s="200">
        <f t="shared" ref="JV162:JX162" si="400">IA162-JI162</f>
        <v>0</v>
      </c>
      <c r="JW162" s="200">
        <f t="shared" si="400"/>
        <v>0</v>
      </c>
      <c r="JX162" s="200">
        <f t="shared" si="400"/>
        <v>0</v>
      </c>
      <c r="JY162" s="199"/>
      <c r="JZ162" s="199"/>
      <c r="KA162" s="199"/>
      <c r="KB162" s="200">
        <f t="shared" ref="KB162:KM162" si="401">JB162-JO162</f>
        <v>0</v>
      </c>
      <c r="KC162" s="200">
        <f t="shared" si="401"/>
        <v>0</v>
      </c>
      <c r="KD162" s="200">
        <f t="shared" si="401"/>
        <v>0</v>
      </c>
      <c r="KE162" s="200">
        <f t="shared" si="401"/>
        <v>0</v>
      </c>
      <c r="KF162" s="200">
        <f t="shared" si="401"/>
        <v>0</v>
      </c>
      <c r="KG162" s="200">
        <f t="shared" si="401"/>
        <v>4</v>
      </c>
      <c r="KH162" s="200">
        <f t="shared" si="401"/>
        <v>4</v>
      </c>
      <c r="KI162" s="200">
        <f t="shared" si="401"/>
        <v>4</v>
      </c>
      <c r="KJ162" s="200">
        <f t="shared" si="401"/>
        <v>5</v>
      </c>
      <c r="KK162" s="200">
        <f t="shared" si="401"/>
        <v>5</v>
      </c>
      <c r="KL162" s="200">
        <f t="shared" si="401"/>
        <v>4</v>
      </c>
      <c r="KM162" s="200">
        <f t="shared" si="401"/>
        <v>2</v>
      </c>
      <c r="KN162" s="199"/>
      <c r="KO162" s="199"/>
      <c r="KP162" s="199"/>
      <c r="KQ162" s="199"/>
      <c r="KR162" s="199"/>
      <c r="KS162" s="199"/>
      <c r="KT162" s="199"/>
      <c r="KU162" s="199"/>
      <c r="KV162" s="199"/>
      <c r="KW162" s="199"/>
      <c r="KX162" s="199"/>
      <c r="KY162" s="199"/>
      <c r="KZ162" s="199"/>
      <c r="LA162" s="199"/>
      <c r="LB162" s="199"/>
      <c r="LC162" s="199"/>
      <c r="LD162" s="199"/>
      <c r="LE162" s="199"/>
      <c r="LF162" s="199"/>
      <c r="LG162" s="199"/>
    </row>
    <row r="163" ht="14.25" customHeight="1">
      <c r="A163" s="156">
        <v>156.0</v>
      </c>
      <c r="B163" s="157" t="s">
        <v>262</v>
      </c>
      <c r="C163" s="158">
        <v>3374010.0</v>
      </c>
      <c r="D163" s="158" t="s">
        <v>262</v>
      </c>
      <c r="E163" s="158" t="s">
        <v>272</v>
      </c>
      <c r="F163" s="159">
        <v>6.0</v>
      </c>
      <c r="G163" s="285">
        <v>552.0</v>
      </c>
      <c r="H163" s="160">
        <v>1.0</v>
      </c>
      <c r="I163" s="161">
        <v>0.0</v>
      </c>
      <c r="J163" s="161">
        <v>0.0</v>
      </c>
      <c r="K163" s="161">
        <v>1.0</v>
      </c>
      <c r="L163" s="161">
        <v>0.0</v>
      </c>
      <c r="M163" s="161">
        <v>1.0</v>
      </c>
      <c r="N163" s="159">
        <v>0.0</v>
      </c>
      <c r="O163" s="162">
        <f t="shared" si="369"/>
        <v>0</v>
      </c>
      <c r="P163" s="203">
        <v>8.0</v>
      </c>
      <c r="Q163" s="164">
        <v>0.0</v>
      </c>
      <c r="R163" s="164">
        <v>1.0</v>
      </c>
      <c r="S163" s="164">
        <v>2.0</v>
      </c>
      <c r="T163" s="165">
        <v>5.0</v>
      </c>
      <c r="U163" s="165">
        <v>6.0</v>
      </c>
      <c r="V163" s="165">
        <v>0.0</v>
      </c>
      <c r="W163" s="166">
        <f t="shared" si="225"/>
        <v>2</v>
      </c>
      <c r="X163" s="203">
        <v>4.0</v>
      </c>
      <c r="Y163" s="165">
        <v>0.0</v>
      </c>
      <c r="Z163" s="165">
        <v>0.0</v>
      </c>
      <c r="AA163" s="165">
        <v>0.0</v>
      </c>
      <c r="AB163" s="165">
        <v>4.0</v>
      </c>
      <c r="AC163" s="165">
        <v>1.0</v>
      </c>
      <c r="AD163" s="165">
        <v>3.0</v>
      </c>
      <c r="AE163" s="166">
        <f t="shared" si="214"/>
        <v>0</v>
      </c>
      <c r="AF163" s="167">
        <v>3.0</v>
      </c>
      <c r="AG163" s="165">
        <v>0.0</v>
      </c>
      <c r="AH163" s="165">
        <v>0.0</v>
      </c>
      <c r="AI163" s="165">
        <v>2.0</v>
      </c>
      <c r="AJ163" s="165">
        <v>1.0</v>
      </c>
      <c r="AK163" s="165">
        <v>2.0</v>
      </c>
      <c r="AL163" s="165">
        <v>3.0</v>
      </c>
      <c r="AM163" s="166">
        <f t="shared" si="370"/>
        <v>-2</v>
      </c>
      <c r="AN163" s="167">
        <v>4.0</v>
      </c>
      <c r="AO163" s="165">
        <v>0.0</v>
      </c>
      <c r="AP163" s="165">
        <v>0.0</v>
      </c>
      <c r="AQ163" s="165">
        <v>2.0</v>
      </c>
      <c r="AR163" s="165">
        <v>2.0</v>
      </c>
      <c r="AS163" s="165">
        <v>2.0</v>
      </c>
      <c r="AT163" s="171">
        <v>0.0</v>
      </c>
      <c r="AU163" s="168">
        <f t="shared" si="375"/>
        <v>2</v>
      </c>
      <c r="AV163" s="169">
        <v>531.0</v>
      </c>
      <c r="AW163" s="204">
        <f t="shared" si="8"/>
        <v>2</v>
      </c>
      <c r="AX163" s="169">
        <v>0.0</v>
      </c>
      <c r="AY163" s="169">
        <v>0.0</v>
      </c>
      <c r="AZ163" s="169">
        <v>0.0</v>
      </c>
      <c r="BA163" s="169">
        <v>2.0</v>
      </c>
      <c r="BB163" s="197"/>
      <c r="BC163" s="197"/>
      <c r="BD163" s="197"/>
      <c r="BE163" s="197"/>
      <c r="BF163" s="197"/>
      <c r="BG163" s="197"/>
      <c r="BH163" s="197"/>
      <c r="BI163" s="169">
        <v>2.0</v>
      </c>
      <c r="BJ163" s="197"/>
      <c r="BK163" s="197"/>
      <c r="BL163" s="197"/>
      <c r="BM163" s="197"/>
      <c r="BN163" s="197"/>
      <c r="BO163" s="197"/>
      <c r="BP163" s="205">
        <f t="shared" si="131"/>
        <v>2</v>
      </c>
      <c r="BQ163" s="169">
        <v>531.0</v>
      </c>
      <c r="BR163" s="170">
        <f t="shared" si="10"/>
        <v>2</v>
      </c>
      <c r="BS163" s="173">
        <v>0.0</v>
      </c>
      <c r="BT163" s="173">
        <v>0.0</v>
      </c>
      <c r="BU163" s="173">
        <v>0.0</v>
      </c>
      <c r="BV163" s="173">
        <v>2.0</v>
      </c>
      <c r="BW163" s="173">
        <v>0.0</v>
      </c>
      <c r="BX163" s="173">
        <v>0.0</v>
      </c>
      <c r="BY163" s="173">
        <v>0.0</v>
      </c>
      <c r="BZ163" s="173">
        <v>0.0</v>
      </c>
      <c r="CA163" s="173">
        <v>0.0</v>
      </c>
      <c r="CB163" s="173">
        <v>0.0</v>
      </c>
      <c r="CC163" s="173">
        <v>0.0</v>
      </c>
      <c r="CD163" s="173">
        <v>0.0</v>
      </c>
      <c r="CE163" s="173">
        <v>0.0</v>
      </c>
      <c r="CF163" s="173">
        <v>0.0</v>
      </c>
      <c r="CG163" s="173">
        <v>0.0</v>
      </c>
      <c r="CH163" s="173">
        <v>0.0</v>
      </c>
      <c r="CI163" s="173">
        <v>0.0</v>
      </c>
      <c r="CJ163" s="173">
        <v>0.0</v>
      </c>
      <c r="CK163" s="172">
        <f t="shared" si="132"/>
        <v>0</v>
      </c>
      <c r="CL163" s="173">
        <v>542.0</v>
      </c>
      <c r="CM163" s="173">
        <v>171.0</v>
      </c>
      <c r="CN163" s="175">
        <f t="shared" si="295"/>
        <v>1</v>
      </c>
      <c r="CO163" s="173">
        <v>0.0</v>
      </c>
      <c r="CP163" s="173">
        <v>0.0</v>
      </c>
      <c r="CQ163" s="173">
        <v>0.0</v>
      </c>
      <c r="CR163" s="173">
        <v>1.0</v>
      </c>
      <c r="CS163" s="173">
        <v>0.0</v>
      </c>
      <c r="CT163" s="173">
        <v>0.0</v>
      </c>
      <c r="CU163" s="173">
        <v>0.0</v>
      </c>
      <c r="CV163" s="173">
        <v>0.0</v>
      </c>
      <c r="CW163" s="173">
        <v>0.0</v>
      </c>
      <c r="CX163" s="173">
        <v>0.0</v>
      </c>
      <c r="CY163" s="173">
        <v>0.0</v>
      </c>
      <c r="CZ163" s="173">
        <v>1.0</v>
      </c>
      <c r="DA163" s="173">
        <v>0.0</v>
      </c>
      <c r="DB163" s="173">
        <v>0.0</v>
      </c>
      <c r="DC163" s="173">
        <v>0.0</v>
      </c>
      <c r="DD163" s="173">
        <v>0.0</v>
      </c>
      <c r="DE163" s="173">
        <v>0.0</v>
      </c>
      <c r="DF163" s="173">
        <v>0.0</v>
      </c>
      <c r="DG163" s="176">
        <f t="shared" si="13"/>
        <v>1</v>
      </c>
      <c r="DH163" s="177">
        <v>533.0</v>
      </c>
      <c r="DI163" s="177">
        <v>193.0</v>
      </c>
      <c r="DJ163" s="178">
        <v>489.0</v>
      </c>
      <c r="DK163" s="178">
        <v>153.0</v>
      </c>
      <c r="DL163" s="179">
        <f t="shared" si="14"/>
        <v>1</v>
      </c>
      <c r="DM163" s="180">
        <f t="shared" si="15"/>
        <v>0</v>
      </c>
      <c r="DN163" s="180">
        <f t="shared" si="16"/>
        <v>1</v>
      </c>
      <c r="DO163" s="226"/>
      <c r="DP163" s="226"/>
      <c r="DQ163" s="226"/>
      <c r="DR163" s="177">
        <v>1.0</v>
      </c>
      <c r="DS163" s="226"/>
      <c r="DT163" s="226"/>
      <c r="DU163" s="226"/>
      <c r="DV163" s="226"/>
      <c r="DW163" s="226"/>
      <c r="DX163" s="226"/>
      <c r="DY163" s="226"/>
      <c r="DZ163" s="226"/>
      <c r="EA163" s="226"/>
      <c r="EB163" s="226"/>
      <c r="EC163" s="226"/>
      <c r="ED163" s="226"/>
      <c r="EE163" s="226"/>
      <c r="EF163" s="226"/>
      <c r="EG163" s="179">
        <f t="shared" si="17"/>
        <v>0</v>
      </c>
      <c r="EH163" s="179">
        <f t="shared" si="18"/>
        <v>0</v>
      </c>
      <c r="EI163" s="177">
        <v>521.0</v>
      </c>
      <c r="EJ163" s="177">
        <v>185.0</v>
      </c>
      <c r="EK163" s="178">
        <v>475.0</v>
      </c>
      <c r="EL163" s="178">
        <v>145.0</v>
      </c>
      <c r="EM163" s="185">
        <f t="shared" si="362"/>
        <v>1</v>
      </c>
      <c r="EN163" s="186">
        <f t="shared" si="202"/>
        <v>0</v>
      </c>
      <c r="EO163" s="186">
        <f t="shared" si="90"/>
        <v>1</v>
      </c>
      <c r="EP163" s="177">
        <v>0.0</v>
      </c>
      <c r="EQ163" s="177">
        <v>0.0</v>
      </c>
      <c r="ER163" s="177">
        <v>0.0</v>
      </c>
      <c r="ES163" s="177">
        <v>1.0</v>
      </c>
      <c r="ET163" s="177">
        <v>0.0</v>
      </c>
      <c r="EU163" s="177">
        <v>0.0</v>
      </c>
      <c r="EV163" s="177">
        <v>0.0</v>
      </c>
      <c r="EW163" s="177">
        <v>0.0</v>
      </c>
      <c r="EX163" s="177">
        <v>0.0</v>
      </c>
      <c r="EY163" s="177">
        <v>0.0</v>
      </c>
      <c r="EZ163" s="177">
        <v>0.0</v>
      </c>
      <c r="FA163" s="177">
        <v>0.0</v>
      </c>
      <c r="FB163" s="177">
        <v>0.0</v>
      </c>
      <c r="FC163" s="177">
        <v>0.0</v>
      </c>
      <c r="FD163" s="177">
        <v>0.0</v>
      </c>
      <c r="FE163" s="177">
        <v>0.0</v>
      </c>
      <c r="FF163" s="177">
        <v>0.0</v>
      </c>
      <c r="FG163" s="177">
        <v>0.0</v>
      </c>
      <c r="FH163" s="185">
        <f t="shared" si="22"/>
        <v>0</v>
      </c>
      <c r="FI163" s="185">
        <f t="shared" si="23"/>
        <v>0</v>
      </c>
      <c r="FJ163" s="177">
        <v>514.0</v>
      </c>
      <c r="FK163" s="177">
        <v>171.0</v>
      </c>
      <c r="FL163" s="177">
        <v>492.0</v>
      </c>
      <c r="FM163" s="177">
        <v>150.0</v>
      </c>
      <c r="FN163" s="210"/>
      <c r="FO163" s="210">
        <v>0.0</v>
      </c>
      <c r="FP163" s="188">
        <f>SUM(FS163:FZ163)</f>
        <v>0</v>
      </c>
      <c r="FQ163" s="211">
        <v>0.0</v>
      </c>
      <c r="FR163" s="212">
        <v>0.0</v>
      </c>
      <c r="FS163" s="335"/>
      <c r="FT163" s="293"/>
      <c r="FU163" s="207">
        <v>0.0</v>
      </c>
      <c r="FV163" s="207">
        <v>0.0</v>
      </c>
      <c r="FW163" s="207">
        <v>0.0</v>
      </c>
      <c r="FX163" s="207">
        <v>0.0</v>
      </c>
      <c r="FY163" s="207">
        <v>0.0</v>
      </c>
      <c r="FZ163" s="207">
        <v>0.0</v>
      </c>
      <c r="GA163" s="293"/>
      <c r="GB163" s="293"/>
      <c r="GC163" s="293"/>
      <c r="GD163" s="207">
        <v>1.0</v>
      </c>
      <c r="GE163" s="293"/>
      <c r="GF163" s="293"/>
      <c r="GG163" s="293"/>
      <c r="GH163" s="293"/>
      <c r="GI163" s="293"/>
      <c r="GJ163" s="293"/>
      <c r="GK163" s="212">
        <v>1.0</v>
      </c>
      <c r="GL163" s="212">
        <v>0.0</v>
      </c>
      <c r="GM163" s="207">
        <v>507.0</v>
      </c>
      <c r="GN163" s="207">
        <v>164.0</v>
      </c>
      <c r="GO163" s="213">
        <v>483.0</v>
      </c>
      <c r="GP163" s="213">
        <v>141.0</v>
      </c>
      <c r="GQ163" s="207"/>
      <c r="GR163" s="213">
        <v>0.0</v>
      </c>
      <c r="GS163" s="193">
        <v>0.0</v>
      </c>
      <c r="GT163" s="194">
        <f t="shared" si="25"/>
        <v>0</v>
      </c>
      <c r="GU163" s="194">
        <f t="shared" si="26"/>
        <v>0</v>
      </c>
      <c r="GV163" s="194">
        <f t="shared" si="27"/>
        <v>0</v>
      </c>
      <c r="GW163" s="207"/>
      <c r="GX163" s="207"/>
      <c r="GY163" s="207">
        <v>0.0</v>
      </c>
      <c r="GZ163" s="207">
        <v>0.0</v>
      </c>
      <c r="HA163" s="207"/>
      <c r="HB163" s="207"/>
      <c r="HC163" s="207"/>
      <c r="HD163" s="207"/>
      <c r="HE163" s="207"/>
      <c r="HF163" s="207"/>
      <c r="HG163" s="207"/>
      <c r="HH163" s="207"/>
      <c r="HI163" s="207"/>
      <c r="HJ163" s="207"/>
      <c r="HK163" s="207"/>
      <c r="HL163" s="207"/>
      <c r="HM163" s="207"/>
      <c r="HN163" s="207"/>
      <c r="HO163" s="222"/>
      <c r="HP163" s="222"/>
      <c r="HQ163" s="214"/>
      <c r="HR163" s="197"/>
      <c r="HS163" s="197"/>
      <c r="HT163" s="198">
        <f t="shared" si="28"/>
        <v>1</v>
      </c>
      <c r="HU163" s="198">
        <f t="shared" si="29"/>
        <v>8</v>
      </c>
      <c r="HV163" s="198">
        <f t="shared" si="30"/>
        <v>4</v>
      </c>
      <c r="HW163" s="198">
        <f t="shared" si="99"/>
        <v>3</v>
      </c>
      <c r="HX163" s="198">
        <f t="shared" si="32"/>
        <v>4</v>
      </c>
      <c r="HY163" s="198">
        <f t="shared" si="33"/>
        <v>2</v>
      </c>
      <c r="HZ163" s="198">
        <f t="shared" si="34"/>
        <v>2</v>
      </c>
      <c r="IA163" s="198">
        <f t="shared" si="35"/>
        <v>1</v>
      </c>
      <c r="IB163" s="198">
        <f t="shared" si="36"/>
        <v>1</v>
      </c>
      <c r="IC163" s="198">
        <f t="shared" si="37"/>
        <v>1</v>
      </c>
      <c r="ID163" s="198">
        <f t="shared" si="38"/>
        <v>0</v>
      </c>
      <c r="IE163" s="198">
        <f t="shared" si="39"/>
        <v>0</v>
      </c>
      <c r="IF163" s="197"/>
      <c r="IG163" s="197"/>
      <c r="IH163" s="197"/>
      <c r="II163" s="197"/>
      <c r="IJ163" s="197"/>
      <c r="IK163" s="197"/>
      <c r="IL163" s="197"/>
      <c r="IM163" s="197"/>
      <c r="IN163" s="197"/>
      <c r="IO163" s="197"/>
      <c r="IP163" s="197"/>
      <c r="IQ163" s="197"/>
      <c r="IR163" s="197"/>
      <c r="IS163" s="197"/>
      <c r="IT163" s="197"/>
      <c r="IU163" s="197"/>
      <c r="IV163" s="197"/>
      <c r="IW163" s="197"/>
      <c r="IX163" s="197"/>
      <c r="IY163" s="197"/>
      <c r="IZ163" s="197"/>
      <c r="JA163" s="199"/>
      <c r="JB163" s="200">
        <f t="shared" si="40"/>
        <v>1</v>
      </c>
      <c r="JC163" s="200">
        <f t="shared" si="41"/>
        <v>8</v>
      </c>
      <c r="JD163" s="200">
        <f t="shared" si="42"/>
        <v>4</v>
      </c>
      <c r="JE163" s="200">
        <f t="shared" si="43"/>
        <v>3</v>
      </c>
      <c r="JF163" s="200">
        <f t="shared" si="44"/>
        <v>4</v>
      </c>
      <c r="JG163" s="200">
        <f t="shared" si="45"/>
        <v>2</v>
      </c>
      <c r="JH163" s="200">
        <f t="shared" si="46"/>
        <v>2</v>
      </c>
      <c r="JI163" s="200">
        <f t="shared" si="47"/>
        <v>1</v>
      </c>
      <c r="JJ163" s="200">
        <f t="shared" si="48"/>
        <v>1</v>
      </c>
      <c r="JK163" s="200">
        <f t="shared" si="49"/>
        <v>1</v>
      </c>
      <c r="JL163" s="200">
        <f t="shared" si="50"/>
        <v>0</v>
      </c>
      <c r="JM163" s="200">
        <f t="shared" si="51"/>
        <v>0</v>
      </c>
      <c r="JN163" s="199"/>
      <c r="JO163" s="200">
        <f t="shared" si="52"/>
        <v>1</v>
      </c>
      <c r="JP163" s="202">
        <v>8.0</v>
      </c>
      <c r="JQ163" s="202">
        <v>4.0</v>
      </c>
      <c r="JR163" s="202">
        <v>3.0</v>
      </c>
      <c r="JS163" s="202">
        <v>4.0</v>
      </c>
      <c r="JT163" s="199"/>
      <c r="JU163" s="199"/>
      <c r="JV163" s="200">
        <f t="shared" ref="JV163:JX163" si="402">IA163-JI163</f>
        <v>0</v>
      </c>
      <c r="JW163" s="200">
        <f t="shared" si="402"/>
        <v>0</v>
      </c>
      <c r="JX163" s="200">
        <f t="shared" si="402"/>
        <v>0</v>
      </c>
      <c r="JY163" s="199"/>
      <c r="JZ163" s="199"/>
      <c r="KA163" s="199"/>
      <c r="KB163" s="200">
        <f t="shared" ref="KB163:KM163" si="403">JB163-JO163</f>
        <v>0</v>
      </c>
      <c r="KC163" s="200">
        <f t="shared" si="403"/>
        <v>0</v>
      </c>
      <c r="KD163" s="200">
        <f t="shared" si="403"/>
        <v>0</v>
      </c>
      <c r="KE163" s="200">
        <f t="shared" si="403"/>
        <v>0</v>
      </c>
      <c r="KF163" s="200">
        <f t="shared" si="403"/>
        <v>0</v>
      </c>
      <c r="KG163" s="200">
        <f t="shared" si="403"/>
        <v>2</v>
      </c>
      <c r="KH163" s="200">
        <f t="shared" si="403"/>
        <v>2</v>
      </c>
      <c r="KI163" s="200">
        <f t="shared" si="403"/>
        <v>1</v>
      </c>
      <c r="KJ163" s="200">
        <f t="shared" si="403"/>
        <v>1</v>
      </c>
      <c r="KK163" s="200">
        <f t="shared" si="403"/>
        <v>1</v>
      </c>
      <c r="KL163" s="200">
        <f t="shared" si="403"/>
        <v>0</v>
      </c>
      <c r="KM163" s="200">
        <f t="shared" si="403"/>
        <v>0</v>
      </c>
      <c r="KN163" s="199"/>
      <c r="KO163" s="199"/>
      <c r="KP163" s="199"/>
      <c r="KQ163" s="199"/>
      <c r="KR163" s="199"/>
      <c r="KS163" s="199"/>
      <c r="KT163" s="199"/>
      <c r="KU163" s="199"/>
      <c r="KV163" s="199"/>
      <c r="KW163" s="199"/>
      <c r="KX163" s="199"/>
      <c r="KY163" s="199"/>
      <c r="KZ163" s="199"/>
      <c r="LA163" s="199"/>
      <c r="LB163" s="199"/>
      <c r="LC163" s="199"/>
      <c r="LD163" s="199"/>
      <c r="LE163" s="199"/>
      <c r="LF163" s="199"/>
      <c r="LG163" s="199"/>
    </row>
    <row r="164" ht="14.25" customHeight="1">
      <c r="A164" s="156">
        <v>157.0</v>
      </c>
      <c r="B164" s="157" t="s">
        <v>262</v>
      </c>
      <c r="C164" s="158">
        <v>3374010.0</v>
      </c>
      <c r="D164" s="158" t="s">
        <v>262</v>
      </c>
      <c r="E164" s="158" t="s">
        <v>273</v>
      </c>
      <c r="F164" s="159">
        <v>14.0</v>
      </c>
      <c r="G164" s="285">
        <v>571.0</v>
      </c>
      <c r="H164" s="160">
        <v>2.0</v>
      </c>
      <c r="I164" s="161">
        <v>0.0</v>
      </c>
      <c r="J164" s="161">
        <v>0.0</v>
      </c>
      <c r="K164" s="161">
        <v>0.0</v>
      </c>
      <c r="L164" s="161">
        <v>2.0</v>
      </c>
      <c r="M164" s="161">
        <v>1.0</v>
      </c>
      <c r="N164" s="159">
        <v>0.0</v>
      </c>
      <c r="O164" s="162">
        <f t="shared" si="369"/>
        <v>1</v>
      </c>
      <c r="P164" s="203">
        <v>7.0</v>
      </c>
      <c r="Q164" s="164">
        <v>0.0</v>
      </c>
      <c r="R164" s="164">
        <v>0.0</v>
      </c>
      <c r="S164" s="164">
        <v>1.0</v>
      </c>
      <c r="T164" s="165">
        <v>6.0</v>
      </c>
      <c r="U164" s="165">
        <v>3.0</v>
      </c>
      <c r="V164" s="165">
        <v>0.0</v>
      </c>
      <c r="W164" s="166">
        <f t="shared" si="225"/>
        <v>4</v>
      </c>
      <c r="X164" s="203">
        <v>5.0</v>
      </c>
      <c r="Y164" s="165">
        <v>0.0</v>
      </c>
      <c r="Z164" s="165">
        <v>0.0</v>
      </c>
      <c r="AA164" s="165">
        <v>1.0</v>
      </c>
      <c r="AB164" s="165">
        <v>4.0</v>
      </c>
      <c r="AC164" s="165">
        <v>1.0</v>
      </c>
      <c r="AD164" s="165">
        <v>2.0</v>
      </c>
      <c r="AE164" s="166">
        <f t="shared" si="214"/>
        <v>2</v>
      </c>
      <c r="AF164" s="167">
        <v>3.0</v>
      </c>
      <c r="AG164" s="165">
        <v>0.0</v>
      </c>
      <c r="AH164" s="165">
        <v>0.0</v>
      </c>
      <c r="AI164" s="165">
        <v>1.0</v>
      </c>
      <c r="AJ164" s="165">
        <v>2.0</v>
      </c>
      <c r="AK164" s="165">
        <v>0.0</v>
      </c>
      <c r="AL164" s="165">
        <v>1.0</v>
      </c>
      <c r="AM164" s="166">
        <f t="shared" si="370"/>
        <v>2</v>
      </c>
      <c r="AN164" s="167">
        <v>11.0</v>
      </c>
      <c r="AO164" s="165">
        <v>0.0</v>
      </c>
      <c r="AP164" s="165">
        <v>0.0</v>
      </c>
      <c r="AQ164" s="165">
        <v>0.0</v>
      </c>
      <c r="AR164" s="165">
        <v>11.0</v>
      </c>
      <c r="AS164" s="165">
        <v>6.0</v>
      </c>
      <c r="AT164" s="171">
        <v>0.0</v>
      </c>
      <c r="AU164" s="168">
        <f t="shared" si="375"/>
        <v>5</v>
      </c>
      <c r="AV164" s="169">
        <v>554.0</v>
      </c>
      <c r="AW164" s="204">
        <f t="shared" si="8"/>
        <v>15</v>
      </c>
      <c r="AX164" s="169">
        <v>0.0</v>
      </c>
      <c r="AY164" s="169">
        <v>0.0</v>
      </c>
      <c r="AZ164" s="169">
        <v>0.0</v>
      </c>
      <c r="BA164" s="169">
        <v>11.0</v>
      </c>
      <c r="BB164" s="197"/>
      <c r="BC164" s="169">
        <v>1.0</v>
      </c>
      <c r="BD164" s="169">
        <v>2.0</v>
      </c>
      <c r="BE164" s="169">
        <v>1.0</v>
      </c>
      <c r="BF164" s="197"/>
      <c r="BG164" s="197"/>
      <c r="BH164" s="197"/>
      <c r="BI164" s="169">
        <v>1.0</v>
      </c>
      <c r="BJ164" s="197"/>
      <c r="BK164" s="197"/>
      <c r="BL164" s="197"/>
      <c r="BM164" s="197"/>
      <c r="BN164" s="197"/>
      <c r="BO164" s="197"/>
      <c r="BP164" s="205">
        <f t="shared" si="131"/>
        <v>1</v>
      </c>
      <c r="BQ164" s="169">
        <v>554.0</v>
      </c>
      <c r="BR164" s="170">
        <f t="shared" si="10"/>
        <v>13</v>
      </c>
      <c r="BS164" s="173">
        <v>0.0</v>
      </c>
      <c r="BT164" s="173">
        <v>1.0</v>
      </c>
      <c r="BU164" s="173">
        <v>2.0</v>
      </c>
      <c r="BV164" s="173">
        <v>10.0</v>
      </c>
      <c r="BW164" s="173">
        <v>0.0</v>
      </c>
      <c r="BX164" s="173">
        <v>0.0</v>
      </c>
      <c r="BY164" s="173">
        <v>0.0</v>
      </c>
      <c r="BZ164" s="173">
        <v>0.0</v>
      </c>
      <c r="CA164" s="173">
        <v>0.0</v>
      </c>
      <c r="CB164" s="173">
        <v>0.0</v>
      </c>
      <c r="CC164" s="173">
        <v>0.0</v>
      </c>
      <c r="CD164" s="173">
        <v>1.0</v>
      </c>
      <c r="CE164" s="173">
        <v>0.0</v>
      </c>
      <c r="CF164" s="173">
        <v>0.0</v>
      </c>
      <c r="CG164" s="173">
        <v>0.0</v>
      </c>
      <c r="CH164" s="173">
        <v>0.0</v>
      </c>
      <c r="CI164" s="173">
        <v>0.0</v>
      </c>
      <c r="CJ164" s="173">
        <v>0.0</v>
      </c>
      <c r="CK164" s="172">
        <f t="shared" si="132"/>
        <v>1</v>
      </c>
      <c r="CL164" s="173">
        <v>559.0</v>
      </c>
      <c r="CM164" s="173">
        <v>189.0</v>
      </c>
      <c r="CN164" s="175">
        <f t="shared" si="295"/>
        <v>15</v>
      </c>
      <c r="CO164" s="173">
        <v>0.0</v>
      </c>
      <c r="CP164" s="173">
        <v>1.0</v>
      </c>
      <c r="CQ164" s="173">
        <v>1.0</v>
      </c>
      <c r="CR164" s="173">
        <v>11.0</v>
      </c>
      <c r="CS164" s="173">
        <v>0.0</v>
      </c>
      <c r="CT164" s="173">
        <v>0.0</v>
      </c>
      <c r="CU164" s="173">
        <v>0.0</v>
      </c>
      <c r="CV164" s="173">
        <v>2.0</v>
      </c>
      <c r="CW164" s="173">
        <v>0.0</v>
      </c>
      <c r="CX164" s="173">
        <v>0.0</v>
      </c>
      <c r="CY164" s="173">
        <v>0.0</v>
      </c>
      <c r="CZ164" s="173">
        <v>1.0</v>
      </c>
      <c r="DA164" s="173">
        <v>0.0</v>
      </c>
      <c r="DB164" s="173">
        <v>0.0</v>
      </c>
      <c r="DC164" s="173">
        <v>0.0</v>
      </c>
      <c r="DD164" s="173">
        <v>0.0</v>
      </c>
      <c r="DE164" s="173">
        <v>0.0</v>
      </c>
      <c r="DF164" s="173">
        <v>0.0</v>
      </c>
      <c r="DG164" s="176">
        <f t="shared" si="13"/>
        <v>1</v>
      </c>
      <c r="DH164" s="177">
        <v>515.0</v>
      </c>
      <c r="DI164" s="177">
        <v>176.0</v>
      </c>
      <c r="DJ164" s="178">
        <v>490.0</v>
      </c>
      <c r="DK164" s="178">
        <v>148.0</v>
      </c>
      <c r="DL164" s="179">
        <f t="shared" si="14"/>
        <v>13</v>
      </c>
      <c r="DM164" s="180">
        <f t="shared" si="15"/>
        <v>2</v>
      </c>
      <c r="DN164" s="180">
        <f t="shared" si="16"/>
        <v>11</v>
      </c>
      <c r="DO164" s="226"/>
      <c r="DP164" s="177">
        <v>1.0</v>
      </c>
      <c r="DQ164" s="177">
        <v>1.0</v>
      </c>
      <c r="DR164" s="177">
        <v>10.0</v>
      </c>
      <c r="DS164" s="226"/>
      <c r="DT164" s="226"/>
      <c r="DU164" s="226"/>
      <c r="DV164" s="177">
        <v>1.0</v>
      </c>
      <c r="DW164" s="226"/>
      <c r="DX164" s="226"/>
      <c r="DY164" s="226"/>
      <c r="DZ164" s="177">
        <v>3.0</v>
      </c>
      <c r="EA164" s="226"/>
      <c r="EB164" s="226"/>
      <c r="EC164" s="226"/>
      <c r="ED164" s="226"/>
      <c r="EE164" s="226"/>
      <c r="EF164" s="226"/>
      <c r="EG164" s="179">
        <f t="shared" si="17"/>
        <v>3</v>
      </c>
      <c r="EH164" s="179">
        <f t="shared" si="18"/>
        <v>0</v>
      </c>
      <c r="EI164" s="177">
        <v>512.0</v>
      </c>
      <c r="EJ164" s="177">
        <v>178.0</v>
      </c>
      <c r="EK164" s="178">
        <v>476.0</v>
      </c>
      <c r="EL164" s="178">
        <v>152.0</v>
      </c>
      <c r="EM164" s="185">
        <f t="shared" si="362"/>
        <v>12</v>
      </c>
      <c r="EN164" s="186">
        <f t="shared" si="202"/>
        <v>2</v>
      </c>
      <c r="EO164" s="186">
        <f t="shared" si="90"/>
        <v>10</v>
      </c>
      <c r="EP164" s="177">
        <v>0.0</v>
      </c>
      <c r="EQ164" s="177">
        <v>1.0</v>
      </c>
      <c r="ER164" s="177">
        <v>0.0</v>
      </c>
      <c r="ES164" s="177">
        <v>10.0</v>
      </c>
      <c r="ET164" s="177">
        <v>0.0</v>
      </c>
      <c r="EU164" s="177">
        <v>0.0</v>
      </c>
      <c r="EV164" s="177">
        <v>1.0</v>
      </c>
      <c r="EW164" s="177">
        <v>0.0</v>
      </c>
      <c r="EX164" s="177">
        <v>0.0</v>
      </c>
      <c r="EY164" s="177">
        <v>0.0</v>
      </c>
      <c r="EZ164" s="177">
        <v>0.0</v>
      </c>
      <c r="FA164" s="177">
        <v>2.0</v>
      </c>
      <c r="FB164" s="177">
        <v>0.0</v>
      </c>
      <c r="FC164" s="177">
        <v>0.0</v>
      </c>
      <c r="FD164" s="177">
        <v>0.0</v>
      </c>
      <c r="FE164" s="177">
        <v>0.0</v>
      </c>
      <c r="FF164" s="177">
        <v>0.0</v>
      </c>
      <c r="FG164" s="177">
        <v>0.0</v>
      </c>
      <c r="FH164" s="185">
        <f t="shared" si="22"/>
        <v>2</v>
      </c>
      <c r="FI164" s="185">
        <f t="shared" si="23"/>
        <v>0</v>
      </c>
      <c r="FJ164" s="177">
        <v>514.0</v>
      </c>
      <c r="FK164" s="177">
        <v>174.0</v>
      </c>
      <c r="FL164" s="177">
        <v>501.0</v>
      </c>
      <c r="FM164" s="177">
        <v>162.0</v>
      </c>
      <c r="FN164" s="210"/>
      <c r="FO164" s="210">
        <v>10.0</v>
      </c>
      <c r="FP164" s="243">
        <v>10.0</v>
      </c>
      <c r="FQ164" s="211">
        <v>2.0</v>
      </c>
      <c r="FR164" s="212">
        <v>8.0</v>
      </c>
      <c r="FS164" s="335"/>
      <c r="FT164" s="293"/>
      <c r="FU164" s="207">
        <v>2.0</v>
      </c>
      <c r="FV164" s="207">
        <v>8.0</v>
      </c>
      <c r="FW164" s="207">
        <v>0.0</v>
      </c>
      <c r="FX164" s="207">
        <v>0.0</v>
      </c>
      <c r="FY164" s="207">
        <v>0.0</v>
      </c>
      <c r="FZ164" s="207">
        <v>0.0</v>
      </c>
      <c r="GA164" s="293"/>
      <c r="GB164" s="293"/>
      <c r="GC164" s="293"/>
      <c r="GD164" s="207">
        <v>2.0</v>
      </c>
      <c r="GE164" s="293"/>
      <c r="GF164" s="293"/>
      <c r="GG164" s="293"/>
      <c r="GH164" s="293"/>
      <c r="GI164" s="293"/>
      <c r="GJ164" s="293"/>
      <c r="GK164" s="212">
        <v>2.0</v>
      </c>
      <c r="GL164" s="212">
        <v>0.0</v>
      </c>
      <c r="GM164" s="207">
        <v>499.0</v>
      </c>
      <c r="GN164" s="207">
        <v>171.0</v>
      </c>
      <c r="GO164" s="213">
        <v>485.0</v>
      </c>
      <c r="GP164" s="213">
        <v>157.0</v>
      </c>
      <c r="GQ164" s="207"/>
      <c r="GR164" s="213">
        <v>9.0</v>
      </c>
      <c r="GS164" s="193">
        <v>2.0</v>
      </c>
      <c r="GT164" s="194">
        <f t="shared" si="25"/>
        <v>9</v>
      </c>
      <c r="GU164" s="194">
        <f t="shared" si="26"/>
        <v>2</v>
      </c>
      <c r="GV164" s="194">
        <f t="shared" si="27"/>
        <v>7</v>
      </c>
      <c r="GW164" s="207"/>
      <c r="GX164" s="207"/>
      <c r="GY164" s="207">
        <v>2.0</v>
      </c>
      <c r="GZ164" s="207">
        <v>7.0</v>
      </c>
      <c r="HA164" s="207"/>
      <c r="HB164" s="207"/>
      <c r="HC164" s="207"/>
      <c r="HD164" s="207"/>
      <c r="HE164" s="207"/>
      <c r="HF164" s="207"/>
      <c r="HG164" s="207"/>
      <c r="HH164" s="207">
        <v>1.0</v>
      </c>
      <c r="HI164" s="207"/>
      <c r="HJ164" s="207"/>
      <c r="HK164" s="207"/>
      <c r="HL164" s="207"/>
      <c r="HM164" s="207"/>
      <c r="HN164" s="207"/>
      <c r="HO164" s="222"/>
      <c r="HP164" s="222"/>
      <c r="HQ164" s="214"/>
      <c r="HR164" s="197"/>
      <c r="HS164" s="197"/>
      <c r="HT164" s="198">
        <f t="shared" si="28"/>
        <v>2</v>
      </c>
      <c r="HU164" s="198">
        <f t="shared" si="29"/>
        <v>7</v>
      </c>
      <c r="HV164" s="198">
        <f t="shared" si="30"/>
        <v>5</v>
      </c>
      <c r="HW164" s="198">
        <f t="shared" si="99"/>
        <v>3</v>
      </c>
      <c r="HX164" s="198">
        <f t="shared" si="32"/>
        <v>11</v>
      </c>
      <c r="HY164" s="198">
        <f t="shared" si="33"/>
        <v>15</v>
      </c>
      <c r="HZ164" s="198">
        <f t="shared" si="34"/>
        <v>13</v>
      </c>
      <c r="IA164" s="198">
        <f t="shared" si="35"/>
        <v>15</v>
      </c>
      <c r="IB164" s="198">
        <f t="shared" si="36"/>
        <v>13</v>
      </c>
      <c r="IC164" s="198">
        <f t="shared" si="37"/>
        <v>12</v>
      </c>
      <c r="ID164" s="198">
        <f t="shared" si="38"/>
        <v>10</v>
      </c>
      <c r="IE164" s="198">
        <f t="shared" si="39"/>
        <v>9</v>
      </c>
      <c r="IF164" s="197"/>
      <c r="IG164" s="197"/>
      <c r="IH164" s="197"/>
      <c r="II164" s="197"/>
      <c r="IJ164" s="197"/>
      <c r="IK164" s="197"/>
      <c r="IL164" s="197"/>
      <c r="IM164" s="197"/>
      <c r="IN164" s="197"/>
      <c r="IO164" s="197"/>
      <c r="IP164" s="197"/>
      <c r="IQ164" s="197"/>
      <c r="IR164" s="197"/>
      <c r="IS164" s="197"/>
      <c r="IT164" s="197"/>
      <c r="IU164" s="197"/>
      <c r="IV164" s="197"/>
      <c r="IW164" s="197"/>
      <c r="IX164" s="197"/>
      <c r="IY164" s="197"/>
      <c r="IZ164" s="197"/>
      <c r="JA164" s="199"/>
      <c r="JB164" s="200">
        <f t="shared" si="40"/>
        <v>2</v>
      </c>
      <c r="JC164" s="200">
        <f t="shared" si="41"/>
        <v>7</v>
      </c>
      <c r="JD164" s="200">
        <f t="shared" si="42"/>
        <v>5</v>
      </c>
      <c r="JE164" s="200">
        <f t="shared" si="43"/>
        <v>3</v>
      </c>
      <c r="JF164" s="200">
        <f t="shared" si="44"/>
        <v>11</v>
      </c>
      <c r="JG164" s="200">
        <f t="shared" si="45"/>
        <v>15</v>
      </c>
      <c r="JH164" s="200">
        <f t="shared" si="46"/>
        <v>13</v>
      </c>
      <c r="JI164" s="200">
        <f t="shared" si="47"/>
        <v>15</v>
      </c>
      <c r="JJ164" s="200">
        <f t="shared" si="48"/>
        <v>13</v>
      </c>
      <c r="JK164" s="200">
        <f t="shared" si="49"/>
        <v>14</v>
      </c>
      <c r="JL164" s="200">
        <f t="shared" si="50"/>
        <v>10</v>
      </c>
      <c r="JM164" s="200">
        <f t="shared" si="51"/>
        <v>9</v>
      </c>
      <c r="JN164" s="199"/>
      <c r="JO164" s="200">
        <f t="shared" si="52"/>
        <v>2</v>
      </c>
      <c r="JP164" s="202">
        <v>7.0</v>
      </c>
      <c r="JQ164" s="202">
        <v>5.0</v>
      </c>
      <c r="JR164" s="202">
        <v>3.0</v>
      </c>
      <c r="JS164" s="202">
        <v>11.0</v>
      </c>
      <c r="JT164" s="199"/>
      <c r="JU164" s="199"/>
      <c r="JV164" s="200">
        <f t="shared" ref="JV164:JX164" si="404">IA164-JI164</f>
        <v>0</v>
      </c>
      <c r="JW164" s="200">
        <f t="shared" si="404"/>
        <v>0</v>
      </c>
      <c r="JX164" s="200">
        <f t="shared" si="404"/>
        <v>-2</v>
      </c>
      <c r="JY164" s="199"/>
      <c r="JZ164" s="199"/>
      <c r="KA164" s="199"/>
      <c r="KB164" s="200">
        <f t="shared" ref="KB164:KM164" si="405">JB164-JO164</f>
        <v>0</v>
      </c>
      <c r="KC164" s="200">
        <f t="shared" si="405"/>
        <v>0</v>
      </c>
      <c r="KD164" s="200">
        <f t="shared" si="405"/>
        <v>0</v>
      </c>
      <c r="KE164" s="200">
        <f t="shared" si="405"/>
        <v>0</v>
      </c>
      <c r="KF164" s="200">
        <f t="shared" si="405"/>
        <v>0</v>
      </c>
      <c r="KG164" s="200">
        <f t="shared" si="405"/>
        <v>15</v>
      </c>
      <c r="KH164" s="200">
        <f t="shared" si="405"/>
        <v>13</v>
      </c>
      <c r="KI164" s="200">
        <f t="shared" si="405"/>
        <v>15</v>
      </c>
      <c r="KJ164" s="200">
        <f t="shared" si="405"/>
        <v>13</v>
      </c>
      <c r="KK164" s="200">
        <f t="shared" si="405"/>
        <v>16</v>
      </c>
      <c r="KL164" s="200">
        <f t="shared" si="405"/>
        <v>10</v>
      </c>
      <c r="KM164" s="200">
        <f t="shared" si="405"/>
        <v>9</v>
      </c>
      <c r="KN164" s="199"/>
      <c r="KO164" s="199"/>
      <c r="KP164" s="199"/>
      <c r="KQ164" s="199"/>
      <c r="KR164" s="199"/>
      <c r="KS164" s="199"/>
      <c r="KT164" s="199"/>
      <c r="KU164" s="199"/>
      <c r="KV164" s="199"/>
      <c r="KW164" s="199"/>
      <c r="KX164" s="199"/>
      <c r="KY164" s="199"/>
      <c r="KZ164" s="199"/>
      <c r="LA164" s="199"/>
      <c r="LB164" s="199"/>
      <c r="LC164" s="199"/>
      <c r="LD164" s="199"/>
      <c r="LE164" s="199"/>
      <c r="LF164" s="199"/>
      <c r="LG164" s="199"/>
    </row>
    <row r="165" ht="14.25" customHeight="1">
      <c r="A165" s="156">
        <v>158.0</v>
      </c>
      <c r="B165" s="157" t="s">
        <v>262</v>
      </c>
      <c r="C165" s="158">
        <v>3374010.0</v>
      </c>
      <c r="D165" s="158" t="s">
        <v>262</v>
      </c>
      <c r="E165" s="158" t="s">
        <v>274</v>
      </c>
      <c r="F165" s="159">
        <v>4.0</v>
      </c>
      <c r="G165" s="285">
        <v>250.0</v>
      </c>
      <c r="H165" s="160">
        <v>3.0</v>
      </c>
      <c r="I165" s="161">
        <v>0.0</v>
      </c>
      <c r="J165" s="161">
        <v>0.0</v>
      </c>
      <c r="K165" s="161">
        <v>1.0</v>
      </c>
      <c r="L165" s="161">
        <v>2.0</v>
      </c>
      <c r="M165" s="161">
        <v>0.0</v>
      </c>
      <c r="N165" s="159">
        <v>0.0</v>
      </c>
      <c r="O165" s="162">
        <f t="shared" si="369"/>
        <v>3</v>
      </c>
      <c r="P165" s="203">
        <v>2.0</v>
      </c>
      <c r="Q165" s="164">
        <v>0.0</v>
      </c>
      <c r="R165" s="164">
        <v>0.0</v>
      </c>
      <c r="S165" s="164">
        <v>0.0</v>
      </c>
      <c r="T165" s="165">
        <v>2.0</v>
      </c>
      <c r="U165" s="165">
        <v>0.0</v>
      </c>
      <c r="V165" s="165">
        <v>0.0</v>
      </c>
      <c r="W165" s="166">
        <f t="shared" si="225"/>
        <v>2</v>
      </c>
      <c r="X165" s="203">
        <v>3.0</v>
      </c>
      <c r="Y165" s="165">
        <v>0.0</v>
      </c>
      <c r="Z165" s="165">
        <v>1.0</v>
      </c>
      <c r="AA165" s="165">
        <v>0.0</v>
      </c>
      <c r="AB165" s="165">
        <v>2.0</v>
      </c>
      <c r="AC165" s="165">
        <v>1.0</v>
      </c>
      <c r="AD165" s="165">
        <v>0.0</v>
      </c>
      <c r="AE165" s="166">
        <f t="shared" si="214"/>
        <v>2</v>
      </c>
      <c r="AF165" s="167">
        <v>1.0</v>
      </c>
      <c r="AG165" s="165">
        <v>0.0</v>
      </c>
      <c r="AH165" s="165">
        <v>1.0</v>
      </c>
      <c r="AI165" s="165">
        <v>0.0</v>
      </c>
      <c r="AJ165" s="165">
        <v>0.0</v>
      </c>
      <c r="AK165" s="165">
        <v>1.0</v>
      </c>
      <c r="AL165" s="165">
        <v>0.0</v>
      </c>
      <c r="AM165" s="166">
        <f t="shared" si="370"/>
        <v>0</v>
      </c>
      <c r="AN165" s="167">
        <v>9.0</v>
      </c>
      <c r="AO165" s="165">
        <v>0.0</v>
      </c>
      <c r="AP165" s="165">
        <v>0.0</v>
      </c>
      <c r="AQ165" s="165">
        <v>0.0</v>
      </c>
      <c r="AR165" s="165">
        <v>9.0</v>
      </c>
      <c r="AS165" s="165">
        <v>3.0</v>
      </c>
      <c r="AT165" s="171">
        <v>0.0</v>
      </c>
      <c r="AU165" s="168">
        <f t="shared" si="375"/>
        <v>6</v>
      </c>
      <c r="AV165" s="169">
        <v>237.0</v>
      </c>
      <c r="AW165" s="204">
        <f t="shared" si="8"/>
        <v>6</v>
      </c>
      <c r="AX165" s="169">
        <v>0.0</v>
      </c>
      <c r="AY165" s="169">
        <v>0.0</v>
      </c>
      <c r="AZ165" s="169">
        <v>0.0</v>
      </c>
      <c r="BA165" s="169">
        <v>5.0</v>
      </c>
      <c r="BB165" s="197"/>
      <c r="BC165" s="197"/>
      <c r="BD165" s="169">
        <v>1.0</v>
      </c>
      <c r="BE165" s="197"/>
      <c r="BF165" s="197"/>
      <c r="BG165" s="197"/>
      <c r="BH165" s="197"/>
      <c r="BI165" s="169">
        <v>3.0</v>
      </c>
      <c r="BJ165" s="197"/>
      <c r="BK165" s="197"/>
      <c r="BL165" s="197"/>
      <c r="BM165" s="197"/>
      <c r="BN165" s="197"/>
      <c r="BO165" s="197"/>
      <c r="BP165" s="205">
        <f t="shared" si="131"/>
        <v>3</v>
      </c>
      <c r="BQ165" s="169">
        <v>237.0</v>
      </c>
      <c r="BR165" s="170">
        <f t="shared" si="10"/>
        <v>5</v>
      </c>
      <c r="BS165" s="173">
        <v>0.0</v>
      </c>
      <c r="BT165" s="173">
        <v>0.0</v>
      </c>
      <c r="BU165" s="173">
        <v>0.0</v>
      </c>
      <c r="BV165" s="173">
        <v>5.0</v>
      </c>
      <c r="BW165" s="173">
        <v>0.0</v>
      </c>
      <c r="BX165" s="173">
        <v>0.0</v>
      </c>
      <c r="BY165" s="173">
        <v>0.0</v>
      </c>
      <c r="BZ165" s="173">
        <v>0.0</v>
      </c>
      <c r="CA165" s="173">
        <v>0.0</v>
      </c>
      <c r="CB165" s="173">
        <v>0.0</v>
      </c>
      <c r="CC165" s="173">
        <v>1.0</v>
      </c>
      <c r="CD165" s="173">
        <v>0.0</v>
      </c>
      <c r="CE165" s="173">
        <v>0.0</v>
      </c>
      <c r="CF165" s="173">
        <v>0.0</v>
      </c>
      <c r="CG165" s="173">
        <v>0.0</v>
      </c>
      <c r="CH165" s="173">
        <v>0.0</v>
      </c>
      <c r="CI165" s="173">
        <v>0.0</v>
      </c>
      <c r="CJ165" s="173">
        <v>0.0</v>
      </c>
      <c r="CK165" s="172">
        <f t="shared" si="132"/>
        <v>1</v>
      </c>
      <c r="CL165" s="173">
        <v>254.0</v>
      </c>
      <c r="CM165" s="173">
        <v>82.0</v>
      </c>
      <c r="CN165" s="175">
        <f t="shared" si="295"/>
        <v>5</v>
      </c>
      <c r="CO165" s="173">
        <v>0.0</v>
      </c>
      <c r="CP165" s="173">
        <v>0.0</v>
      </c>
      <c r="CQ165" s="173">
        <v>0.0</v>
      </c>
      <c r="CR165" s="173">
        <v>4.0</v>
      </c>
      <c r="CS165" s="173">
        <v>0.0</v>
      </c>
      <c r="CT165" s="173">
        <v>0.0</v>
      </c>
      <c r="CU165" s="173">
        <v>1.0</v>
      </c>
      <c r="CV165" s="173">
        <v>0.0</v>
      </c>
      <c r="CW165" s="173">
        <v>0.0</v>
      </c>
      <c r="CX165" s="173">
        <v>0.0</v>
      </c>
      <c r="CY165" s="173">
        <v>0.0</v>
      </c>
      <c r="CZ165" s="173">
        <v>1.0</v>
      </c>
      <c r="DA165" s="173">
        <v>0.0</v>
      </c>
      <c r="DB165" s="173">
        <v>0.0</v>
      </c>
      <c r="DC165" s="173">
        <v>0.0</v>
      </c>
      <c r="DD165" s="173">
        <v>0.0</v>
      </c>
      <c r="DE165" s="173">
        <v>0.0</v>
      </c>
      <c r="DF165" s="173">
        <v>0.0</v>
      </c>
      <c r="DG165" s="176">
        <f t="shared" si="13"/>
        <v>1</v>
      </c>
      <c r="DH165" s="177">
        <v>247.0</v>
      </c>
      <c r="DI165" s="177">
        <v>73.0</v>
      </c>
      <c r="DJ165" s="178">
        <v>239.0</v>
      </c>
      <c r="DK165" s="178">
        <v>62.0</v>
      </c>
      <c r="DL165" s="179">
        <f t="shared" si="14"/>
        <v>6</v>
      </c>
      <c r="DM165" s="180">
        <f t="shared" si="15"/>
        <v>0</v>
      </c>
      <c r="DN165" s="180">
        <f t="shared" si="16"/>
        <v>6</v>
      </c>
      <c r="DO165" s="226"/>
      <c r="DP165" s="226"/>
      <c r="DQ165" s="226"/>
      <c r="DR165" s="177">
        <v>5.0</v>
      </c>
      <c r="DS165" s="226"/>
      <c r="DT165" s="226"/>
      <c r="DU165" s="226"/>
      <c r="DV165" s="177">
        <v>1.0</v>
      </c>
      <c r="DW165" s="226"/>
      <c r="DX165" s="226"/>
      <c r="DY165" s="226"/>
      <c r="DZ165" s="226"/>
      <c r="EA165" s="226"/>
      <c r="EB165" s="226"/>
      <c r="EC165" s="226"/>
      <c r="ED165" s="226"/>
      <c r="EE165" s="226"/>
      <c r="EF165" s="226"/>
      <c r="EG165" s="179">
        <f t="shared" si="17"/>
        <v>0</v>
      </c>
      <c r="EH165" s="179">
        <f t="shared" si="18"/>
        <v>0</v>
      </c>
      <c r="EI165" s="177">
        <v>240.0</v>
      </c>
      <c r="EJ165" s="177">
        <v>66.0</v>
      </c>
      <c r="EK165" s="178">
        <v>229.0</v>
      </c>
      <c r="EL165" s="178">
        <v>56.0</v>
      </c>
      <c r="EM165" s="185">
        <f t="shared" si="362"/>
        <v>4</v>
      </c>
      <c r="EN165" s="186">
        <f t="shared" si="202"/>
        <v>0</v>
      </c>
      <c r="EO165" s="186">
        <f t="shared" si="90"/>
        <v>4</v>
      </c>
      <c r="EP165" s="177">
        <v>0.0</v>
      </c>
      <c r="EQ165" s="177">
        <v>0.0</v>
      </c>
      <c r="ER165" s="177">
        <v>0.0</v>
      </c>
      <c r="ES165" s="177">
        <v>4.0</v>
      </c>
      <c r="ET165" s="177">
        <v>0.0</v>
      </c>
      <c r="EU165" s="177">
        <v>0.0</v>
      </c>
      <c r="EV165" s="177">
        <v>0.0</v>
      </c>
      <c r="EW165" s="177">
        <v>0.0</v>
      </c>
      <c r="EX165" s="177">
        <v>0.0</v>
      </c>
      <c r="EY165" s="177">
        <v>0.0</v>
      </c>
      <c r="EZ165" s="177">
        <v>0.0</v>
      </c>
      <c r="FA165" s="177">
        <v>0.0</v>
      </c>
      <c r="FB165" s="177">
        <v>0.0</v>
      </c>
      <c r="FC165" s="177">
        <v>0.0</v>
      </c>
      <c r="FD165" s="177">
        <v>0.0</v>
      </c>
      <c r="FE165" s="177">
        <v>1.0</v>
      </c>
      <c r="FF165" s="177">
        <v>1.0</v>
      </c>
      <c r="FG165" s="177">
        <v>0.0</v>
      </c>
      <c r="FH165" s="185">
        <f t="shared" si="22"/>
        <v>2</v>
      </c>
      <c r="FI165" s="185">
        <f t="shared" si="23"/>
        <v>0</v>
      </c>
      <c r="FJ165" s="177">
        <v>236.0</v>
      </c>
      <c r="FK165" s="177">
        <v>62.0</v>
      </c>
      <c r="FL165" s="177">
        <v>232.0</v>
      </c>
      <c r="FM165" s="177">
        <v>59.0</v>
      </c>
      <c r="FN165" s="210"/>
      <c r="FO165" s="210">
        <v>3.0</v>
      </c>
      <c r="FP165" s="243">
        <v>3.0</v>
      </c>
      <c r="FQ165" s="211">
        <v>0.0</v>
      </c>
      <c r="FR165" s="212">
        <v>3.0</v>
      </c>
      <c r="FS165" s="335"/>
      <c r="FT165" s="293"/>
      <c r="FU165" s="293"/>
      <c r="FV165" s="207">
        <v>3.0</v>
      </c>
      <c r="FW165" s="207">
        <v>0.0</v>
      </c>
      <c r="FX165" s="207">
        <v>0.0</v>
      </c>
      <c r="FY165" s="207">
        <v>0.0</v>
      </c>
      <c r="FZ165" s="207">
        <v>0.0</v>
      </c>
      <c r="GA165" s="293"/>
      <c r="GB165" s="293"/>
      <c r="GC165" s="293"/>
      <c r="GD165" s="207">
        <v>1.0</v>
      </c>
      <c r="GE165" s="293"/>
      <c r="GF165" s="293"/>
      <c r="GG165" s="293"/>
      <c r="GH165" s="293"/>
      <c r="GI165" s="293"/>
      <c r="GJ165" s="293"/>
      <c r="GK165" s="212">
        <v>1.0</v>
      </c>
      <c r="GL165" s="212">
        <v>0.0</v>
      </c>
      <c r="GM165" s="207">
        <v>235.0</v>
      </c>
      <c r="GN165" s="207">
        <v>59.0</v>
      </c>
      <c r="GO165" s="213">
        <v>229.0</v>
      </c>
      <c r="GP165" s="213">
        <v>54.0</v>
      </c>
      <c r="GQ165" s="207"/>
      <c r="GR165" s="213">
        <v>3.0</v>
      </c>
      <c r="GS165" s="193">
        <v>0.0</v>
      </c>
      <c r="GT165" s="194">
        <f t="shared" si="25"/>
        <v>3</v>
      </c>
      <c r="GU165" s="194">
        <f t="shared" si="26"/>
        <v>0</v>
      </c>
      <c r="GV165" s="194">
        <f t="shared" si="27"/>
        <v>3</v>
      </c>
      <c r="GW165" s="207"/>
      <c r="GX165" s="207"/>
      <c r="GY165" s="490"/>
      <c r="GZ165" s="207">
        <v>3.0</v>
      </c>
      <c r="HA165" s="207"/>
      <c r="HB165" s="207"/>
      <c r="HC165" s="207"/>
      <c r="HD165" s="207"/>
      <c r="HE165" s="207"/>
      <c r="HF165" s="207"/>
      <c r="HG165" s="207"/>
      <c r="HH165" s="207"/>
      <c r="HI165" s="207"/>
      <c r="HJ165" s="207"/>
      <c r="HK165" s="207"/>
      <c r="HL165" s="207"/>
      <c r="HM165" s="207"/>
      <c r="HN165" s="207"/>
      <c r="HO165" s="222"/>
      <c r="HP165" s="222"/>
      <c r="HQ165" s="214"/>
      <c r="HR165" s="197"/>
      <c r="HS165" s="197"/>
      <c r="HT165" s="198">
        <f t="shared" si="28"/>
        <v>3</v>
      </c>
      <c r="HU165" s="198">
        <f t="shared" si="29"/>
        <v>2</v>
      </c>
      <c r="HV165" s="198">
        <f t="shared" si="30"/>
        <v>3</v>
      </c>
      <c r="HW165" s="198">
        <f t="shared" si="99"/>
        <v>1</v>
      </c>
      <c r="HX165" s="198">
        <f t="shared" si="32"/>
        <v>9</v>
      </c>
      <c r="HY165" s="198">
        <f t="shared" si="33"/>
        <v>6</v>
      </c>
      <c r="HZ165" s="198">
        <f t="shared" si="34"/>
        <v>5</v>
      </c>
      <c r="IA165" s="198">
        <f t="shared" si="35"/>
        <v>5</v>
      </c>
      <c r="IB165" s="198">
        <f t="shared" si="36"/>
        <v>6</v>
      </c>
      <c r="IC165" s="198">
        <f t="shared" si="37"/>
        <v>4</v>
      </c>
      <c r="ID165" s="198">
        <f t="shared" si="38"/>
        <v>3</v>
      </c>
      <c r="IE165" s="198">
        <f t="shared" si="39"/>
        <v>3</v>
      </c>
      <c r="IF165" s="197"/>
      <c r="IG165" s="197"/>
      <c r="IH165" s="197"/>
      <c r="II165" s="197"/>
      <c r="IJ165" s="197"/>
      <c r="IK165" s="197"/>
      <c r="IL165" s="197"/>
      <c r="IM165" s="197"/>
      <c r="IN165" s="197"/>
      <c r="IO165" s="197"/>
      <c r="IP165" s="197"/>
      <c r="IQ165" s="197"/>
      <c r="IR165" s="197"/>
      <c r="IS165" s="197"/>
      <c r="IT165" s="197"/>
      <c r="IU165" s="197"/>
      <c r="IV165" s="197"/>
      <c r="IW165" s="197"/>
      <c r="IX165" s="197"/>
      <c r="IY165" s="197"/>
      <c r="IZ165" s="197"/>
      <c r="JA165" s="199"/>
      <c r="JB165" s="200">
        <f t="shared" si="40"/>
        <v>3</v>
      </c>
      <c r="JC165" s="200">
        <f t="shared" si="41"/>
        <v>2</v>
      </c>
      <c r="JD165" s="200">
        <f t="shared" si="42"/>
        <v>3</v>
      </c>
      <c r="JE165" s="200">
        <f t="shared" si="43"/>
        <v>1</v>
      </c>
      <c r="JF165" s="200">
        <f t="shared" si="44"/>
        <v>9</v>
      </c>
      <c r="JG165" s="200">
        <f t="shared" si="45"/>
        <v>6</v>
      </c>
      <c r="JH165" s="200">
        <f t="shared" si="46"/>
        <v>5</v>
      </c>
      <c r="JI165" s="200">
        <f t="shared" si="47"/>
        <v>5</v>
      </c>
      <c r="JJ165" s="200">
        <f t="shared" si="48"/>
        <v>6</v>
      </c>
      <c r="JK165" s="200">
        <f t="shared" si="49"/>
        <v>4</v>
      </c>
      <c r="JL165" s="200">
        <f t="shared" si="50"/>
        <v>3</v>
      </c>
      <c r="JM165" s="200">
        <f t="shared" si="51"/>
        <v>3</v>
      </c>
      <c r="JN165" s="199"/>
      <c r="JO165" s="200">
        <f t="shared" si="52"/>
        <v>3</v>
      </c>
      <c r="JP165" s="202">
        <v>2.0</v>
      </c>
      <c r="JQ165" s="202">
        <v>3.0</v>
      </c>
      <c r="JR165" s="202">
        <v>1.0</v>
      </c>
      <c r="JS165" s="202">
        <v>9.0</v>
      </c>
      <c r="JT165" s="199"/>
      <c r="JU165" s="199"/>
      <c r="JV165" s="200">
        <f t="shared" ref="JV165:JX165" si="406">IA165-JI165</f>
        <v>0</v>
      </c>
      <c r="JW165" s="200">
        <f t="shared" si="406"/>
        <v>0</v>
      </c>
      <c r="JX165" s="200">
        <f t="shared" si="406"/>
        <v>0</v>
      </c>
      <c r="JY165" s="199"/>
      <c r="JZ165" s="199"/>
      <c r="KA165" s="199"/>
      <c r="KB165" s="200">
        <f t="shared" ref="KB165:KM165" si="407">JB165-JO165</f>
        <v>0</v>
      </c>
      <c r="KC165" s="200">
        <f t="shared" si="407"/>
        <v>0</v>
      </c>
      <c r="KD165" s="200">
        <f t="shared" si="407"/>
        <v>0</v>
      </c>
      <c r="KE165" s="200">
        <f t="shared" si="407"/>
        <v>0</v>
      </c>
      <c r="KF165" s="200">
        <f t="shared" si="407"/>
        <v>0</v>
      </c>
      <c r="KG165" s="200">
        <f t="shared" si="407"/>
        <v>6</v>
      </c>
      <c r="KH165" s="200">
        <f t="shared" si="407"/>
        <v>5</v>
      </c>
      <c r="KI165" s="200">
        <f t="shared" si="407"/>
        <v>5</v>
      </c>
      <c r="KJ165" s="200">
        <f t="shared" si="407"/>
        <v>6</v>
      </c>
      <c r="KK165" s="200">
        <f t="shared" si="407"/>
        <v>4</v>
      </c>
      <c r="KL165" s="200">
        <f t="shared" si="407"/>
        <v>3</v>
      </c>
      <c r="KM165" s="200">
        <f t="shared" si="407"/>
        <v>3</v>
      </c>
      <c r="KN165" s="199"/>
      <c r="KO165" s="199"/>
      <c r="KP165" s="199"/>
      <c r="KQ165" s="199"/>
      <c r="KR165" s="199"/>
      <c r="KS165" s="199"/>
      <c r="KT165" s="199"/>
      <c r="KU165" s="199"/>
      <c r="KV165" s="199"/>
      <c r="KW165" s="199"/>
      <c r="KX165" s="199"/>
      <c r="KY165" s="199"/>
      <c r="KZ165" s="199"/>
      <c r="LA165" s="199"/>
      <c r="LB165" s="199"/>
      <c r="LC165" s="199"/>
      <c r="LD165" s="199"/>
      <c r="LE165" s="199"/>
      <c r="LF165" s="199"/>
      <c r="LG165" s="199"/>
    </row>
    <row r="166" ht="14.25" customHeight="1">
      <c r="A166" s="156">
        <v>159.0</v>
      </c>
      <c r="B166" s="157" t="s">
        <v>262</v>
      </c>
      <c r="C166" s="158">
        <v>3374010.0</v>
      </c>
      <c r="D166" s="158" t="s">
        <v>262</v>
      </c>
      <c r="E166" s="158" t="s">
        <v>275</v>
      </c>
      <c r="F166" s="159">
        <v>15.0</v>
      </c>
      <c r="G166" s="285">
        <v>821.0</v>
      </c>
      <c r="H166" s="160">
        <v>2.0</v>
      </c>
      <c r="I166" s="161">
        <v>0.0</v>
      </c>
      <c r="J166" s="161">
        <v>0.0</v>
      </c>
      <c r="K166" s="161">
        <v>2.0</v>
      </c>
      <c r="L166" s="161">
        <v>0.0</v>
      </c>
      <c r="M166" s="161">
        <v>0.0</v>
      </c>
      <c r="N166" s="159">
        <v>0.0</v>
      </c>
      <c r="O166" s="162">
        <f t="shared" si="369"/>
        <v>2</v>
      </c>
      <c r="P166" s="203">
        <v>6.0</v>
      </c>
      <c r="Q166" s="491">
        <v>0.0</v>
      </c>
      <c r="R166" s="491">
        <v>0.0</v>
      </c>
      <c r="S166" s="491">
        <v>2.0</v>
      </c>
      <c r="T166" s="259">
        <v>4.0</v>
      </c>
      <c r="U166" s="165">
        <v>0.0</v>
      </c>
      <c r="V166" s="165">
        <v>4.0</v>
      </c>
      <c r="W166" s="166">
        <f t="shared" si="225"/>
        <v>2</v>
      </c>
      <c r="X166" s="203">
        <v>1.0</v>
      </c>
      <c r="Y166" s="165">
        <v>0.0</v>
      </c>
      <c r="Z166" s="165">
        <v>0.0</v>
      </c>
      <c r="AA166" s="165">
        <v>1.0</v>
      </c>
      <c r="AB166" s="165">
        <v>0.0</v>
      </c>
      <c r="AC166" s="165">
        <v>0.0</v>
      </c>
      <c r="AD166" s="165">
        <v>0.0</v>
      </c>
      <c r="AE166" s="166">
        <f t="shared" si="214"/>
        <v>1</v>
      </c>
      <c r="AF166" s="167">
        <v>2.0</v>
      </c>
      <c r="AG166" s="165">
        <v>0.0</v>
      </c>
      <c r="AH166" s="165">
        <v>0.0</v>
      </c>
      <c r="AI166" s="165">
        <v>1.0</v>
      </c>
      <c r="AJ166" s="165">
        <v>1.0</v>
      </c>
      <c r="AK166" s="165">
        <v>0.0</v>
      </c>
      <c r="AL166" s="165">
        <v>0.0</v>
      </c>
      <c r="AM166" s="166">
        <f t="shared" si="370"/>
        <v>2</v>
      </c>
      <c r="AN166" s="167">
        <v>8.0</v>
      </c>
      <c r="AO166" s="165">
        <v>0.0</v>
      </c>
      <c r="AP166" s="165">
        <v>1.0</v>
      </c>
      <c r="AQ166" s="165">
        <v>3.0</v>
      </c>
      <c r="AR166" s="165">
        <v>4.0</v>
      </c>
      <c r="AS166" s="165">
        <v>5.0</v>
      </c>
      <c r="AT166" s="171">
        <v>0.0</v>
      </c>
      <c r="AU166" s="168">
        <f t="shared" si="375"/>
        <v>3</v>
      </c>
      <c r="AV166" s="169">
        <v>793.0</v>
      </c>
      <c r="AW166" s="204">
        <f t="shared" si="8"/>
        <v>6</v>
      </c>
      <c r="AX166" s="169">
        <v>0.0</v>
      </c>
      <c r="AY166" s="169">
        <v>1.0</v>
      </c>
      <c r="AZ166" s="169">
        <v>1.0</v>
      </c>
      <c r="BA166" s="169">
        <v>4.0</v>
      </c>
      <c r="BB166" s="197"/>
      <c r="BC166" s="197"/>
      <c r="BD166" s="197"/>
      <c r="BE166" s="197"/>
      <c r="BF166" s="197"/>
      <c r="BG166" s="197"/>
      <c r="BH166" s="169">
        <v>2.0</v>
      </c>
      <c r="BI166" s="197"/>
      <c r="BJ166" s="197"/>
      <c r="BK166" s="197"/>
      <c r="BL166" s="197"/>
      <c r="BM166" s="197"/>
      <c r="BN166" s="197"/>
      <c r="BO166" s="197"/>
      <c r="BP166" s="205">
        <f t="shared" si="131"/>
        <v>2</v>
      </c>
      <c r="BQ166" s="169">
        <v>795.0</v>
      </c>
      <c r="BR166" s="170">
        <f t="shared" si="10"/>
        <v>6</v>
      </c>
      <c r="BS166" s="173">
        <v>0.0</v>
      </c>
      <c r="BT166" s="173">
        <v>0.0</v>
      </c>
      <c r="BU166" s="173">
        <v>1.0</v>
      </c>
      <c r="BV166" s="173">
        <v>4.0</v>
      </c>
      <c r="BW166" s="173">
        <v>0.0</v>
      </c>
      <c r="BX166" s="173">
        <v>0.0</v>
      </c>
      <c r="BY166" s="173">
        <v>0.0</v>
      </c>
      <c r="BZ166" s="173">
        <v>1.0</v>
      </c>
      <c r="CA166" s="173">
        <v>0.0</v>
      </c>
      <c r="CB166" s="173">
        <v>1.0</v>
      </c>
      <c r="CC166" s="173">
        <v>0.0</v>
      </c>
      <c r="CD166" s="173">
        <v>0.0</v>
      </c>
      <c r="CE166" s="173">
        <v>0.0</v>
      </c>
      <c r="CF166" s="173">
        <v>0.0</v>
      </c>
      <c r="CG166" s="173">
        <v>0.0</v>
      </c>
      <c r="CH166" s="173">
        <v>0.0</v>
      </c>
      <c r="CI166" s="173">
        <v>0.0</v>
      </c>
      <c r="CJ166" s="173">
        <v>0.0</v>
      </c>
      <c r="CK166" s="172">
        <f t="shared" si="132"/>
        <v>1</v>
      </c>
      <c r="CL166" s="173">
        <v>825.0</v>
      </c>
      <c r="CM166" s="173">
        <v>234.0</v>
      </c>
      <c r="CN166" s="175">
        <f t="shared" si="295"/>
        <v>6</v>
      </c>
      <c r="CO166" s="173">
        <v>0.0</v>
      </c>
      <c r="CP166" s="173">
        <v>0.0</v>
      </c>
      <c r="CQ166" s="173">
        <v>0.0</v>
      </c>
      <c r="CR166" s="173">
        <v>0.0</v>
      </c>
      <c r="CS166" s="173">
        <v>0.0</v>
      </c>
      <c r="CT166" s="173">
        <v>0.0</v>
      </c>
      <c r="CU166" s="173">
        <v>1.0</v>
      </c>
      <c r="CV166" s="173">
        <v>5.0</v>
      </c>
      <c r="CW166" s="173">
        <v>0.0</v>
      </c>
      <c r="CX166" s="173">
        <v>0.0</v>
      </c>
      <c r="CY166" s="173">
        <v>0.0</v>
      </c>
      <c r="CZ166" s="173">
        <v>0.0</v>
      </c>
      <c r="DA166" s="173">
        <v>0.0</v>
      </c>
      <c r="DB166" s="173">
        <v>0.0</v>
      </c>
      <c r="DC166" s="173">
        <v>0.0</v>
      </c>
      <c r="DD166" s="173">
        <v>0.0</v>
      </c>
      <c r="DE166" s="173">
        <v>0.0</v>
      </c>
      <c r="DF166" s="173">
        <v>0.0</v>
      </c>
      <c r="DG166" s="176">
        <f t="shared" si="13"/>
        <v>0</v>
      </c>
      <c r="DH166" s="177">
        <v>807.0</v>
      </c>
      <c r="DI166" s="177">
        <v>242.0</v>
      </c>
      <c r="DJ166" s="178">
        <v>763.0</v>
      </c>
      <c r="DK166" s="178">
        <v>199.0</v>
      </c>
      <c r="DL166" s="179">
        <f t="shared" si="14"/>
        <v>9</v>
      </c>
      <c r="DM166" s="180">
        <f t="shared" si="15"/>
        <v>4</v>
      </c>
      <c r="DN166" s="180">
        <f t="shared" si="16"/>
        <v>5</v>
      </c>
      <c r="DO166" s="226"/>
      <c r="DP166" s="226"/>
      <c r="DQ166" s="177">
        <v>1.0</v>
      </c>
      <c r="DR166" s="177">
        <v>5.0</v>
      </c>
      <c r="DS166" s="226"/>
      <c r="DT166" s="177">
        <v>2.0</v>
      </c>
      <c r="DU166" s="177">
        <v>1.0</v>
      </c>
      <c r="DV166" s="226"/>
      <c r="DW166" s="226"/>
      <c r="DX166" s="226"/>
      <c r="DY166" s="226"/>
      <c r="DZ166" s="226"/>
      <c r="EA166" s="226"/>
      <c r="EB166" s="226"/>
      <c r="EC166" s="226"/>
      <c r="ED166" s="226"/>
      <c r="EE166" s="226"/>
      <c r="EF166" s="226"/>
      <c r="EG166" s="179">
        <f t="shared" si="17"/>
        <v>0</v>
      </c>
      <c r="EH166" s="179">
        <f t="shared" si="18"/>
        <v>0</v>
      </c>
      <c r="EI166" s="177">
        <v>785.0</v>
      </c>
      <c r="EJ166" s="177">
        <v>245.0</v>
      </c>
      <c r="EK166" s="178">
        <v>747.0</v>
      </c>
      <c r="EL166" s="178">
        <v>225.0</v>
      </c>
      <c r="EM166" s="185">
        <f t="shared" si="362"/>
        <v>6</v>
      </c>
      <c r="EN166" s="186">
        <f t="shared" si="202"/>
        <v>1</v>
      </c>
      <c r="EO166" s="186">
        <f t="shared" si="90"/>
        <v>5</v>
      </c>
      <c r="EP166" s="177">
        <v>0.0</v>
      </c>
      <c r="EQ166" s="177">
        <v>0.0</v>
      </c>
      <c r="ER166" s="177">
        <v>1.0</v>
      </c>
      <c r="ES166" s="177">
        <v>4.0</v>
      </c>
      <c r="ET166" s="177">
        <v>0.0</v>
      </c>
      <c r="EU166" s="177">
        <v>0.0</v>
      </c>
      <c r="EV166" s="177">
        <v>0.0</v>
      </c>
      <c r="EW166" s="177">
        <v>1.0</v>
      </c>
      <c r="EX166" s="177">
        <v>0.0</v>
      </c>
      <c r="EY166" s="177">
        <v>0.0</v>
      </c>
      <c r="EZ166" s="177">
        <v>1.0</v>
      </c>
      <c r="FA166" s="177">
        <v>1.0</v>
      </c>
      <c r="FB166" s="177">
        <v>0.0</v>
      </c>
      <c r="FC166" s="177">
        <v>2.0</v>
      </c>
      <c r="FD166" s="177">
        <v>0.0</v>
      </c>
      <c r="FE166" s="177">
        <v>0.0</v>
      </c>
      <c r="FF166" s="177">
        <v>0.0</v>
      </c>
      <c r="FG166" s="177">
        <v>0.0</v>
      </c>
      <c r="FH166" s="185">
        <f t="shared" si="22"/>
        <v>4</v>
      </c>
      <c r="FI166" s="185">
        <f t="shared" si="23"/>
        <v>3</v>
      </c>
      <c r="FJ166" s="177">
        <v>776.0</v>
      </c>
      <c r="FK166" s="177">
        <v>245.0</v>
      </c>
      <c r="FL166" s="177">
        <v>651.0</v>
      </c>
      <c r="FM166" s="177">
        <v>206.0</v>
      </c>
      <c r="FN166" s="210"/>
      <c r="FO166" s="210">
        <v>6.0</v>
      </c>
      <c r="FP166" s="243">
        <v>6.0</v>
      </c>
      <c r="FQ166" s="211">
        <v>1.0</v>
      </c>
      <c r="FR166" s="212">
        <v>5.0</v>
      </c>
      <c r="FS166" s="335"/>
      <c r="FT166" s="293"/>
      <c r="FU166" s="207">
        <v>1.0</v>
      </c>
      <c r="FV166" s="207">
        <v>5.0</v>
      </c>
      <c r="FW166" s="207">
        <v>0.0</v>
      </c>
      <c r="FX166" s="207">
        <v>0.0</v>
      </c>
      <c r="FY166" s="207">
        <v>0.0</v>
      </c>
      <c r="FZ166" s="207">
        <v>0.0</v>
      </c>
      <c r="GA166" s="293"/>
      <c r="GB166" s="293"/>
      <c r="GC166" s="293"/>
      <c r="GD166" s="207">
        <v>0.0</v>
      </c>
      <c r="GE166" s="293"/>
      <c r="GF166" s="293"/>
      <c r="GG166" s="293"/>
      <c r="GH166" s="293"/>
      <c r="GI166" s="293"/>
      <c r="GJ166" s="293"/>
      <c r="GK166" s="212">
        <v>0.0</v>
      </c>
      <c r="GL166" s="212">
        <v>0.0</v>
      </c>
      <c r="GM166" s="207">
        <v>771.0</v>
      </c>
      <c r="GN166" s="207">
        <v>244.0</v>
      </c>
      <c r="GO166" s="213">
        <v>709.0</v>
      </c>
      <c r="GP166" s="213">
        <v>221.0</v>
      </c>
      <c r="GQ166" s="207"/>
      <c r="GR166" s="213">
        <v>8.0</v>
      </c>
      <c r="GS166" s="193">
        <v>3.0</v>
      </c>
      <c r="GT166" s="194">
        <f t="shared" si="25"/>
        <v>8</v>
      </c>
      <c r="GU166" s="194">
        <f t="shared" si="26"/>
        <v>3</v>
      </c>
      <c r="GV166" s="194">
        <f t="shared" si="27"/>
        <v>5</v>
      </c>
      <c r="GW166" s="207"/>
      <c r="GX166" s="207"/>
      <c r="GY166" s="207">
        <v>1.0</v>
      </c>
      <c r="GZ166" s="207">
        <v>5.0</v>
      </c>
      <c r="HA166" s="207"/>
      <c r="HB166" s="207">
        <v>1.0</v>
      </c>
      <c r="HC166" s="207">
        <v>1.0</v>
      </c>
      <c r="HD166" s="207"/>
      <c r="HE166" s="207"/>
      <c r="HF166" s="207"/>
      <c r="HG166" s="207"/>
      <c r="HH166" s="207"/>
      <c r="HI166" s="207"/>
      <c r="HJ166" s="207"/>
      <c r="HK166" s="207"/>
      <c r="HL166" s="207"/>
      <c r="HM166" s="207"/>
      <c r="HN166" s="207"/>
      <c r="HO166" s="222"/>
      <c r="HP166" s="222"/>
      <c r="HQ166" s="214"/>
      <c r="HR166" s="197"/>
      <c r="HS166" s="197"/>
      <c r="HT166" s="198">
        <f t="shared" si="28"/>
        <v>2</v>
      </c>
      <c r="HU166" s="198">
        <f t="shared" si="29"/>
        <v>6</v>
      </c>
      <c r="HV166" s="198">
        <f t="shared" si="30"/>
        <v>1</v>
      </c>
      <c r="HW166" s="198">
        <f t="shared" si="99"/>
        <v>2</v>
      </c>
      <c r="HX166" s="198">
        <f t="shared" si="32"/>
        <v>8</v>
      </c>
      <c r="HY166" s="198">
        <f t="shared" si="33"/>
        <v>6</v>
      </c>
      <c r="HZ166" s="198">
        <f t="shared" si="34"/>
        <v>6</v>
      </c>
      <c r="IA166" s="198">
        <f t="shared" si="35"/>
        <v>6</v>
      </c>
      <c r="IB166" s="198">
        <f t="shared" si="36"/>
        <v>9</v>
      </c>
      <c r="IC166" s="198">
        <f t="shared" si="37"/>
        <v>6</v>
      </c>
      <c r="ID166" s="198">
        <f t="shared" si="38"/>
        <v>6</v>
      </c>
      <c r="IE166" s="198">
        <f t="shared" si="39"/>
        <v>8</v>
      </c>
      <c r="IF166" s="197"/>
      <c r="IG166" s="197"/>
      <c r="IH166" s="197"/>
      <c r="II166" s="197"/>
      <c r="IJ166" s="197"/>
      <c r="IK166" s="197"/>
      <c r="IL166" s="197"/>
      <c r="IM166" s="197"/>
      <c r="IN166" s="197"/>
      <c r="IO166" s="197"/>
      <c r="IP166" s="197"/>
      <c r="IQ166" s="197"/>
      <c r="IR166" s="197"/>
      <c r="IS166" s="197"/>
      <c r="IT166" s="197"/>
      <c r="IU166" s="197"/>
      <c r="IV166" s="197"/>
      <c r="IW166" s="197"/>
      <c r="IX166" s="197"/>
      <c r="IY166" s="197"/>
      <c r="IZ166" s="197"/>
      <c r="JA166" s="199"/>
      <c r="JB166" s="200">
        <f t="shared" si="40"/>
        <v>2</v>
      </c>
      <c r="JC166" s="200">
        <f t="shared" si="41"/>
        <v>6</v>
      </c>
      <c r="JD166" s="200">
        <f t="shared" si="42"/>
        <v>1</v>
      </c>
      <c r="JE166" s="200">
        <f t="shared" si="43"/>
        <v>2</v>
      </c>
      <c r="JF166" s="200">
        <f t="shared" si="44"/>
        <v>8</v>
      </c>
      <c r="JG166" s="200">
        <f t="shared" si="45"/>
        <v>6</v>
      </c>
      <c r="JH166" s="200">
        <f t="shared" si="46"/>
        <v>6</v>
      </c>
      <c r="JI166" s="200">
        <f t="shared" si="47"/>
        <v>6</v>
      </c>
      <c r="JJ166" s="200">
        <f t="shared" si="48"/>
        <v>9</v>
      </c>
      <c r="JK166" s="200">
        <f t="shared" si="49"/>
        <v>8</v>
      </c>
      <c r="JL166" s="200">
        <f t="shared" si="50"/>
        <v>6</v>
      </c>
      <c r="JM166" s="200">
        <f t="shared" si="51"/>
        <v>8</v>
      </c>
      <c r="JN166" s="199"/>
      <c r="JO166" s="200">
        <f t="shared" si="52"/>
        <v>2</v>
      </c>
      <c r="JP166" s="202">
        <v>6.0</v>
      </c>
      <c r="JQ166" s="202">
        <v>1.0</v>
      </c>
      <c r="JR166" s="202">
        <v>2.0</v>
      </c>
      <c r="JS166" s="202">
        <v>8.0</v>
      </c>
      <c r="JT166" s="199"/>
      <c r="JU166" s="199"/>
      <c r="JV166" s="200">
        <f t="shared" ref="JV166:JX166" si="408">IA166-JI166</f>
        <v>0</v>
      </c>
      <c r="JW166" s="200">
        <f t="shared" si="408"/>
        <v>0</v>
      </c>
      <c r="JX166" s="200">
        <f t="shared" si="408"/>
        <v>-2</v>
      </c>
      <c r="JY166" s="199"/>
      <c r="JZ166" s="199"/>
      <c r="KA166" s="199"/>
      <c r="KB166" s="200">
        <f t="shared" ref="KB166:KM166" si="409">JB166-JO166</f>
        <v>0</v>
      </c>
      <c r="KC166" s="200">
        <f t="shared" si="409"/>
        <v>0</v>
      </c>
      <c r="KD166" s="200">
        <f t="shared" si="409"/>
        <v>0</v>
      </c>
      <c r="KE166" s="200">
        <f t="shared" si="409"/>
        <v>0</v>
      </c>
      <c r="KF166" s="200">
        <f t="shared" si="409"/>
        <v>0</v>
      </c>
      <c r="KG166" s="200">
        <f t="shared" si="409"/>
        <v>6</v>
      </c>
      <c r="KH166" s="200">
        <f t="shared" si="409"/>
        <v>6</v>
      </c>
      <c r="KI166" s="200">
        <f t="shared" si="409"/>
        <v>6</v>
      </c>
      <c r="KJ166" s="200">
        <f t="shared" si="409"/>
        <v>9</v>
      </c>
      <c r="KK166" s="200">
        <f t="shared" si="409"/>
        <v>10</v>
      </c>
      <c r="KL166" s="200">
        <f t="shared" si="409"/>
        <v>6</v>
      </c>
      <c r="KM166" s="200">
        <f t="shared" si="409"/>
        <v>8</v>
      </c>
      <c r="KN166" s="199"/>
      <c r="KO166" s="199"/>
      <c r="KP166" s="199"/>
      <c r="KQ166" s="199"/>
      <c r="KR166" s="199"/>
      <c r="KS166" s="199"/>
      <c r="KT166" s="199"/>
      <c r="KU166" s="199"/>
      <c r="KV166" s="199"/>
      <c r="KW166" s="199"/>
      <c r="KX166" s="199"/>
      <c r="KY166" s="199"/>
      <c r="KZ166" s="199"/>
      <c r="LA166" s="199"/>
      <c r="LB166" s="199"/>
      <c r="LC166" s="199"/>
      <c r="LD166" s="199"/>
      <c r="LE166" s="199"/>
      <c r="LF166" s="199"/>
      <c r="LG166" s="199"/>
    </row>
    <row r="167" ht="14.25" customHeight="1">
      <c r="A167" s="156">
        <v>160.0</v>
      </c>
      <c r="B167" s="157" t="s">
        <v>262</v>
      </c>
      <c r="C167" s="158">
        <v>3374010.0</v>
      </c>
      <c r="D167" s="158" t="s">
        <v>262</v>
      </c>
      <c r="E167" s="158" t="s">
        <v>276</v>
      </c>
      <c r="F167" s="159">
        <v>5.0</v>
      </c>
      <c r="G167" s="285">
        <v>204.0</v>
      </c>
      <c r="H167" s="160">
        <v>0.0</v>
      </c>
      <c r="I167" s="161">
        <v>0.0</v>
      </c>
      <c r="J167" s="161">
        <v>0.0</v>
      </c>
      <c r="K167" s="161">
        <v>0.0</v>
      </c>
      <c r="L167" s="161">
        <v>0.0</v>
      </c>
      <c r="M167" s="161">
        <v>0.0</v>
      </c>
      <c r="N167" s="159">
        <v>0.0</v>
      </c>
      <c r="O167" s="162">
        <f t="shared" si="369"/>
        <v>0</v>
      </c>
      <c r="P167" s="203">
        <v>0.0</v>
      </c>
      <c r="Q167" s="491">
        <v>0.0</v>
      </c>
      <c r="R167" s="491">
        <v>0.0</v>
      </c>
      <c r="S167" s="491">
        <v>0.0</v>
      </c>
      <c r="T167" s="259">
        <v>0.0</v>
      </c>
      <c r="U167" s="165">
        <v>0.0</v>
      </c>
      <c r="V167" s="165">
        <v>0.0</v>
      </c>
      <c r="W167" s="166">
        <f t="shared" si="225"/>
        <v>0</v>
      </c>
      <c r="X167" s="203">
        <v>0.0</v>
      </c>
      <c r="Y167" s="165">
        <v>0.0</v>
      </c>
      <c r="Z167" s="165">
        <v>0.0</v>
      </c>
      <c r="AA167" s="165">
        <v>0.0</v>
      </c>
      <c r="AB167" s="165">
        <v>0.0</v>
      </c>
      <c r="AC167" s="165">
        <v>0.0</v>
      </c>
      <c r="AD167" s="165">
        <v>0.0</v>
      </c>
      <c r="AE167" s="166">
        <f t="shared" si="214"/>
        <v>0</v>
      </c>
      <c r="AF167" s="167">
        <v>0.0</v>
      </c>
      <c r="AG167" s="165">
        <v>0.0</v>
      </c>
      <c r="AH167" s="165">
        <v>0.0</v>
      </c>
      <c r="AI167" s="165">
        <v>0.0</v>
      </c>
      <c r="AJ167" s="165">
        <v>0.0</v>
      </c>
      <c r="AK167" s="165">
        <v>0.0</v>
      </c>
      <c r="AL167" s="165">
        <v>0.0</v>
      </c>
      <c r="AM167" s="166">
        <f t="shared" si="370"/>
        <v>0</v>
      </c>
      <c r="AN167" s="167">
        <v>0.0</v>
      </c>
      <c r="AO167" s="165">
        <v>0.0</v>
      </c>
      <c r="AP167" s="165">
        <v>0.0</v>
      </c>
      <c r="AQ167" s="165">
        <v>0.0</v>
      </c>
      <c r="AR167" s="165">
        <v>0.0</v>
      </c>
      <c r="AS167" s="165">
        <v>0.0</v>
      </c>
      <c r="AT167" s="171">
        <v>0.0</v>
      </c>
      <c r="AU167" s="168">
        <f t="shared" si="375"/>
        <v>0</v>
      </c>
      <c r="AV167" s="169">
        <v>178.0</v>
      </c>
      <c r="AW167" s="204">
        <f t="shared" si="8"/>
        <v>0</v>
      </c>
      <c r="AX167" s="169">
        <v>0.0</v>
      </c>
      <c r="AY167" s="169">
        <v>0.0</v>
      </c>
      <c r="AZ167" s="169">
        <v>0.0</v>
      </c>
      <c r="BA167" s="169">
        <v>0.0</v>
      </c>
      <c r="BB167" s="197"/>
      <c r="BC167" s="197"/>
      <c r="BD167" s="197"/>
      <c r="BE167" s="197"/>
      <c r="BF167" s="197"/>
      <c r="BG167" s="197"/>
      <c r="BH167" s="197"/>
      <c r="BI167" s="197"/>
      <c r="BJ167" s="197"/>
      <c r="BK167" s="197"/>
      <c r="BL167" s="197"/>
      <c r="BM167" s="197"/>
      <c r="BN167" s="197"/>
      <c r="BO167" s="197"/>
      <c r="BP167" s="205">
        <f t="shared" si="131"/>
        <v>0</v>
      </c>
      <c r="BQ167" s="169">
        <v>179.0</v>
      </c>
      <c r="BR167" s="170">
        <f t="shared" si="10"/>
        <v>0</v>
      </c>
      <c r="BS167" s="173">
        <v>0.0</v>
      </c>
      <c r="BT167" s="173">
        <v>0.0</v>
      </c>
      <c r="BU167" s="173">
        <v>0.0</v>
      </c>
      <c r="BV167" s="173">
        <v>0.0</v>
      </c>
      <c r="BW167" s="173">
        <v>0.0</v>
      </c>
      <c r="BX167" s="173">
        <v>0.0</v>
      </c>
      <c r="BY167" s="173">
        <v>0.0</v>
      </c>
      <c r="BZ167" s="173">
        <v>0.0</v>
      </c>
      <c r="CA167" s="173">
        <v>0.0</v>
      </c>
      <c r="CB167" s="173">
        <v>0.0</v>
      </c>
      <c r="CC167" s="173">
        <v>0.0</v>
      </c>
      <c r="CD167" s="173">
        <v>0.0</v>
      </c>
      <c r="CE167" s="173">
        <v>0.0</v>
      </c>
      <c r="CF167" s="173">
        <v>0.0</v>
      </c>
      <c r="CG167" s="173">
        <v>0.0</v>
      </c>
      <c r="CH167" s="173">
        <v>0.0</v>
      </c>
      <c r="CI167" s="173">
        <v>0.0</v>
      </c>
      <c r="CJ167" s="173">
        <v>0.0</v>
      </c>
      <c r="CK167" s="172">
        <f t="shared" si="132"/>
        <v>0</v>
      </c>
      <c r="CL167" s="173">
        <v>237.0</v>
      </c>
      <c r="CM167" s="173">
        <v>68.0</v>
      </c>
      <c r="CN167" s="175">
        <f t="shared" si="295"/>
        <v>0</v>
      </c>
      <c r="CO167" s="173">
        <v>0.0</v>
      </c>
      <c r="CP167" s="173">
        <v>0.0</v>
      </c>
      <c r="CQ167" s="173">
        <v>0.0</v>
      </c>
      <c r="CR167" s="173">
        <v>0.0</v>
      </c>
      <c r="CS167" s="173">
        <v>0.0</v>
      </c>
      <c r="CT167" s="173">
        <v>0.0</v>
      </c>
      <c r="CU167" s="173">
        <v>0.0</v>
      </c>
      <c r="CV167" s="173">
        <v>0.0</v>
      </c>
      <c r="CW167" s="173">
        <v>0.0</v>
      </c>
      <c r="CX167" s="173">
        <v>0.0</v>
      </c>
      <c r="CY167" s="173">
        <v>0.0</v>
      </c>
      <c r="CZ167" s="173">
        <v>0.0</v>
      </c>
      <c r="DA167" s="173">
        <v>0.0</v>
      </c>
      <c r="DB167" s="173">
        <v>0.0</v>
      </c>
      <c r="DC167" s="173">
        <v>0.0</v>
      </c>
      <c r="DD167" s="173">
        <v>0.0</v>
      </c>
      <c r="DE167" s="173">
        <v>0.0</v>
      </c>
      <c r="DF167" s="173">
        <v>0.0</v>
      </c>
      <c r="DG167" s="176">
        <f t="shared" si="13"/>
        <v>0</v>
      </c>
      <c r="DH167" s="177">
        <v>218.0</v>
      </c>
      <c r="DI167" s="177">
        <v>53.0</v>
      </c>
      <c r="DJ167" s="178">
        <v>220.0</v>
      </c>
      <c r="DK167" s="178">
        <v>52.0</v>
      </c>
      <c r="DL167" s="179">
        <f t="shared" si="14"/>
        <v>1</v>
      </c>
      <c r="DM167" s="180">
        <f t="shared" si="15"/>
        <v>0</v>
      </c>
      <c r="DN167" s="180">
        <f t="shared" si="16"/>
        <v>1</v>
      </c>
      <c r="DO167" s="226"/>
      <c r="DP167" s="226"/>
      <c r="DQ167" s="226"/>
      <c r="DR167" s="226"/>
      <c r="DS167" s="226"/>
      <c r="DT167" s="226"/>
      <c r="DU167" s="226"/>
      <c r="DV167" s="177">
        <v>1.0</v>
      </c>
      <c r="DW167" s="226"/>
      <c r="DX167" s="226"/>
      <c r="DY167" s="226"/>
      <c r="DZ167" s="226"/>
      <c r="EA167" s="226"/>
      <c r="EB167" s="226"/>
      <c r="EC167" s="226"/>
      <c r="ED167" s="226"/>
      <c r="EE167" s="226"/>
      <c r="EF167" s="226"/>
      <c r="EG167" s="179">
        <f t="shared" si="17"/>
        <v>0</v>
      </c>
      <c r="EH167" s="179">
        <f t="shared" si="18"/>
        <v>0</v>
      </c>
      <c r="EI167" s="177">
        <v>224.0</v>
      </c>
      <c r="EJ167" s="177">
        <v>50.0</v>
      </c>
      <c r="EK167" s="178">
        <v>221.0</v>
      </c>
      <c r="EL167" s="178">
        <v>49.0</v>
      </c>
      <c r="EM167" s="185">
        <f t="shared" si="362"/>
        <v>0</v>
      </c>
      <c r="EN167" s="186">
        <f t="shared" si="202"/>
        <v>0</v>
      </c>
      <c r="EO167" s="186">
        <f t="shared" si="90"/>
        <v>0</v>
      </c>
      <c r="EP167" s="177">
        <v>0.0</v>
      </c>
      <c r="EQ167" s="177">
        <v>0.0</v>
      </c>
      <c r="ER167" s="177">
        <v>0.0</v>
      </c>
      <c r="ES167" s="177">
        <v>0.0</v>
      </c>
      <c r="ET167" s="177">
        <v>0.0</v>
      </c>
      <c r="EU167" s="177">
        <v>0.0</v>
      </c>
      <c r="EV167" s="177">
        <v>0.0</v>
      </c>
      <c r="EW167" s="177">
        <v>0.0</v>
      </c>
      <c r="EX167" s="177">
        <v>0.0</v>
      </c>
      <c r="EY167" s="177">
        <v>0.0</v>
      </c>
      <c r="EZ167" s="177">
        <v>0.0</v>
      </c>
      <c r="FA167" s="177">
        <v>1.0</v>
      </c>
      <c r="FB167" s="177">
        <v>0.0</v>
      </c>
      <c r="FC167" s="177">
        <v>0.0</v>
      </c>
      <c r="FD167" s="177">
        <v>0.0</v>
      </c>
      <c r="FE167" s="177">
        <v>0.0</v>
      </c>
      <c r="FF167" s="177">
        <v>0.0</v>
      </c>
      <c r="FG167" s="177">
        <v>0.0</v>
      </c>
      <c r="FH167" s="185">
        <f t="shared" si="22"/>
        <v>1</v>
      </c>
      <c r="FI167" s="185">
        <f t="shared" si="23"/>
        <v>0</v>
      </c>
      <c r="FJ167" s="177">
        <v>219.0</v>
      </c>
      <c r="FK167" s="177">
        <v>46.0</v>
      </c>
      <c r="FL167" s="177">
        <v>214.0</v>
      </c>
      <c r="FM167" s="177">
        <v>45.0</v>
      </c>
      <c r="FN167" s="210"/>
      <c r="FO167" s="210">
        <v>0.0</v>
      </c>
      <c r="FP167" s="188">
        <f t="shared" ref="FP167:FP184" si="412">SUM(FS167:FZ167)</f>
        <v>0</v>
      </c>
      <c r="FQ167" s="211">
        <v>0.0</v>
      </c>
      <c r="FR167" s="212">
        <v>0.0</v>
      </c>
      <c r="FS167" s="335"/>
      <c r="FT167" s="293"/>
      <c r="FU167" s="207">
        <v>0.0</v>
      </c>
      <c r="FV167" s="207">
        <v>0.0</v>
      </c>
      <c r="FW167" s="207">
        <v>0.0</v>
      </c>
      <c r="FX167" s="207">
        <v>0.0</v>
      </c>
      <c r="FY167" s="207">
        <v>0.0</v>
      </c>
      <c r="FZ167" s="207">
        <v>0.0</v>
      </c>
      <c r="GA167" s="293"/>
      <c r="GB167" s="293"/>
      <c r="GC167" s="293"/>
      <c r="GD167" s="207">
        <v>0.0</v>
      </c>
      <c r="GE167" s="293"/>
      <c r="GF167" s="293"/>
      <c r="GG167" s="293"/>
      <c r="GH167" s="293"/>
      <c r="GI167" s="293"/>
      <c r="GJ167" s="293"/>
      <c r="GK167" s="212">
        <v>0.0</v>
      </c>
      <c r="GL167" s="212">
        <v>0.0</v>
      </c>
      <c r="GM167" s="207">
        <v>218.0</v>
      </c>
      <c r="GN167" s="207">
        <v>44.0</v>
      </c>
      <c r="GO167" s="213">
        <v>211.0</v>
      </c>
      <c r="GP167" s="213">
        <v>42.0</v>
      </c>
      <c r="GQ167" s="207"/>
      <c r="GR167" s="213">
        <v>0.0</v>
      </c>
      <c r="GS167" s="193">
        <v>0.0</v>
      </c>
      <c r="GT167" s="194">
        <f t="shared" si="25"/>
        <v>0</v>
      </c>
      <c r="GU167" s="194">
        <f t="shared" si="26"/>
        <v>0</v>
      </c>
      <c r="GV167" s="194">
        <f t="shared" si="27"/>
        <v>0</v>
      </c>
      <c r="GW167" s="207"/>
      <c r="GX167" s="207"/>
      <c r="GY167" s="207">
        <v>0.0</v>
      </c>
      <c r="GZ167" s="207">
        <v>0.0</v>
      </c>
      <c r="HA167" s="207"/>
      <c r="HB167" s="207"/>
      <c r="HC167" s="207"/>
      <c r="HD167" s="207"/>
      <c r="HE167" s="207"/>
      <c r="HF167" s="207"/>
      <c r="HG167" s="207"/>
      <c r="HH167" s="207"/>
      <c r="HI167" s="207"/>
      <c r="HJ167" s="207"/>
      <c r="HK167" s="207"/>
      <c r="HL167" s="207"/>
      <c r="HM167" s="207"/>
      <c r="HN167" s="207"/>
      <c r="HO167" s="222"/>
      <c r="HP167" s="222"/>
      <c r="HQ167" s="214"/>
      <c r="HR167" s="197"/>
      <c r="HS167" s="197"/>
      <c r="HT167" s="198">
        <f t="shared" si="28"/>
        <v>0</v>
      </c>
      <c r="HU167" s="198">
        <f t="shared" si="29"/>
        <v>0</v>
      </c>
      <c r="HV167" s="198">
        <f t="shared" si="30"/>
        <v>0</v>
      </c>
      <c r="HW167" s="198">
        <f t="shared" si="99"/>
        <v>0</v>
      </c>
      <c r="HX167" s="198">
        <f t="shared" si="32"/>
        <v>0</v>
      </c>
      <c r="HY167" s="198">
        <f t="shared" si="33"/>
        <v>0</v>
      </c>
      <c r="HZ167" s="198">
        <f t="shared" si="34"/>
        <v>0</v>
      </c>
      <c r="IA167" s="198">
        <f t="shared" si="35"/>
        <v>0</v>
      </c>
      <c r="IB167" s="198">
        <f t="shared" si="36"/>
        <v>1</v>
      </c>
      <c r="IC167" s="198">
        <f t="shared" si="37"/>
        <v>0</v>
      </c>
      <c r="ID167" s="198">
        <f t="shared" si="38"/>
        <v>0</v>
      </c>
      <c r="IE167" s="198">
        <f t="shared" si="39"/>
        <v>0</v>
      </c>
      <c r="IF167" s="197"/>
      <c r="IG167" s="197"/>
      <c r="IH167" s="197"/>
      <c r="II167" s="197"/>
      <c r="IJ167" s="197"/>
      <c r="IK167" s="197"/>
      <c r="IL167" s="197"/>
      <c r="IM167" s="197"/>
      <c r="IN167" s="197"/>
      <c r="IO167" s="197"/>
      <c r="IP167" s="197"/>
      <c r="IQ167" s="197"/>
      <c r="IR167" s="197"/>
      <c r="IS167" s="197"/>
      <c r="IT167" s="197"/>
      <c r="IU167" s="197"/>
      <c r="IV167" s="197"/>
      <c r="IW167" s="197"/>
      <c r="IX167" s="197"/>
      <c r="IY167" s="197"/>
      <c r="IZ167" s="197"/>
      <c r="JA167" s="199"/>
      <c r="JB167" s="200">
        <f t="shared" si="40"/>
        <v>0</v>
      </c>
      <c r="JC167" s="200">
        <f t="shared" si="41"/>
        <v>0</v>
      </c>
      <c r="JD167" s="200">
        <f t="shared" si="42"/>
        <v>0</v>
      </c>
      <c r="JE167" s="200">
        <f t="shared" si="43"/>
        <v>0</v>
      </c>
      <c r="JF167" s="200">
        <f t="shared" si="44"/>
        <v>0</v>
      </c>
      <c r="JG167" s="200">
        <f t="shared" si="45"/>
        <v>0</v>
      </c>
      <c r="JH167" s="200">
        <f t="shared" si="46"/>
        <v>0</v>
      </c>
      <c r="JI167" s="200">
        <f t="shared" si="47"/>
        <v>0</v>
      </c>
      <c r="JJ167" s="200">
        <f t="shared" si="48"/>
        <v>1</v>
      </c>
      <c r="JK167" s="200">
        <f t="shared" si="49"/>
        <v>1</v>
      </c>
      <c r="JL167" s="200">
        <f t="shared" si="50"/>
        <v>0</v>
      </c>
      <c r="JM167" s="200">
        <f t="shared" si="51"/>
        <v>0</v>
      </c>
      <c r="JN167" s="199"/>
      <c r="JO167" s="200">
        <f t="shared" si="52"/>
        <v>0</v>
      </c>
      <c r="JP167" s="202">
        <v>0.0</v>
      </c>
      <c r="JQ167" s="202">
        <v>0.0</v>
      </c>
      <c r="JR167" s="202">
        <v>0.0</v>
      </c>
      <c r="JS167" s="202">
        <v>0.0</v>
      </c>
      <c r="JT167" s="199"/>
      <c r="JU167" s="199"/>
      <c r="JV167" s="200">
        <f t="shared" ref="JV167:JX167" si="410">IA167-JI167</f>
        <v>0</v>
      </c>
      <c r="JW167" s="200">
        <f t="shared" si="410"/>
        <v>0</v>
      </c>
      <c r="JX167" s="200">
        <f t="shared" si="410"/>
        <v>-1</v>
      </c>
      <c r="JY167" s="199"/>
      <c r="JZ167" s="199"/>
      <c r="KA167" s="199"/>
      <c r="KB167" s="200">
        <f t="shared" ref="KB167:KM167" si="411">JB167-JO167</f>
        <v>0</v>
      </c>
      <c r="KC167" s="200">
        <f t="shared" si="411"/>
        <v>0</v>
      </c>
      <c r="KD167" s="200">
        <f t="shared" si="411"/>
        <v>0</v>
      </c>
      <c r="KE167" s="200">
        <f t="shared" si="411"/>
        <v>0</v>
      </c>
      <c r="KF167" s="200">
        <f t="shared" si="411"/>
        <v>0</v>
      </c>
      <c r="KG167" s="200">
        <f t="shared" si="411"/>
        <v>0</v>
      </c>
      <c r="KH167" s="200">
        <f t="shared" si="411"/>
        <v>0</v>
      </c>
      <c r="KI167" s="200">
        <f t="shared" si="411"/>
        <v>0</v>
      </c>
      <c r="KJ167" s="200">
        <f t="shared" si="411"/>
        <v>1</v>
      </c>
      <c r="KK167" s="200">
        <f t="shared" si="411"/>
        <v>2</v>
      </c>
      <c r="KL167" s="200">
        <f t="shared" si="411"/>
        <v>0</v>
      </c>
      <c r="KM167" s="200">
        <f t="shared" si="411"/>
        <v>0</v>
      </c>
      <c r="KN167" s="199"/>
      <c r="KO167" s="199"/>
      <c r="KP167" s="199"/>
      <c r="KQ167" s="199"/>
      <c r="KR167" s="199"/>
      <c r="KS167" s="199"/>
      <c r="KT167" s="199"/>
      <c r="KU167" s="199"/>
      <c r="KV167" s="199"/>
      <c r="KW167" s="199"/>
      <c r="KX167" s="199"/>
      <c r="KY167" s="199"/>
      <c r="KZ167" s="199"/>
      <c r="LA167" s="199"/>
      <c r="LB167" s="199"/>
      <c r="LC167" s="199"/>
      <c r="LD167" s="199"/>
      <c r="LE167" s="199"/>
      <c r="LF167" s="199"/>
      <c r="LG167" s="199"/>
    </row>
    <row r="168" ht="14.25" customHeight="1">
      <c r="A168" s="156">
        <v>161.0</v>
      </c>
      <c r="B168" s="492" t="s">
        <v>277</v>
      </c>
      <c r="C168" s="493">
        <v>3374160.0</v>
      </c>
      <c r="D168" s="493" t="s">
        <v>277</v>
      </c>
      <c r="E168" s="493" t="s">
        <v>278</v>
      </c>
      <c r="F168" s="159">
        <v>12.0</v>
      </c>
      <c r="G168" s="285">
        <v>737.0</v>
      </c>
      <c r="H168" s="160">
        <v>1.0</v>
      </c>
      <c r="I168" s="159">
        <v>0.0</v>
      </c>
      <c r="J168" s="159">
        <v>0.0</v>
      </c>
      <c r="K168" s="159">
        <v>1.0</v>
      </c>
      <c r="L168" s="161">
        <v>0.0</v>
      </c>
      <c r="M168" s="161">
        <v>0.0</v>
      </c>
      <c r="N168" s="161">
        <v>0.0</v>
      </c>
      <c r="O168" s="162">
        <f t="shared" si="369"/>
        <v>1</v>
      </c>
      <c r="P168" s="203">
        <v>1.0</v>
      </c>
      <c r="Q168" s="259">
        <v>0.0</v>
      </c>
      <c r="R168" s="259">
        <v>0.0</v>
      </c>
      <c r="S168" s="259">
        <v>1.0</v>
      </c>
      <c r="T168" s="491">
        <v>0.0</v>
      </c>
      <c r="U168" s="164"/>
      <c r="V168" s="164"/>
      <c r="W168" s="166">
        <f t="shared" si="225"/>
        <v>1</v>
      </c>
      <c r="X168" s="331">
        <v>1.0</v>
      </c>
      <c r="Y168" s="259">
        <v>0.0</v>
      </c>
      <c r="Z168" s="259">
        <v>0.0</v>
      </c>
      <c r="AA168" s="259">
        <v>1.0</v>
      </c>
      <c r="AB168" s="491">
        <v>0.0</v>
      </c>
      <c r="AC168" s="165"/>
      <c r="AD168" s="165"/>
      <c r="AE168" s="166">
        <f t="shared" si="214"/>
        <v>1</v>
      </c>
      <c r="AF168" s="167">
        <v>1.0</v>
      </c>
      <c r="AG168" s="259">
        <v>0.0</v>
      </c>
      <c r="AH168" s="259">
        <v>0.0</v>
      </c>
      <c r="AI168" s="259">
        <v>1.0</v>
      </c>
      <c r="AJ168" s="491">
        <v>0.0</v>
      </c>
      <c r="AK168" s="165">
        <v>0.0</v>
      </c>
      <c r="AL168" s="165">
        <v>0.0</v>
      </c>
      <c r="AM168" s="166">
        <f t="shared" si="370"/>
        <v>1</v>
      </c>
      <c r="AN168" s="167">
        <v>1.0</v>
      </c>
      <c r="AO168" s="259">
        <v>0.0</v>
      </c>
      <c r="AP168" s="259">
        <v>0.0</v>
      </c>
      <c r="AQ168" s="259">
        <v>1.0</v>
      </c>
      <c r="AR168" s="491">
        <v>0.0</v>
      </c>
      <c r="AS168" s="171">
        <v>0.0</v>
      </c>
      <c r="AT168" s="171">
        <v>0.0</v>
      </c>
      <c r="AU168" s="168">
        <f t="shared" si="375"/>
        <v>1</v>
      </c>
      <c r="AV168" s="169">
        <v>717.0</v>
      </c>
      <c r="AW168" s="204">
        <f t="shared" si="8"/>
        <v>3</v>
      </c>
      <c r="AX168" s="169">
        <v>0.0</v>
      </c>
      <c r="AY168" s="169">
        <v>0.0</v>
      </c>
      <c r="AZ168" s="169">
        <v>0.0</v>
      </c>
      <c r="BA168" s="169">
        <v>1.0</v>
      </c>
      <c r="BB168" s="169">
        <v>0.0</v>
      </c>
      <c r="BC168" s="169">
        <v>0.0</v>
      </c>
      <c r="BD168" s="169">
        <v>2.0</v>
      </c>
      <c r="BE168" s="169">
        <v>0.0</v>
      </c>
      <c r="BF168" s="169">
        <v>0.0</v>
      </c>
      <c r="BG168" s="169">
        <v>0.0</v>
      </c>
      <c r="BH168" s="169">
        <v>0.0</v>
      </c>
      <c r="BI168" s="169">
        <v>0.0</v>
      </c>
      <c r="BJ168" s="169">
        <v>0.0</v>
      </c>
      <c r="BK168" s="169">
        <v>0.0</v>
      </c>
      <c r="BL168" s="169">
        <v>0.0</v>
      </c>
      <c r="BM168" s="169">
        <v>0.0</v>
      </c>
      <c r="BN168" s="169">
        <v>0.0</v>
      </c>
      <c r="BO168" s="169">
        <v>0.0</v>
      </c>
      <c r="BP168" s="205">
        <f t="shared" si="131"/>
        <v>0</v>
      </c>
      <c r="BQ168" s="173">
        <v>712.0</v>
      </c>
      <c r="BR168" s="204">
        <f t="shared" si="10"/>
        <v>3</v>
      </c>
      <c r="BS168" s="169">
        <v>0.0</v>
      </c>
      <c r="BT168" s="169">
        <v>0.0</v>
      </c>
      <c r="BU168" s="169">
        <v>2.0</v>
      </c>
      <c r="BV168" s="169">
        <v>0.0</v>
      </c>
      <c r="BW168" s="173">
        <v>0.0</v>
      </c>
      <c r="BX168" s="173">
        <v>0.0</v>
      </c>
      <c r="BY168" s="173">
        <v>0.0</v>
      </c>
      <c r="BZ168" s="173">
        <v>1.0</v>
      </c>
      <c r="CA168" s="173">
        <v>0.0</v>
      </c>
      <c r="CB168" s="173">
        <v>0.0</v>
      </c>
      <c r="CC168" s="173">
        <v>0.0</v>
      </c>
      <c r="CD168" s="173">
        <v>1.0</v>
      </c>
      <c r="CE168" s="173">
        <v>0.0</v>
      </c>
      <c r="CF168" s="173">
        <v>0.0</v>
      </c>
      <c r="CG168" s="173">
        <v>0.0</v>
      </c>
      <c r="CH168" s="173">
        <v>0.0</v>
      </c>
      <c r="CI168" s="173">
        <v>0.0</v>
      </c>
      <c r="CJ168" s="173">
        <v>0.0</v>
      </c>
      <c r="CK168" s="172">
        <f t="shared" si="132"/>
        <v>1</v>
      </c>
      <c r="CL168" s="173">
        <v>714.0</v>
      </c>
      <c r="CM168" s="173">
        <v>188.0</v>
      </c>
      <c r="CN168" s="175">
        <f t="shared" si="295"/>
        <v>3</v>
      </c>
      <c r="CO168" s="173">
        <v>0.0</v>
      </c>
      <c r="CP168" s="173">
        <v>0.0</v>
      </c>
      <c r="CQ168" s="173">
        <v>2.0</v>
      </c>
      <c r="CR168" s="173">
        <v>1.0</v>
      </c>
      <c r="CS168" s="173">
        <v>0.0</v>
      </c>
      <c r="CT168" s="173">
        <v>0.0</v>
      </c>
      <c r="CU168" s="173">
        <v>0.0</v>
      </c>
      <c r="CV168" s="173">
        <v>0.0</v>
      </c>
      <c r="CW168" s="173">
        <v>0.0</v>
      </c>
      <c r="CX168" s="173">
        <v>0.0</v>
      </c>
      <c r="CY168" s="173">
        <v>0.0</v>
      </c>
      <c r="CZ168" s="173">
        <v>0.0</v>
      </c>
      <c r="DA168" s="173">
        <v>0.0</v>
      </c>
      <c r="DB168" s="173">
        <v>0.0</v>
      </c>
      <c r="DC168" s="173">
        <v>0.0</v>
      </c>
      <c r="DD168" s="173">
        <v>0.0</v>
      </c>
      <c r="DE168" s="173">
        <v>0.0</v>
      </c>
      <c r="DF168" s="173">
        <v>0.0</v>
      </c>
      <c r="DG168" s="176">
        <f t="shared" si="13"/>
        <v>0</v>
      </c>
      <c r="DH168" s="177">
        <v>597.0</v>
      </c>
      <c r="DI168" s="177">
        <v>155.0</v>
      </c>
      <c r="DJ168" s="177">
        <v>597.0</v>
      </c>
      <c r="DK168" s="178">
        <v>155.0</v>
      </c>
      <c r="DL168" s="179">
        <f t="shared" si="14"/>
        <v>3</v>
      </c>
      <c r="DM168" s="180">
        <f t="shared" si="15"/>
        <v>2</v>
      </c>
      <c r="DN168" s="180">
        <f t="shared" si="16"/>
        <v>1</v>
      </c>
      <c r="DO168" s="177">
        <v>0.0</v>
      </c>
      <c r="DP168" s="177">
        <v>0.0</v>
      </c>
      <c r="DQ168" s="177">
        <v>2.0</v>
      </c>
      <c r="DR168" s="177">
        <v>1.0</v>
      </c>
      <c r="DS168" s="177">
        <v>0.0</v>
      </c>
      <c r="DT168" s="177">
        <v>0.0</v>
      </c>
      <c r="DU168" s="177">
        <v>0.0</v>
      </c>
      <c r="DV168" s="177">
        <v>0.0</v>
      </c>
      <c r="DW168" s="177">
        <v>0.0</v>
      </c>
      <c r="DX168" s="177">
        <v>0.0</v>
      </c>
      <c r="DY168" s="177">
        <v>0.0</v>
      </c>
      <c r="DZ168" s="177">
        <v>0.0</v>
      </c>
      <c r="EA168" s="177">
        <v>0.0</v>
      </c>
      <c r="EB168" s="177">
        <v>0.0</v>
      </c>
      <c r="EC168" s="177">
        <v>0.0</v>
      </c>
      <c r="ED168" s="177">
        <v>0.0</v>
      </c>
      <c r="EE168" s="177">
        <v>0.0</v>
      </c>
      <c r="EF168" s="177">
        <v>0.0</v>
      </c>
      <c r="EG168" s="179">
        <f t="shared" si="17"/>
        <v>0</v>
      </c>
      <c r="EH168" s="179">
        <f t="shared" si="18"/>
        <v>0</v>
      </c>
      <c r="EI168" s="177">
        <v>584.0</v>
      </c>
      <c r="EJ168" s="177">
        <v>164.0</v>
      </c>
      <c r="EK168" s="177">
        <v>584.0</v>
      </c>
      <c r="EL168" s="177">
        <v>164.0</v>
      </c>
      <c r="EM168" s="185">
        <f t="shared" si="362"/>
        <v>3</v>
      </c>
      <c r="EN168" s="186">
        <f t="shared" si="202"/>
        <v>2</v>
      </c>
      <c r="EO168" s="186">
        <f t="shared" si="90"/>
        <v>1</v>
      </c>
      <c r="EP168" s="494">
        <v>0.0</v>
      </c>
      <c r="EQ168" s="494">
        <v>0.0</v>
      </c>
      <c r="ER168" s="494">
        <v>2.0</v>
      </c>
      <c r="ES168" s="494">
        <v>1.0</v>
      </c>
      <c r="ET168" s="177">
        <v>0.0</v>
      </c>
      <c r="EU168" s="177">
        <v>0.0</v>
      </c>
      <c r="EV168" s="177">
        <v>0.0</v>
      </c>
      <c r="EW168" s="177">
        <v>0.0</v>
      </c>
      <c r="EX168" s="177">
        <v>0.0</v>
      </c>
      <c r="EY168" s="177">
        <v>0.0</v>
      </c>
      <c r="EZ168" s="177">
        <v>0.0</v>
      </c>
      <c r="FA168" s="177">
        <v>0.0</v>
      </c>
      <c r="FB168" s="177">
        <v>0.0</v>
      </c>
      <c r="FC168" s="177">
        <v>0.0</v>
      </c>
      <c r="FD168" s="177">
        <v>0.0</v>
      </c>
      <c r="FE168" s="177">
        <v>0.0</v>
      </c>
      <c r="FF168" s="177">
        <v>0.0</v>
      </c>
      <c r="FG168" s="177">
        <v>0.0</v>
      </c>
      <c r="FH168" s="185">
        <f t="shared" si="22"/>
        <v>0</v>
      </c>
      <c r="FI168" s="185">
        <f t="shared" si="23"/>
        <v>0</v>
      </c>
      <c r="FJ168" s="177">
        <v>579.0</v>
      </c>
      <c r="FK168" s="177">
        <v>158.0</v>
      </c>
      <c r="FL168" s="177">
        <v>579.0</v>
      </c>
      <c r="FM168" s="177">
        <v>158.0</v>
      </c>
      <c r="FN168" s="180"/>
      <c r="FO168" s="180">
        <v>3.0</v>
      </c>
      <c r="FP168" s="188">
        <f t="shared" si="412"/>
        <v>3</v>
      </c>
      <c r="FQ168" s="211">
        <v>2.0</v>
      </c>
      <c r="FR168" s="212">
        <v>1.0</v>
      </c>
      <c r="FS168" s="206">
        <v>0.0</v>
      </c>
      <c r="FT168" s="207">
        <v>0.0</v>
      </c>
      <c r="FU168" s="207">
        <v>2.0</v>
      </c>
      <c r="FV168" s="207">
        <v>1.0</v>
      </c>
      <c r="FW168" s="207">
        <v>0.0</v>
      </c>
      <c r="FX168" s="207">
        <v>0.0</v>
      </c>
      <c r="FY168" s="207">
        <v>0.0</v>
      </c>
      <c r="FZ168" s="207">
        <v>0.0</v>
      </c>
      <c r="GA168" s="207">
        <v>0.0</v>
      </c>
      <c r="GB168" s="207">
        <v>0.0</v>
      </c>
      <c r="GC168" s="207">
        <v>0.0</v>
      </c>
      <c r="GD168" s="207">
        <v>0.0</v>
      </c>
      <c r="GE168" s="207">
        <v>0.0</v>
      </c>
      <c r="GF168" s="207">
        <v>0.0</v>
      </c>
      <c r="GG168" s="207">
        <v>0.0</v>
      </c>
      <c r="GH168" s="207">
        <v>0.0</v>
      </c>
      <c r="GI168" s="207">
        <v>0.0</v>
      </c>
      <c r="GJ168" s="207">
        <v>0.0</v>
      </c>
      <c r="GK168" s="212">
        <v>0.0</v>
      </c>
      <c r="GL168" s="212">
        <v>0.0</v>
      </c>
      <c r="GM168" s="207">
        <v>567.0</v>
      </c>
      <c r="GN168" s="207">
        <v>155.0</v>
      </c>
      <c r="GO168" s="213">
        <v>567.0</v>
      </c>
      <c r="GP168" s="213">
        <v>155.0</v>
      </c>
      <c r="GQ168" s="207"/>
      <c r="GR168" s="213">
        <v>3.0</v>
      </c>
      <c r="GS168" s="193">
        <v>1.0</v>
      </c>
      <c r="GT168" s="194">
        <f t="shared" si="25"/>
        <v>3</v>
      </c>
      <c r="GU168" s="194">
        <f t="shared" si="26"/>
        <v>1</v>
      </c>
      <c r="GV168" s="194">
        <f t="shared" si="27"/>
        <v>2</v>
      </c>
      <c r="GW168" s="207">
        <v>0.0</v>
      </c>
      <c r="GX168" s="207">
        <v>0.0</v>
      </c>
      <c r="GY168" s="207">
        <v>1.0</v>
      </c>
      <c r="GZ168" s="207">
        <v>2.0</v>
      </c>
      <c r="HA168" s="207">
        <v>0.0</v>
      </c>
      <c r="HB168" s="207">
        <v>0.0</v>
      </c>
      <c r="HC168" s="207">
        <v>0.0</v>
      </c>
      <c r="HD168" s="207">
        <v>0.0</v>
      </c>
      <c r="HE168" s="207">
        <v>0.0</v>
      </c>
      <c r="HF168" s="207">
        <v>0.0</v>
      </c>
      <c r="HG168" s="207">
        <v>0.0</v>
      </c>
      <c r="HH168" s="207">
        <v>0.0</v>
      </c>
      <c r="HI168" s="207">
        <v>0.0</v>
      </c>
      <c r="HJ168" s="207">
        <v>0.0</v>
      </c>
      <c r="HK168" s="207">
        <v>0.0</v>
      </c>
      <c r="HL168" s="207">
        <v>0.0</v>
      </c>
      <c r="HM168" s="207">
        <v>0.0</v>
      </c>
      <c r="HN168" s="207">
        <v>0.0</v>
      </c>
      <c r="HO168" s="222"/>
      <c r="HP168" s="222"/>
      <c r="HQ168" s="214"/>
      <c r="HR168" s="197"/>
      <c r="HS168" s="197"/>
      <c r="HT168" s="198">
        <f t="shared" si="28"/>
        <v>1</v>
      </c>
      <c r="HU168" s="198">
        <f t="shared" si="29"/>
        <v>1</v>
      </c>
      <c r="HV168" s="198">
        <f t="shared" si="30"/>
        <v>1</v>
      </c>
      <c r="HW168" s="198">
        <f t="shared" si="99"/>
        <v>1</v>
      </c>
      <c r="HX168" s="198">
        <f t="shared" si="32"/>
        <v>1</v>
      </c>
      <c r="HY168" s="198">
        <f t="shared" si="33"/>
        <v>3</v>
      </c>
      <c r="HZ168" s="198">
        <f t="shared" si="34"/>
        <v>3</v>
      </c>
      <c r="IA168" s="198">
        <f t="shared" si="35"/>
        <v>3</v>
      </c>
      <c r="IB168" s="198">
        <f t="shared" si="36"/>
        <v>3</v>
      </c>
      <c r="IC168" s="198">
        <f t="shared" si="37"/>
        <v>3</v>
      </c>
      <c r="ID168" s="198">
        <f t="shared" si="38"/>
        <v>3</v>
      </c>
      <c r="IE168" s="198">
        <f t="shared" si="39"/>
        <v>3</v>
      </c>
      <c r="IF168" s="197"/>
      <c r="IG168" s="197"/>
      <c r="IH168" s="197"/>
      <c r="II168" s="197"/>
      <c r="IJ168" s="197"/>
      <c r="IK168" s="197"/>
      <c r="IL168" s="197"/>
      <c r="IM168" s="197"/>
      <c r="IN168" s="197"/>
      <c r="IO168" s="197"/>
      <c r="IP168" s="197"/>
      <c r="IQ168" s="197"/>
      <c r="IR168" s="197"/>
      <c r="IS168" s="197"/>
      <c r="IT168" s="197"/>
      <c r="IU168" s="197"/>
      <c r="IV168" s="197"/>
      <c r="IW168" s="197"/>
      <c r="IX168" s="197"/>
      <c r="IY168" s="197"/>
      <c r="IZ168" s="197"/>
      <c r="JA168" s="199"/>
      <c r="JB168" s="200">
        <f t="shared" si="40"/>
        <v>1</v>
      </c>
      <c r="JC168" s="200">
        <f t="shared" si="41"/>
        <v>1</v>
      </c>
      <c r="JD168" s="200">
        <f t="shared" si="42"/>
        <v>1</v>
      </c>
      <c r="JE168" s="200">
        <f t="shared" si="43"/>
        <v>1</v>
      </c>
      <c r="JF168" s="200">
        <f t="shared" si="44"/>
        <v>1</v>
      </c>
      <c r="JG168" s="200">
        <f t="shared" si="45"/>
        <v>3</v>
      </c>
      <c r="JH168" s="200">
        <f t="shared" si="46"/>
        <v>3</v>
      </c>
      <c r="JI168" s="200">
        <f t="shared" si="47"/>
        <v>3</v>
      </c>
      <c r="JJ168" s="200">
        <f t="shared" si="48"/>
        <v>3</v>
      </c>
      <c r="JK168" s="200">
        <f t="shared" si="49"/>
        <v>3</v>
      </c>
      <c r="JL168" s="200">
        <f t="shared" si="50"/>
        <v>3</v>
      </c>
      <c r="JM168" s="200">
        <f t="shared" si="51"/>
        <v>3</v>
      </c>
      <c r="JN168" s="199"/>
      <c r="JO168" s="200">
        <f t="shared" si="52"/>
        <v>1</v>
      </c>
      <c r="JP168" s="202">
        <v>1.0</v>
      </c>
      <c r="JQ168" s="202">
        <v>1.0</v>
      </c>
      <c r="JR168" s="202">
        <v>1.0</v>
      </c>
      <c r="JS168" s="202">
        <v>1.0</v>
      </c>
      <c r="JT168" s="199"/>
      <c r="JU168" s="199"/>
      <c r="JV168" s="200">
        <f t="shared" ref="JV168:JX168" si="413">IA168-JI168</f>
        <v>0</v>
      </c>
      <c r="JW168" s="200">
        <f t="shared" si="413"/>
        <v>0</v>
      </c>
      <c r="JX168" s="200">
        <f t="shared" si="413"/>
        <v>0</v>
      </c>
      <c r="JY168" s="199"/>
      <c r="JZ168" s="199"/>
      <c r="KA168" s="199"/>
      <c r="KB168" s="200">
        <f t="shared" ref="KB168:KM168" si="414">JB168-JO168</f>
        <v>0</v>
      </c>
      <c r="KC168" s="200">
        <f t="shared" si="414"/>
        <v>0</v>
      </c>
      <c r="KD168" s="200">
        <f t="shared" si="414"/>
        <v>0</v>
      </c>
      <c r="KE168" s="200">
        <f t="shared" si="414"/>
        <v>0</v>
      </c>
      <c r="KF168" s="200">
        <f t="shared" si="414"/>
        <v>0</v>
      </c>
      <c r="KG168" s="200">
        <f t="shared" si="414"/>
        <v>3</v>
      </c>
      <c r="KH168" s="200">
        <f t="shared" si="414"/>
        <v>3</v>
      </c>
      <c r="KI168" s="200">
        <f t="shared" si="414"/>
        <v>3</v>
      </c>
      <c r="KJ168" s="200">
        <f t="shared" si="414"/>
        <v>3</v>
      </c>
      <c r="KK168" s="200">
        <f t="shared" si="414"/>
        <v>3</v>
      </c>
      <c r="KL168" s="200">
        <f t="shared" si="414"/>
        <v>3</v>
      </c>
      <c r="KM168" s="200">
        <f t="shared" si="414"/>
        <v>3</v>
      </c>
      <c r="KN168" s="199"/>
      <c r="KO168" s="199"/>
      <c r="KP168" s="199"/>
      <c r="KQ168" s="199"/>
      <c r="KR168" s="199"/>
      <c r="KS168" s="199"/>
      <c r="KT168" s="199"/>
      <c r="KU168" s="199"/>
      <c r="KV168" s="199"/>
      <c r="KW168" s="199"/>
      <c r="KX168" s="199"/>
      <c r="KY168" s="199"/>
      <c r="KZ168" s="199"/>
      <c r="LA168" s="199"/>
      <c r="LB168" s="199"/>
      <c r="LC168" s="199"/>
      <c r="LD168" s="199"/>
      <c r="LE168" s="199"/>
      <c r="LF168" s="199"/>
      <c r="LG168" s="199"/>
    </row>
    <row r="169" ht="14.25" customHeight="1">
      <c r="A169" s="156">
        <v>162.0</v>
      </c>
      <c r="B169" s="492" t="s">
        <v>277</v>
      </c>
      <c r="C169" s="493">
        <v>3374160.0</v>
      </c>
      <c r="D169" s="493" t="s">
        <v>277</v>
      </c>
      <c r="E169" s="493" t="s">
        <v>279</v>
      </c>
      <c r="F169" s="159">
        <v>12.0</v>
      </c>
      <c r="G169" s="285">
        <v>794.0</v>
      </c>
      <c r="H169" s="160">
        <v>3.0</v>
      </c>
      <c r="I169" s="159">
        <v>0.0</v>
      </c>
      <c r="J169" s="159">
        <v>0.0</v>
      </c>
      <c r="K169" s="159">
        <v>2.0</v>
      </c>
      <c r="L169" s="164">
        <v>1.0</v>
      </c>
      <c r="M169" s="164">
        <v>0.0</v>
      </c>
      <c r="N169" s="164">
        <v>0.0</v>
      </c>
      <c r="O169" s="166">
        <f t="shared" si="369"/>
        <v>3</v>
      </c>
      <c r="P169" s="203">
        <v>3.0</v>
      </c>
      <c r="Q169" s="259">
        <v>0.0</v>
      </c>
      <c r="R169" s="259">
        <v>0.0</v>
      </c>
      <c r="S169" s="259">
        <v>2.0</v>
      </c>
      <c r="T169" s="491">
        <v>1.0</v>
      </c>
      <c r="U169" s="164"/>
      <c r="V169" s="164"/>
      <c r="W169" s="166">
        <f t="shared" si="225"/>
        <v>3</v>
      </c>
      <c r="X169" s="331">
        <v>3.0</v>
      </c>
      <c r="Y169" s="259">
        <v>0.0</v>
      </c>
      <c r="Z169" s="259">
        <v>0.0</v>
      </c>
      <c r="AA169" s="259">
        <v>2.0</v>
      </c>
      <c r="AB169" s="491">
        <v>1.0</v>
      </c>
      <c r="AC169" s="165"/>
      <c r="AD169" s="165"/>
      <c r="AE169" s="166">
        <f t="shared" si="214"/>
        <v>3</v>
      </c>
      <c r="AF169" s="167">
        <v>3.0</v>
      </c>
      <c r="AG169" s="259">
        <v>0.0</v>
      </c>
      <c r="AH169" s="259">
        <v>0.0</v>
      </c>
      <c r="AI169" s="259">
        <v>2.0</v>
      </c>
      <c r="AJ169" s="491">
        <v>1.0</v>
      </c>
      <c r="AK169" s="165">
        <v>0.0</v>
      </c>
      <c r="AL169" s="165">
        <v>0.0</v>
      </c>
      <c r="AM169" s="166">
        <f t="shared" si="370"/>
        <v>3</v>
      </c>
      <c r="AN169" s="167">
        <v>3.0</v>
      </c>
      <c r="AO169" s="259">
        <v>0.0</v>
      </c>
      <c r="AP169" s="259">
        <v>0.0</v>
      </c>
      <c r="AQ169" s="259">
        <v>2.0</v>
      </c>
      <c r="AR169" s="491">
        <v>1.0</v>
      </c>
      <c r="AS169" s="171">
        <v>0.0</v>
      </c>
      <c r="AT169" s="171">
        <v>0.0</v>
      </c>
      <c r="AU169" s="168">
        <f t="shared" si="375"/>
        <v>3</v>
      </c>
      <c r="AV169" s="169">
        <v>774.0</v>
      </c>
      <c r="AW169" s="204">
        <f t="shared" si="8"/>
        <v>4</v>
      </c>
      <c r="AX169" s="169">
        <v>0.0</v>
      </c>
      <c r="AY169" s="169">
        <v>0.0</v>
      </c>
      <c r="AZ169" s="169">
        <v>0.0</v>
      </c>
      <c r="BA169" s="169">
        <v>1.0</v>
      </c>
      <c r="BB169" s="169">
        <v>0.0</v>
      </c>
      <c r="BC169" s="169">
        <v>0.0</v>
      </c>
      <c r="BD169" s="169">
        <v>1.0</v>
      </c>
      <c r="BE169" s="169">
        <v>2.0</v>
      </c>
      <c r="BF169" s="169">
        <v>0.0</v>
      </c>
      <c r="BG169" s="169">
        <v>0.0</v>
      </c>
      <c r="BH169" s="169">
        <v>2.0</v>
      </c>
      <c r="BI169" s="374">
        <v>0.0</v>
      </c>
      <c r="BJ169" s="169">
        <v>0.0</v>
      </c>
      <c r="BK169" s="169">
        <v>0.0</v>
      </c>
      <c r="BL169" s="169">
        <v>0.0</v>
      </c>
      <c r="BM169" s="169">
        <v>0.0</v>
      </c>
      <c r="BN169" s="169">
        <v>0.0</v>
      </c>
      <c r="BO169" s="169">
        <v>0.0</v>
      </c>
      <c r="BP169" s="205">
        <f t="shared" si="131"/>
        <v>2</v>
      </c>
      <c r="BQ169" s="173">
        <v>765.0</v>
      </c>
      <c r="BR169" s="204">
        <f t="shared" si="10"/>
        <v>3</v>
      </c>
      <c r="BS169" s="169">
        <v>0.0</v>
      </c>
      <c r="BT169" s="169">
        <v>0.0</v>
      </c>
      <c r="BU169" s="169">
        <v>1.0</v>
      </c>
      <c r="BV169" s="169">
        <v>2.0</v>
      </c>
      <c r="BW169" s="173">
        <v>0.0</v>
      </c>
      <c r="BX169" s="173">
        <v>0.0</v>
      </c>
      <c r="BY169" s="173">
        <v>0.0</v>
      </c>
      <c r="BZ169" s="173">
        <v>0.0</v>
      </c>
      <c r="CA169" s="173">
        <v>0.0</v>
      </c>
      <c r="CB169" s="173">
        <v>0.0</v>
      </c>
      <c r="CC169" s="173">
        <v>0.0</v>
      </c>
      <c r="CD169" s="173">
        <v>1.0</v>
      </c>
      <c r="CE169" s="173">
        <v>0.0</v>
      </c>
      <c r="CF169" s="173">
        <v>0.0</v>
      </c>
      <c r="CG169" s="173">
        <v>0.0</v>
      </c>
      <c r="CH169" s="173">
        <v>0.0</v>
      </c>
      <c r="CI169" s="173">
        <v>0.0</v>
      </c>
      <c r="CJ169" s="173">
        <v>0.0</v>
      </c>
      <c r="CK169" s="172">
        <f t="shared" si="132"/>
        <v>1</v>
      </c>
      <c r="CL169" s="173">
        <v>784.0</v>
      </c>
      <c r="CM169" s="173">
        <v>190.0</v>
      </c>
      <c r="CN169" s="175">
        <f t="shared" si="295"/>
        <v>3</v>
      </c>
      <c r="CO169" s="173">
        <v>0.0</v>
      </c>
      <c r="CP169" s="173">
        <v>0.0</v>
      </c>
      <c r="CQ169" s="173">
        <v>1.0</v>
      </c>
      <c r="CR169" s="173">
        <v>2.0</v>
      </c>
      <c r="CS169" s="173">
        <v>0.0</v>
      </c>
      <c r="CT169" s="173">
        <v>0.0</v>
      </c>
      <c r="CU169" s="173">
        <v>0.0</v>
      </c>
      <c r="CV169" s="173">
        <v>0.0</v>
      </c>
      <c r="CW169" s="173">
        <v>0.0</v>
      </c>
      <c r="CX169" s="173">
        <v>0.0</v>
      </c>
      <c r="CY169" s="173">
        <v>0.0</v>
      </c>
      <c r="CZ169" s="173">
        <v>0.0</v>
      </c>
      <c r="DA169" s="173">
        <v>0.0</v>
      </c>
      <c r="DB169" s="173">
        <v>0.0</v>
      </c>
      <c r="DC169" s="173">
        <v>0.0</v>
      </c>
      <c r="DD169" s="173">
        <v>0.0</v>
      </c>
      <c r="DE169" s="173">
        <v>0.0</v>
      </c>
      <c r="DF169" s="173">
        <v>0.0</v>
      </c>
      <c r="DG169" s="176">
        <f t="shared" si="13"/>
        <v>0</v>
      </c>
      <c r="DH169" s="177">
        <v>731.0</v>
      </c>
      <c r="DI169" s="177">
        <v>156.0</v>
      </c>
      <c r="DJ169" s="177">
        <v>731.0</v>
      </c>
      <c r="DK169" s="178">
        <v>156.0</v>
      </c>
      <c r="DL169" s="179">
        <f t="shared" si="14"/>
        <v>6</v>
      </c>
      <c r="DM169" s="180">
        <f t="shared" si="15"/>
        <v>2</v>
      </c>
      <c r="DN169" s="180">
        <f t="shared" si="16"/>
        <v>4</v>
      </c>
      <c r="DO169" s="177">
        <v>0.0</v>
      </c>
      <c r="DP169" s="177">
        <v>0.0</v>
      </c>
      <c r="DQ169" s="177">
        <v>1.0</v>
      </c>
      <c r="DR169" s="177">
        <v>2.0</v>
      </c>
      <c r="DS169" s="177">
        <v>0.0</v>
      </c>
      <c r="DT169" s="177">
        <v>0.0</v>
      </c>
      <c r="DU169" s="177">
        <v>1.0</v>
      </c>
      <c r="DV169" s="177">
        <v>2.0</v>
      </c>
      <c r="DW169" s="177">
        <v>0.0</v>
      </c>
      <c r="DX169" s="177">
        <v>0.0</v>
      </c>
      <c r="DY169" s="177">
        <v>0.0</v>
      </c>
      <c r="DZ169" s="177">
        <v>0.0</v>
      </c>
      <c r="EA169" s="177">
        <v>0.0</v>
      </c>
      <c r="EB169" s="177">
        <v>0.0</v>
      </c>
      <c r="EC169" s="177">
        <v>0.0</v>
      </c>
      <c r="ED169" s="177">
        <v>0.0</v>
      </c>
      <c r="EE169" s="177">
        <v>0.0</v>
      </c>
      <c r="EF169" s="177">
        <v>0.0</v>
      </c>
      <c r="EG169" s="179">
        <f t="shared" si="17"/>
        <v>0</v>
      </c>
      <c r="EH169" s="179">
        <f t="shared" si="18"/>
        <v>0</v>
      </c>
      <c r="EI169" s="177">
        <v>708.0</v>
      </c>
      <c r="EJ169" s="177">
        <v>151.0</v>
      </c>
      <c r="EK169" s="177">
        <v>708.0</v>
      </c>
      <c r="EL169" s="177">
        <v>151.0</v>
      </c>
      <c r="EM169" s="185">
        <f t="shared" si="362"/>
        <v>6</v>
      </c>
      <c r="EN169" s="186">
        <f t="shared" si="202"/>
        <v>2</v>
      </c>
      <c r="EO169" s="186">
        <f t="shared" si="90"/>
        <v>4</v>
      </c>
      <c r="EP169" s="494">
        <v>0.0</v>
      </c>
      <c r="EQ169" s="494">
        <v>0.0</v>
      </c>
      <c r="ER169" s="494">
        <v>1.0</v>
      </c>
      <c r="ES169" s="494">
        <v>3.0</v>
      </c>
      <c r="ET169" s="177">
        <v>0.0</v>
      </c>
      <c r="EU169" s="177">
        <v>0.0</v>
      </c>
      <c r="EV169" s="177">
        <v>1.0</v>
      </c>
      <c r="EW169" s="177">
        <v>1.0</v>
      </c>
      <c r="EX169" s="177">
        <v>0.0</v>
      </c>
      <c r="EY169" s="177">
        <v>0.0</v>
      </c>
      <c r="EZ169" s="177">
        <v>1.0</v>
      </c>
      <c r="FA169" s="177">
        <v>1.0</v>
      </c>
      <c r="FB169" s="177">
        <v>0.0</v>
      </c>
      <c r="FC169" s="177">
        <v>0.0</v>
      </c>
      <c r="FD169" s="177">
        <v>0.0</v>
      </c>
      <c r="FE169" s="177">
        <v>0.0</v>
      </c>
      <c r="FF169" s="177">
        <v>0.0</v>
      </c>
      <c r="FG169" s="177">
        <v>0.0</v>
      </c>
      <c r="FH169" s="185">
        <f t="shared" si="22"/>
        <v>2</v>
      </c>
      <c r="FI169" s="185">
        <f t="shared" si="23"/>
        <v>1</v>
      </c>
      <c r="FJ169" s="177">
        <v>704.0</v>
      </c>
      <c r="FK169" s="177">
        <v>149.0</v>
      </c>
      <c r="FL169" s="177">
        <v>704.0</v>
      </c>
      <c r="FM169" s="177">
        <v>149.0</v>
      </c>
      <c r="FN169" s="180"/>
      <c r="FO169" s="180">
        <v>6.0</v>
      </c>
      <c r="FP169" s="188">
        <f t="shared" si="412"/>
        <v>6</v>
      </c>
      <c r="FQ169" s="211">
        <v>1.0</v>
      </c>
      <c r="FR169" s="212">
        <v>5.0</v>
      </c>
      <c r="FS169" s="206">
        <v>0.0</v>
      </c>
      <c r="FT169" s="207">
        <v>0.0</v>
      </c>
      <c r="FU169" s="207">
        <v>1.0</v>
      </c>
      <c r="FV169" s="207">
        <v>5.0</v>
      </c>
      <c r="FW169" s="207">
        <v>0.0</v>
      </c>
      <c r="FX169" s="207">
        <v>0.0</v>
      </c>
      <c r="FY169" s="207">
        <v>0.0</v>
      </c>
      <c r="FZ169" s="207">
        <v>0.0</v>
      </c>
      <c r="GA169" s="207">
        <v>0.0</v>
      </c>
      <c r="GB169" s="207">
        <v>0.0</v>
      </c>
      <c r="GC169" s="207">
        <v>0.0</v>
      </c>
      <c r="GD169" s="207">
        <v>0.0</v>
      </c>
      <c r="GE169" s="207">
        <v>0.0</v>
      </c>
      <c r="GF169" s="207">
        <v>0.0</v>
      </c>
      <c r="GG169" s="207">
        <v>0.0</v>
      </c>
      <c r="GH169" s="207">
        <v>0.0</v>
      </c>
      <c r="GI169" s="207">
        <v>0.0</v>
      </c>
      <c r="GJ169" s="207">
        <v>0.0</v>
      </c>
      <c r="GK169" s="212">
        <v>0.0</v>
      </c>
      <c r="GL169" s="212">
        <v>0.0</v>
      </c>
      <c r="GM169" s="207">
        <v>698.0</v>
      </c>
      <c r="GN169" s="207">
        <v>146.0</v>
      </c>
      <c r="GO169" s="213">
        <v>698.0</v>
      </c>
      <c r="GP169" s="213">
        <v>146.0</v>
      </c>
      <c r="GQ169" s="207"/>
      <c r="GR169" s="213">
        <v>6.0</v>
      </c>
      <c r="GS169" s="193">
        <v>0.0</v>
      </c>
      <c r="GT169" s="194">
        <f t="shared" si="25"/>
        <v>6</v>
      </c>
      <c r="GU169" s="194">
        <f t="shared" si="26"/>
        <v>0</v>
      </c>
      <c r="GV169" s="194">
        <f t="shared" si="27"/>
        <v>6</v>
      </c>
      <c r="GW169" s="207">
        <v>0.0</v>
      </c>
      <c r="GX169" s="207">
        <v>0.0</v>
      </c>
      <c r="GY169" s="207">
        <v>0.0</v>
      </c>
      <c r="GZ169" s="207">
        <v>6.0</v>
      </c>
      <c r="HA169" s="207">
        <v>0.0</v>
      </c>
      <c r="HB169" s="207">
        <v>0.0</v>
      </c>
      <c r="HC169" s="207">
        <v>0.0</v>
      </c>
      <c r="HD169" s="207">
        <v>0.0</v>
      </c>
      <c r="HE169" s="207">
        <v>0.0</v>
      </c>
      <c r="HF169" s="207">
        <v>0.0</v>
      </c>
      <c r="HG169" s="207">
        <v>0.0</v>
      </c>
      <c r="HH169" s="207">
        <v>0.0</v>
      </c>
      <c r="HI169" s="207">
        <v>0.0</v>
      </c>
      <c r="HJ169" s="207">
        <v>0.0</v>
      </c>
      <c r="HK169" s="207">
        <v>0.0</v>
      </c>
      <c r="HL169" s="207">
        <v>0.0</v>
      </c>
      <c r="HM169" s="207">
        <v>0.0</v>
      </c>
      <c r="HN169" s="207">
        <v>0.0</v>
      </c>
      <c r="HO169" s="222"/>
      <c r="HP169" s="222"/>
      <c r="HQ169" s="214"/>
      <c r="HR169" s="197"/>
      <c r="HS169" s="197"/>
      <c r="HT169" s="198">
        <f t="shared" si="28"/>
        <v>3</v>
      </c>
      <c r="HU169" s="198">
        <f t="shared" si="29"/>
        <v>3</v>
      </c>
      <c r="HV169" s="198">
        <f t="shared" si="30"/>
        <v>3</v>
      </c>
      <c r="HW169" s="198">
        <f t="shared" si="99"/>
        <v>3</v>
      </c>
      <c r="HX169" s="198">
        <f t="shared" si="32"/>
        <v>3</v>
      </c>
      <c r="HY169" s="198">
        <f t="shared" si="33"/>
        <v>4</v>
      </c>
      <c r="HZ169" s="198">
        <f t="shared" si="34"/>
        <v>3</v>
      </c>
      <c r="IA169" s="198">
        <f t="shared" si="35"/>
        <v>3</v>
      </c>
      <c r="IB169" s="198">
        <f t="shared" si="36"/>
        <v>6</v>
      </c>
      <c r="IC169" s="198">
        <f t="shared" si="37"/>
        <v>6</v>
      </c>
      <c r="ID169" s="198">
        <f t="shared" si="38"/>
        <v>6</v>
      </c>
      <c r="IE169" s="198">
        <f t="shared" si="39"/>
        <v>6</v>
      </c>
      <c r="IF169" s="197"/>
      <c r="IG169" s="197"/>
      <c r="IH169" s="197"/>
      <c r="II169" s="197"/>
      <c r="IJ169" s="197"/>
      <c r="IK169" s="197"/>
      <c r="IL169" s="197"/>
      <c r="IM169" s="197"/>
      <c r="IN169" s="197"/>
      <c r="IO169" s="197"/>
      <c r="IP169" s="197"/>
      <c r="IQ169" s="197"/>
      <c r="IR169" s="197"/>
      <c r="IS169" s="197"/>
      <c r="IT169" s="197"/>
      <c r="IU169" s="197"/>
      <c r="IV169" s="197"/>
      <c r="IW169" s="197"/>
      <c r="IX169" s="197"/>
      <c r="IY169" s="197"/>
      <c r="IZ169" s="197"/>
      <c r="JA169" s="199"/>
      <c r="JB169" s="200">
        <f t="shared" si="40"/>
        <v>3</v>
      </c>
      <c r="JC169" s="200">
        <f t="shared" si="41"/>
        <v>3</v>
      </c>
      <c r="JD169" s="200">
        <f t="shared" si="42"/>
        <v>3</v>
      </c>
      <c r="JE169" s="200">
        <f t="shared" si="43"/>
        <v>3</v>
      </c>
      <c r="JF169" s="200">
        <f t="shared" si="44"/>
        <v>3</v>
      </c>
      <c r="JG169" s="200">
        <f t="shared" si="45"/>
        <v>4</v>
      </c>
      <c r="JH169" s="200">
        <f t="shared" si="46"/>
        <v>3</v>
      </c>
      <c r="JI169" s="200">
        <f t="shared" si="47"/>
        <v>3</v>
      </c>
      <c r="JJ169" s="200">
        <f t="shared" si="48"/>
        <v>6</v>
      </c>
      <c r="JK169" s="200">
        <f t="shared" si="49"/>
        <v>8</v>
      </c>
      <c r="JL169" s="200">
        <f t="shared" si="50"/>
        <v>6</v>
      </c>
      <c r="JM169" s="200">
        <f t="shared" si="51"/>
        <v>6</v>
      </c>
      <c r="JN169" s="199"/>
      <c r="JO169" s="200">
        <f t="shared" si="52"/>
        <v>3</v>
      </c>
      <c r="JP169" s="202">
        <v>3.0</v>
      </c>
      <c r="JQ169" s="202">
        <v>3.0</v>
      </c>
      <c r="JR169" s="202">
        <v>3.0</v>
      </c>
      <c r="JS169" s="202">
        <v>3.0</v>
      </c>
      <c r="JT169" s="199"/>
      <c r="JU169" s="199"/>
      <c r="JV169" s="200">
        <f t="shared" ref="JV169:JX169" si="415">IA169-JI169</f>
        <v>0</v>
      </c>
      <c r="JW169" s="200">
        <f t="shared" si="415"/>
        <v>0</v>
      </c>
      <c r="JX169" s="200">
        <f t="shared" si="415"/>
        <v>-2</v>
      </c>
      <c r="JY169" s="199"/>
      <c r="JZ169" s="199"/>
      <c r="KA169" s="199"/>
      <c r="KB169" s="200">
        <f t="shared" ref="KB169:KM169" si="416">JB169-JO169</f>
        <v>0</v>
      </c>
      <c r="KC169" s="200">
        <f t="shared" si="416"/>
        <v>0</v>
      </c>
      <c r="KD169" s="200">
        <f t="shared" si="416"/>
        <v>0</v>
      </c>
      <c r="KE169" s="200">
        <f t="shared" si="416"/>
        <v>0</v>
      </c>
      <c r="KF169" s="200">
        <f t="shared" si="416"/>
        <v>0</v>
      </c>
      <c r="KG169" s="200">
        <f t="shared" si="416"/>
        <v>4</v>
      </c>
      <c r="KH169" s="200">
        <f t="shared" si="416"/>
        <v>3</v>
      </c>
      <c r="KI169" s="200">
        <f t="shared" si="416"/>
        <v>3</v>
      </c>
      <c r="KJ169" s="200">
        <f t="shared" si="416"/>
        <v>6</v>
      </c>
      <c r="KK169" s="200">
        <f t="shared" si="416"/>
        <v>10</v>
      </c>
      <c r="KL169" s="200">
        <f t="shared" si="416"/>
        <v>6</v>
      </c>
      <c r="KM169" s="200">
        <f t="shared" si="416"/>
        <v>6</v>
      </c>
      <c r="KN169" s="199"/>
      <c r="KO169" s="199"/>
      <c r="KP169" s="199"/>
      <c r="KQ169" s="199"/>
      <c r="KR169" s="199"/>
      <c r="KS169" s="199"/>
      <c r="KT169" s="199"/>
      <c r="KU169" s="199"/>
      <c r="KV169" s="199"/>
      <c r="KW169" s="199"/>
      <c r="KX169" s="199"/>
      <c r="KY169" s="199"/>
      <c r="KZ169" s="199"/>
      <c r="LA169" s="199"/>
      <c r="LB169" s="199"/>
      <c r="LC169" s="199"/>
      <c r="LD169" s="199"/>
      <c r="LE169" s="199"/>
      <c r="LF169" s="199"/>
      <c r="LG169" s="199"/>
    </row>
    <row r="170" ht="14.25" customHeight="1">
      <c r="A170" s="156">
        <v>163.0</v>
      </c>
      <c r="B170" s="492" t="s">
        <v>277</v>
      </c>
      <c r="C170" s="493">
        <v>3374160.0</v>
      </c>
      <c r="D170" s="493" t="s">
        <v>277</v>
      </c>
      <c r="E170" s="493" t="s">
        <v>280</v>
      </c>
      <c r="F170" s="159">
        <v>24.0</v>
      </c>
      <c r="G170" s="285">
        <v>1303.0</v>
      </c>
      <c r="H170" s="160">
        <v>7.0</v>
      </c>
      <c r="I170" s="159">
        <v>0.0</v>
      </c>
      <c r="J170" s="159">
        <v>1.0</v>
      </c>
      <c r="K170" s="159">
        <v>2.0</v>
      </c>
      <c r="L170" s="164">
        <v>4.0</v>
      </c>
      <c r="M170" s="164">
        <v>0.0</v>
      </c>
      <c r="N170" s="164"/>
      <c r="O170" s="166">
        <f t="shared" si="369"/>
        <v>7</v>
      </c>
      <c r="P170" s="203">
        <v>7.0</v>
      </c>
      <c r="Q170" s="259">
        <v>0.0</v>
      </c>
      <c r="R170" s="259">
        <v>1.0</v>
      </c>
      <c r="S170" s="259">
        <v>2.0</v>
      </c>
      <c r="T170" s="491">
        <v>4.0</v>
      </c>
      <c r="U170" s="164"/>
      <c r="V170" s="164"/>
      <c r="W170" s="166">
        <f t="shared" si="225"/>
        <v>7</v>
      </c>
      <c r="X170" s="331">
        <v>7.0</v>
      </c>
      <c r="Y170" s="259">
        <v>0.0</v>
      </c>
      <c r="Z170" s="259">
        <v>1.0</v>
      </c>
      <c r="AA170" s="259">
        <v>2.0</v>
      </c>
      <c r="AB170" s="491">
        <v>4.0</v>
      </c>
      <c r="AC170" s="165"/>
      <c r="AD170" s="165"/>
      <c r="AE170" s="166">
        <f t="shared" si="214"/>
        <v>7</v>
      </c>
      <c r="AF170" s="167">
        <v>7.0</v>
      </c>
      <c r="AG170" s="259">
        <v>0.0</v>
      </c>
      <c r="AH170" s="259">
        <v>1.0</v>
      </c>
      <c r="AI170" s="259">
        <v>2.0</v>
      </c>
      <c r="AJ170" s="495">
        <v>4.0</v>
      </c>
      <c r="AK170" s="171">
        <v>1.0</v>
      </c>
      <c r="AL170" s="171">
        <v>1.0</v>
      </c>
      <c r="AM170" s="166">
        <f t="shared" si="370"/>
        <v>5</v>
      </c>
      <c r="AN170" s="167">
        <v>7.0</v>
      </c>
      <c r="AO170" s="259">
        <v>0.0</v>
      </c>
      <c r="AP170" s="259">
        <v>1.0</v>
      </c>
      <c r="AQ170" s="259">
        <v>2.0</v>
      </c>
      <c r="AR170" s="491">
        <v>4.0</v>
      </c>
      <c r="AS170" s="171">
        <v>0.0</v>
      </c>
      <c r="AT170" s="171">
        <v>0.0</v>
      </c>
      <c r="AU170" s="168">
        <f t="shared" si="375"/>
        <v>7</v>
      </c>
      <c r="AV170" s="169">
        <v>1282.0</v>
      </c>
      <c r="AW170" s="204">
        <f t="shared" si="8"/>
        <v>7</v>
      </c>
      <c r="AX170" s="169">
        <v>0.0</v>
      </c>
      <c r="AY170" s="169">
        <v>1.0</v>
      </c>
      <c r="AZ170" s="169">
        <v>2.0</v>
      </c>
      <c r="BA170" s="169">
        <v>3.0</v>
      </c>
      <c r="BB170" s="169">
        <v>0.0</v>
      </c>
      <c r="BC170" s="169">
        <v>0.0</v>
      </c>
      <c r="BD170" s="169">
        <v>1.0</v>
      </c>
      <c r="BE170" s="169">
        <v>0.0</v>
      </c>
      <c r="BF170" s="169">
        <v>0.0</v>
      </c>
      <c r="BG170" s="169">
        <v>0.0</v>
      </c>
      <c r="BH170" s="169">
        <v>0.0</v>
      </c>
      <c r="BI170" s="169">
        <v>1.0</v>
      </c>
      <c r="BJ170" s="169">
        <v>0.0</v>
      </c>
      <c r="BK170" s="169">
        <v>0.0</v>
      </c>
      <c r="BL170" s="169">
        <v>0.0</v>
      </c>
      <c r="BM170" s="169">
        <v>0.0</v>
      </c>
      <c r="BN170" s="169">
        <v>0.0</v>
      </c>
      <c r="BO170" s="169">
        <v>0.0</v>
      </c>
      <c r="BP170" s="205">
        <f t="shared" si="131"/>
        <v>1</v>
      </c>
      <c r="BQ170" s="173">
        <v>1284.0</v>
      </c>
      <c r="BR170" s="204">
        <f t="shared" si="10"/>
        <v>6</v>
      </c>
      <c r="BS170" s="169">
        <v>0.0</v>
      </c>
      <c r="BT170" s="169">
        <v>1.0</v>
      </c>
      <c r="BU170" s="169">
        <v>2.0</v>
      </c>
      <c r="BV170" s="169">
        <v>3.0</v>
      </c>
      <c r="BW170" s="173">
        <v>0.0</v>
      </c>
      <c r="BX170" s="173">
        <v>0.0</v>
      </c>
      <c r="BY170" s="173">
        <v>0.0</v>
      </c>
      <c r="BZ170" s="173">
        <v>0.0</v>
      </c>
      <c r="CA170" s="173">
        <v>0.0</v>
      </c>
      <c r="CB170" s="173">
        <v>0.0</v>
      </c>
      <c r="CC170" s="173">
        <v>0.0</v>
      </c>
      <c r="CD170" s="173">
        <v>1.0</v>
      </c>
      <c r="CE170" s="173">
        <v>0.0</v>
      </c>
      <c r="CF170" s="173">
        <v>0.0</v>
      </c>
      <c r="CG170" s="173">
        <v>0.0</v>
      </c>
      <c r="CH170" s="173">
        <v>0.0</v>
      </c>
      <c r="CI170" s="173">
        <v>0.0</v>
      </c>
      <c r="CJ170" s="173">
        <v>0.0</v>
      </c>
      <c r="CK170" s="172">
        <f t="shared" si="132"/>
        <v>1</v>
      </c>
      <c r="CL170" s="173">
        <v>1290.0</v>
      </c>
      <c r="CM170" s="173">
        <v>376.0</v>
      </c>
      <c r="CN170" s="175">
        <f t="shared" si="295"/>
        <v>5</v>
      </c>
      <c r="CO170" s="173">
        <v>0.0</v>
      </c>
      <c r="CP170" s="173">
        <v>0.0</v>
      </c>
      <c r="CQ170" s="173">
        <v>2.0</v>
      </c>
      <c r="CR170" s="173">
        <v>3.0</v>
      </c>
      <c r="CS170" s="173">
        <v>0.0</v>
      </c>
      <c r="CT170" s="173">
        <v>0.0</v>
      </c>
      <c r="CU170" s="173">
        <v>0.0</v>
      </c>
      <c r="CV170" s="173">
        <v>0.0</v>
      </c>
      <c r="CW170" s="173">
        <v>0.0</v>
      </c>
      <c r="CX170" s="173">
        <v>0.0</v>
      </c>
      <c r="CY170" s="173">
        <v>0.0</v>
      </c>
      <c r="CZ170" s="173">
        <v>0.0</v>
      </c>
      <c r="DA170" s="173">
        <v>0.0</v>
      </c>
      <c r="DB170" s="173">
        <v>0.0</v>
      </c>
      <c r="DC170" s="173">
        <v>0.0</v>
      </c>
      <c r="DD170" s="173">
        <v>0.0</v>
      </c>
      <c r="DE170" s="173">
        <v>0.0</v>
      </c>
      <c r="DF170" s="173">
        <v>1.0</v>
      </c>
      <c r="DG170" s="176">
        <f t="shared" si="13"/>
        <v>1</v>
      </c>
      <c r="DH170" s="177">
        <v>1193.0</v>
      </c>
      <c r="DI170" s="177">
        <v>324.0</v>
      </c>
      <c r="DJ170" s="177">
        <v>1193.0</v>
      </c>
      <c r="DK170" s="178">
        <v>324.0</v>
      </c>
      <c r="DL170" s="179">
        <f t="shared" si="14"/>
        <v>6</v>
      </c>
      <c r="DM170" s="180">
        <f t="shared" si="15"/>
        <v>2</v>
      </c>
      <c r="DN170" s="180">
        <f t="shared" si="16"/>
        <v>4</v>
      </c>
      <c r="DO170" s="177">
        <v>0.0</v>
      </c>
      <c r="DP170" s="177">
        <v>0.0</v>
      </c>
      <c r="DQ170" s="177">
        <v>2.0</v>
      </c>
      <c r="DR170" s="177">
        <v>3.0</v>
      </c>
      <c r="DS170" s="177">
        <v>0.0</v>
      </c>
      <c r="DT170" s="177">
        <v>0.0</v>
      </c>
      <c r="DU170" s="177">
        <v>0.0</v>
      </c>
      <c r="DV170" s="177">
        <v>1.0</v>
      </c>
      <c r="DW170" s="177">
        <v>0.0</v>
      </c>
      <c r="DX170" s="177">
        <v>0.0</v>
      </c>
      <c r="DY170" s="177">
        <v>0.0</v>
      </c>
      <c r="DZ170" s="177">
        <v>0.0</v>
      </c>
      <c r="EA170" s="177">
        <v>0.0</v>
      </c>
      <c r="EB170" s="177">
        <v>0.0</v>
      </c>
      <c r="EC170" s="177">
        <v>0.0</v>
      </c>
      <c r="ED170" s="177">
        <v>0.0</v>
      </c>
      <c r="EE170" s="177">
        <v>0.0</v>
      </c>
      <c r="EF170" s="177">
        <v>0.0</v>
      </c>
      <c r="EG170" s="179">
        <f t="shared" si="17"/>
        <v>0</v>
      </c>
      <c r="EH170" s="179">
        <f t="shared" si="18"/>
        <v>0</v>
      </c>
      <c r="EI170" s="177">
        <v>1207.0</v>
      </c>
      <c r="EJ170" s="177">
        <v>348.0</v>
      </c>
      <c r="EK170" s="177">
        <v>1207.0</v>
      </c>
      <c r="EL170" s="177">
        <v>348.0</v>
      </c>
      <c r="EM170" s="185">
        <f t="shared" si="362"/>
        <v>4</v>
      </c>
      <c r="EN170" s="186">
        <f t="shared" si="202"/>
        <v>1</v>
      </c>
      <c r="EO170" s="186">
        <f t="shared" si="90"/>
        <v>3</v>
      </c>
      <c r="EP170" s="494">
        <v>0.0</v>
      </c>
      <c r="EQ170" s="494">
        <v>0.0</v>
      </c>
      <c r="ER170" s="494">
        <v>1.0</v>
      </c>
      <c r="ES170" s="494">
        <v>3.0</v>
      </c>
      <c r="ET170" s="177">
        <v>0.0</v>
      </c>
      <c r="EU170" s="177">
        <v>0.0</v>
      </c>
      <c r="EV170" s="177">
        <v>0.0</v>
      </c>
      <c r="EW170" s="177">
        <v>0.0</v>
      </c>
      <c r="EX170" s="177">
        <v>0.0</v>
      </c>
      <c r="EY170" s="177">
        <v>0.0</v>
      </c>
      <c r="EZ170" s="177">
        <v>1.0</v>
      </c>
      <c r="FA170" s="177">
        <v>1.0</v>
      </c>
      <c r="FB170" s="177">
        <v>0.0</v>
      </c>
      <c r="FC170" s="177">
        <v>0.0</v>
      </c>
      <c r="FD170" s="177">
        <v>0.0</v>
      </c>
      <c r="FE170" s="177">
        <v>0.0</v>
      </c>
      <c r="FF170" s="177">
        <v>0.0</v>
      </c>
      <c r="FG170" s="177">
        <v>0.0</v>
      </c>
      <c r="FH170" s="185">
        <f t="shared" si="22"/>
        <v>2</v>
      </c>
      <c r="FI170" s="185">
        <f t="shared" si="23"/>
        <v>1</v>
      </c>
      <c r="FJ170" s="177">
        <v>1194.0</v>
      </c>
      <c r="FK170" s="177">
        <v>348.0</v>
      </c>
      <c r="FL170" s="177">
        <v>1194.0</v>
      </c>
      <c r="FM170" s="177">
        <v>348.0</v>
      </c>
      <c r="FN170" s="180"/>
      <c r="FO170" s="180">
        <v>4.0</v>
      </c>
      <c r="FP170" s="188">
        <f t="shared" si="412"/>
        <v>4</v>
      </c>
      <c r="FQ170" s="211">
        <v>0.0</v>
      </c>
      <c r="FR170" s="212">
        <v>4.0</v>
      </c>
      <c r="FS170" s="206">
        <v>0.0</v>
      </c>
      <c r="FT170" s="207">
        <v>0.0</v>
      </c>
      <c r="FU170" s="207">
        <v>0.0</v>
      </c>
      <c r="FV170" s="207">
        <v>4.0</v>
      </c>
      <c r="FW170" s="207">
        <v>0.0</v>
      </c>
      <c r="FX170" s="207">
        <v>0.0</v>
      </c>
      <c r="FY170" s="207">
        <v>0.0</v>
      </c>
      <c r="FZ170" s="207">
        <v>0.0</v>
      </c>
      <c r="GA170" s="207">
        <v>0.0</v>
      </c>
      <c r="GB170" s="207">
        <v>0.0</v>
      </c>
      <c r="GC170" s="207">
        <v>0.0</v>
      </c>
      <c r="GD170" s="207">
        <v>0.0</v>
      </c>
      <c r="GE170" s="207">
        <v>0.0</v>
      </c>
      <c r="GF170" s="207">
        <v>0.0</v>
      </c>
      <c r="GG170" s="207">
        <v>0.0</v>
      </c>
      <c r="GH170" s="207">
        <v>0.0</v>
      </c>
      <c r="GI170" s="207">
        <v>0.0</v>
      </c>
      <c r="GJ170" s="207">
        <v>0.0</v>
      </c>
      <c r="GK170" s="212">
        <v>0.0</v>
      </c>
      <c r="GL170" s="212">
        <v>0.0</v>
      </c>
      <c r="GM170" s="207">
        <v>1176.0</v>
      </c>
      <c r="GN170" s="207">
        <v>333.0</v>
      </c>
      <c r="GO170" s="213">
        <v>1176.0</v>
      </c>
      <c r="GP170" s="213">
        <v>333.0</v>
      </c>
      <c r="GQ170" s="207"/>
      <c r="GR170" s="213">
        <v>4.0</v>
      </c>
      <c r="GS170" s="193">
        <v>0.0</v>
      </c>
      <c r="GT170" s="194">
        <f t="shared" si="25"/>
        <v>4</v>
      </c>
      <c r="GU170" s="194">
        <f t="shared" si="26"/>
        <v>0</v>
      </c>
      <c r="GV170" s="194">
        <f t="shared" si="27"/>
        <v>4</v>
      </c>
      <c r="GW170" s="207">
        <v>0.0</v>
      </c>
      <c r="GX170" s="207">
        <v>0.0</v>
      </c>
      <c r="GY170" s="207">
        <v>0.0</v>
      </c>
      <c r="GZ170" s="207">
        <v>4.0</v>
      </c>
      <c r="HA170" s="207">
        <v>0.0</v>
      </c>
      <c r="HB170" s="207">
        <v>0.0</v>
      </c>
      <c r="HC170" s="207">
        <v>0.0</v>
      </c>
      <c r="HD170" s="207">
        <v>0.0</v>
      </c>
      <c r="HE170" s="207">
        <v>0.0</v>
      </c>
      <c r="HF170" s="207">
        <v>0.0</v>
      </c>
      <c r="HG170" s="207">
        <v>0.0</v>
      </c>
      <c r="HH170" s="207">
        <v>0.0</v>
      </c>
      <c r="HI170" s="207">
        <v>0.0</v>
      </c>
      <c r="HJ170" s="207">
        <v>0.0</v>
      </c>
      <c r="HK170" s="207">
        <v>0.0</v>
      </c>
      <c r="HL170" s="207">
        <v>0.0</v>
      </c>
      <c r="HM170" s="207">
        <v>0.0</v>
      </c>
      <c r="HN170" s="207">
        <v>0.0</v>
      </c>
      <c r="HO170" s="222"/>
      <c r="HP170" s="222"/>
      <c r="HQ170" s="214"/>
      <c r="HR170" s="197"/>
      <c r="HS170" s="197"/>
      <c r="HT170" s="198">
        <f t="shared" si="28"/>
        <v>7</v>
      </c>
      <c r="HU170" s="198">
        <f t="shared" si="29"/>
        <v>7</v>
      </c>
      <c r="HV170" s="198">
        <f t="shared" si="30"/>
        <v>7</v>
      </c>
      <c r="HW170" s="198">
        <f t="shared" si="99"/>
        <v>7</v>
      </c>
      <c r="HX170" s="198">
        <f t="shared" si="32"/>
        <v>7</v>
      </c>
      <c r="HY170" s="198">
        <f t="shared" si="33"/>
        <v>7</v>
      </c>
      <c r="HZ170" s="198">
        <f t="shared" si="34"/>
        <v>6</v>
      </c>
      <c r="IA170" s="198">
        <f t="shared" si="35"/>
        <v>5</v>
      </c>
      <c r="IB170" s="198">
        <f t="shared" si="36"/>
        <v>6</v>
      </c>
      <c r="IC170" s="198">
        <f t="shared" si="37"/>
        <v>4</v>
      </c>
      <c r="ID170" s="198">
        <f t="shared" si="38"/>
        <v>4</v>
      </c>
      <c r="IE170" s="198">
        <f t="shared" si="39"/>
        <v>4</v>
      </c>
      <c r="IF170" s="197"/>
      <c r="IG170" s="197"/>
      <c r="IH170" s="197"/>
      <c r="II170" s="197"/>
      <c r="IJ170" s="197"/>
      <c r="IK170" s="197"/>
      <c r="IL170" s="197"/>
      <c r="IM170" s="197"/>
      <c r="IN170" s="197"/>
      <c r="IO170" s="197"/>
      <c r="IP170" s="197"/>
      <c r="IQ170" s="197"/>
      <c r="IR170" s="197"/>
      <c r="IS170" s="197"/>
      <c r="IT170" s="197"/>
      <c r="IU170" s="197"/>
      <c r="IV170" s="197"/>
      <c r="IW170" s="197"/>
      <c r="IX170" s="197"/>
      <c r="IY170" s="197"/>
      <c r="IZ170" s="197"/>
      <c r="JA170" s="199"/>
      <c r="JB170" s="200">
        <f t="shared" si="40"/>
        <v>7</v>
      </c>
      <c r="JC170" s="200">
        <f t="shared" si="41"/>
        <v>7</v>
      </c>
      <c r="JD170" s="200">
        <f t="shared" si="42"/>
        <v>7</v>
      </c>
      <c r="JE170" s="200">
        <f t="shared" si="43"/>
        <v>7</v>
      </c>
      <c r="JF170" s="200">
        <f t="shared" si="44"/>
        <v>7</v>
      </c>
      <c r="JG170" s="200">
        <f t="shared" si="45"/>
        <v>7</v>
      </c>
      <c r="JH170" s="200">
        <f t="shared" si="46"/>
        <v>6</v>
      </c>
      <c r="JI170" s="200">
        <f t="shared" si="47"/>
        <v>5</v>
      </c>
      <c r="JJ170" s="200">
        <f t="shared" si="48"/>
        <v>6</v>
      </c>
      <c r="JK170" s="200">
        <f t="shared" si="49"/>
        <v>6</v>
      </c>
      <c r="JL170" s="200">
        <f t="shared" si="50"/>
        <v>4</v>
      </c>
      <c r="JM170" s="200">
        <f t="shared" si="51"/>
        <v>4</v>
      </c>
      <c r="JN170" s="199"/>
      <c r="JO170" s="200">
        <f t="shared" si="52"/>
        <v>7</v>
      </c>
      <c r="JP170" s="202">
        <v>7.0</v>
      </c>
      <c r="JQ170" s="202">
        <v>7.0</v>
      </c>
      <c r="JR170" s="202">
        <v>7.0</v>
      </c>
      <c r="JS170" s="202">
        <v>7.0</v>
      </c>
      <c r="JT170" s="199"/>
      <c r="JU170" s="199"/>
      <c r="JV170" s="200">
        <f t="shared" ref="JV170:JX170" si="417">IA170-JI170</f>
        <v>0</v>
      </c>
      <c r="JW170" s="200">
        <f t="shared" si="417"/>
        <v>0</v>
      </c>
      <c r="JX170" s="200">
        <f t="shared" si="417"/>
        <v>-2</v>
      </c>
      <c r="JY170" s="199"/>
      <c r="JZ170" s="199"/>
      <c r="KA170" s="199"/>
      <c r="KB170" s="200">
        <f t="shared" ref="KB170:KM170" si="418">JB170-JO170</f>
        <v>0</v>
      </c>
      <c r="KC170" s="200">
        <f t="shared" si="418"/>
        <v>0</v>
      </c>
      <c r="KD170" s="200">
        <f t="shared" si="418"/>
        <v>0</v>
      </c>
      <c r="KE170" s="200">
        <f t="shared" si="418"/>
        <v>0</v>
      </c>
      <c r="KF170" s="200">
        <f t="shared" si="418"/>
        <v>0</v>
      </c>
      <c r="KG170" s="200">
        <f t="shared" si="418"/>
        <v>7</v>
      </c>
      <c r="KH170" s="200">
        <f t="shared" si="418"/>
        <v>6</v>
      </c>
      <c r="KI170" s="200">
        <f t="shared" si="418"/>
        <v>5</v>
      </c>
      <c r="KJ170" s="200">
        <f t="shared" si="418"/>
        <v>6</v>
      </c>
      <c r="KK170" s="200">
        <f t="shared" si="418"/>
        <v>8</v>
      </c>
      <c r="KL170" s="200">
        <f t="shared" si="418"/>
        <v>4</v>
      </c>
      <c r="KM170" s="200">
        <f t="shared" si="418"/>
        <v>4</v>
      </c>
      <c r="KN170" s="199"/>
      <c r="KO170" s="199"/>
      <c r="KP170" s="199"/>
      <c r="KQ170" s="199"/>
      <c r="KR170" s="199"/>
      <c r="KS170" s="199"/>
      <c r="KT170" s="199"/>
      <c r="KU170" s="199"/>
      <c r="KV170" s="199"/>
      <c r="KW170" s="199"/>
      <c r="KX170" s="199"/>
      <c r="KY170" s="199"/>
      <c r="KZ170" s="199"/>
      <c r="LA170" s="199"/>
      <c r="LB170" s="199"/>
      <c r="LC170" s="199"/>
      <c r="LD170" s="199"/>
      <c r="LE170" s="199"/>
      <c r="LF170" s="199"/>
      <c r="LG170" s="199"/>
    </row>
    <row r="171" ht="14.25" customHeight="1">
      <c r="A171" s="156">
        <v>164.0</v>
      </c>
      <c r="B171" s="157" t="s">
        <v>277</v>
      </c>
      <c r="C171" s="158">
        <v>3374160.0</v>
      </c>
      <c r="D171" s="158" t="s">
        <v>281</v>
      </c>
      <c r="E171" s="158" t="s">
        <v>282</v>
      </c>
      <c r="F171" s="159">
        <v>17.0</v>
      </c>
      <c r="G171" s="285">
        <v>1190.0</v>
      </c>
      <c r="H171" s="160">
        <v>24.0</v>
      </c>
      <c r="I171" s="161">
        <v>4.0</v>
      </c>
      <c r="J171" s="161">
        <v>0.0</v>
      </c>
      <c r="K171" s="161">
        <v>10.0</v>
      </c>
      <c r="L171" s="164">
        <v>10.0</v>
      </c>
      <c r="M171" s="164"/>
      <c r="N171" s="164"/>
      <c r="O171" s="166">
        <f t="shared" si="369"/>
        <v>24</v>
      </c>
      <c r="P171" s="203">
        <v>27.0</v>
      </c>
      <c r="Q171" s="491">
        <v>1.0</v>
      </c>
      <c r="R171" s="491">
        <v>1.0</v>
      </c>
      <c r="S171" s="491">
        <v>7.0</v>
      </c>
      <c r="T171" s="259">
        <v>18.0</v>
      </c>
      <c r="U171" s="165"/>
      <c r="V171" s="165"/>
      <c r="W171" s="166">
        <f t="shared" si="225"/>
        <v>27</v>
      </c>
      <c r="X171" s="203">
        <v>23.0</v>
      </c>
      <c r="Y171" s="165">
        <v>4.0</v>
      </c>
      <c r="Z171" s="165">
        <v>0.0</v>
      </c>
      <c r="AA171" s="165">
        <v>6.0</v>
      </c>
      <c r="AB171" s="165">
        <v>13.0</v>
      </c>
      <c r="AC171" s="165"/>
      <c r="AD171" s="165"/>
      <c r="AE171" s="166">
        <f t="shared" si="214"/>
        <v>23</v>
      </c>
      <c r="AF171" s="167">
        <v>9.0</v>
      </c>
      <c r="AG171" s="165">
        <v>0.0</v>
      </c>
      <c r="AH171" s="165">
        <v>0.0</v>
      </c>
      <c r="AI171" s="165">
        <v>1.0</v>
      </c>
      <c r="AJ171" s="165">
        <v>8.0</v>
      </c>
      <c r="AK171" s="165"/>
      <c r="AL171" s="165"/>
      <c r="AM171" s="166">
        <f t="shared" si="370"/>
        <v>9</v>
      </c>
      <c r="AN171" s="167">
        <v>21.0</v>
      </c>
      <c r="AO171" s="165">
        <v>5.0</v>
      </c>
      <c r="AP171" s="165">
        <v>1.0</v>
      </c>
      <c r="AQ171" s="165">
        <v>5.0</v>
      </c>
      <c r="AR171" s="165">
        <v>10.0</v>
      </c>
      <c r="AS171" s="171">
        <v>0.0</v>
      </c>
      <c r="AT171" s="171">
        <v>0.0</v>
      </c>
      <c r="AU171" s="168">
        <f t="shared" si="375"/>
        <v>21</v>
      </c>
      <c r="AV171" s="169">
        <v>780.0</v>
      </c>
      <c r="AW171" s="204">
        <f t="shared" si="8"/>
        <v>26</v>
      </c>
      <c r="AX171" s="169">
        <v>2.0</v>
      </c>
      <c r="AY171" s="169">
        <v>1.0</v>
      </c>
      <c r="AZ171" s="169">
        <v>6.0</v>
      </c>
      <c r="BA171" s="169">
        <v>17.0</v>
      </c>
      <c r="BB171" s="169">
        <v>0.0</v>
      </c>
      <c r="BC171" s="169">
        <v>0.0</v>
      </c>
      <c r="BD171" s="169">
        <v>0.0</v>
      </c>
      <c r="BE171" s="169">
        <v>0.0</v>
      </c>
      <c r="BF171" s="169">
        <v>0.0</v>
      </c>
      <c r="BG171" s="169">
        <v>0.0</v>
      </c>
      <c r="BH171" s="169">
        <v>0.0</v>
      </c>
      <c r="BI171" s="169">
        <v>0.0</v>
      </c>
      <c r="BJ171" s="169">
        <v>0.0</v>
      </c>
      <c r="BK171" s="169">
        <v>0.0</v>
      </c>
      <c r="BL171" s="169">
        <v>0.0</v>
      </c>
      <c r="BM171" s="169">
        <v>0.0</v>
      </c>
      <c r="BN171" s="169">
        <v>0.0</v>
      </c>
      <c r="BO171" s="169">
        <v>0.0</v>
      </c>
      <c r="BP171" s="292">
        <v>0.0</v>
      </c>
      <c r="BQ171" s="173">
        <v>748.0</v>
      </c>
      <c r="BR171" s="170">
        <f t="shared" si="10"/>
        <v>13</v>
      </c>
      <c r="BS171" s="173">
        <v>1.0</v>
      </c>
      <c r="BT171" s="173">
        <v>1.0</v>
      </c>
      <c r="BU171" s="173">
        <v>1.0</v>
      </c>
      <c r="BV171" s="173">
        <v>10.0</v>
      </c>
      <c r="BW171" s="173">
        <v>0.0</v>
      </c>
      <c r="BX171" s="173">
        <v>0.0</v>
      </c>
      <c r="BY171" s="173">
        <v>0.0</v>
      </c>
      <c r="BZ171" s="173">
        <v>0.0</v>
      </c>
      <c r="CA171" s="173">
        <v>4.0</v>
      </c>
      <c r="CB171" s="173">
        <v>3.0</v>
      </c>
      <c r="CC171" s="173">
        <v>4.0</v>
      </c>
      <c r="CD171" s="173">
        <v>6.0</v>
      </c>
      <c r="CE171" s="173">
        <v>0.0</v>
      </c>
      <c r="CF171" s="173">
        <v>0.0</v>
      </c>
      <c r="CG171" s="173">
        <v>0.0</v>
      </c>
      <c r="CH171" s="173">
        <v>0.0</v>
      </c>
      <c r="CI171" s="173">
        <v>0.0</v>
      </c>
      <c r="CJ171" s="173">
        <v>0.0</v>
      </c>
      <c r="CK171" s="172">
        <f t="shared" si="132"/>
        <v>17</v>
      </c>
      <c r="CL171" s="173">
        <v>771.0</v>
      </c>
      <c r="CM171" s="173">
        <v>558.0</v>
      </c>
      <c r="CN171" s="175">
        <f t="shared" si="295"/>
        <v>24</v>
      </c>
      <c r="CO171" s="173">
        <v>1.0</v>
      </c>
      <c r="CP171" s="173">
        <v>1.0</v>
      </c>
      <c r="CQ171" s="173">
        <v>1.0</v>
      </c>
      <c r="CR171" s="173">
        <v>10.0</v>
      </c>
      <c r="CS171" s="173">
        <v>0.0</v>
      </c>
      <c r="CT171" s="173">
        <v>0.0</v>
      </c>
      <c r="CU171" s="173">
        <v>5.0</v>
      </c>
      <c r="CV171" s="173">
        <v>6.0</v>
      </c>
      <c r="CW171" s="173">
        <v>0.0</v>
      </c>
      <c r="CX171" s="173">
        <v>0.0</v>
      </c>
      <c r="CY171" s="173">
        <v>0.0</v>
      </c>
      <c r="CZ171" s="173">
        <v>0.0</v>
      </c>
      <c r="DA171" s="173">
        <v>0.0</v>
      </c>
      <c r="DB171" s="173">
        <v>0.0</v>
      </c>
      <c r="DC171" s="173">
        <v>0.0</v>
      </c>
      <c r="DD171" s="173">
        <v>0.0</v>
      </c>
      <c r="DE171" s="173">
        <v>0.0</v>
      </c>
      <c r="DF171" s="173">
        <v>0.0</v>
      </c>
      <c r="DG171" s="176">
        <f t="shared" si="13"/>
        <v>0</v>
      </c>
      <c r="DH171" s="177">
        <v>729.0</v>
      </c>
      <c r="DI171" s="177">
        <v>216.0</v>
      </c>
      <c r="DJ171" s="178">
        <v>1022.0</v>
      </c>
      <c r="DK171" s="178">
        <v>216.0</v>
      </c>
      <c r="DL171" s="179">
        <f t="shared" si="14"/>
        <v>29</v>
      </c>
      <c r="DM171" s="180">
        <f t="shared" si="15"/>
        <v>11</v>
      </c>
      <c r="DN171" s="180">
        <f t="shared" si="16"/>
        <v>18</v>
      </c>
      <c r="DO171" s="177">
        <v>0.0</v>
      </c>
      <c r="DP171" s="177">
        <v>4.0</v>
      </c>
      <c r="DQ171" s="177">
        <v>7.0</v>
      </c>
      <c r="DR171" s="177">
        <v>17.0</v>
      </c>
      <c r="DS171" s="177">
        <v>0.0</v>
      </c>
      <c r="DT171" s="177">
        <v>0.0</v>
      </c>
      <c r="DU171" s="177">
        <v>0.0</v>
      </c>
      <c r="DV171" s="177">
        <v>1.0</v>
      </c>
      <c r="DW171" s="177">
        <v>0.0</v>
      </c>
      <c r="DX171" s="177">
        <v>0.0</v>
      </c>
      <c r="DY171" s="177">
        <v>0.0</v>
      </c>
      <c r="DZ171" s="177">
        <v>0.0</v>
      </c>
      <c r="EA171" s="177">
        <v>0.0</v>
      </c>
      <c r="EB171" s="177">
        <v>0.0</v>
      </c>
      <c r="EC171" s="177">
        <v>0.0</v>
      </c>
      <c r="ED171" s="177">
        <v>0.0</v>
      </c>
      <c r="EE171" s="177">
        <v>0.0</v>
      </c>
      <c r="EF171" s="177">
        <v>0.0</v>
      </c>
      <c r="EG171" s="179">
        <f t="shared" si="17"/>
        <v>0</v>
      </c>
      <c r="EH171" s="179">
        <f t="shared" si="18"/>
        <v>0</v>
      </c>
      <c r="EI171" s="177">
        <v>707.0</v>
      </c>
      <c r="EJ171" s="177">
        <v>213.0</v>
      </c>
      <c r="EK171" s="178">
        <v>707.0</v>
      </c>
      <c r="EL171" s="178">
        <v>213.0</v>
      </c>
      <c r="EM171" s="185">
        <f t="shared" si="362"/>
        <v>27</v>
      </c>
      <c r="EN171" s="186">
        <f t="shared" si="202"/>
        <v>6</v>
      </c>
      <c r="EO171" s="186">
        <f t="shared" si="90"/>
        <v>21</v>
      </c>
      <c r="EP171" s="177">
        <v>0.0</v>
      </c>
      <c r="EQ171" s="177">
        <v>1.0</v>
      </c>
      <c r="ER171" s="177">
        <v>5.0</v>
      </c>
      <c r="ES171" s="177">
        <v>17.0</v>
      </c>
      <c r="ET171" s="177">
        <v>0.0</v>
      </c>
      <c r="EU171" s="177">
        <v>0.0</v>
      </c>
      <c r="EV171" s="177">
        <v>0.0</v>
      </c>
      <c r="EW171" s="177">
        <v>4.0</v>
      </c>
      <c r="EX171" s="177">
        <v>0.0</v>
      </c>
      <c r="EY171" s="177">
        <v>0.0</v>
      </c>
      <c r="EZ171" s="177">
        <v>0.0</v>
      </c>
      <c r="FA171" s="177">
        <v>0.0</v>
      </c>
      <c r="FB171" s="177">
        <v>0.0</v>
      </c>
      <c r="FC171" s="177">
        <v>0.0</v>
      </c>
      <c r="FD171" s="177">
        <v>0.0</v>
      </c>
      <c r="FE171" s="177">
        <v>0.0</v>
      </c>
      <c r="FF171" s="177">
        <v>0.0</v>
      </c>
      <c r="FG171" s="177">
        <v>0.0</v>
      </c>
      <c r="FH171" s="185">
        <f t="shared" si="22"/>
        <v>0</v>
      </c>
      <c r="FI171" s="185">
        <f t="shared" si="23"/>
        <v>0</v>
      </c>
      <c r="FJ171" s="177">
        <v>1001.0</v>
      </c>
      <c r="FK171" s="177">
        <v>286.0</v>
      </c>
      <c r="FL171" s="177">
        <v>1001.0</v>
      </c>
      <c r="FM171" s="177">
        <v>286.0</v>
      </c>
      <c r="FN171" s="180"/>
      <c r="FO171" s="180">
        <v>21.0</v>
      </c>
      <c r="FP171" s="188">
        <f t="shared" si="412"/>
        <v>21</v>
      </c>
      <c r="FQ171" s="211">
        <v>6.0</v>
      </c>
      <c r="FR171" s="212">
        <v>15.0</v>
      </c>
      <c r="FS171" s="206">
        <v>0.0</v>
      </c>
      <c r="FT171" s="207">
        <v>1.0</v>
      </c>
      <c r="FU171" s="207">
        <v>5.0</v>
      </c>
      <c r="FV171" s="207">
        <v>15.0</v>
      </c>
      <c r="FW171" s="207">
        <v>0.0</v>
      </c>
      <c r="FX171" s="207">
        <v>0.0</v>
      </c>
      <c r="FY171" s="207">
        <v>0.0</v>
      </c>
      <c r="FZ171" s="207">
        <v>0.0</v>
      </c>
      <c r="GA171" s="207">
        <v>0.0</v>
      </c>
      <c r="GB171" s="207">
        <v>0.0</v>
      </c>
      <c r="GC171" s="207">
        <v>0.0</v>
      </c>
      <c r="GD171" s="207">
        <v>6.0</v>
      </c>
      <c r="GE171" s="207">
        <v>0.0</v>
      </c>
      <c r="GF171" s="207">
        <v>0.0</v>
      </c>
      <c r="GG171" s="207">
        <v>0.0</v>
      </c>
      <c r="GH171" s="207">
        <v>0.0</v>
      </c>
      <c r="GI171" s="207">
        <v>0.0</v>
      </c>
      <c r="GJ171" s="207">
        <v>0.0</v>
      </c>
      <c r="GK171" s="212">
        <v>6.0</v>
      </c>
      <c r="GL171" s="212">
        <v>0.0</v>
      </c>
      <c r="GM171" s="207">
        <v>688.0</v>
      </c>
      <c r="GN171" s="207">
        <v>198.0</v>
      </c>
      <c r="GO171" s="213">
        <v>688.0</v>
      </c>
      <c r="GP171" s="213">
        <v>198.0</v>
      </c>
      <c r="GQ171" s="207"/>
      <c r="GR171" s="213">
        <v>21.0</v>
      </c>
      <c r="GS171" s="193">
        <v>5.0</v>
      </c>
      <c r="GT171" s="194">
        <f t="shared" si="25"/>
        <v>21</v>
      </c>
      <c r="GU171" s="194">
        <f t="shared" si="26"/>
        <v>5</v>
      </c>
      <c r="GV171" s="194">
        <f t="shared" si="27"/>
        <v>16</v>
      </c>
      <c r="GW171" s="207">
        <v>0.0</v>
      </c>
      <c r="GX171" s="207">
        <v>0.0</v>
      </c>
      <c r="GY171" s="207">
        <v>5.0</v>
      </c>
      <c r="GZ171" s="207">
        <v>15.0</v>
      </c>
      <c r="HA171" s="207">
        <v>0.0</v>
      </c>
      <c r="HB171" s="207">
        <v>0.0</v>
      </c>
      <c r="HC171" s="207">
        <v>0.0</v>
      </c>
      <c r="HD171" s="207">
        <v>1.0</v>
      </c>
      <c r="HE171" s="207">
        <v>0.0</v>
      </c>
      <c r="HF171" s="207">
        <v>1.0</v>
      </c>
      <c r="HG171" s="207">
        <v>0.0</v>
      </c>
      <c r="HH171" s="207">
        <v>0.0</v>
      </c>
      <c r="HI171" s="207">
        <v>0.0</v>
      </c>
      <c r="HJ171" s="207">
        <v>0.0</v>
      </c>
      <c r="HK171" s="207">
        <v>0.0</v>
      </c>
      <c r="HL171" s="207">
        <v>0.0</v>
      </c>
      <c r="HM171" s="207">
        <v>0.0</v>
      </c>
      <c r="HN171" s="207">
        <v>0.0</v>
      </c>
      <c r="HO171" s="222"/>
      <c r="HP171" s="222"/>
      <c r="HQ171" s="214"/>
      <c r="HR171" s="197"/>
      <c r="HS171" s="197"/>
      <c r="HT171" s="198">
        <f t="shared" si="28"/>
        <v>24</v>
      </c>
      <c r="HU171" s="198">
        <f t="shared" si="29"/>
        <v>27</v>
      </c>
      <c r="HV171" s="198">
        <f t="shared" si="30"/>
        <v>23</v>
      </c>
      <c r="HW171" s="198">
        <f t="shared" si="99"/>
        <v>9</v>
      </c>
      <c r="HX171" s="198">
        <f t="shared" si="32"/>
        <v>21</v>
      </c>
      <c r="HY171" s="198">
        <f t="shared" si="33"/>
        <v>26</v>
      </c>
      <c r="HZ171" s="198">
        <f t="shared" si="34"/>
        <v>13</v>
      </c>
      <c r="IA171" s="198">
        <f t="shared" si="35"/>
        <v>24</v>
      </c>
      <c r="IB171" s="198">
        <f t="shared" si="36"/>
        <v>29</v>
      </c>
      <c r="IC171" s="198">
        <f t="shared" si="37"/>
        <v>27</v>
      </c>
      <c r="ID171" s="198">
        <f t="shared" si="38"/>
        <v>21</v>
      </c>
      <c r="IE171" s="198">
        <f t="shared" si="39"/>
        <v>21</v>
      </c>
      <c r="IF171" s="197"/>
      <c r="IG171" s="197"/>
      <c r="IH171" s="197"/>
      <c r="II171" s="197"/>
      <c r="IJ171" s="197"/>
      <c r="IK171" s="197"/>
      <c r="IL171" s="197"/>
      <c r="IM171" s="197"/>
      <c r="IN171" s="197"/>
      <c r="IO171" s="197"/>
      <c r="IP171" s="197"/>
      <c r="IQ171" s="197"/>
      <c r="IR171" s="197"/>
      <c r="IS171" s="197"/>
      <c r="IT171" s="197"/>
      <c r="IU171" s="197"/>
      <c r="IV171" s="197"/>
      <c r="IW171" s="197"/>
      <c r="IX171" s="197"/>
      <c r="IY171" s="197"/>
      <c r="IZ171" s="197"/>
      <c r="JA171" s="199"/>
      <c r="JB171" s="200">
        <f t="shared" si="40"/>
        <v>24</v>
      </c>
      <c r="JC171" s="200">
        <f t="shared" si="41"/>
        <v>27</v>
      </c>
      <c r="JD171" s="200">
        <f t="shared" si="42"/>
        <v>23</v>
      </c>
      <c r="JE171" s="200">
        <f t="shared" si="43"/>
        <v>9</v>
      </c>
      <c r="JF171" s="200">
        <f t="shared" si="44"/>
        <v>21</v>
      </c>
      <c r="JG171" s="200">
        <f t="shared" si="45"/>
        <v>26</v>
      </c>
      <c r="JH171" s="200">
        <f t="shared" si="46"/>
        <v>13</v>
      </c>
      <c r="JI171" s="200">
        <f t="shared" si="47"/>
        <v>24</v>
      </c>
      <c r="JJ171" s="200">
        <f t="shared" si="48"/>
        <v>29</v>
      </c>
      <c r="JK171" s="200">
        <f t="shared" si="49"/>
        <v>27</v>
      </c>
      <c r="JL171" s="200">
        <f t="shared" si="50"/>
        <v>21</v>
      </c>
      <c r="JM171" s="200">
        <f t="shared" si="51"/>
        <v>21</v>
      </c>
      <c r="JN171" s="199"/>
      <c r="JO171" s="200">
        <f t="shared" si="52"/>
        <v>24</v>
      </c>
      <c r="JP171" s="202">
        <v>27.0</v>
      </c>
      <c r="JQ171" s="202">
        <v>23.0</v>
      </c>
      <c r="JR171" s="202">
        <v>9.0</v>
      </c>
      <c r="JS171" s="202">
        <v>21.0</v>
      </c>
      <c r="JT171" s="199"/>
      <c r="JU171" s="199"/>
      <c r="JV171" s="200">
        <f t="shared" ref="JV171:JX171" si="419">IA171-JI171</f>
        <v>0</v>
      </c>
      <c r="JW171" s="200">
        <f t="shared" si="419"/>
        <v>0</v>
      </c>
      <c r="JX171" s="200">
        <f t="shared" si="419"/>
        <v>0</v>
      </c>
      <c r="JY171" s="199"/>
      <c r="JZ171" s="199"/>
      <c r="KA171" s="199"/>
      <c r="KB171" s="200">
        <f t="shared" ref="KB171:KM171" si="420">JB171-JO171</f>
        <v>0</v>
      </c>
      <c r="KC171" s="200">
        <f t="shared" si="420"/>
        <v>0</v>
      </c>
      <c r="KD171" s="200">
        <f t="shared" si="420"/>
        <v>0</v>
      </c>
      <c r="KE171" s="200">
        <f t="shared" si="420"/>
        <v>0</v>
      </c>
      <c r="KF171" s="200">
        <f t="shared" si="420"/>
        <v>0</v>
      </c>
      <c r="KG171" s="200">
        <f t="shared" si="420"/>
        <v>26</v>
      </c>
      <c r="KH171" s="200">
        <f t="shared" si="420"/>
        <v>13</v>
      </c>
      <c r="KI171" s="200">
        <f t="shared" si="420"/>
        <v>24</v>
      </c>
      <c r="KJ171" s="200">
        <f t="shared" si="420"/>
        <v>29</v>
      </c>
      <c r="KK171" s="200">
        <f t="shared" si="420"/>
        <v>27</v>
      </c>
      <c r="KL171" s="200">
        <f t="shared" si="420"/>
        <v>21</v>
      </c>
      <c r="KM171" s="200">
        <f t="shared" si="420"/>
        <v>21</v>
      </c>
      <c r="KN171" s="199"/>
      <c r="KO171" s="199"/>
      <c r="KP171" s="199"/>
      <c r="KQ171" s="199"/>
      <c r="KR171" s="199"/>
      <c r="KS171" s="199"/>
      <c r="KT171" s="199"/>
      <c r="KU171" s="199"/>
      <c r="KV171" s="199"/>
      <c r="KW171" s="199"/>
      <c r="KX171" s="199"/>
      <c r="KY171" s="199"/>
      <c r="KZ171" s="199"/>
      <c r="LA171" s="199"/>
      <c r="LB171" s="199"/>
      <c r="LC171" s="199"/>
      <c r="LD171" s="199"/>
      <c r="LE171" s="199"/>
      <c r="LF171" s="199"/>
      <c r="LG171" s="199"/>
    </row>
    <row r="172" ht="14.25" customHeight="1">
      <c r="A172" s="156">
        <v>165.0</v>
      </c>
      <c r="B172" s="157" t="s">
        <v>277</v>
      </c>
      <c r="C172" s="158">
        <v>3374160.0</v>
      </c>
      <c r="D172" s="158" t="s">
        <v>281</v>
      </c>
      <c r="E172" s="158" t="s">
        <v>283</v>
      </c>
      <c r="F172" s="159">
        <v>14.0</v>
      </c>
      <c r="G172" s="285">
        <v>1052.0</v>
      </c>
      <c r="H172" s="160">
        <v>60.0</v>
      </c>
      <c r="I172" s="161">
        <v>10.0</v>
      </c>
      <c r="J172" s="161">
        <v>11.0</v>
      </c>
      <c r="K172" s="161">
        <v>15.0</v>
      </c>
      <c r="L172" s="164">
        <v>24.0</v>
      </c>
      <c r="M172" s="164">
        <v>6.0</v>
      </c>
      <c r="N172" s="164"/>
      <c r="O172" s="166">
        <f t="shared" si="369"/>
        <v>54</v>
      </c>
      <c r="P172" s="203">
        <v>60.0</v>
      </c>
      <c r="Q172" s="491">
        <v>10.0</v>
      </c>
      <c r="R172" s="491">
        <v>11.0</v>
      </c>
      <c r="S172" s="491">
        <v>15.0</v>
      </c>
      <c r="T172" s="259">
        <v>24.0</v>
      </c>
      <c r="U172" s="165"/>
      <c r="V172" s="165"/>
      <c r="W172" s="166">
        <f t="shared" si="225"/>
        <v>60</v>
      </c>
      <c r="X172" s="203">
        <v>47.0</v>
      </c>
      <c r="Y172" s="165">
        <v>8.0</v>
      </c>
      <c r="Z172" s="165">
        <v>6.0</v>
      </c>
      <c r="AA172" s="165">
        <v>13.0</v>
      </c>
      <c r="AB172" s="165">
        <v>20.0</v>
      </c>
      <c r="AC172" s="165"/>
      <c r="AD172" s="165"/>
      <c r="AE172" s="166">
        <f t="shared" si="214"/>
        <v>47</v>
      </c>
      <c r="AF172" s="167">
        <v>19.0</v>
      </c>
      <c r="AG172" s="165">
        <v>7.0</v>
      </c>
      <c r="AH172" s="165">
        <v>0.0</v>
      </c>
      <c r="AI172" s="165">
        <v>3.0</v>
      </c>
      <c r="AJ172" s="165">
        <v>9.0</v>
      </c>
      <c r="AK172" s="165"/>
      <c r="AL172" s="165"/>
      <c r="AM172" s="166">
        <f t="shared" si="370"/>
        <v>19</v>
      </c>
      <c r="AN172" s="167">
        <v>27.0</v>
      </c>
      <c r="AO172" s="165">
        <v>5.0</v>
      </c>
      <c r="AP172" s="165">
        <v>3.0</v>
      </c>
      <c r="AQ172" s="165">
        <v>4.0</v>
      </c>
      <c r="AR172" s="165">
        <v>15.0</v>
      </c>
      <c r="AS172" s="171">
        <v>0.0</v>
      </c>
      <c r="AT172" s="171">
        <v>0.0</v>
      </c>
      <c r="AU172" s="168">
        <f t="shared" si="375"/>
        <v>27</v>
      </c>
      <c r="AV172" s="169">
        <v>1168.0</v>
      </c>
      <c r="AW172" s="204">
        <f t="shared" si="8"/>
        <v>30</v>
      </c>
      <c r="AX172" s="169">
        <v>5.0</v>
      </c>
      <c r="AY172" s="169">
        <v>4.0</v>
      </c>
      <c r="AZ172" s="169">
        <v>5.0</v>
      </c>
      <c r="BA172" s="169">
        <v>16.0</v>
      </c>
      <c r="BB172" s="169">
        <v>0.0</v>
      </c>
      <c r="BC172" s="169">
        <v>0.0</v>
      </c>
      <c r="BD172" s="169">
        <v>0.0</v>
      </c>
      <c r="BE172" s="169">
        <v>0.0</v>
      </c>
      <c r="BF172" s="169">
        <v>0.0</v>
      </c>
      <c r="BG172" s="169">
        <v>0.0</v>
      </c>
      <c r="BH172" s="169">
        <v>0.0</v>
      </c>
      <c r="BI172" s="169">
        <v>0.0</v>
      </c>
      <c r="BJ172" s="169">
        <v>0.0</v>
      </c>
      <c r="BK172" s="169">
        <v>0.0</v>
      </c>
      <c r="BL172" s="169">
        <v>0.0</v>
      </c>
      <c r="BM172" s="169">
        <v>0.0</v>
      </c>
      <c r="BN172" s="169">
        <v>0.0</v>
      </c>
      <c r="BO172" s="169">
        <v>0.0</v>
      </c>
      <c r="BP172" s="205">
        <f t="shared" ref="BP172:BP184" si="423">SUM(BF172:BO172)</f>
        <v>0</v>
      </c>
      <c r="BQ172" s="173">
        <v>1123.0</v>
      </c>
      <c r="BR172" s="170">
        <f t="shared" si="10"/>
        <v>9</v>
      </c>
      <c r="BS172" s="173">
        <v>0.0</v>
      </c>
      <c r="BT172" s="173">
        <v>0.0</v>
      </c>
      <c r="BU172" s="173">
        <v>0.0</v>
      </c>
      <c r="BV172" s="173">
        <v>9.0</v>
      </c>
      <c r="BW172" s="173">
        <v>0.0</v>
      </c>
      <c r="BX172" s="173">
        <v>0.0</v>
      </c>
      <c r="BY172" s="173">
        <v>0.0</v>
      </c>
      <c r="BZ172" s="173">
        <v>0.0</v>
      </c>
      <c r="CA172" s="173">
        <v>2.0</v>
      </c>
      <c r="CB172" s="173">
        <v>1.0</v>
      </c>
      <c r="CC172" s="173">
        <v>4.0</v>
      </c>
      <c r="CD172" s="173">
        <v>10.0</v>
      </c>
      <c r="CE172" s="173">
        <v>0.0</v>
      </c>
      <c r="CF172" s="173">
        <v>0.0</v>
      </c>
      <c r="CG172" s="173">
        <v>0.0</v>
      </c>
      <c r="CH172" s="173">
        <v>0.0</v>
      </c>
      <c r="CI172" s="173">
        <v>0.0</v>
      </c>
      <c r="CJ172" s="173">
        <v>0.0</v>
      </c>
      <c r="CK172" s="172">
        <f t="shared" si="132"/>
        <v>17</v>
      </c>
      <c r="CL172" s="173">
        <v>1108.0</v>
      </c>
      <c r="CM172" s="173">
        <v>633.0</v>
      </c>
      <c r="CN172" s="175">
        <f t="shared" si="295"/>
        <v>18</v>
      </c>
      <c r="CO172" s="173">
        <v>0.0</v>
      </c>
      <c r="CP172" s="173">
        <v>0.0</v>
      </c>
      <c r="CQ172" s="173">
        <v>2.0</v>
      </c>
      <c r="CR172" s="173">
        <v>7.0</v>
      </c>
      <c r="CS172" s="173">
        <v>4.0</v>
      </c>
      <c r="CT172" s="173">
        <v>2.0</v>
      </c>
      <c r="CU172" s="173">
        <v>0.0</v>
      </c>
      <c r="CV172" s="173">
        <v>3.0</v>
      </c>
      <c r="CW172" s="173">
        <v>0.0</v>
      </c>
      <c r="CX172" s="173">
        <v>0.0</v>
      </c>
      <c r="CY172" s="173">
        <v>0.0</v>
      </c>
      <c r="CZ172" s="173">
        <v>0.0</v>
      </c>
      <c r="DA172" s="173">
        <v>0.0</v>
      </c>
      <c r="DB172" s="173">
        <v>0.0</v>
      </c>
      <c r="DC172" s="173">
        <v>0.0</v>
      </c>
      <c r="DD172" s="173">
        <v>0.0</v>
      </c>
      <c r="DE172" s="173">
        <v>0.0</v>
      </c>
      <c r="DF172" s="173">
        <v>0.0</v>
      </c>
      <c r="DG172" s="176">
        <f t="shared" si="13"/>
        <v>0</v>
      </c>
      <c r="DH172" s="177">
        <v>1024.0</v>
      </c>
      <c r="DI172" s="177">
        <v>305.0</v>
      </c>
      <c r="DJ172" s="178">
        <v>731.0</v>
      </c>
      <c r="DK172" s="178">
        <v>305.0</v>
      </c>
      <c r="DL172" s="179">
        <f t="shared" si="14"/>
        <v>16</v>
      </c>
      <c r="DM172" s="180">
        <f t="shared" si="15"/>
        <v>9</v>
      </c>
      <c r="DN172" s="180">
        <f t="shared" si="16"/>
        <v>7</v>
      </c>
      <c r="DO172" s="177">
        <v>1.0</v>
      </c>
      <c r="DP172" s="177">
        <v>3.0</v>
      </c>
      <c r="DQ172" s="177">
        <v>5.0</v>
      </c>
      <c r="DR172" s="177">
        <v>7.0</v>
      </c>
      <c r="DS172" s="177">
        <v>0.0</v>
      </c>
      <c r="DT172" s="177">
        <v>0.0</v>
      </c>
      <c r="DU172" s="177">
        <v>0.0</v>
      </c>
      <c r="DV172" s="177">
        <v>0.0</v>
      </c>
      <c r="DW172" s="177">
        <v>0.0</v>
      </c>
      <c r="DX172" s="177">
        <v>0.0</v>
      </c>
      <c r="DY172" s="177">
        <v>0.0</v>
      </c>
      <c r="DZ172" s="177">
        <v>0.0</v>
      </c>
      <c r="EA172" s="177">
        <v>0.0</v>
      </c>
      <c r="EB172" s="177">
        <v>0.0</v>
      </c>
      <c r="EC172" s="177">
        <v>0.0</v>
      </c>
      <c r="ED172" s="177">
        <v>0.0</v>
      </c>
      <c r="EE172" s="177">
        <v>2.0</v>
      </c>
      <c r="EF172" s="177">
        <v>0.0</v>
      </c>
      <c r="EG172" s="179">
        <f t="shared" si="17"/>
        <v>2</v>
      </c>
      <c r="EH172" s="179">
        <f t="shared" si="18"/>
        <v>2</v>
      </c>
      <c r="EI172" s="177">
        <v>1006.0</v>
      </c>
      <c r="EJ172" s="177">
        <v>292.0</v>
      </c>
      <c r="EK172" s="178">
        <v>1006.0</v>
      </c>
      <c r="EL172" s="178">
        <v>292.0</v>
      </c>
      <c r="EM172" s="185">
        <f t="shared" si="362"/>
        <v>12</v>
      </c>
      <c r="EN172" s="186">
        <f t="shared" si="202"/>
        <v>5</v>
      </c>
      <c r="EO172" s="186">
        <f t="shared" si="90"/>
        <v>7</v>
      </c>
      <c r="EP172" s="177">
        <v>0.0</v>
      </c>
      <c r="EQ172" s="177">
        <v>1.0</v>
      </c>
      <c r="ER172" s="177">
        <v>4.0</v>
      </c>
      <c r="ES172" s="177">
        <v>7.0</v>
      </c>
      <c r="ET172" s="177">
        <v>0.0</v>
      </c>
      <c r="EU172" s="177">
        <v>0.0</v>
      </c>
      <c r="EV172" s="177">
        <v>0.0</v>
      </c>
      <c r="EW172" s="177">
        <v>0.0</v>
      </c>
      <c r="EX172" s="177">
        <v>0.0</v>
      </c>
      <c r="EY172" s="177">
        <v>0.0</v>
      </c>
      <c r="EZ172" s="177">
        <v>0.0</v>
      </c>
      <c r="FA172" s="177">
        <v>0.0</v>
      </c>
      <c r="FB172" s="177">
        <v>0.0</v>
      </c>
      <c r="FC172" s="177">
        <v>1.0</v>
      </c>
      <c r="FD172" s="177">
        <v>0.0</v>
      </c>
      <c r="FE172" s="177">
        <v>0.0</v>
      </c>
      <c r="FF172" s="177">
        <v>0.0</v>
      </c>
      <c r="FG172" s="177">
        <v>0.0</v>
      </c>
      <c r="FH172" s="185">
        <f t="shared" si="22"/>
        <v>1</v>
      </c>
      <c r="FI172" s="185">
        <f t="shared" si="23"/>
        <v>1</v>
      </c>
      <c r="FJ172" s="177">
        <v>694.0</v>
      </c>
      <c r="FK172" s="177">
        <v>205.0</v>
      </c>
      <c r="FL172" s="177">
        <v>694.0</v>
      </c>
      <c r="FM172" s="177">
        <v>205.0</v>
      </c>
      <c r="FN172" s="180"/>
      <c r="FO172" s="180">
        <v>12.0</v>
      </c>
      <c r="FP172" s="188">
        <f t="shared" si="412"/>
        <v>12</v>
      </c>
      <c r="FQ172" s="211">
        <v>5.0</v>
      </c>
      <c r="FR172" s="212">
        <v>7.0</v>
      </c>
      <c r="FS172" s="206">
        <v>0.0</v>
      </c>
      <c r="FT172" s="207">
        <v>1.0</v>
      </c>
      <c r="FU172" s="207">
        <v>3.0</v>
      </c>
      <c r="FV172" s="207">
        <v>7.0</v>
      </c>
      <c r="FW172" s="207">
        <v>1.0</v>
      </c>
      <c r="FX172" s="207">
        <v>0.0</v>
      </c>
      <c r="FY172" s="207">
        <v>0.0</v>
      </c>
      <c r="FZ172" s="207">
        <v>0.0</v>
      </c>
      <c r="GA172" s="207">
        <v>0.0</v>
      </c>
      <c r="GB172" s="207">
        <v>0.0</v>
      </c>
      <c r="GC172" s="207">
        <v>1.0</v>
      </c>
      <c r="GD172" s="207">
        <v>0.0</v>
      </c>
      <c r="GE172" s="207">
        <v>0.0</v>
      </c>
      <c r="GF172" s="207">
        <v>0.0</v>
      </c>
      <c r="GG172" s="207">
        <v>0.0</v>
      </c>
      <c r="GH172" s="207">
        <v>0.0</v>
      </c>
      <c r="GI172" s="207">
        <v>0.0</v>
      </c>
      <c r="GJ172" s="207">
        <v>0.0</v>
      </c>
      <c r="GK172" s="212">
        <v>1.0</v>
      </c>
      <c r="GL172" s="212">
        <v>1.0</v>
      </c>
      <c r="GM172" s="207">
        <v>987.0</v>
      </c>
      <c r="GN172" s="207">
        <v>279.0</v>
      </c>
      <c r="GO172" s="213">
        <v>987.0</v>
      </c>
      <c r="GP172" s="213">
        <v>279.0</v>
      </c>
      <c r="GQ172" s="207"/>
      <c r="GR172" s="213">
        <v>15.0</v>
      </c>
      <c r="GS172" s="193">
        <v>7.0</v>
      </c>
      <c r="GT172" s="194">
        <f t="shared" si="25"/>
        <v>15</v>
      </c>
      <c r="GU172" s="194">
        <f t="shared" si="26"/>
        <v>7</v>
      </c>
      <c r="GV172" s="194">
        <f t="shared" si="27"/>
        <v>8</v>
      </c>
      <c r="GW172" s="207">
        <v>0.0</v>
      </c>
      <c r="GX172" s="207">
        <v>1.0</v>
      </c>
      <c r="GY172" s="207">
        <v>3.0</v>
      </c>
      <c r="GZ172" s="207">
        <v>7.0</v>
      </c>
      <c r="HA172" s="207">
        <v>2.0</v>
      </c>
      <c r="HB172" s="207">
        <v>0.0</v>
      </c>
      <c r="HC172" s="207">
        <v>1.0</v>
      </c>
      <c r="HD172" s="207">
        <v>1.0</v>
      </c>
      <c r="HE172" s="207">
        <v>0.0</v>
      </c>
      <c r="HF172" s="207">
        <v>0.0</v>
      </c>
      <c r="HG172" s="207">
        <v>0.0</v>
      </c>
      <c r="HH172" s="207">
        <v>0.0</v>
      </c>
      <c r="HI172" s="207">
        <v>0.0</v>
      </c>
      <c r="HJ172" s="207">
        <v>0.0</v>
      </c>
      <c r="HK172" s="207">
        <v>0.0</v>
      </c>
      <c r="HL172" s="207">
        <v>0.0</v>
      </c>
      <c r="HM172" s="207">
        <v>0.0</v>
      </c>
      <c r="HN172" s="207">
        <v>0.0</v>
      </c>
      <c r="HO172" s="222"/>
      <c r="HP172" s="222"/>
      <c r="HQ172" s="214"/>
      <c r="HR172" s="197"/>
      <c r="HS172" s="197"/>
      <c r="HT172" s="198">
        <f t="shared" si="28"/>
        <v>60</v>
      </c>
      <c r="HU172" s="198">
        <f t="shared" si="29"/>
        <v>60</v>
      </c>
      <c r="HV172" s="198">
        <f t="shared" si="30"/>
        <v>47</v>
      </c>
      <c r="HW172" s="198">
        <f t="shared" si="99"/>
        <v>19</v>
      </c>
      <c r="HX172" s="198">
        <f t="shared" si="32"/>
        <v>27</v>
      </c>
      <c r="HY172" s="198">
        <f t="shared" si="33"/>
        <v>30</v>
      </c>
      <c r="HZ172" s="198">
        <f t="shared" si="34"/>
        <v>9</v>
      </c>
      <c r="IA172" s="198">
        <f t="shared" si="35"/>
        <v>18</v>
      </c>
      <c r="IB172" s="198">
        <f t="shared" si="36"/>
        <v>16</v>
      </c>
      <c r="IC172" s="198">
        <f t="shared" si="37"/>
        <v>12</v>
      </c>
      <c r="ID172" s="198">
        <f t="shared" si="38"/>
        <v>12</v>
      </c>
      <c r="IE172" s="198">
        <f t="shared" si="39"/>
        <v>15</v>
      </c>
      <c r="IF172" s="197"/>
      <c r="IG172" s="197"/>
      <c r="IH172" s="197"/>
      <c r="II172" s="197"/>
      <c r="IJ172" s="197"/>
      <c r="IK172" s="197"/>
      <c r="IL172" s="197"/>
      <c r="IM172" s="197"/>
      <c r="IN172" s="197"/>
      <c r="IO172" s="197"/>
      <c r="IP172" s="197"/>
      <c r="IQ172" s="197"/>
      <c r="IR172" s="197"/>
      <c r="IS172" s="197"/>
      <c r="IT172" s="197"/>
      <c r="IU172" s="197"/>
      <c r="IV172" s="197"/>
      <c r="IW172" s="197"/>
      <c r="IX172" s="197"/>
      <c r="IY172" s="197"/>
      <c r="IZ172" s="197"/>
      <c r="JA172" s="199"/>
      <c r="JB172" s="200">
        <f t="shared" si="40"/>
        <v>60</v>
      </c>
      <c r="JC172" s="200">
        <f t="shared" si="41"/>
        <v>60</v>
      </c>
      <c r="JD172" s="200">
        <f t="shared" si="42"/>
        <v>47</v>
      </c>
      <c r="JE172" s="200">
        <f t="shared" si="43"/>
        <v>19</v>
      </c>
      <c r="JF172" s="200">
        <f t="shared" si="44"/>
        <v>27</v>
      </c>
      <c r="JG172" s="200">
        <f t="shared" si="45"/>
        <v>30</v>
      </c>
      <c r="JH172" s="200">
        <f t="shared" si="46"/>
        <v>9</v>
      </c>
      <c r="JI172" s="200">
        <f t="shared" si="47"/>
        <v>18</v>
      </c>
      <c r="JJ172" s="200">
        <f t="shared" si="48"/>
        <v>16</v>
      </c>
      <c r="JK172" s="200">
        <f t="shared" si="49"/>
        <v>12</v>
      </c>
      <c r="JL172" s="200">
        <f t="shared" si="50"/>
        <v>12</v>
      </c>
      <c r="JM172" s="200">
        <f t="shared" si="51"/>
        <v>15</v>
      </c>
      <c r="JN172" s="199"/>
      <c r="JO172" s="200">
        <f t="shared" si="52"/>
        <v>60</v>
      </c>
      <c r="JP172" s="202">
        <v>60.0</v>
      </c>
      <c r="JQ172" s="202">
        <v>47.0</v>
      </c>
      <c r="JR172" s="202">
        <v>19.0</v>
      </c>
      <c r="JS172" s="202">
        <v>27.0</v>
      </c>
      <c r="JT172" s="199"/>
      <c r="JU172" s="199"/>
      <c r="JV172" s="200">
        <f t="shared" ref="JV172:JX172" si="421">IA172-JI172</f>
        <v>0</v>
      </c>
      <c r="JW172" s="200">
        <f t="shared" si="421"/>
        <v>0</v>
      </c>
      <c r="JX172" s="200">
        <f t="shared" si="421"/>
        <v>0</v>
      </c>
      <c r="JY172" s="199"/>
      <c r="JZ172" s="199"/>
      <c r="KA172" s="199"/>
      <c r="KB172" s="200">
        <f t="shared" ref="KB172:KM172" si="422">JB172-JO172</f>
        <v>0</v>
      </c>
      <c r="KC172" s="200">
        <f t="shared" si="422"/>
        <v>0</v>
      </c>
      <c r="KD172" s="200">
        <f t="shared" si="422"/>
        <v>0</v>
      </c>
      <c r="KE172" s="200">
        <f t="shared" si="422"/>
        <v>0</v>
      </c>
      <c r="KF172" s="200">
        <f t="shared" si="422"/>
        <v>0</v>
      </c>
      <c r="KG172" s="200">
        <f t="shared" si="422"/>
        <v>30</v>
      </c>
      <c r="KH172" s="200">
        <f t="shared" si="422"/>
        <v>9</v>
      </c>
      <c r="KI172" s="200">
        <f t="shared" si="422"/>
        <v>18</v>
      </c>
      <c r="KJ172" s="200">
        <f t="shared" si="422"/>
        <v>16</v>
      </c>
      <c r="KK172" s="200">
        <f t="shared" si="422"/>
        <v>12</v>
      </c>
      <c r="KL172" s="200">
        <f t="shared" si="422"/>
        <v>12</v>
      </c>
      <c r="KM172" s="200">
        <f t="shared" si="422"/>
        <v>15</v>
      </c>
      <c r="KN172" s="199"/>
      <c r="KO172" s="199"/>
      <c r="KP172" s="199"/>
      <c r="KQ172" s="199"/>
      <c r="KR172" s="199"/>
      <c r="KS172" s="199"/>
      <c r="KT172" s="199"/>
      <c r="KU172" s="199"/>
      <c r="KV172" s="199"/>
      <c r="KW172" s="199"/>
      <c r="KX172" s="199"/>
      <c r="KY172" s="199"/>
      <c r="KZ172" s="199"/>
      <c r="LA172" s="199"/>
      <c r="LB172" s="199"/>
      <c r="LC172" s="199"/>
      <c r="LD172" s="199"/>
      <c r="LE172" s="199"/>
      <c r="LF172" s="199"/>
      <c r="LG172" s="199"/>
    </row>
    <row r="173" ht="14.25" customHeight="1">
      <c r="A173" s="156">
        <v>166.0</v>
      </c>
      <c r="B173" s="492" t="s">
        <v>277</v>
      </c>
      <c r="C173" s="493">
        <v>3374160.0</v>
      </c>
      <c r="D173" s="493" t="s">
        <v>277</v>
      </c>
      <c r="E173" s="493" t="s">
        <v>284</v>
      </c>
      <c r="F173" s="159">
        <v>8.0</v>
      </c>
      <c r="G173" s="285">
        <v>428.0</v>
      </c>
      <c r="H173" s="160">
        <v>2.0</v>
      </c>
      <c r="I173" s="159">
        <v>0.0</v>
      </c>
      <c r="J173" s="159">
        <v>0.0</v>
      </c>
      <c r="K173" s="159">
        <v>1.0</v>
      </c>
      <c r="L173" s="164">
        <v>1.0</v>
      </c>
      <c r="M173" s="164">
        <v>0.0</v>
      </c>
      <c r="N173" s="164"/>
      <c r="O173" s="166">
        <f t="shared" si="369"/>
        <v>2</v>
      </c>
      <c r="P173" s="203">
        <v>2.0</v>
      </c>
      <c r="Q173" s="259">
        <v>0.0</v>
      </c>
      <c r="R173" s="259">
        <v>0.0</v>
      </c>
      <c r="S173" s="259">
        <v>1.0</v>
      </c>
      <c r="T173" s="491">
        <v>1.0</v>
      </c>
      <c r="U173" s="164"/>
      <c r="V173" s="165"/>
      <c r="W173" s="166">
        <f t="shared" si="225"/>
        <v>2</v>
      </c>
      <c r="X173" s="331">
        <v>2.0</v>
      </c>
      <c r="Y173" s="259">
        <v>0.0</v>
      </c>
      <c r="Z173" s="259">
        <v>0.0</v>
      </c>
      <c r="AA173" s="259">
        <v>1.0</v>
      </c>
      <c r="AB173" s="491">
        <v>1.0</v>
      </c>
      <c r="AC173" s="165"/>
      <c r="AD173" s="165"/>
      <c r="AE173" s="166">
        <f t="shared" si="214"/>
        <v>2</v>
      </c>
      <c r="AF173" s="167">
        <v>2.0</v>
      </c>
      <c r="AG173" s="259">
        <v>0.0</v>
      </c>
      <c r="AH173" s="259">
        <v>0.0</v>
      </c>
      <c r="AI173" s="259">
        <v>1.0</v>
      </c>
      <c r="AJ173" s="491">
        <v>1.0</v>
      </c>
      <c r="AK173" s="165"/>
      <c r="AL173" s="165"/>
      <c r="AM173" s="166">
        <f t="shared" si="370"/>
        <v>2</v>
      </c>
      <c r="AN173" s="167">
        <v>2.0</v>
      </c>
      <c r="AO173" s="259">
        <v>0.0</v>
      </c>
      <c r="AP173" s="259">
        <v>0.0</v>
      </c>
      <c r="AQ173" s="259">
        <v>1.0</v>
      </c>
      <c r="AR173" s="495">
        <v>1.0</v>
      </c>
      <c r="AS173" s="171">
        <v>1.0</v>
      </c>
      <c r="AT173" s="171">
        <v>1.0</v>
      </c>
      <c r="AU173" s="168">
        <f t="shared" si="375"/>
        <v>0</v>
      </c>
      <c r="AV173" s="169">
        <v>418.0</v>
      </c>
      <c r="AW173" s="204">
        <f t="shared" si="8"/>
        <v>2</v>
      </c>
      <c r="AX173" s="169">
        <v>0.0</v>
      </c>
      <c r="AY173" s="169">
        <v>0.0</v>
      </c>
      <c r="AZ173" s="169">
        <v>0.0</v>
      </c>
      <c r="BA173" s="169">
        <v>2.0</v>
      </c>
      <c r="BB173" s="169">
        <v>0.0</v>
      </c>
      <c r="BC173" s="169">
        <v>0.0</v>
      </c>
      <c r="BD173" s="169">
        <v>0.0</v>
      </c>
      <c r="BE173" s="169">
        <v>0.0</v>
      </c>
      <c r="BF173" s="169">
        <v>0.0</v>
      </c>
      <c r="BG173" s="169">
        <v>0.0</v>
      </c>
      <c r="BH173" s="169">
        <v>0.0</v>
      </c>
      <c r="BI173" s="169">
        <v>0.0</v>
      </c>
      <c r="BJ173" s="169">
        <v>0.0</v>
      </c>
      <c r="BK173" s="169">
        <v>0.0</v>
      </c>
      <c r="BL173" s="169">
        <v>0.0</v>
      </c>
      <c r="BM173" s="169">
        <v>0.0</v>
      </c>
      <c r="BN173" s="169">
        <v>0.0</v>
      </c>
      <c r="BO173" s="169">
        <v>0.0</v>
      </c>
      <c r="BP173" s="205">
        <f t="shared" si="423"/>
        <v>0</v>
      </c>
      <c r="BQ173" s="173">
        <v>414.0</v>
      </c>
      <c r="BR173" s="204">
        <f t="shared" si="10"/>
        <v>1</v>
      </c>
      <c r="BS173" s="169">
        <v>0.0</v>
      </c>
      <c r="BT173" s="169">
        <v>0.0</v>
      </c>
      <c r="BU173" s="169">
        <v>0.0</v>
      </c>
      <c r="BV173" s="169">
        <v>1.0</v>
      </c>
      <c r="BW173" s="173">
        <v>0.0</v>
      </c>
      <c r="BX173" s="173">
        <v>0.0</v>
      </c>
      <c r="BY173" s="173">
        <v>0.0</v>
      </c>
      <c r="BZ173" s="173">
        <v>0.0</v>
      </c>
      <c r="CA173" s="173">
        <v>0.0</v>
      </c>
      <c r="CB173" s="173">
        <v>0.0</v>
      </c>
      <c r="CC173" s="173">
        <v>0.0</v>
      </c>
      <c r="CD173" s="173">
        <v>1.0</v>
      </c>
      <c r="CE173" s="173">
        <v>0.0</v>
      </c>
      <c r="CF173" s="173">
        <v>0.0</v>
      </c>
      <c r="CG173" s="173">
        <v>0.0</v>
      </c>
      <c r="CH173" s="173">
        <v>0.0</v>
      </c>
      <c r="CI173" s="173">
        <v>0.0</v>
      </c>
      <c r="CJ173" s="173">
        <v>0.0</v>
      </c>
      <c r="CK173" s="172">
        <f t="shared" si="132"/>
        <v>1</v>
      </c>
      <c r="CL173" s="173">
        <v>414.0</v>
      </c>
      <c r="CM173" s="173">
        <v>128.0</v>
      </c>
      <c r="CN173" s="175">
        <f t="shared" si="295"/>
        <v>1</v>
      </c>
      <c r="CO173" s="173">
        <v>0.0</v>
      </c>
      <c r="CP173" s="173">
        <v>0.0</v>
      </c>
      <c r="CQ173" s="173">
        <v>0.0</v>
      </c>
      <c r="CR173" s="173">
        <v>1.0</v>
      </c>
      <c r="CS173" s="173">
        <v>0.0</v>
      </c>
      <c r="CT173" s="173">
        <v>0.0</v>
      </c>
      <c r="CU173" s="173">
        <v>0.0</v>
      </c>
      <c r="CV173" s="173">
        <v>0.0</v>
      </c>
      <c r="CW173" s="173">
        <v>0.0</v>
      </c>
      <c r="CX173" s="173">
        <v>0.0</v>
      </c>
      <c r="CY173" s="173">
        <v>0.0</v>
      </c>
      <c r="CZ173" s="173">
        <v>0.0</v>
      </c>
      <c r="DA173" s="173">
        <v>0.0</v>
      </c>
      <c r="DB173" s="173">
        <v>0.0</v>
      </c>
      <c r="DC173" s="173">
        <v>0.0</v>
      </c>
      <c r="DD173" s="173">
        <v>0.0</v>
      </c>
      <c r="DE173" s="173">
        <v>0.0</v>
      </c>
      <c r="DF173" s="173">
        <v>0.0</v>
      </c>
      <c r="DG173" s="176">
        <f t="shared" si="13"/>
        <v>0</v>
      </c>
      <c r="DH173" s="177">
        <v>396.0</v>
      </c>
      <c r="DI173" s="177">
        <v>124.0</v>
      </c>
      <c r="DJ173" s="177">
        <v>396.0</v>
      </c>
      <c r="DK173" s="178">
        <v>124.0</v>
      </c>
      <c r="DL173" s="179">
        <f t="shared" si="14"/>
        <v>1</v>
      </c>
      <c r="DM173" s="180">
        <f t="shared" si="15"/>
        <v>0</v>
      </c>
      <c r="DN173" s="180">
        <f t="shared" si="16"/>
        <v>1</v>
      </c>
      <c r="DO173" s="177">
        <v>0.0</v>
      </c>
      <c r="DP173" s="177">
        <v>0.0</v>
      </c>
      <c r="DQ173" s="177">
        <v>0.0</v>
      </c>
      <c r="DR173" s="177">
        <v>1.0</v>
      </c>
      <c r="DS173" s="177">
        <v>0.0</v>
      </c>
      <c r="DT173" s="177">
        <v>0.0</v>
      </c>
      <c r="DU173" s="177">
        <v>0.0</v>
      </c>
      <c r="DV173" s="177">
        <v>0.0</v>
      </c>
      <c r="DW173" s="177">
        <v>0.0</v>
      </c>
      <c r="DX173" s="177">
        <v>0.0</v>
      </c>
      <c r="DY173" s="177">
        <v>0.0</v>
      </c>
      <c r="DZ173" s="177">
        <v>0.0</v>
      </c>
      <c r="EA173" s="177">
        <v>0.0</v>
      </c>
      <c r="EB173" s="177">
        <v>0.0</v>
      </c>
      <c r="EC173" s="177">
        <v>0.0</v>
      </c>
      <c r="ED173" s="177">
        <v>0.0</v>
      </c>
      <c r="EE173" s="177">
        <v>0.0</v>
      </c>
      <c r="EF173" s="177">
        <v>0.0</v>
      </c>
      <c r="EG173" s="179">
        <f t="shared" si="17"/>
        <v>0</v>
      </c>
      <c r="EH173" s="179">
        <f t="shared" si="18"/>
        <v>0</v>
      </c>
      <c r="EI173" s="177">
        <v>394.0</v>
      </c>
      <c r="EJ173" s="177">
        <v>128.0</v>
      </c>
      <c r="EK173" s="177">
        <v>394.0</v>
      </c>
      <c r="EL173" s="177">
        <v>128.0</v>
      </c>
      <c r="EM173" s="185">
        <f t="shared" si="362"/>
        <v>3</v>
      </c>
      <c r="EN173" s="186">
        <f t="shared" si="202"/>
        <v>1</v>
      </c>
      <c r="EO173" s="186">
        <f t="shared" si="90"/>
        <v>2</v>
      </c>
      <c r="EP173" s="177">
        <v>0.0</v>
      </c>
      <c r="EQ173" s="177">
        <v>0.0</v>
      </c>
      <c r="ER173" s="177">
        <v>0.0</v>
      </c>
      <c r="ES173" s="177">
        <v>1.0</v>
      </c>
      <c r="ET173" s="177">
        <v>0.0</v>
      </c>
      <c r="EU173" s="177">
        <v>0.0</v>
      </c>
      <c r="EV173" s="177">
        <v>1.0</v>
      </c>
      <c r="EW173" s="177">
        <v>1.0</v>
      </c>
      <c r="EX173" s="177">
        <v>0.0</v>
      </c>
      <c r="EY173" s="177">
        <v>0.0</v>
      </c>
      <c r="EZ173" s="177">
        <v>0.0</v>
      </c>
      <c r="FA173" s="177">
        <v>0.0</v>
      </c>
      <c r="FB173" s="177">
        <v>0.0</v>
      </c>
      <c r="FC173" s="177">
        <v>0.0</v>
      </c>
      <c r="FD173" s="177">
        <v>0.0</v>
      </c>
      <c r="FE173" s="177">
        <v>0.0</v>
      </c>
      <c r="FF173" s="177">
        <v>0.0</v>
      </c>
      <c r="FG173" s="177">
        <v>0.0</v>
      </c>
      <c r="FH173" s="185">
        <f t="shared" si="22"/>
        <v>0</v>
      </c>
      <c r="FI173" s="185">
        <f t="shared" si="23"/>
        <v>0</v>
      </c>
      <c r="FJ173" s="177">
        <v>392.0</v>
      </c>
      <c r="FK173" s="177">
        <v>128.0</v>
      </c>
      <c r="FL173" s="177">
        <v>392.0</v>
      </c>
      <c r="FM173" s="177">
        <v>128.0</v>
      </c>
      <c r="FN173" s="180"/>
      <c r="FO173" s="180">
        <v>3.0</v>
      </c>
      <c r="FP173" s="188">
        <f t="shared" si="412"/>
        <v>3</v>
      </c>
      <c r="FQ173" s="211">
        <v>1.0</v>
      </c>
      <c r="FR173" s="212">
        <v>2.0</v>
      </c>
      <c r="FS173" s="206">
        <v>0.0</v>
      </c>
      <c r="FT173" s="207">
        <v>0.0</v>
      </c>
      <c r="FU173" s="207">
        <v>1.0</v>
      </c>
      <c r="FV173" s="207">
        <v>2.0</v>
      </c>
      <c r="FW173" s="207">
        <v>0.0</v>
      </c>
      <c r="FX173" s="207">
        <v>0.0</v>
      </c>
      <c r="FY173" s="207">
        <v>0.0</v>
      </c>
      <c r="FZ173" s="207">
        <v>0.0</v>
      </c>
      <c r="GA173" s="207">
        <v>0.0</v>
      </c>
      <c r="GB173" s="207">
        <v>0.0</v>
      </c>
      <c r="GC173" s="207">
        <v>0.0</v>
      </c>
      <c r="GD173" s="207">
        <v>0.0</v>
      </c>
      <c r="GE173" s="207">
        <v>0.0</v>
      </c>
      <c r="GF173" s="207">
        <v>0.0</v>
      </c>
      <c r="GG173" s="207">
        <v>0.0</v>
      </c>
      <c r="GH173" s="207">
        <v>0.0</v>
      </c>
      <c r="GI173" s="207">
        <v>0.0</v>
      </c>
      <c r="GJ173" s="207">
        <v>0.0</v>
      </c>
      <c r="GK173" s="212">
        <v>0.0</v>
      </c>
      <c r="GL173" s="212">
        <v>0.0</v>
      </c>
      <c r="GM173" s="207">
        <v>388.0</v>
      </c>
      <c r="GN173" s="207">
        <v>123.0</v>
      </c>
      <c r="GO173" s="213">
        <v>388.0</v>
      </c>
      <c r="GP173" s="213">
        <v>123.0</v>
      </c>
      <c r="GQ173" s="207"/>
      <c r="GR173" s="213">
        <v>3.0</v>
      </c>
      <c r="GS173" s="193">
        <v>1.0</v>
      </c>
      <c r="GT173" s="194">
        <f t="shared" si="25"/>
        <v>3</v>
      </c>
      <c r="GU173" s="194">
        <f t="shared" si="26"/>
        <v>1</v>
      </c>
      <c r="GV173" s="194">
        <f t="shared" si="27"/>
        <v>2</v>
      </c>
      <c r="GW173" s="207">
        <v>0.0</v>
      </c>
      <c r="GX173" s="207">
        <v>0.0</v>
      </c>
      <c r="GY173" s="207">
        <v>1.0</v>
      </c>
      <c r="GZ173" s="207">
        <v>2.0</v>
      </c>
      <c r="HA173" s="207">
        <v>0.0</v>
      </c>
      <c r="HB173" s="207">
        <v>0.0</v>
      </c>
      <c r="HC173" s="207">
        <v>0.0</v>
      </c>
      <c r="HD173" s="207">
        <v>0.0</v>
      </c>
      <c r="HE173" s="207">
        <v>0.0</v>
      </c>
      <c r="HF173" s="207">
        <v>0.0</v>
      </c>
      <c r="HG173" s="207">
        <v>0.0</v>
      </c>
      <c r="HH173" s="207">
        <v>0.0</v>
      </c>
      <c r="HI173" s="207">
        <v>0.0</v>
      </c>
      <c r="HJ173" s="207">
        <v>0.0</v>
      </c>
      <c r="HK173" s="207">
        <v>0.0</v>
      </c>
      <c r="HL173" s="207">
        <v>0.0</v>
      </c>
      <c r="HM173" s="207">
        <v>0.0</v>
      </c>
      <c r="HN173" s="207">
        <v>0.0</v>
      </c>
      <c r="HO173" s="222"/>
      <c r="HP173" s="222"/>
      <c r="HQ173" s="214"/>
      <c r="HR173" s="197"/>
      <c r="HS173" s="197"/>
      <c r="HT173" s="198">
        <f t="shared" si="28"/>
        <v>2</v>
      </c>
      <c r="HU173" s="198">
        <f t="shared" si="29"/>
        <v>2</v>
      </c>
      <c r="HV173" s="198">
        <f t="shared" si="30"/>
        <v>2</v>
      </c>
      <c r="HW173" s="198">
        <f t="shared" si="99"/>
        <v>2</v>
      </c>
      <c r="HX173" s="198">
        <f t="shared" si="32"/>
        <v>2</v>
      </c>
      <c r="HY173" s="198">
        <f t="shared" si="33"/>
        <v>2</v>
      </c>
      <c r="HZ173" s="198">
        <f t="shared" si="34"/>
        <v>1</v>
      </c>
      <c r="IA173" s="198">
        <f t="shared" si="35"/>
        <v>1</v>
      </c>
      <c r="IB173" s="198">
        <f t="shared" si="36"/>
        <v>1</v>
      </c>
      <c r="IC173" s="198">
        <f t="shared" si="37"/>
        <v>3</v>
      </c>
      <c r="ID173" s="198">
        <f t="shared" si="38"/>
        <v>3</v>
      </c>
      <c r="IE173" s="198">
        <f t="shared" si="39"/>
        <v>3</v>
      </c>
      <c r="IF173" s="197"/>
      <c r="IG173" s="197"/>
      <c r="IH173" s="197"/>
      <c r="II173" s="197"/>
      <c r="IJ173" s="197"/>
      <c r="IK173" s="197"/>
      <c r="IL173" s="197"/>
      <c r="IM173" s="197"/>
      <c r="IN173" s="197"/>
      <c r="IO173" s="197"/>
      <c r="IP173" s="197"/>
      <c r="IQ173" s="197"/>
      <c r="IR173" s="197"/>
      <c r="IS173" s="197"/>
      <c r="IT173" s="197"/>
      <c r="IU173" s="197"/>
      <c r="IV173" s="197"/>
      <c r="IW173" s="197"/>
      <c r="IX173" s="197"/>
      <c r="IY173" s="197"/>
      <c r="IZ173" s="197"/>
      <c r="JA173" s="199"/>
      <c r="JB173" s="200">
        <f t="shared" si="40"/>
        <v>2</v>
      </c>
      <c r="JC173" s="200">
        <f t="shared" si="41"/>
        <v>2</v>
      </c>
      <c r="JD173" s="200">
        <f t="shared" si="42"/>
        <v>2</v>
      </c>
      <c r="JE173" s="200">
        <f t="shared" si="43"/>
        <v>2</v>
      </c>
      <c r="JF173" s="200">
        <f t="shared" si="44"/>
        <v>2</v>
      </c>
      <c r="JG173" s="200">
        <f t="shared" si="45"/>
        <v>2</v>
      </c>
      <c r="JH173" s="200">
        <f t="shared" si="46"/>
        <v>1</v>
      </c>
      <c r="JI173" s="200">
        <f t="shared" si="47"/>
        <v>1</v>
      </c>
      <c r="JJ173" s="200">
        <f t="shared" si="48"/>
        <v>1</v>
      </c>
      <c r="JK173" s="200">
        <f t="shared" si="49"/>
        <v>3</v>
      </c>
      <c r="JL173" s="200">
        <f t="shared" si="50"/>
        <v>3</v>
      </c>
      <c r="JM173" s="200">
        <f t="shared" si="51"/>
        <v>3</v>
      </c>
      <c r="JN173" s="199"/>
      <c r="JO173" s="200">
        <f t="shared" si="52"/>
        <v>2</v>
      </c>
      <c r="JP173" s="202">
        <v>2.0</v>
      </c>
      <c r="JQ173" s="202">
        <v>2.0</v>
      </c>
      <c r="JR173" s="202">
        <v>2.0</v>
      </c>
      <c r="JS173" s="202">
        <v>2.0</v>
      </c>
      <c r="JT173" s="199"/>
      <c r="JU173" s="199"/>
      <c r="JV173" s="200">
        <f t="shared" ref="JV173:JX173" si="424">IA173-JI173</f>
        <v>0</v>
      </c>
      <c r="JW173" s="200">
        <f t="shared" si="424"/>
        <v>0</v>
      </c>
      <c r="JX173" s="200">
        <f t="shared" si="424"/>
        <v>0</v>
      </c>
      <c r="JY173" s="199"/>
      <c r="JZ173" s="199"/>
      <c r="KA173" s="199"/>
      <c r="KB173" s="200">
        <f t="shared" ref="KB173:KM173" si="425">JB173-JO173</f>
        <v>0</v>
      </c>
      <c r="KC173" s="200">
        <f t="shared" si="425"/>
        <v>0</v>
      </c>
      <c r="KD173" s="200">
        <f t="shared" si="425"/>
        <v>0</v>
      </c>
      <c r="KE173" s="200">
        <f t="shared" si="425"/>
        <v>0</v>
      </c>
      <c r="KF173" s="200">
        <f t="shared" si="425"/>
        <v>0</v>
      </c>
      <c r="KG173" s="200">
        <f t="shared" si="425"/>
        <v>2</v>
      </c>
      <c r="KH173" s="200">
        <f t="shared" si="425"/>
        <v>1</v>
      </c>
      <c r="KI173" s="200">
        <f t="shared" si="425"/>
        <v>1</v>
      </c>
      <c r="KJ173" s="200">
        <f t="shared" si="425"/>
        <v>1</v>
      </c>
      <c r="KK173" s="200">
        <f t="shared" si="425"/>
        <v>3</v>
      </c>
      <c r="KL173" s="200">
        <f t="shared" si="425"/>
        <v>3</v>
      </c>
      <c r="KM173" s="200">
        <f t="shared" si="425"/>
        <v>3</v>
      </c>
      <c r="KN173" s="199"/>
      <c r="KO173" s="199"/>
      <c r="KP173" s="199"/>
      <c r="KQ173" s="199"/>
      <c r="KR173" s="199"/>
      <c r="KS173" s="199"/>
      <c r="KT173" s="199"/>
      <c r="KU173" s="199"/>
      <c r="KV173" s="199"/>
      <c r="KW173" s="199"/>
      <c r="KX173" s="199"/>
      <c r="KY173" s="199"/>
      <c r="KZ173" s="199"/>
      <c r="LA173" s="199"/>
      <c r="LB173" s="199"/>
      <c r="LC173" s="199"/>
      <c r="LD173" s="199"/>
      <c r="LE173" s="199"/>
      <c r="LF173" s="199"/>
      <c r="LG173" s="199"/>
    </row>
    <row r="174" ht="14.25" customHeight="1">
      <c r="A174" s="156">
        <v>167.0</v>
      </c>
      <c r="B174" s="492" t="s">
        <v>277</v>
      </c>
      <c r="C174" s="493">
        <v>3374160.0</v>
      </c>
      <c r="D174" s="493" t="s">
        <v>277</v>
      </c>
      <c r="E174" s="493" t="s">
        <v>285</v>
      </c>
      <c r="F174" s="159">
        <v>12.0</v>
      </c>
      <c r="G174" s="285">
        <v>758.0</v>
      </c>
      <c r="H174" s="160">
        <v>2.0</v>
      </c>
      <c r="I174" s="159">
        <v>0.0</v>
      </c>
      <c r="J174" s="159">
        <v>0.0</v>
      </c>
      <c r="K174" s="159">
        <v>1.0</v>
      </c>
      <c r="L174" s="164">
        <v>1.0</v>
      </c>
      <c r="M174" s="164">
        <v>0.0</v>
      </c>
      <c r="N174" s="164">
        <v>0.0</v>
      </c>
      <c r="O174" s="166">
        <f t="shared" si="369"/>
        <v>2</v>
      </c>
      <c r="P174" s="203">
        <v>2.0</v>
      </c>
      <c r="Q174" s="259">
        <v>0.0</v>
      </c>
      <c r="R174" s="259">
        <v>0.0</v>
      </c>
      <c r="S174" s="259">
        <v>1.0</v>
      </c>
      <c r="T174" s="491">
        <v>1.0</v>
      </c>
      <c r="U174" s="164"/>
      <c r="V174" s="165"/>
      <c r="W174" s="166">
        <f t="shared" si="225"/>
        <v>2</v>
      </c>
      <c r="X174" s="331">
        <v>2.0</v>
      </c>
      <c r="Y174" s="259">
        <v>0.0</v>
      </c>
      <c r="Z174" s="259">
        <v>0.0</v>
      </c>
      <c r="AA174" s="259">
        <v>1.0</v>
      </c>
      <c r="AB174" s="491">
        <v>1.0</v>
      </c>
      <c r="AC174" s="165"/>
      <c r="AD174" s="165"/>
      <c r="AE174" s="166">
        <f t="shared" si="214"/>
        <v>2</v>
      </c>
      <c r="AF174" s="167">
        <v>2.0</v>
      </c>
      <c r="AG174" s="259">
        <v>0.0</v>
      </c>
      <c r="AH174" s="259">
        <v>0.0</v>
      </c>
      <c r="AI174" s="259">
        <v>1.0</v>
      </c>
      <c r="AJ174" s="491">
        <v>1.0</v>
      </c>
      <c r="AK174" s="165"/>
      <c r="AL174" s="165"/>
      <c r="AM174" s="166">
        <f t="shared" si="370"/>
        <v>2</v>
      </c>
      <c r="AN174" s="167">
        <v>2.0</v>
      </c>
      <c r="AO174" s="259">
        <v>0.0</v>
      </c>
      <c r="AP174" s="496">
        <v>0.0</v>
      </c>
      <c r="AQ174" s="259">
        <v>1.0</v>
      </c>
      <c r="AR174" s="495">
        <v>1.0</v>
      </c>
      <c r="AS174" s="171">
        <v>1.0</v>
      </c>
      <c r="AT174" s="171">
        <v>1.0</v>
      </c>
      <c r="AU174" s="168">
        <f t="shared" si="375"/>
        <v>0</v>
      </c>
      <c r="AV174" s="169">
        <v>788.0</v>
      </c>
      <c r="AW174" s="204">
        <f t="shared" si="8"/>
        <v>2</v>
      </c>
      <c r="AX174" s="169">
        <v>0.0</v>
      </c>
      <c r="AY174" s="169">
        <v>0.0</v>
      </c>
      <c r="AZ174" s="169">
        <v>1.0</v>
      </c>
      <c r="BA174" s="169">
        <v>1.0</v>
      </c>
      <c r="BB174" s="169">
        <v>0.0</v>
      </c>
      <c r="BC174" s="169">
        <v>0.0</v>
      </c>
      <c r="BD174" s="169">
        <v>0.0</v>
      </c>
      <c r="BE174" s="169">
        <v>0.0</v>
      </c>
      <c r="BF174" s="169">
        <v>0.0</v>
      </c>
      <c r="BG174" s="169">
        <v>0.0</v>
      </c>
      <c r="BH174" s="169">
        <v>0.0</v>
      </c>
      <c r="BI174" s="169">
        <v>0.0</v>
      </c>
      <c r="BJ174" s="169">
        <v>0.0</v>
      </c>
      <c r="BK174" s="169">
        <v>0.0</v>
      </c>
      <c r="BL174" s="169">
        <v>0.0</v>
      </c>
      <c r="BM174" s="169">
        <v>0.0</v>
      </c>
      <c r="BN174" s="169">
        <v>0.0</v>
      </c>
      <c r="BO174" s="169">
        <v>0.0</v>
      </c>
      <c r="BP174" s="205">
        <f t="shared" si="423"/>
        <v>0</v>
      </c>
      <c r="BQ174" s="173">
        <v>802.0</v>
      </c>
      <c r="BR174" s="204">
        <f t="shared" si="10"/>
        <v>3</v>
      </c>
      <c r="BS174" s="169">
        <v>0.0</v>
      </c>
      <c r="BT174" s="169">
        <v>0.0</v>
      </c>
      <c r="BU174" s="169">
        <v>1.0</v>
      </c>
      <c r="BV174" s="169">
        <v>1.0</v>
      </c>
      <c r="BW174" s="173">
        <v>0.0</v>
      </c>
      <c r="BX174" s="173">
        <v>0.0</v>
      </c>
      <c r="BY174" s="173">
        <v>1.0</v>
      </c>
      <c r="BZ174" s="173">
        <v>0.0</v>
      </c>
      <c r="CA174" s="173">
        <v>0.0</v>
      </c>
      <c r="CB174" s="173">
        <v>0.0</v>
      </c>
      <c r="CC174" s="173">
        <v>0.0</v>
      </c>
      <c r="CD174" s="173">
        <v>0.0</v>
      </c>
      <c r="CE174" s="173">
        <v>0.0</v>
      </c>
      <c r="CF174" s="173">
        <v>0.0</v>
      </c>
      <c r="CG174" s="173">
        <v>0.0</v>
      </c>
      <c r="CH174" s="173">
        <v>0.0</v>
      </c>
      <c r="CI174" s="173">
        <v>0.0</v>
      </c>
      <c r="CJ174" s="173">
        <v>0.0</v>
      </c>
      <c r="CK174" s="172">
        <f t="shared" si="132"/>
        <v>0</v>
      </c>
      <c r="CL174" s="173">
        <v>812.0</v>
      </c>
      <c r="CM174" s="173">
        <v>261.0</v>
      </c>
      <c r="CN174" s="175">
        <f t="shared" si="295"/>
        <v>3</v>
      </c>
      <c r="CO174" s="173">
        <v>0.0</v>
      </c>
      <c r="CP174" s="173">
        <v>0.0</v>
      </c>
      <c r="CQ174" s="173">
        <v>1.0</v>
      </c>
      <c r="CR174" s="173">
        <v>2.0</v>
      </c>
      <c r="CS174" s="173">
        <v>0.0</v>
      </c>
      <c r="CT174" s="173">
        <v>0.0</v>
      </c>
      <c r="CU174" s="173">
        <v>0.0</v>
      </c>
      <c r="CV174" s="173">
        <v>0.0</v>
      </c>
      <c r="CW174" s="173">
        <v>0.0</v>
      </c>
      <c r="CX174" s="173">
        <v>0.0</v>
      </c>
      <c r="CY174" s="173">
        <v>0.0</v>
      </c>
      <c r="CZ174" s="173">
        <v>0.0</v>
      </c>
      <c r="DA174" s="173">
        <v>0.0</v>
      </c>
      <c r="DB174" s="173">
        <v>0.0</v>
      </c>
      <c r="DC174" s="173">
        <v>0.0</v>
      </c>
      <c r="DD174" s="173">
        <v>0.0</v>
      </c>
      <c r="DE174" s="173">
        <v>0.0</v>
      </c>
      <c r="DF174" s="173">
        <v>0.0</v>
      </c>
      <c r="DG174" s="176">
        <f t="shared" si="13"/>
        <v>0</v>
      </c>
      <c r="DH174" s="177">
        <v>727.0</v>
      </c>
      <c r="DI174" s="177">
        <v>220.0</v>
      </c>
      <c r="DJ174" s="177">
        <v>727.0</v>
      </c>
      <c r="DK174" s="178">
        <v>220.0</v>
      </c>
      <c r="DL174" s="179">
        <f t="shared" si="14"/>
        <v>3</v>
      </c>
      <c r="DM174" s="180">
        <f t="shared" si="15"/>
        <v>1</v>
      </c>
      <c r="DN174" s="180">
        <f t="shared" si="16"/>
        <v>2</v>
      </c>
      <c r="DO174" s="177">
        <v>0.0</v>
      </c>
      <c r="DP174" s="177">
        <v>0.0</v>
      </c>
      <c r="DQ174" s="177">
        <v>1.0</v>
      </c>
      <c r="DR174" s="177">
        <v>2.0</v>
      </c>
      <c r="DS174" s="177">
        <v>0.0</v>
      </c>
      <c r="DT174" s="177">
        <v>0.0</v>
      </c>
      <c r="DU174" s="177">
        <v>0.0</v>
      </c>
      <c r="DV174" s="177">
        <v>0.0</v>
      </c>
      <c r="DW174" s="177">
        <v>0.0</v>
      </c>
      <c r="DX174" s="177">
        <v>0.0</v>
      </c>
      <c r="DY174" s="177">
        <v>0.0</v>
      </c>
      <c r="DZ174" s="177">
        <v>0.0</v>
      </c>
      <c r="EA174" s="177">
        <v>0.0</v>
      </c>
      <c r="EB174" s="177">
        <v>0.0</v>
      </c>
      <c r="EC174" s="177">
        <v>0.0</v>
      </c>
      <c r="ED174" s="177">
        <v>0.0</v>
      </c>
      <c r="EE174" s="177">
        <v>0.0</v>
      </c>
      <c r="EF174" s="177">
        <v>0.0</v>
      </c>
      <c r="EG174" s="179">
        <f t="shared" si="17"/>
        <v>0</v>
      </c>
      <c r="EH174" s="179">
        <f t="shared" si="18"/>
        <v>0</v>
      </c>
      <c r="EI174" s="177">
        <v>715.0</v>
      </c>
      <c r="EJ174" s="177">
        <v>214.0</v>
      </c>
      <c r="EK174" s="177">
        <v>715.0</v>
      </c>
      <c r="EL174" s="177">
        <v>214.0</v>
      </c>
      <c r="EM174" s="185">
        <f t="shared" si="362"/>
        <v>2</v>
      </c>
      <c r="EN174" s="186">
        <f t="shared" si="202"/>
        <v>1</v>
      </c>
      <c r="EO174" s="186">
        <f t="shared" si="90"/>
        <v>1</v>
      </c>
      <c r="EP174" s="494">
        <v>0.0</v>
      </c>
      <c r="EQ174" s="494">
        <v>0.0</v>
      </c>
      <c r="ER174" s="494">
        <v>1.0</v>
      </c>
      <c r="ES174" s="494">
        <v>1.0</v>
      </c>
      <c r="ET174" s="177">
        <v>0.0</v>
      </c>
      <c r="EU174" s="177">
        <v>0.0</v>
      </c>
      <c r="EV174" s="177">
        <v>0.0</v>
      </c>
      <c r="EW174" s="177">
        <v>0.0</v>
      </c>
      <c r="EX174" s="177">
        <v>0.0</v>
      </c>
      <c r="EY174" s="177">
        <v>0.0</v>
      </c>
      <c r="EZ174" s="177">
        <v>0.0</v>
      </c>
      <c r="FA174" s="177">
        <v>1.0</v>
      </c>
      <c r="FB174" s="177">
        <v>0.0</v>
      </c>
      <c r="FC174" s="177">
        <v>0.0</v>
      </c>
      <c r="FD174" s="177">
        <v>0.0</v>
      </c>
      <c r="FE174" s="177">
        <v>0.0</v>
      </c>
      <c r="FF174" s="177">
        <v>0.0</v>
      </c>
      <c r="FG174" s="177">
        <v>0.0</v>
      </c>
      <c r="FH174" s="185">
        <f t="shared" si="22"/>
        <v>1</v>
      </c>
      <c r="FI174" s="185">
        <f t="shared" si="23"/>
        <v>0</v>
      </c>
      <c r="FJ174" s="177">
        <v>713.0</v>
      </c>
      <c r="FK174" s="177">
        <v>214.0</v>
      </c>
      <c r="FL174" s="177">
        <v>713.0</v>
      </c>
      <c r="FM174" s="177">
        <v>214.0</v>
      </c>
      <c r="FN174" s="180"/>
      <c r="FO174" s="180">
        <v>1.0</v>
      </c>
      <c r="FP174" s="188">
        <f t="shared" si="412"/>
        <v>1</v>
      </c>
      <c r="FQ174" s="211">
        <v>0.0</v>
      </c>
      <c r="FR174" s="212">
        <v>1.0</v>
      </c>
      <c r="FS174" s="206">
        <v>0.0</v>
      </c>
      <c r="FT174" s="207">
        <v>0.0</v>
      </c>
      <c r="FU174" s="207">
        <v>0.0</v>
      </c>
      <c r="FV174" s="207">
        <v>1.0</v>
      </c>
      <c r="FW174" s="207">
        <v>0.0</v>
      </c>
      <c r="FX174" s="207">
        <v>0.0</v>
      </c>
      <c r="FY174" s="207">
        <v>0.0</v>
      </c>
      <c r="FZ174" s="207">
        <v>0.0</v>
      </c>
      <c r="GA174" s="207">
        <v>0.0</v>
      </c>
      <c r="GB174" s="207">
        <v>0.0</v>
      </c>
      <c r="GC174" s="207">
        <v>1.0</v>
      </c>
      <c r="GD174" s="207">
        <v>0.0</v>
      </c>
      <c r="GE174" s="207">
        <v>0.0</v>
      </c>
      <c r="GF174" s="207">
        <v>0.0</v>
      </c>
      <c r="GG174" s="207">
        <v>0.0</v>
      </c>
      <c r="GH174" s="207">
        <v>0.0</v>
      </c>
      <c r="GI174" s="207">
        <v>0.0</v>
      </c>
      <c r="GJ174" s="207">
        <v>0.0</v>
      </c>
      <c r="GK174" s="212">
        <v>1.0</v>
      </c>
      <c r="GL174" s="212">
        <v>1.0</v>
      </c>
      <c r="GM174" s="207">
        <v>702.0</v>
      </c>
      <c r="GN174" s="207">
        <v>210.0</v>
      </c>
      <c r="GO174" s="213">
        <v>702.0</v>
      </c>
      <c r="GP174" s="213">
        <v>210.0</v>
      </c>
      <c r="GQ174" s="207"/>
      <c r="GR174" s="213">
        <v>1.0</v>
      </c>
      <c r="GS174" s="193">
        <v>0.0</v>
      </c>
      <c r="GT174" s="194">
        <f t="shared" si="25"/>
        <v>1</v>
      </c>
      <c r="GU174" s="194">
        <f t="shared" si="26"/>
        <v>0</v>
      </c>
      <c r="GV174" s="194">
        <f t="shared" si="27"/>
        <v>1</v>
      </c>
      <c r="GW174" s="207">
        <v>0.0</v>
      </c>
      <c r="GX174" s="207">
        <v>0.0</v>
      </c>
      <c r="GY174" s="207">
        <v>0.0</v>
      </c>
      <c r="GZ174" s="207">
        <v>1.0</v>
      </c>
      <c r="HA174" s="207">
        <v>0.0</v>
      </c>
      <c r="HB174" s="207">
        <v>0.0</v>
      </c>
      <c r="HC174" s="207">
        <v>0.0</v>
      </c>
      <c r="HD174" s="207">
        <v>0.0</v>
      </c>
      <c r="HE174" s="207">
        <v>0.0</v>
      </c>
      <c r="HF174" s="207">
        <v>0.0</v>
      </c>
      <c r="HG174" s="207">
        <v>0.0</v>
      </c>
      <c r="HH174" s="207">
        <v>0.0</v>
      </c>
      <c r="HI174" s="207">
        <v>0.0</v>
      </c>
      <c r="HJ174" s="207">
        <v>0.0</v>
      </c>
      <c r="HK174" s="207">
        <v>0.0</v>
      </c>
      <c r="HL174" s="207">
        <v>0.0</v>
      </c>
      <c r="HM174" s="207">
        <v>0.0</v>
      </c>
      <c r="HN174" s="207">
        <v>0.0</v>
      </c>
      <c r="HO174" s="222"/>
      <c r="HP174" s="222"/>
      <c r="HQ174" s="214"/>
      <c r="HR174" s="197"/>
      <c r="HS174" s="197"/>
      <c r="HT174" s="198">
        <f t="shared" si="28"/>
        <v>2</v>
      </c>
      <c r="HU174" s="198">
        <f t="shared" si="29"/>
        <v>2</v>
      </c>
      <c r="HV174" s="198">
        <f t="shared" si="30"/>
        <v>2</v>
      </c>
      <c r="HW174" s="198">
        <f t="shared" si="99"/>
        <v>2</v>
      </c>
      <c r="HX174" s="198">
        <f t="shared" si="32"/>
        <v>2</v>
      </c>
      <c r="HY174" s="198">
        <f t="shared" si="33"/>
        <v>2</v>
      </c>
      <c r="HZ174" s="198">
        <f t="shared" si="34"/>
        <v>3</v>
      </c>
      <c r="IA174" s="198">
        <f t="shared" si="35"/>
        <v>3</v>
      </c>
      <c r="IB174" s="198">
        <f t="shared" si="36"/>
        <v>3</v>
      </c>
      <c r="IC174" s="198">
        <f t="shared" si="37"/>
        <v>2</v>
      </c>
      <c r="ID174" s="198">
        <f t="shared" si="38"/>
        <v>1</v>
      </c>
      <c r="IE174" s="198">
        <f t="shared" si="39"/>
        <v>1</v>
      </c>
      <c r="IF174" s="197"/>
      <c r="IG174" s="197"/>
      <c r="IH174" s="197"/>
      <c r="II174" s="197"/>
      <c r="IJ174" s="197"/>
      <c r="IK174" s="197"/>
      <c r="IL174" s="197"/>
      <c r="IM174" s="197"/>
      <c r="IN174" s="197"/>
      <c r="IO174" s="197"/>
      <c r="IP174" s="197"/>
      <c r="IQ174" s="197"/>
      <c r="IR174" s="197"/>
      <c r="IS174" s="197"/>
      <c r="IT174" s="197"/>
      <c r="IU174" s="197"/>
      <c r="IV174" s="197"/>
      <c r="IW174" s="197"/>
      <c r="IX174" s="197"/>
      <c r="IY174" s="197"/>
      <c r="IZ174" s="197"/>
      <c r="JA174" s="199"/>
      <c r="JB174" s="200">
        <f t="shared" si="40"/>
        <v>2</v>
      </c>
      <c r="JC174" s="200">
        <f t="shared" si="41"/>
        <v>2</v>
      </c>
      <c r="JD174" s="200">
        <f t="shared" si="42"/>
        <v>2</v>
      </c>
      <c r="JE174" s="200">
        <f t="shared" si="43"/>
        <v>2</v>
      </c>
      <c r="JF174" s="200">
        <f t="shared" si="44"/>
        <v>2</v>
      </c>
      <c r="JG174" s="200">
        <f t="shared" si="45"/>
        <v>2</v>
      </c>
      <c r="JH174" s="200">
        <f t="shared" si="46"/>
        <v>3</v>
      </c>
      <c r="JI174" s="200">
        <f t="shared" si="47"/>
        <v>3</v>
      </c>
      <c r="JJ174" s="200">
        <f t="shared" si="48"/>
        <v>3</v>
      </c>
      <c r="JK174" s="200">
        <f t="shared" si="49"/>
        <v>3</v>
      </c>
      <c r="JL174" s="200">
        <f t="shared" si="50"/>
        <v>1</v>
      </c>
      <c r="JM174" s="200">
        <f t="shared" si="51"/>
        <v>1</v>
      </c>
      <c r="JN174" s="199"/>
      <c r="JO174" s="200">
        <f t="shared" si="52"/>
        <v>2</v>
      </c>
      <c r="JP174" s="202">
        <v>2.0</v>
      </c>
      <c r="JQ174" s="202">
        <v>2.0</v>
      </c>
      <c r="JR174" s="202">
        <v>2.0</v>
      </c>
      <c r="JS174" s="202">
        <v>2.0</v>
      </c>
      <c r="JT174" s="199"/>
      <c r="JU174" s="199"/>
      <c r="JV174" s="200">
        <f t="shared" ref="JV174:JX174" si="426">IA174-JI174</f>
        <v>0</v>
      </c>
      <c r="JW174" s="200">
        <f t="shared" si="426"/>
        <v>0</v>
      </c>
      <c r="JX174" s="200">
        <f t="shared" si="426"/>
        <v>-1</v>
      </c>
      <c r="JY174" s="199"/>
      <c r="JZ174" s="199"/>
      <c r="KA174" s="199"/>
      <c r="KB174" s="200">
        <f t="shared" ref="KB174:KM174" si="427">JB174-JO174</f>
        <v>0</v>
      </c>
      <c r="KC174" s="200">
        <f t="shared" si="427"/>
        <v>0</v>
      </c>
      <c r="KD174" s="200">
        <f t="shared" si="427"/>
        <v>0</v>
      </c>
      <c r="KE174" s="200">
        <f t="shared" si="427"/>
        <v>0</v>
      </c>
      <c r="KF174" s="200">
        <f t="shared" si="427"/>
        <v>0</v>
      </c>
      <c r="KG174" s="200">
        <f t="shared" si="427"/>
        <v>2</v>
      </c>
      <c r="KH174" s="200">
        <f t="shared" si="427"/>
        <v>3</v>
      </c>
      <c r="KI174" s="200">
        <f t="shared" si="427"/>
        <v>3</v>
      </c>
      <c r="KJ174" s="200">
        <f t="shared" si="427"/>
        <v>3</v>
      </c>
      <c r="KK174" s="200">
        <f t="shared" si="427"/>
        <v>4</v>
      </c>
      <c r="KL174" s="200">
        <f t="shared" si="427"/>
        <v>1</v>
      </c>
      <c r="KM174" s="200">
        <f t="shared" si="427"/>
        <v>1</v>
      </c>
      <c r="KN174" s="199"/>
      <c r="KO174" s="199"/>
      <c r="KP174" s="199"/>
      <c r="KQ174" s="199"/>
      <c r="KR174" s="199"/>
      <c r="KS174" s="199"/>
      <c r="KT174" s="199"/>
      <c r="KU174" s="199"/>
      <c r="KV174" s="199"/>
      <c r="KW174" s="199"/>
      <c r="KX174" s="199"/>
      <c r="KY174" s="199"/>
      <c r="KZ174" s="199"/>
      <c r="LA174" s="199"/>
      <c r="LB174" s="199"/>
      <c r="LC174" s="199"/>
      <c r="LD174" s="199"/>
      <c r="LE174" s="199"/>
      <c r="LF174" s="199"/>
      <c r="LG174" s="199"/>
    </row>
    <row r="175" ht="14.25" customHeight="1">
      <c r="A175" s="156">
        <v>168.0</v>
      </c>
      <c r="B175" s="497" t="s">
        <v>277</v>
      </c>
      <c r="C175" s="498">
        <v>3374160.0</v>
      </c>
      <c r="D175" s="498" t="s">
        <v>286</v>
      </c>
      <c r="E175" s="498" t="s">
        <v>287</v>
      </c>
      <c r="F175" s="159">
        <v>32.0</v>
      </c>
      <c r="G175" s="285">
        <v>1384.0</v>
      </c>
      <c r="H175" s="160">
        <v>12.0</v>
      </c>
      <c r="I175" s="161">
        <v>0.0</v>
      </c>
      <c r="J175" s="161">
        <v>0.0</v>
      </c>
      <c r="K175" s="161">
        <v>5.0</v>
      </c>
      <c r="L175" s="164">
        <v>7.0</v>
      </c>
      <c r="M175" s="164">
        <v>0.0</v>
      </c>
      <c r="N175" s="164">
        <v>0.0</v>
      </c>
      <c r="O175" s="166">
        <f t="shared" si="369"/>
        <v>12</v>
      </c>
      <c r="P175" s="203">
        <v>49.0</v>
      </c>
      <c r="Q175" s="491">
        <v>0.0</v>
      </c>
      <c r="R175" s="491">
        <v>4.0</v>
      </c>
      <c r="S175" s="491">
        <v>17.0</v>
      </c>
      <c r="T175" s="259">
        <v>28.0</v>
      </c>
      <c r="U175" s="165">
        <v>37.0</v>
      </c>
      <c r="V175" s="165">
        <v>0.0</v>
      </c>
      <c r="W175" s="166">
        <f t="shared" si="225"/>
        <v>12</v>
      </c>
      <c r="X175" s="203">
        <v>39.0</v>
      </c>
      <c r="Y175" s="164">
        <v>0.0</v>
      </c>
      <c r="Z175" s="164">
        <v>3.0</v>
      </c>
      <c r="AA175" s="164">
        <v>13.0</v>
      </c>
      <c r="AB175" s="165">
        <v>23.0</v>
      </c>
      <c r="AC175" s="165">
        <v>0.0</v>
      </c>
      <c r="AD175" s="165">
        <v>10.0</v>
      </c>
      <c r="AE175" s="166">
        <f t="shared" si="214"/>
        <v>29</v>
      </c>
      <c r="AF175" s="167">
        <v>37.0</v>
      </c>
      <c r="AG175" s="165">
        <v>0.0</v>
      </c>
      <c r="AH175" s="165">
        <v>1.0</v>
      </c>
      <c r="AI175" s="165">
        <v>11.0</v>
      </c>
      <c r="AJ175" s="165">
        <v>25.0</v>
      </c>
      <c r="AK175" s="165">
        <v>0.0</v>
      </c>
      <c r="AL175" s="165">
        <v>7.0</v>
      </c>
      <c r="AM175" s="166">
        <f t="shared" si="370"/>
        <v>30</v>
      </c>
      <c r="AN175" s="167">
        <v>30.0</v>
      </c>
      <c r="AO175" s="165">
        <v>0.0</v>
      </c>
      <c r="AP175" s="165">
        <v>1.0</v>
      </c>
      <c r="AQ175" s="165">
        <v>8.0</v>
      </c>
      <c r="AR175" s="165">
        <v>21.0</v>
      </c>
      <c r="AS175" s="165">
        <v>0.0</v>
      </c>
      <c r="AT175" s="165">
        <v>0.0</v>
      </c>
      <c r="AU175" s="168">
        <f t="shared" si="375"/>
        <v>30</v>
      </c>
      <c r="AV175" s="169">
        <v>1368.0</v>
      </c>
      <c r="AW175" s="204">
        <f t="shared" si="8"/>
        <v>39</v>
      </c>
      <c r="AX175" s="169">
        <v>0.0</v>
      </c>
      <c r="AY175" s="169">
        <v>1.0</v>
      </c>
      <c r="AZ175" s="169">
        <v>8.0</v>
      </c>
      <c r="BA175" s="169">
        <v>21.0</v>
      </c>
      <c r="BB175" s="169">
        <v>1.0</v>
      </c>
      <c r="BC175" s="169">
        <v>2.0</v>
      </c>
      <c r="BD175" s="169">
        <v>1.0</v>
      </c>
      <c r="BE175" s="169">
        <v>5.0</v>
      </c>
      <c r="BF175" s="169">
        <v>0.0</v>
      </c>
      <c r="BG175" s="169">
        <v>0.0</v>
      </c>
      <c r="BH175" s="169">
        <v>0.0</v>
      </c>
      <c r="BI175" s="169">
        <v>0.0</v>
      </c>
      <c r="BJ175" s="169">
        <v>0.0</v>
      </c>
      <c r="BK175" s="169">
        <v>0.0</v>
      </c>
      <c r="BL175" s="169">
        <v>0.0</v>
      </c>
      <c r="BM175" s="169">
        <v>0.0</v>
      </c>
      <c r="BN175" s="169">
        <v>0.0</v>
      </c>
      <c r="BO175" s="169">
        <v>0.0</v>
      </c>
      <c r="BP175" s="205">
        <f t="shared" si="423"/>
        <v>0</v>
      </c>
      <c r="BQ175" s="173">
        <v>1337.0</v>
      </c>
      <c r="BR175" s="170">
        <f t="shared" si="10"/>
        <v>22</v>
      </c>
      <c r="BS175" s="173">
        <v>0.0</v>
      </c>
      <c r="BT175" s="173">
        <v>0.0</v>
      </c>
      <c r="BU175" s="173">
        <v>2.0</v>
      </c>
      <c r="BV175" s="173">
        <v>20.0</v>
      </c>
      <c r="BW175" s="173">
        <v>0.0</v>
      </c>
      <c r="BX175" s="173">
        <v>0.0</v>
      </c>
      <c r="BY175" s="173">
        <v>0.0</v>
      </c>
      <c r="BZ175" s="173">
        <v>0.0</v>
      </c>
      <c r="CA175" s="173">
        <v>0.0</v>
      </c>
      <c r="CB175" s="173">
        <v>0.0</v>
      </c>
      <c r="CC175" s="173">
        <v>4.0</v>
      </c>
      <c r="CD175" s="173">
        <v>0.0</v>
      </c>
      <c r="CE175" s="173">
        <v>0.0</v>
      </c>
      <c r="CF175" s="173">
        <v>1.0</v>
      </c>
      <c r="CG175" s="173">
        <v>2.0</v>
      </c>
      <c r="CH175" s="173">
        <v>1.0</v>
      </c>
      <c r="CI175" s="173">
        <v>0.0</v>
      </c>
      <c r="CJ175" s="173">
        <v>0.0</v>
      </c>
      <c r="CK175" s="172">
        <f t="shared" si="132"/>
        <v>8</v>
      </c>
      <c r="CL175" s="173">
        <v>1378.0</v>
      </c>
      <c r="CM175" s="173">
        <v>466.0</v>
      </c>
      <c r="CN175" s="175">
        <f t="shared" si="295"/>
        <v>27</v>
      </c>
      <c r="CO175" s="173">
        <v>0.0</v>
      </c>
      <c r="CP175" s="173">
        <v>0.0</v>
      </c>
      <c r="CQ175" s="173">
        <v>2.0</v>
      </c>
      <c r="CR175" s="173">
        <v>20.0</v>
      </c>
      <c r="CS175" s="173">
        <v>0.0</v>
      </c>
      <c r="CT175" s="173">
        <v>0.0</v>
      </c>
      <c r="CU175" s="173">
        <v>2.0</v>
      </c>
      <c r="CV175" s="173">
        <v>3.0</v>
      </c>
      <c r="CW175" s="173">
        <v>0.0</v>
      </c>
      <c r="CX175" s="173">
        <v>0.0</v>
      </c>
      <c r="CY175" s="173">
        <v>0.0</v>
      </c>
      <c r="CZ175" s="173">
        <v>0.0</v>
      </c>
      <c r="DA175" s="173">
        <v>0.0</v>
      </c>
      <c r="DB175" s="173">
        <v>0.0</v>
      </c>
      <c r="DC175" s="173">
        <v>0.0</v>
      </c>
      <c r="DD175" s="173">
        <v>0.0</v>
      </c>
      <c r="DE175" s="173">
        <v>0.0</v>
      </c>
      <c r="DF175" s="173">
        <v>0.0</v>
      </c>
      <c r="DG175" s="176">
        <f t="shared" si="13"/>
        <v>0</v>
      </c>
      <c r="DH175" s="177">
        <v>1309.0</v>
      </c>
      <c r="DI175" s="177">
        <v>488.0</v>
      </c>
      <c r="DJ175" s="178">
        <v>1309.0</v>
      </c>
      <c r="DK175" s="178">
        <v>488.0</v>
      </c>
      <c r="DL175" s="179">
        <f t="shared" si="14"/>
        <v>30</v>
      </c>
      <c r="DM175" s="180">
        <f t="shared" si="15"/>
        <v>5</v>
      </c>
      <c r="DN175" s="180">
        <f t="shared" si="16"/>
        <v>25</v>
      </c>
      <c r="DO175" s="177">
        <v>0.0</v>
      </c>
      <c r="DP175" s="177">
        <v>0.0</v>
      </c>
      <c r="DQ175" s="177">
        <v>4.0</v>
      </c>
      <c r="DR175" s="177">
        <v>23.0</v>
      </c>
      <c r="DS175" s="177">
        <v>0.0</v>
      </c>
      <c r="DT175" s="177">
        <v>0.0</v>
      </c>
      <c r="DU175" s="177">
        <v>1.0</v>
      </c>
      <c r="DV175" s="177">
        <v>2.0</v>
      </c>
      <c r="DW175" s="177">
        <v>0.0</v>
      </c>
      <c r="DX175" s="177">
        <v>0.0</v>
      </c>
      <c r="DY175" s="177">
        <v>0.0</v>
      </c>
      <c r="DZ175" s="177">
        <v>0.0</v>
      </c>
      <c r="EA175" s="177">
        <v>0.0</v>
      </c>
      <c r="EB175" s="177">
        <v>0.0</v>
      </c>
      <c r="EC175" s="177">
        <v>0.0</v>
      </c>
      <c r="ED175" s="177">
        <v>0.0</v>
      </c>
      <c r="EE175" s="177">
        <v>0.0</v>
      </c>
      <c r="EF175" s="177">
        <v>0.0</v>
      </c>
      <c r="EG175" s="179">
        <f t="shared" si="17"/>
        <v>0</v>
      </c>
      <c r="EH175" s="179">
        <f t="shared" si="18"/>
        <v>0</v>
      </c>
      <c r="EI175" s="177">
        <v>1278.0</v>
      </c>
      <c r="EJ175" s="177">
        <v>476.0</v>
      </c>
      <c r="EK175" s="178">
        <v>1278.0</v>
      </c>
      <c r="EL175" s="178">
        <v>476.0</v>
      </c>
      <c r="EM175" s="185">
        <f t="shared" si="362"/>
        <v>34</v>
      </c>
      <c r="EN175" s="186">
        <f t="shared" si="202"/>
        <v>5</v>
      </c>
      <c r="EO175" s="186">
        <f t="shared" si="90"/>
        <v>29</v>
      </c>
      <c r="EP175" s="177">
        <v>0.0</v>
      </c>
      <c r="EQ175" s="177">
        <v>0.0</v>
      </c>
      <c r="ER175" s="177">
        <v>4.0</v>
      </c>
      <c r="ES175" s="177">
        <v>23.0</v>
      </c>
      <c r="ET175" s="177">
        <v>0.0</v>
      </c>
      <c r="EU175" s="177">
        <v>0.0</v>
      </c>
      <c r="EV175" s="177">
        <v>1.0</v>
      </c>
      <c r="EW175" s="177">
        <v>6.0</v>
      </c>
      <c r="EX175" s="177">
        <v>0.0</v>
      </c>
      <c r="EY175" s="177">
        <v>0.0</v>
      </c>
      <c r="EZ175" s="177">
        <v>0.0</v>
      </c>
      <c r="FA175" s="177">
        <v>4.0</v>
      </c>
      <c r="FB175" s="177">
        <v>0.0</v>
      </c>
      <c r="FC175" s="177">
        <v>0.0</v>
      </c>
      <c r="FD175" s="177">
        <v>0.0</v>
      </c>
      <c r="FE175" s="177">
        <v>0.0</v>
      </c>
      <c r="FF175" s="177">
        <v>0.0</v>
      </c>
      <c r="FG175" s="177">
        <v>0.0</v>
      </c>
      <c r="FH175" s="185">
        <f t="shared" si="22"/>
        <v>4</v>
      </c>
      <c r="FI175" s="185">
        <f t="shared" si="23"/>
        <v>0</v>
      </c>
      <c r="FJ175" s="177">
        <v>1277.0</v>
      </c>
      <c r="FK175" s="177">
        <v>268.0</v>
      </c>
      <c r="FL175" s="177">
        <v>1277.0</v>
      </c>
      <c r="FM175" s="177">
        <v>268.0</v>
      </c>
      <c r="FN175" s="180"/>
      <c r="FO175" s="180">
        <v>37.0</v>
      </c>
      <c r="FP175" s="188">
        <f t="shared" si="412"/>
        <v>37</v>
      </c>
      <c r="FQ175" s="211">
        <v>7.0</v>
      </c>
      <c r="FR175" s="212">
        <v>30.0</v>
      </c>
      <c r="FS175" s="206">
        <v>0.0</v>
      </c>
      <c r="FT175" s="207">
        <v>0.0</v>
      </c>
      <c r="FU175" s="207">
        <v>5.0</v>
      </c>
      <c r="FV175" s="207">
        <v>30.0</v>
      </c>
      <c r="FW175" s="207">
        <v>0.0</v>
      </c>
      <c r="FX175" s="207">
        <v>0.0</v>
      </c>
      <c r="FY175" s="207">
        <v>2.0</v>
      </c>
      <c r="FZ175" s="207">
        <v>0.0</v>
      </c>
      <c r="GA175" s="207">
        <v>0.0</v>
      </c>
      <c r="GB175" s="207">
        <v>0.0</v>
      </c>
      <c r="GC175" s="207">
        <v>0.0</v>
      </c>
      <c r="GD175" s="207">
        <v>0.0</v>
      </c>
      <c r="GE175" s="207">
        <v>0.0</v>
      </c>
      <c r="GF175" s="207">
        <v>0.0</v>
      </c>
      <c r="GG175" s="207">
        <v>0.0</v>
      </c>
      <c r="GH175" s="207">
        <v>2.0</v>
      </c>
      <c r="GI175" s="207">
        <v>0.0</v>
      </c>
      <c r="GJ175" s="207">
        <v>0.0</v>
      </c>
      <c r="GK175" s="212">
        <v>2.0</v>
      </c>
      <c r="GL175" s="212">
        <v>0.0</v>
      </c>
      <c r="GM175" s="207">
        <v>1268.0</v>
      </c>
      <c r="GN175" s="207">
        <v>455.0</v>
      </c>
      <c r="GO175" s="499">
        <v>1268.0</v>
      </c>
      <c r="GP175" s="499">
        <v>455.0</v>
      </c>
      <c r="GQ175" s="207"/>
      <c r="GR175" s="213">
        <v>35.0</v>
      </c>
      <c r="GS175" s="193">
        <v>5.0</v>
      </c>
      <c r="GT175" s="194">
        <f t="shared" si="25"/>
        <v>35</v>
      </c>
      <c r="GU175" s="194">
        <f t="shared" si="26"/>
        <v>5</v>
      </c>
      <c r="GV175" s="194">
        <f t="shared" si="27"/>
        <v>30</v>
      </c>
      <c r="GW175" s="207">
        <v>0.0</v>
      </c>
      <c r="GX175" s="207">
        <v>0.0</v>
      </c>
      <c r="GY175" s="207">
        <v>5.0</v>
      </c>
      <c r="GZ175" s="207">
        <v>29.0</v>
      </c>
      <c r="HA175" s="207">
        <v>0.0</v>
      </c>
      <c r="HB175" s="207">
        <v>0.0</v>
      </c>
      <c r="HC175" s="207">
        <v>0.0</v>
      </c>
      <c r="HD175" s="207">
        <v>1.0</v>
      </c>
      <c r="HE175" s="207">
        <v>0.0</v>
      </c>
      <c r="HF175" s="207">
        <v>0.0</v>
      </c>
      <c r="HG175" s="207">
        <v>1.0</v>
      </c>
      <c r="HH175" s="207">
        <v>2.0</v>
      </c>
      <c r="HI175" s="207">
        <v>0.0</v>
      </c>
      <c r="HJ175" s="207">
        <v>0.0</v>
      </c>
      <c r="HK175" s="207">
        <v>0.0</v>
      </c>
      <c r="HL175" s="207">
        <v>0.0</v>
      </c>
      <c r="HM175" s="207">
        <v>0.0</v>
      </c>
      <c r="HN175" s="207">
        <v>0.0</v>
      </c>
      <c r="HO175" s="222"/>
      <c r="HP175" s="222"/>
      <c r="HQ175" s="214"/>
      <c r="HR175" s="197"/>
      <c r="HS175" s="197"/>
      <c r="HT175" s="198">
        <f t="shared" si="28"/>
        <v>12</v>
      </c>
      <c r="HU175" s="198">
        <f t="shared" si="29"/>
        <v>49</v>
      </c>
      <c r="HV175" s="198">
        <f t="shared" si="30"/>
        <v>39</v>
      </c>
      <c r="HW175" s="198">
        <f t="shared" si="99"/>
        <v>37</v>
      </c>
      <c r="HX175" s="198">
        <f t="shared" si="32"/>
        <v>30</v>
      </c>
      <c r="HY175" s="198">
        <f t="shared" si="33"/>
        <v>39</v>
      </c>
      <c r="HZ175" s="198">
        <f t="shared" si="34"/>
        <v>22</v>
      </c>
      <c r="IA175" s="198">
        <f t="shared" si="35"/>
        <v>27</v>
      </c>
      <c r="IB175" s="198">
        <f t="shared" si="36"/>
        <v>30</v>
      </c>
      <c r="IC175" s="198">
        <f t="shared" si="37"/>
        <v>34</v>
      </c>
      <c r="ID175" s="198">
        <f t="shared" si="38"/>
        <v>37</v>
      </c>
      <c r="IE175" s="198">
        <f t="shared" si="39"/>
        <v>35</v>
      </c>
      <c r="IF175" s="197"/>
      <c r="IG175" s="197"/>
      <c r="IH175" s="197"/>
      <c r="II175" s="197"/>
      <c r="IJ175" s="197"/>
      <c r="IK175" s="197"/>
      <c r="IL175" s="197"/>
      <c r="IM175" s="197"/>
      <c r="IN175" s="197"/>
      <c r="IO175" s="197"/>
      <c r="IP175" s="197"/>
      <c r="IQ175" s="197"/>
      <c r="IR175" s="197"/>
      <c r="IS175" s="197"/>
      <c r="IT175" s="197"/>
      <c r="IU175" s="197"/>
      <c r="IV175" s="197"/>
      <c r="IW175" s="197"/>
      <c r="IX175" s="197"/>
      <c r="IY175" s="197"/>
      <c r="IZ175" s="197"/>
      <c r="JA175" s="199"/>
      <c r="JB175" s="200">
        <f t="shared" si="40"/>
        <v>12</v>
      </c>
      <c r="JC175" s="200">
        <f t="shared" si="41"/>
        <v>49</v>
      </c>
      <c r="JD175" s="200">
        <f t="shared" si="42"/>
        <v>39</v>
      </c>
      <c r="JE175" s="200">
        <f t="shared" si="43"/>
        <v>37</v>
      </c>
      <c r="JF175" s="200">
        <f t="shared" si="44"/>
        <v>30</v>
      </c>
      <c r="JG175" s="200">
        <f t="shared" si="45"/>
        <v>39</v>
      </c>
      <c r="JH175" s="200">
        <f t="shared" si="46"/>
        <v>22</v>
      </c>
      <c r="JI175" s="200">
        <f t="shared" si="47"/>
        <v>27</v>
      </c>
      <c r="JJ175" s="200">
        <f t="shared" si="48"/>
        <v>30</v>
      </c>
      <c r="JK175" s="200">
        <f t="shared" si="49"/>
        <v>38</v>
      </c>
      <c r="JL175" s="200">
        <f t="shared" si="50"/>
        <v>37</v>
      </c>
      <c r="JM175" s="200">
        <f t="shared" si="51"/>
        <v>35</v>
      </c>
      <c r="JN175" s="199"/>
      <c r="JO175" s="200">
        <f t="shared" si="52"/>
        <v>12</v>
      </c>
      <c r="JP175" s="202">
        <v>49.0</v>
      </c>
      <c r="JQ175" s="202">
        <v>39.0</v>
      </c>
      <c r="JR175" s="202">
        <v>37.0</v>
      </c>
      <c r="JS175" s="202">
        <v>30.0</v>
      </c>
      <c r="JT175" s="199"/>
      <c r="JU175" s="199"/>
      <c r="JV175" s="200">
        <f t="shared" ref="JV175:JX175" si="428">IA175-JI175</f>
        <v>0</v>
      </c>
      <c r="JW175" s="200">
        <f t="shared" si="428"/>
        <v>0</v>
      </c>
      <c r="JX175" s="200">
        <f t="shared" si="428"/>
        <v>-4</v>
      </c>
      <c r="JY175" s="199"/>
      <c r="JZ175" s="199"/>
      <c r="KA175" s="199"/>
      <c r="KB175" s="200">
        <f t="shared" ref="KB175:KM175" si="429">JB175-JO175</f>
        <v>0</v>
      </c>
      <c r="KC175" s="200">
        <f t="shared" si="429"/>
        <v>0</v>
      </c>
      <c r="KD175" s="200">
        <f t="shared" si="429"/>
        <v>0</v>
      </c>
      <c r="KE175" s="200">
        <f t="shared" si="429"/>
        <v>0</v>
      </c>
      <c r="KF175" s="200">
        <f t="shared" si="429"/>
        <v>0</v>
      </c>
      <c r="KG175" s="200">
        <f t="shared" si="429"/>
        <v>39</v>
      </c>
      <c r="KH175" s="200">
        <f t="shared" si="429"/>
        <v>22</v>
      </c>
      <c r="KI175" s="200">
        <f t="shared" si="429"/>
        <v>27</v>
      </c>
      <c r="KJ175" s="200">
        <f t="shared" si="429"/>
        <v>30</v>
      </c>
      <c r="KK175" s="200">
        <f t="shared" si="429"/>
        <v>42</v>
      </c>
      <c r="KL175" s="200">
        <f t="shared" si="429"/>
        <v>37</v>
      </c>
      <c r="KM175" s="200">
        <f t="shared" si="429"/>
        <v>35</v>
      </c>
      <c r="KN175" s="199"/>
      <c r="KO175" s="199"/>
      <c r="KP175" s="199"/>
      <c r="KQ175" s="199"/>
      <c r="KR175" s="199"/>
      <c r="KS175" s="199"/>
      <c r="KT175" s="199"/>
      <c r="KU175" s="199"/>
      <c r="KV175" s="199"/>
      <c r="KW175" s="199"/>
      <c r="KX175" s="199"/>
      <c r="KY175" s="199"/>
      <c r="KZ175" s="199"/>
      <c r="LA175" s="199"/>
      <c r="LB175" s="199"/>
      <c r="LC175" s="199"/>
      <c r="LD175" s="199"/>
      <c r="LE175" s="199"/>
      <c r="LF175" s="199"/>
      <c r="LG175" s="199"/>
    </row>
    <row r="176" ht="14.25" customHeight="1">
      <c r="A176" s="156">
        <v>169.0</v>
      </c>
      <c r="B176" s="497" t="s">
        <v>277</v>
      </c>
      <c r="C176" s="498">
        <v>3374160.0</v>
      </c>
      <c r="D176" s="498" t="s">
        <v>286</v>
      </c>
      <c r="E176" s="498" t="s">
        <v>288</v>
      </c>
      <c r="F176" s="159">
        <v>27.0</v>
      </c>
      <c r="G176" s="285">
        <v>1553.0</v>
      </c>
      <c r="H176" s="160">
        <v>9.0</v>
      </c>
      <c r="I176" s="161">
        <v>0.0</v>
      </c>
      <c r="J176" s="161">
        <v>0.0</v>
      </c>
      <c r="K176" s="161">
        <v>2.0</v>
      </c>
      <c r="L176" s="164">
        <v>7.0</v>
      </c>
      <c r="M176" s="164">
        <v>0.0</v>
      </c>
      <c r="N176" s="164">
        <v>0.0</v>
      </c>
      <c r="O176" s="166">
        <f t="shared" si="369"/>
        <v>9</v>
      </c>
      <c r="P176" s="203">
        <v>81.0</v>
      </c>
      <c r="Q176" s="491">
        <v>5.0</v>
      </c>
      <c r="R176" s="491">
        <v>5.0</v>
      </c>
      <c r="S176" s="491">
        <v>12.0</v>
      </c>
      <c r="T176" s="259">
        <v>59.0</v>
      </c>
      <c r="U176" s="165">
        <v>72.0</v>
      </c>
      <c r="V176" s="165">
        <v>0.0</v>
      </c>
      <c r="W176" s="166">
        <f t="shared" si="225"/>
        <v>9</v>
      </c>
      <c r="X176" s="203">
        <v>65.0</v>
      </c>
      <c r="Y176" s="164">
        <v>4.0</v>
      </c>
      <c r="Z176" s="164">
        <v>4.0</v>
      </c>
      <c r="AA176" s="164">
        <v>10.0</v>
      </c>
      <c r="AB176" s="165">
        <v>47.0</v>
      </c>
      <c r="AC176" s="165">
        <v>0.0</v>
      </c>
      <c r="AD176" s="165">
        <v>16.0</v>
      </c>
      <c r="AE176" s="166">
        <f t="shared" si="214"/>
        <v>49</v>
      </c>
      <c r="AF176" s="167">
        <v>36.0</v>
      </c>
      <c r="AG176" s="165">
        <v>1.0</v>
      </c>
      <c r="AH176" s="165">
        <v>2.0</v>
      </c>
      <c r="AI176" s="165">
        <v>6.0</v>
      </c>
      <c r="AJ176" s="165">
        <v>27.0</v>
      </c>
      <c r="AK176" s="165">
        <v>0.0</v>
      </c>
      <c r="AL176" s="165">
        <v>3.0</v>
      </c>
      <c r="AM176" s="166">
        <f t="shared" si="370"/>
        <v>33</v>
      </c>
      <c r="AN176" s="167">
        <v>33.0</v>
      </c>
      <c r="AO176" s="165">
        <v>1.0</v>
      </c>
      <c r="AP176" s="165">
        <v>1.0</v>
      </c>
      <c r="AQ176" s="165">
        <v>4.0</v>
      </c>
      <c r="AR176" s="165">
        <v>27.0</v>
      </c>
      <c r="AS176" s="165">
        <v>0.0</v>
      </c>
      <c r="AT176" s="165">
        <v>0.0</v>
      </c>
      <c r="AU176" s="168">
        <f t="shared" si="375"/>
        <v>33</v>
      </c>
      <c r="AV176" s="169">
        <v>1568.0</v>
      </c>
      <c r="AW176" s="204">
        <f t="shared" si="8"/>
        <v>29</v>
      </c>
      <c r="AX176" s="169">
        <v>1.0</v>
      </c>
      <c r="AY176" s="169">
        <v>0.0</v>
      </c>
      <c r="AZ176" s="169">
        <v>6.0</v>
      </c>
      <c r="BA176" s="169">
        <v>22.0</v>
      </c>
      <c r="BB176" s="169">
        <v>0.0</v>
      </c>
      <c r="BC176" s="169">
        <v>0.0</v>
      </c>
      <c r="BD176" s="169">
        <v>0.0</v>
      </c>
      <c r="BE176" s="169">
        <v>0.0</v>
      </c>
      <c r="BF176" s="169">
        <v>0.0</v>
      </c>
      <c r="BG176" s="169">
        <v>0.0</v>
      </c>
      <c r="BH176" s="169">
        <v>0.0</v>
      </c>
      <c r="BI176" s="169">
        <v>4.0</v>
      </c>
      <c r="BJ176" s="169">
        <v>0.0</v>
      </c>
      <c r="BK176" s="169">
        <v>0.0</v>
      </c>
      <c r="BL176" s="169">
        <v>0.0</v>
      </c>
      <c r="BM176" s="169">
        <v>0.0</v>
      </c>
      <c r="BN176" s="169">
        <v>0.0</v>
      </c>
      <c r="BO176" s="169">
        <v>0.0</v>
      </c>
      <c r="BP176" s="205">
        <f t="shared" si="423"/>
        <v>4</v>
      </c>
      <c r="BQ176" s="173">
        <v>1546.0</v>
      </c>
      <c r="BR176" s="170">
        <f t="shared" si="10"/>
        <v>19</v>
      </c>
      <c r="BS176" s="173">
        <v>0.0</v>
      </c>
      <c r="BT176" s="173">
        <v>0.0</v>
      </c>
      <c r="BU176" s="173">
        <v>4.0</v>
      </c>
      <c r="BV176" s="173">
        <v>15.0</v>
      </c>
      <c r="BW176" s="173">
        <v>0.0</v>
      </c>
      <c r="BX176" s="173">
        <v>0.0</v>
      </c>
      <c r="BY176" s="173">
        <v>0.0</v>
      </c>
      <c r="BZ176" s="173">
        <v>0.0</v>
      </c>
      <c r="CA176" s="173">
        <v>1.0</v>
      </c>
      <c r="CB176" s="173">
        <v>0.0</v>
      </c>
      <c r="CC176" s="173">
        <v>1.0</v>
      </c>
      <c r="CD176" s="173">
        <v>5.0</v>
      </c>
      <c r="CE176" s="173">
        <v>0.0</v>
      </c>
      <c r="CF176" s="173">
        <v>0.0</v>
      </c>
      <c r="CG176" s="173">
        <v>1.0</v>
      </c>
      <c r="CH176" s="173">
        <v>2.0</v>
      </c>
      <c r="CI176" s="173">
        <v>0.0</v>
      </c>
      <c r="CJ176" s="173">
        <v>0.0</v>
      </c>
      <c r="CK176" s="172">
        <f t="shared" si="132"/>
        <v>10</v>
      </c>
      <c r="CL176" s="173">
        <v>1541.0</v>
      </c>
      <c r="CM176" s="173">
        <v>469.0</v>
      </c>
      <c r="CN176" s="175">
        <f t="shared" si="295"/>
        <v>21</v>
      </c>
      <c r="CO176" s="173">
        <v>0.0</v>
      </c>
      <c r="CP176" s="173">
        <v>0.0</v>
      </c>
      <c r="CQ176" s="173">
        <v>4.0</v>
      </c>
      <c r="CR176" s="173">
        <v>15.0</v>
      </c>
      <c r="CS176" s="173">
        <v>0.0</v>
      </c>
      <c r="CT176" s="173">
        <v>0.0</v>
      </c>
      <c r="CU176" s="173">
        <v>2.0</v>
      </c>
      <c r="CV176" s="173">
        <v>0.0</v>
      </c>
      <c r="CW176" s="173">
        <v>0.0</v>
      </c>
      <c r="CX176" s="173">
        <v>0.0</v>
      </c>
      <c r="CY176" s="173">
        <v>0.0</v>
      </c>
      <c r="CZ176" s="173">
        <v>0.0</v>
      </c>
      <c r="DA176" s="173">
        <v>0.0</v>
      </c>
      <c r="DB176" s="173">
        <v>0.0</v>
      </c>
      <c r="DC176" s="173">
        <v>0.0</v>
      </c>
      <c r="DD176" s="173">
        <v>0.0</v>
      </c>
      <c r="DE176" s="173">
        <v>0.0</v>
      </c>
      <c r="DF176" s="173">
        <v>0.0</v>
      </c>
      <c r="DG176" s="176">
        <f t="shared" si="13"/>
        <v>0</v>
      </c>
      <c r="DH176" s="177">
        <v>1359.0</v>
      </c>
      <c r="DI176" s="177">
        <v>453.0</v>
      </c>
      <c r="DJ176" s="178">
        <v>1359.0</v>
      </c>
      <c r="DK176" s="178">
        <v>453.0</v>
      </c>
      <c r="DL176" s="179">
        <f t="shared" si="14"/>
        <v>31</v>
      </c>
      <c r="DM176" s="180">
        <f t="shared" si="15"/>
        <v>10</v>
      </c>
      <c r="DN176" s="180">
        <f t="shared" si="16"/>
        <v>21</v>
      </c>
      <c r="DO176" s="177">
        <v>0.0</v>
      </c>
      <c r="DP176" s="177">
        <v>0.0</v>
      </c>
      <c r="DQ176" s="177">
        <v>6.0</v>
      </c>
      <c r="DR176" s="177">
        <v>15.0</v>
      </c>
      <c r="DS176" s="177">
        <v>0.0</v>
      </c>
      <c r="DT176" s="177">
        <v>0.0</v>
      </c>
      <c r="DU176" s="177">
        <v>4.0</v>
      </c>
      <c r="DV176" s="177">
        <v>6.0</v>
      </c>
      <c r="DW176" s="177">
        <v>0.0</v>
      </c>
      <c r="DX176" s="177">
        <v>0.0</v>
      </c>
      <c r="DY176" s="177">
        <v>0.0</v>
      </c>
      <c r="DZ176" s="177">
        <v>1.0</v>
      </c>
      <c r="EA176" s="177">
        <v>0.0</v>
      </c>
      <c r="EB176" s="177">
        <v>0.0</v>
      </c>
      <c r="EC176" s="177">
        <v>0.0</v>
      </c>
      <c r="ED176" s="177">
        <v>0.0</v>
      </c>
      <c r="EE176" s="177">
        <v>0.0</v>
      </c>
      <c r="EF176" s="177">
        <v>0.0</v>
      </c>
      <c r="EG176" s="179">
        <f t="shared" si="17"/>
        <v>1</v>
      </c>
      <c r="EH176" s="179">
        <f t="shared" si="18"/>
        <v>0</v>
      </c>
      <c r="EI176" s="177">
        <v>1425.0</v>
      </c>
      <c r="EJ176" s="177">
        <v>503.0</v>
      </c>
      <c r="EK176" s="178">
        <v>1425.0</v>
      </c>
      <c r="EL176" s="178">
        <v>503.0</v>
      </c>
      <c r="EM176" s="185">
        <f t="shared" si="362"/>
        <v>33</v>
      </c>
      <c r="EN176" s="186">
        <f t="shared" si="202"/>
        <v>10</v>
      </c>
      <c r="EO176" s="186">
        <f t="shared" si="90"/>
        <v>23</v>
      </c>
      <c r="EP176" s="177">
        <v>0.0</v>
      </c>
      <c r="EQ176" s="177">
        <v>2.0</v>
      </c>
      <c r="ER176" s="177">
        <v>7.0</v>
      </c>
      <c r="ES176" s="177">
        <v>20.0</v>
      </c>
      <c r="ET176" s="177">
        <v>0.0</v>
      </c>
      <c r="EU176" s="177">
        <v>0.0</v>
      </c>
      <c r="EV176" s="177">
        <v>1.0</v>
      </c>
      <c r="EW176" s="177">
        <v>3.0</v>
      </c>
      <c r="EX176" s="177">
        <v>0.0</v>
      </c>
      <c r="EY176" s="177">
        <v>0.0</v>
      </c>
      <c r="EZ176" s="177">
        <v>0.0</v>
      </c>
      <c r="FA176" s="177">
        <v>1.0</v>
      </c>
      <c r="FB176" s="177">
        <v>0.0</v>
      </c>
      <c r="FC176" s="177">
        <v>0.0</v>
      </c>
      <c r="FD176" s="177">
        <v>0.0</v>
      </c>
      <c r="FE176" s="177">
        <v>0.0</v>
      </c>
      <c r="FF176" s="177">
        <v>0.0</v>
      </c>
      <c r="FG176" s="177">
        <v>0.0</v>
      </c>
      <c r="FH176" s="185">
        <f t="shared" si="22"/>
        <v>1</v>
      </c>
      <c r="FI176" s="185">
        <f t="shared" si="23"/>
        <v>0</v>
      </c>
      <c r="FJ176" s="177">
        <v>1428.0</v>
      </c>
      <c r="FK176" s="177">
        <v>290.0</v>
      </c>
      <c r="FL176" s="177">
        <v>1428.0</v>
      </c>
      <c r="FM176" s="177">
        <v>290.0</v>
      </c>
      <c r="FN176" s="180"/>
      <c r="FO176" s="180">
        <v>37.0</v>
      </c>
      <c r="FP176" s="188">
        <f t="shared" si="412"/>
        <v>37</v>
      </c>
      <c r="FQ176" s="211">
        <v>11.0</v>
      </c>
      <c r="FR176" s="212">
        <v>26.0</v>
      </c>
      <c r="FS176" s="206">
        <v>0.0</v>
      </c>
      <c r="FT176" s="207">
        <v>2.0</v>
      </c>
      <c r="FU176" s="207">
        <v>8.0</v>
      </c>
      <c r="FV176" s="207">
        <v>24.0</v>
      </c>
      <c r="FW176" s="207">
        <v>0.0</v>
      </c>
      <c r="FX176" s="207">
        <v>0.0</v>
      </c>
      <c r="FY176" s="207">
        <v>1.0</v>
      </c>
      <c r="FZ176" s="207">
        <v>2.0</v>
      </c>
      <c r="GA176" s="207">
        <v>0.0</v>
      </c>
      <c r="GB176" s="207">
        <v>0.0</v>
      </c>
      <c r="GC176" s="207">
        <v>0.0</v>
      </c>
      <c r="GD176" s="207">
        <v>0.0</v>
      </c>
      <c r="GE176" s="207">
        <v>0.0</v>
      </c>
      <c r="GF176" s="207">
        <v>0.0</v>
      </c>
      <c r="GG176" s="207">
        <v>0.0</v>
      </c>
      <c r="GH176" s="207">
        <v>0.0</v>
      </c>
      <c r="GI176" s="207">
        <v>0.0</v>
      </c>
      <c r="GJ176" s="207">
        <v>0.0</v>
      </c>
      <c r="GK176" s="212">
        <v>0.0</v>
      </c>
      <c r="GL176" s="212">
        <v>0.0</v>
      </c>
      <c r="GM176" s="207">
        <v>1467.0</v>
      </c>
      <c r="GN176" s="207">
        <v>529.0</v>
      </c>
      <c r="GO176" s="499">
        <v>1467.0</v>
      </c>
      <c r="GP176" s="499">
        <v>529.0</v>
      </c>
      <c r="GQ176" s="207"/>
      <c r="GR176" s="213">
        <v>43.0</v>
      </c>
      <c r="GS176" s="193">
        <v>11.0</v>
      </c>
      <c r="GT176" s="194">
        <f t="shared" si="25"/>
        <v>43</v>
      </c>
      <c r="GU176" s="194">
        <f t="shared" si="26"/>
        <v>11</v>
      </c>
      <c r="GV176" s="194">
        <f t="shared" si="27"/>
        <v>32</v>
      </c>
      <c r="GW176" s="207">
        <v>0.0</v>
      </c>
      <c r="GX176" s="207">
        <v>0.0</v>
      </c>
      <c r="GY176" s="207">
        <v>10.0</v>
      </c>
      <c r="GZ176" s="207">
        <v>24.0</v>
      </c>
      <c r="HA176" s="207">
        <v>0.0</v>
      </c>
      <c r="HB176" s="207">
        <v>0.0</v>
      </c>
      <c r="HC176" s="207">
        <v>1.0</v>
      </c>
      <c r="HD176" s="207">
        <v>8.0</v>
      </c>
      <c r="HE176" s="207">
        <v>0.0</v>
      </c>
      <c r="HF176" s="207">
        <v>0.0</v>
      </c>
      <c r="HG176" s="207">
        <v>0.0</v>
      </c>
      <c r="HH176" s="207">
        <v>3.0</v>
      </c>
      <c r="HI176" s="207">
        <v>0.0</v>
      </c>
      <c r="HJ176" s="207">
        <v>0.0</v>
      </c>
      <c r="HK176" s="207">
        <v>0.0</v>
      </c>
      <c r="HL176" s="207">
        <v>0.0</v>
      </c>
      <c r="HM176" s="207">
        <v>0.0</v>
      </c>
      <c r="HN176" s="207">
        <v>0.0</v>
      </c>
      <c r="HO176" s="222"/>
      <c r="HP176" s="222"/>
      <c r="HQ176" s="214"/>
      <c r="HR176" s="197"/>
      <c r="HS176" s="197"/>
      <c r="HT176" s="198">
        <f t="shared" si="28"/>
        <v>9</v>
      </c>
      <c r="HU176" s="198">
        <f t="shared" si="29"/>
        <v>81</v>
      </c>
      <c r="HV176" s="198">
        <f t="shared" si="30"/>
        <v>65</v>
      </c>
      <c r="HW176" s="198">
        <f t="shared" si="99"/>
        <v>36</v>
      </c>
      <c r="HX176" s="198">
        <f t="shared" si="32"/>
        <v>33</v>
      </c>
      <c r="HY176" s="198">
        <f t="shared" si="33"/>
        <v>29</v>
      </c>
      <c r="HZ176" s="198">
        <f t="shared" si="34"/>
        <v>19</v>
      </c>
      <c r="IA176" s="198">
        <f t="shared" si="35"/>
        <v>21</v>
      </c>
      <c r="IB176" s="198">
        <f t="shared" si="36"/>
        <v>31</v>
      </c>
      <c r="IC176" s="198">
        <f t="shared" si="37"/>
        <v>33</v>
      </c>
      <c r="ID176" s="198">
        <f t="shared" si="38"/>
        <v>37</v>
      </c>
      <c r="IE176" s="198">
        <f t="shared" si="39"/>
        <v>43</v>
      </c>
      <c r="IF176" s="197"/>
      <c r="IG176" s="197"/>
      <c r="IH176" s="197"/>
      <c r="II176" s="197"/>
      <c r="IJ176" s="197"/>
      <c r="IK176" s="197"/>
      <c r="IL176" s="197"/>
      <c r="IM176" s="197"/>
      <c r="IN176" s="197"/>
      <c r="IO176" s="197"/>
      <c r="IP176" s="197"/>
      <c r="IQ176" s="197"/>
      <c r="IR176" s="197"/>
      <c r="IS176" s="197"/>
      <c r="IT176" s="197"/>
      <c r="IU176" s="197"/>
      <c r="IV176" s="197"/>
      <c r="IW176" s="197"/>
      <c r="IX176" s="197"/>
      <c r="IY176" s="197"/>
      <c r="IZ176" s="197"/>
      <c r="JA176" s="199"/>
      <c r="JB176" s="200">
        <f t="shared" si="40"/>
        <v>9</v>
      </c>
      <c r="JC176" s="200">
        <f t="shared" si="41"/>
        <v>81</v>
      </c>
      <c r="JD176" s="200">
        <f t="shared" si="42"/>
        <v>65</v>
      </c>
      <c r="JE176" s="200">
        <f t="shared" si="43"/>
        <v>36</v>
      </c>
      <c r="JF176" s="200">
        <f t="shared" si="44"/>
        <v>33</v>
      </c>
      <c r="JG176" s="200">
        <f t="shared" si="45"/>
        <v>29</v>
      </c>
      <c r="JH176" s="200">
        <f t="shared" si="46"/>
        <v>19</v>
      </c>
      <c r="JI176" s="200">
        <f t="shared" si="47"/>
        <v>21</v>
      </c>
      <c r="JJ176" s="200">
        <f t="shared" si="48"/>
        <v>31</v>
      </c>
      <c r="JK176" s="200">
        <f t="shared" si="49"/>
        <v>34</v>
      </c>
      <c r="JL176" s="200">
        <f t="shared" si="50"/>
        <v>37</v>
      </c>
      <c r="JM176" s="200">
        <f t="shared" si="51"/>
        <v>43</v>
      </c>
      <c r="JN176" s="199"/>
      <c r="JO176" s="200">
        <f t="shared" si="52"/>
        <v>9</v>
      </c>
      <c r="JP176" s="202">
        <v>81.0</v>
      </c>
      <c r="JQ176" s="202">
        <v>65.0</v>
      </c>
      <c r="JR176" s="202">
        <v>36.0</v>
      </c>
      <c r="JS176" s="202">
        <v>33.0</v>
      </c>
      <c r="JT176" s="199"/>
      <c r="JU176" s="199"/>
      <c r="JV176" s="200">
        <f t="shared" ref="JV176:JX176" si="430">IA176-JI176</f>
        <v>0</v>
      </c>
      <c r="JW176" s="200">
        <f t="shared" si="430"/>
        <v>0</v>
      </c>
      <c r="JX176" s="200">
        <f t="shared" si="430"/>
        <v>-1</v>
      </c>
      <c r="JY176" s="199"/>
      <c r="JZ176" s="199"/>
      <c r="KA176" s="199"/>
      <c r="KB176" s="200">
        <f t="shared" ref="KB176:KM176" si="431">JB176-JO176</f>
        <v>0</v>
      </c>
      <c r="KC176" s="200">
        <f t="shared" si="431"/>
        <v>0</v>
      </c>
      <c r="KD176" s="200">
        <f t="shared" si="431"/>
        <v>0</v>
      </c>
      <c r="KE176" s="200">
        <f t="shared" si="431"/>
        <v>0</v>
      </c>
      <c r="KF176" s="200">
        <f t="shared" si="431"/>
        <v>0</v>
      </c>
      <c r="KG176" s="200">
        <f t="shared" si="431"/>
        <v>29</v>
      </c>
      <c r="KH176" s="200">
        <f t="shared" si="431"/>
        <v>19</v>
      </c>
      <c r="KI176" s="200">
        <f t="shared" si="431"/>
        <v>21</v>
      </c>
      <c r="KJ176" s="200">
        <f t="shared" si="431"/>
        <v>31</v>
      </c>
      <c r="KK176" s="200">
        <f t="shared" si="431"/>
        <v>35</v>
      </c>
      <c r="KL176" s="200">
        <f t="shared" si="431"/>
        <v>37</v>
      </c>
      <c r="KM176" s="200">
        <f t="shared" si="431"/>
        <v>43</v>
      </c>
      <c r="KN176" s="199"/>
      <c r="KO176" s="199"/>
      <c r="KP176" s="199"/>
      <c r="KQ176" s="199"/>
      <c r="KR176" s="199"/>
      <c r="KS176" s="199"/>
      <c r="KT176" s="199"/>
      <c r="KU176" s="199"/>
      <c r="KV176" s="199"/>
      <c r="KW176" s="199"/>
      <c r="KX176" s="199"/>
      <c r="KY176" s="199"/>
      <c r="KZ176" s="199"/>
      <c r="LA176" s="199"/>
      <c r="LB176" s="199"/>
      <c r="LC176" s="199"/>
      <c r="LD176" s="199"/>
      <c r="LE176" s="199"/>
      <c r="LF176" s="199"/>
      <c r="LG176" s="199"/>
    </row>
    <row r="177" ht="14.25" customHeight="1">
      <c r="A177" s="156">
        <v>170.0</v>
      </c>
      <c r="B177" s="492" t="s">
        <v>277</v>
      </c>
      <c r="C177" s="493">
        <v>3374160.0</v>
      </c>
      <c r="D177" s="493" t="s">
        <v>277</v>
      </c>
      <c r="E177" s="493" t="s">
        <v>289</v>
      </c>
      <c r="F177" s="159">
        <v>7.0</v>
      </c>
      <c r="G177" s="285">
        <v>508.0</v>
      </c>
      <c r="H177" s="160">
        <v>2.0</v>
      </c>
      <c r="I177" s="161">
        <v>0.0</v>
      </c>
      <c r="J177" s="161">
        <v>0.0</v>
      </c>
      <c r="K177" s="161">
        <v>1.0</v>
      </c>
      <c r="L177" s="164">
        <v>1.0</v>
      </c>
      <c r="M177" s="164">
        <v>0.0</v>
      </c>
      <c r="N177" s="164">
        <v>0.0</v>
      </c>
      <c r="O177" s="166">
        <f t="shared" si="369"/>
        <v>2</v>
      </c>
      <c r="P177" s="203">
        <v>2.0</v>
      </c>
      <c r="Q177" s="491">
        <v>0.0</v>
      </c>
      <c r="R177" s="491">
        <v>0.0</v>
      </c>
      <c r="S177" s="491">
        <v>1.0</v>
      </c>
      <c r="T177" s="491">
        <v>1.0</v>
      </c>
      <c r="U177" s="164">
        <v>0.0</v>
      </c>
      <c r="V177" s="165">
        <v>0.0</v>
      </c>
      <c r="W177" s="166">
        <f t="shared" si="225"/>
        <v>2</v>
      </c>
      <c r="X177" s="203">
        <v>2.0</v>
      </c>
      <c r="Y177" s="491">
        <v>0.0</v>
      </c>
      <c r="Z177" s="491">
        <v>0.0</v>
      </c>
      <c r="AA177" s="491">
        <v>1.0</v>
      </c>
      <c r="AB177" s="491">
        <v>1.0</v>
      </c>
      <c r="AC177" s="165">
        <v>0.0</v>
      </c>
      <c r="AD177" s="165">
        <v>0.0</v>
      </c>
      <c r="AE177" s="166">
        <f t="shared" si="214"/>
        <v>2</v>
      </c>
      <c r="AF177" s="167">
        <v>2.0</v>
      </c>
      <c r="AG177" s="165">
        <v>0.0</v>
      </c>
      <c r="AH177" s="165">
        <v>0.0</v>
      </c>
      <c r="AI177" s="165">
        <v>1.0</v>
      </c>
      <c r="AJ177" s="165">
        <v>1.0</v>
      </c>
      <c r="AK177" s="165">
        <v>0.0</v>
      </c>
      <c r="AL177" s="165">
        <v>0.0</v>
      </c>
      <c r="AM177" s="166">
        <f t="shared" si="370"/>
        <v>2</v>
      </c>
      <c r="AN177" s="167">
        <v>2.0</v>
      </c>
      <c r="AO177" s="165">
        <v>0.0</v>
      </c>
      <c r="AP177" s="165">
        <v>0.0</v>
      </c>
      <c r="AQ177" s="165">
        <v>1.0</v>
      </c>
      <c r="AR177" s="165">
        <v>1.0</v>
      </c>
      <c r="AS177" s="165">
        <v>0.0</v>
      </c>
      <c r="AT177" s="165">
        <v>0.0</v>
      </c>
      <c r="AU177" s="168">
        <f t="shared" si="375"/>
        <v>2</v>
      </c>
      <c r="AV177" s="169">
        <v>561.0</v>
      </c>
      <c r="AW177" s="204">
        <f t="shared" si="8"/>
        <v>1</v>
      </c>
      <c r="AX177" s="169">
        <v>0.0</v>
      </c>
      <c r="AY177" s="169">
        <v>0.0</v>
      </c>
      <c r="AZ177" s="169">
        <v>1.0</v>
      </c>
      <c r="BA177" s="169">
        <v>0.0</v>
      </c>
      <c r="BB177" s="169">
        <v>0.0</v>
      </c>
      <c r="BC177" s="169">
        <v>0.0</v>
      </c>
      <c r="BD177" s="169">
        <v>0.0</v>
      </c>
      <c r="BE177" s="169">
        <v>0.0</v>
      </c>
      <c r="BF177" s="169">
        <v>0.0</v>
      </c>
      <c r="BG177" s="169">
        <v>0.0</v>
      </c>
      <c r="BH177" s="169">
        <v>0.0</v>
      </c>
      <c r="BI177" s="169">
        <v>1.0</v>
      </c>
      <c r="BJ177" s="169">
        <v>0.0</v>
      </c>
      <c r="BK177" s="169">
        <v>0.0</v>
      </c>
      <c r="BL177" s="169">
        <v>0.0</v>
      </c>
      <c r="BM177" s="169">
        <v>0.0</v>
      </c>
      <c r="BN177" s="169">
        <v>0.0</v>
      </c>
      <c r="BO177" s="169">
        <v>0.0</v>
      </c>
      <c r="BP177" s="205">
        <f t="shared" si="423"/>
        <v>1</v>
      </c>
      <c r="BQ177" s="173">
        <v>563.0</v>
      </c>
      <c r="BR177" s="204">
        <f t="shared" si="10"/>
        <v>1</v>
      </c>
      <c r="BS177" s="169">
        <v>0.0</v>
      </c>
      <c r="BT177" s="169">
        <v>0.0</v>
      </c>
      <c r="BU177" s="169">
        <v>1.0</v>
      </c>
      <c r="BV177" s="169">
        <v>0.0</v>
      </c>
      <c r="BW177" s="173">
        <v>0.0</v>
      </c>
      <c r="BX177" s="173">
        <v>0.0</v>
      </c>
      <c r="BY177" s="173">
        <v>0.0</v>
      </c>
      <c r="BZ177" s="173">
        <v>0.0</v>
      </c>
      <c r="CA177" s="173">
        <v>0.0</v>
      </c>
      <c r="CB177" s="173">
        <v>0.0</v>
      </c>
      <c r="CC177" s="173">
        <v>0.0</v>
      </c>
      <c r="CD177" s="173">
        <v>0.0</v>
      </c>
      <c r="CE177" s="173">
        <v>0.0</v>
      </c>
      <c r="CF177" s="173">
        <v>0.0</v>
      </c>
      <c r="CG177" s="173">
        <v>0.0</v>
      </c>
      <c r="CH177" s="173">
        <v>0.0</v>
      </c>
      <c r="CI177" s="173">
        <v>0.0</v>
      </c>
      <c r="CJ177" s="173">
        <v>0.0</v>
      </c>
      <c r="CK177" s="172">
        <f t="shared" si="132"/>
        <v>0</v>
      </c>
      <c r="CL177" s="173">
        <v>533.0</v>
      </c>
      <c r="CM177" s="173">
        <v>162.0</v>
      </c>
      <c r="CN177" s="175">
        <f t="shared" si="295"/>
        <v>1</v>
      </c>
      <c r="CO177" s="173">
        <v>0.0</v>
      </c>
      <c r="CP177" s="173">
        <v>0.0</v>
      </c>
      <c r="CQ177" s="173">
        <v>1.0</v>
      </c>
      <c r="CR177" s="173">
        <v>0.0</v>
      </c>
      <c r="CS177" s="173">
        <v>0.0</v>
      </c>
      <c r="CT177" s="173">
        <v>0.0</v>
      </c>
      <c r="CU177" s="173">
        <v>0.0</v>
      </c>
      <c r="CV177" s="173">
        <v>0.0</v>
      </c>
      <c r="CW177" s="173">
        <v>0.0</v>
      </c>
      <c r="CX177" s="173">
        <v>0.0</v>
      </c>
      <c r="CY177" s="173">
        <v>0.0</v>
      </c>
      <c r="CZ177" s="173">
        <v>0.0</v>
      </c>
      <c r="DA177" s="173">
        <v>0.0</v>
      </c>
      <c r="DB177" s="173">
        <v>0.0</v>
      </c>
      <c r="DC177" s="173">
        <v>0.0</v>
      </c>
      <c r="DD177" s="173">
        <v>0.0</v>
      </c>
      <c r="DE177" s="173">
        <v>0.0</v>
      </c>
      <c r="DF177" s="173">
        <v>0.0</v>
      </c>
      <c r="DG177" s="176">
        <f t="shared" si="13"/>
        <v>0</v>
      </c>
      <c r="DH177" s="177">
        <v>484.0</v>
      </c>
      <c r="DI177" s="177">
        <v>144.0</v>
      </c>
      <c r="DJ177" s="178">
        <v>484.0</v>
      </c>
      <c r="DK177" s="178">
        <v>144.0</v>
      </c>
      <c r="DL177" s="179">
        <f t="shared" si="14"/>
        <v>1</v>
      </c>
      <c r="DM177" s="180">
        <f t="shared" si="15"/>
        <v>0</v>
      </c>
      <c r="DN177" s="180">
        <f t="shared" si="16"/>
        <v>1</v>
      </c>
      <c r="DO177" s="177">
        <v>0.0</v>
      </c>
      <c r="DP177" s="177">
        <v>0.0</v>
      </c>
      <c r="DQ177" s="177">
        <v>0.0</v>
      </c>
      <c r="DR177" s="177">
        <v>1.0</v>
      </c>
      <c r="DS177" s="177">
        <v>0.0</v>
      </c>
      <c r="DT177" s="177">
        <v>0.0</v>
      </c>
      <c r="DU177" s="177">
        <v>0.0</v>
      </c>
      <c r="DV177" s="177">
        <v>0.0</v>
      </c>
      <c r="DW177" s="226"/>
      <c r="DX177" s="177">
        <v>0.0</v>
      </c>
      <c r="DY177" s="177">
        <v>0.0</v>
      </c>
      <c r="DZ177" s="177">
        <v>0.0</v>
      </c>
      <c r="EA177" s="177">
        <v>0.0</v>
      </c>
      <c r="EB177" s="177">
        <v>0.0</v>
      </c>
      <c r="EC177" s="177">
        <v>0.0</v>
      </c>
      <c r="ED177" s="177">
        <v>0.0</v>
      </c>
      <c r="EE177" s="177">
        <v>0.0</v>
      </c>
      <c r="EF177" s="177">
        <v>0.0</v>
      </c>
      <c r="EG177" s="179">
        <f t="shared" si="17"/>
        <v>0</v>
      </c>
      <c r="EH177" s="179">
        <f t="shared" si="18"/>
        <v>0</v>
      </c>
      <c r="EI177" s="177">
        <v>469.0</v>
      </c>
      <c r="EJ177" s="177">
        <v>141.0</v>
      </c>
      <c r="EK177" s="177">
        <v>469.0</v>
      </c>
      <c r="EL177" s="177">
        <v>141.0</v>
      </c>
      <c r="EM177" s="185">
        <f t="shared" si="362"/>
        <v>1</v>
      </c>
      <c r="EN177" s="186">
        <f t="shared" si="202"/>
        <v>0</v>
      </c>
      <c r="EO177" s="186">
        <f t="shared" si="90"/>
        <v>1</v>
      </c>
      <c r="EP177" s="177">
        <v>0.0</v>
      </c>
      <c r="EQ177" s="177">
        <v>0.0</v>
      </c>
      <c r="ER177" s="177">
        <v>0.0</v>
      </c>
      <c r="ES177" s="177">
        <v>1.0</v>
      </c>
      <c r="ET177" s="177">
        <v>0.0</v>
      </c>
      <c r="EU177" s="177">
        <v>0.0</v>
      </c>
      <c r="EV177" s="177">
        <v>0.0</v>
      </c>
      <c r="EW177" s="177">
        <v>0.0</v>
      </c>
      <c r="EX177" s="177">
        <v>0.0</v>
      </c>
      <c r="EY177" s="177">
        <v>0.0</v>
      </c>
      <c r="EZ177" s="177">
        <v>0.0</v>
      </c>
      <c r="FA177" s="177">
        <v>0.0</v>
      </c>
      <c r="FB177" s="177">
        <v>0.0</v>
      </c>
      <c r="FC177" s="177">
        <v>0.0</v>
      </c>
      <c r="FD177" s="177">
        <v>0.0</v>
      </c>
      <c r="FE177" s="177">
        <v>0.0</v>
      </c>
      <c r="FF177" s="177">
        <v>0.0</v>
      </c>
      <c r="FG177" s="177">
        <v>0.0</v>
      </c>
      <c r="FH177" s="185">
        <f t="shared" si="22"/>
        <v>0</v>
      </c>
      <c r="FI177" s="185">
        <f t="shared" si="23"/>
        <v>0</v>
      </c>
      <c r="FJ177" s="177">
        <v>459.0</v>
      </c>
      <c r="FK177" s="177">
        <v>141.0</v>
      </c>
      <c r="FL177" s="177">
        <v>459.0</v>
      </c>
      <c r="FM177" s="177">
        <v>141.0</v>
      </c>
      <c r="FN177" s="180"/>
      <c r="FO177" s="180">
        <v>1.0</v>
      </c>
      <c r="FP177" s="188">
        <f t="shared" si="412"/>
        <v>1</v>
      </c>
      <c r="FQ177" s="211">
        <v>0.0</v>
      </c>
      <c r="FR177" s="212">
        <v>1.0</v>
      </c>
      <c r="FS177" s="206">
        <v>0.0</v>
      </c>
      <c r="FT177" s="207">
        <v>0.0</v>
      </c>
      <c r="FU177" s="207">
        <v>0.0</v>
      </c>
      <c r="FV177" s="207">
        <v>1.0</v>
      </c>
      <c r="FW177" s="207">
        <v>0.0</v>
      </c>
      <c r="FX177" s="207">
        <v>0.0</v>
      </c>
      <c r="FY177" s="207">
        <v>0.0</v>
      </c>
      <c r="FZ177" s="207">
        <v>0.0</v>
      </c>
      <c r="GA177" s="207">
        <v>0.0</v>
      </c>
      <c r="GB177" s="207">
        <v>0.0</v>
      </c>
      <c r="GC177" s="207">
        <v>0.0</v>
      </c>
      <c r="GD177" s="207">
        <v>0.0</v>
      </c>
      <c r="GE177" s="207">
        <v>0.0</v>
      </c>
      <c r="GF177" s="207">
        <v>0.0</v>
      </c>
      <c r="GG177" s="207">
        <v>0.0</v>
      </c>
      <c r="GH177" s="207">
        <v>0.0</v>
      </c>
      <c r="GI177" s="207">
        <v>0.0</v>
      </c>
      <c r="GJ177" s="207">
        <v>0.0</v>
      </c>
      <c r="GK177" s="212">
        <v>0.0</v>
      </c>
      <c r="GL177" s="212">
        <v>0.0</v>
      </c>
      <c r="GM177" s="207">
        <v>450.0</v>
      </c>
      <c r="GN177" s="207">
        <v>136.0</v>
      </c>
      <c r="GO177" s="213">
        <v>450.0</v>
      </c>
      <c r="GP177" s="213">
        <v>136.0</v>
      </c>
      <c r="GQ177" s="207"/>
      <c r="GR177" s="213">
        <v>1.0</v>
      </c>
      <c r="GS177" s="193">
        <v>0.0</v>
      </c>
      <c r="GT177" s="194">
        <f t="shared" si="25"/>
        <v>1</v>
      </c>
      <c r="GU177" s="194">
        <f t="shared" si="26"/>
        <v>0</v>
      </c>
      <c r="GV177" s="194">
        <f t="shared" si="27"/>
        <v>1</v>
      </c>
      <c r="GW177" s="207">
        <v>0.0</v>
      </c>
      <c r="GX177" s="207">
        <v>0.0</v>
      </c>
      <c r="GY177" s="207">
        <v>0.0</v>
      </c>
      <c r="GZ177" s="207">
        <v>1.0</v>
      </c>
      <c r="HA177" s="207">
        <v>0.0</v>
      </c>
      <c r="HB177" s="207">
        <v>0.0</v>
      </c>
      <c r="HC177" s="207">
        <v>0.0</v>
      </c>
      <c r="HD177" s="207">
        <v>0.0</v>
      </c>
      <c r="HE177" s="207">
        <v>0.0</v>
      </c>
      <c r="HF177" s="207">
        <v>0.0</v>
      </c>
      <c r="HG177" s="207">
        <v>0.0</v>
      </c>
      <c r="HH177" s="207">
        <v>0.0</v>
      </c>
      <c r="HI177" s="207">
        <v>0.0</v>
      </c>
      <c r="HJ177" s="207">
        <v>0.0</v>
      </c>
      <c r="HK177" s="207">
        <v>0.0</v>
      </c>
      <c r="HL177" s="207">
        <v>0.0</v>
      </c>
      <c r="HM177" s="207">
        <v>0.0</v>
      </c>
      <c r="HN177" s="207">
        <v>0.0</v>
      </c>
      <c r="HO177" s="222"/>
      <c r="HP177" s="222"/>
      <c r="HQ177" s="214"/>
      <c r="HR177" s="197"/>
      <c r="HS177" s="197"/>
      <c r="HT177" s="198">
        <f t="shared" si="28"/>
        <v>2</v>
      </c>
      <c r="HU177" s="198">
        <f t="shared" si="29"/>
        <v>2</v>
      </c>
      <c r="HV177" s="198">
        <f t="shared" si="30"/>
        <v>2</v>
      </c>
      <c r="HW177" s="198">
        <f t="shared" si="99"/>
        <v>2</v>
      </c>
      <c r="HX177" s="198">
        <f t="shared" si="32"/>
        <v>2</v>
      </c>
      <c r="HY177" s="198">
        <f t="shared" si="33"/>
        <v>1</v>
      </c>
      <c r="HZ177" s="198">
        <f t="shared" si="34"/>
        <v>1</v>
      </c>
      <c r="IA177" s="198">
        <f t="shared" si="35"/>
        <v>1</v>
      </c>
      <c r="IB177" s="198">
        <f t="shared" si="36"/>
        <v>1</v>
      </c>
      <c r="IC177" s="198">
        <f t="shared" si="37"/>
        <v>1</v>
      </c>
      <c r="ID177" s="198">
        <f t="shared" si="38"/>
        <v>1</v>
      </c>
      <c r="IE177" s="198">
        <f t="shared" si="39"/>
        <v>1</v>
      </c>
      <c r="IF177" s="197"/>
      <c r="IG177" s="197"/>
      <c r="IH177" s="197"/>
      <c r="II177" s="197"/>
      <c r="IJ177" s="197"/>
      <c r="IK177" s="197"/>
      <c r="IL177" s="197"/>
      <c r="IM177" s="197"/>
      <c r="IN177" s="197"/>
      <c r="IO177" s="197"/>
      <c r="IP177" s="197"/>
      <c r="IQ177" s="197"/>
      <c r="IR177" s="197"/>
      <c r="IS177" s="197"/>
      <c r="IT177" s="197"/>
      <c r="IU177" s="197"/>
      <c r="IV177" s="197"/>
      <c r="IW177" s="197"/>
      <c r="IX177" s="197"/>
      <c r="IY177" s="197"/>
      <c r="IZ177" s="197"/>
      <c r="JA177" s="199"/>
      <c r="JB177" s="200">
        <f t="shared" si="40"/>
        <v>2</v>
      </c>
      <c r="JC177" s="200">
        <f t="shared" si="41"/>
        <v>2</v>
      </c>
      <c r="JD177" s="200">
        <f t="shared" si="42"/>
        <v>2</v>
      </c>
      <c r="JE177" s="200">
        <f t="shared" si="43"/>
        <v>2</v>
      </c>
      <c r="JF177" s="200">
        <f t="shared" si="44"/>
        <v>2</v>
      </c>
      <c r="JG177" s="200">
        <f t="shared" si="45"/>
        <v>1</v>
      </c>
      <c r="JH177" s="200">
        <f t="shared" si="46"/>
        <v>1</v>
      </c>
      <c r="JI177" s="200">
        <f t="shared" si="47"/>
        <v>1</v>
      </c>
      <c r="JJ177" s="200">
        <f t="shared" si="48"/>
        <v>1</v>
      </c>
      <c r="JK177" s="200">
        <f t="shared" si="49"/>
        <v>1</v>
      </c>
      <c r="JL177" s="200">
        <f t="shared" si="50"/>
        <v>1</v>
      </c>
      <c r="JM177" s="200">
        <f t="shared" si="51"/>
        <v>1</v>
      </c>
      <c r="JN177" s="199"/>
      <c r="JO177" s="200">
        <f t="shared" si="52"/>
        <v>2</v>
      </c>
      <c r="JP177" s="202">
        <v>2.0</v>
      </c>
      <c r="JQ177" s="202">
        <v>2.0</v>
      </c>
      <c r="JR177" s="202">
        <v>2.0</v>
      </c>
      <c r="JS177" s="202">
        <v>2.0</v>
      </c>
      <c r="JT177" s="199"/>
      <c r="JU177" s="199"/>
      <c r="JV177" s="200">
        <f t="shared" ref="JV177:JX177" si="432">IA177-JI177</f>
        <v>0</v>
      </c>
      <c r="JW177" s="200">
        <f t="shared" si="432"/>
        <v>0</v>
      </c>
      <c r="JX177" s="200">
        <f t="shared" si="432"/>
        <v>0</v>
      </c>
      <c r="JY177" s="199"/>
      <c r="JZ177" s="199"/>
      <c r="KA177" s="199"/>
      <c r="KB177" s="200">
        <f t="shared" ref="KB177:KM177" si="433">JB177-JO177</f>
        <v>0</v>
      </c>
      <c r="KC177" s="200">
        <f t="shared" si="433"/>
        <v>0</v>
      </c>
      <c r="KD177" s="200">
        <f t="shared" si="433"/>
        <v>0</v>
      </c>
      <c r="KE177" s="200">
        <f t="shared" si="433"/>
        <v>0</v>
      </c>
      <c r="KF177" s="200">
        <f t="shared" si="433"/>
        <v>0</v>
      </c>
      <c r="KG177" s="200">
        <f t="shared" si="433"/>
        <v>1</v>
      </c>
      <c r="KH177" s="200">
        <f t="shared" si="433"/>
        <v>1</v>
      </c>
      <c r="KI177" s="200">
        <f t="shared" si="433"/>
        <v>1</v>
      </c>
      <c r="KJ177" s="200">
        <f t="shared" si="433"/>
        <v>1</v>
      </c>
      <c r="KK177" s="200">
        <f t="shared" si="433"/>
        <v>1</v>
      </c>
      <c r="KL177" s="200">
        <f t="shared" si="433"/>
        <v>1</v>
      </c>
      <c r="KM177" s="200">
        <f t="shared" si="433"/>
        <v>1</v>
      </c>
      <c r="KN177" s="199"/>
      <c r="KO177" s="199"/>
      <c r="KP177" s="199"/>
      <c r="KQ177" s="199"/>
      <c r="KR177" s="199"/>
      <c r="KS177" s="199"/>
      <c r="KT177" s="199"/>
      <c r="KU177" s="199"/>
      <c r="KV177" s="199"/>
      <c r="KW177" s="199"/>
      <c r="KX177" s="199"/>
      <c r="KY177" s="199"/>
      <c r="KZ177" s="199"/>
      <c r="LA177" s="199"/>
      <c r="LB177" s="199"/>
      <c r="LC177" s="199"/>
      <c r="LD177" s="199"/>
      <c r="LE177" s="199"/>
      <c r="LF177" s="199"/>
      <c r="LG177" s="199"/>
    </row>
    <row r="178" ht="14.25" customHeight="1">
      <c r="A178" s="156">
        <v>171.0</v>
      </c>
      <c r="B178" s="500" t="s">
        <v>290</v>
      </c>
      <c r="C178" s="501">
        <v>3374150.0</v>
      </c>
      <c r="D178" s="501" t="s">
        <v>291</v>
      </c>
      <c r="E178" s="501" t="s">
        <v>292</v>
      </c>
      <c r="F178" s="502">
        <v>3.0</v>
      </c>
      <c r="G178" s="503">
        <v>170.0</v>
      </c>
      <c r="H178" s="504">
        <v>7.0</v>
      </c>
      <c r="I178" s="505">
        <v>0.0</v>
      </c>
      <c r="J178" s="505">
        <v>0.0</v>
      </c>
      <c r="K178" s="505">
        <v>1.0</v>
      </c>
      <c r="L178" s="506">
        <v>6.0</v>
      </c>
      <c r="M178" s="506">
        <v>1.0</v>
      </c>
      <c r="N178" s="506">
        <v>0.0</v>
      </c>
      <c r="O178" s="166">
        <f t="shared" si="369"/>
        <v>6</v>
      </c>
      <c r="P178" s="203">
        <v>6.0</v>
      </c>
      <c r="Q178" s="506">
        <v>0.0</v>
      </c>
      <c r="R178" s="506">
        <v>0.0</v>
      </c>
      <c r="S178" s="506">
        <v>1.0</v>
      </c>
      <c r="T178" s="507">
        <v>5.0</v>
      </c>
      <c r="U178" s="507">
        <v>0.0</v>
      </c>
      <c r="V178" s="507">
        <v>0.0</v>
      </c>
      <c r="W178" s="166">
        <f t="shared" si="225"/>
        <v>6</v>
      </c>
      <c r="X178" s="203">
        <v>5.0</v>
      </c>
      <c r="Y178" s="507">
        <v>1.0</v>
      </c>
      <c r="Z178" s="507">
        <v>0.0</v>
      </c>
      <c r="AA178" s="507">
        <v>0.0</v>
      </c>
      <c r="AB178" s="507">
        <v>4.0</v>
      </c>
      <c r="AC178" s="507">
        <v>1.0</v>
      </c>
      <c r="AD178" s="507">
        <v>0.0</v>
      </c>
      <c r="AE178" s="166">
        <f t="shared" si="214"/>
        <v>4</v>
      </c>
      <c r="AF178" s="167">
        <v>8.0</v>
      </c>
      <c r="AG178" s="508">
        <v>1.0</v>
      </c>
      <c r="AH178" s="508">
        <v>0.0</v>
      </c>
      <c r="AI178" s="508">
        <v>0.0</v>
      </c>
      <c r="AJ178" s="508">
        <v>7.0</v>
      </c>
      <c r="AK178" s="508">
        <v>1.0</v>
      </c>
      <c r="AL178" s="508">
        <v>0.0</v>
      </c>
      <c r="AM178" s="166">
        <f t="shared" si="370"/>
        <v>7</v>
      </c>
      <c r="AN178" s="167">
        <v>8.0</v>
      </c>
      <c r="AO178" s="508">
        <v>1.0</v>
      </c>
      <c r="AP178" s="508">
        <v>0.0</v>
      </c>
      <c r="AQ178" s="508">
        <v>0.0</v>
      </c>
      <c r="AR178" s="508">
        <v>7.0</v>
      </c>
      <c r="AS178" s="508">
        <v>0.0</v>
      </c>
      <c r="AT178" s="508">
        <v>0.0</v>
      </c>
      <c r="AU178" s="168">
        <f t="shared" si="375"/>
        <v>8</v>
      </c>
      <c r="AV178" s="509">
        <v>171.0</v>
      </c>
      <c r="AW178" s="204">
        <f t="shared" si="8"/>
        <v>9</v>
      </c>
      <c r="AX178" s="509">
        <v>1.0</v>
      </c>
      <c r="AY178" s="509">
        <v>0.0</v>
      </c>
      <c r="AZ178" s="509">
        <v>0.0</v>
      </c>
      <c r="BA178" s="509">
        <v>7.0</v>
      </c>
      <c r="BB178" s="509">
        <v>1.0</v>
      </c>
      <c r="BC178" s="509">
        <v>0.0</v>
      </c>
      <c r="BD178" s="509">
        <v>0.0</v>
      </c>
      <c r="BE178" s="509">
        <v>0.0</v>
      </c>
      <c r="BF178" s="509">
        <v>0.0</v>
      </c>
      <c r="BG178" s="509">
        <v>0.0</v>
      </c>
      <c r="BH178" s="509">
        <v>0.0</v>
      </c>
      <c r="BI178" s="509">
        <v>0.0</v>
      </c>
      <c r="BJ178" s="509">
        <v>0.0</v>
      </c>
      <c r="BK178" s="509">
        <v>0.0</v>
      </c>
      <c r="BL178" s="509">
        <v>0.0</v>
      </c>
      <c r="BM178" s="509">
        <v>0.0</v>
      </c>
      <c r="BN178" s="509">
        <v>0.0</v>
      </c>
      <c r="BO178" s="509">
        <v>0.0</v>
      </c>
      <c r="BP178" s="205">
        <f t="shared" si="423"/>
        <v>0</v>
      </c>
      <c r="BQ178" s="173">
        <v>154.0</v>
      </c>
      <c r="BR178" s="170">
        <f t="shared" si="10"/>
        <v>9</v>
      </c>
      <c r="BS178" s="510">
        <v>2.0</v>
      </c>
      <c r="BT178" s="510">
        <v>0.0</v>
      </c>
      <c r="BU178" s="510">
        <v>0.0</v>
      </c>
      <c r="BV178" s="510">
        <v>7.0</v>
      </c>
      <c r="BW178" s="510">
        <v>0.0</v>
      </c>
      <c r="BX178" s="510">
        <v>0.0</v>
      </c>
      <c r="BY178" s="510">
        <v>0.0</v>
      </c>
      <c r="BZ178" s="510">
        <v>0.0</v>
      </c>
      <c r="CA178" s="510">
        <v>0.0</v>
      </c>
      <c r="CB178" s="510">
        <v>0.0</v>
      </c>
      <c r="CC178" s="510">
        <v>0.0</v>
      </c>
      <c r="CD178" s="510">
        <v>0.0</v>
      </c>
      <c r="CE178" s="510">
        <v>0.0</v>
      </c>
      <c r="CF178" s="510">
        <v>0.0</v>
      </c>
      <c r="CG178" s="510">
        <v>0.0</v>
      </c>
      <c r="CH178" s="510">
        <v>0.0</v>
      </c>
      <c r="CI178" s="510">
        <v>0.0</v>
      </c>
      <c r="CJ178" s="510">
        <v>0.0</v>
      </c>
      <c r="CK178" s="172">
        <f t="shared" si="132"/>
        <v>0</v>
      </c>
      <c r="CL178" s="510">
        <v>159.0</v>
      </c>
      <c r="CM178" s="510">
        <v>60.0</v>
      </c>
      <c r="CN178" s="175">
        <f t="shared" si="295"/>
        <v>8</v>
      </c>
      <c r="CO178" s="510">
        <v>1.0</v>
      </c>
      <c r="CP178" s="510">
        <v>0.0</v>
      </c>
      <c r="CQ178" s="510">
        <v>0.0</v>
      </c>
      <c r="CR178" s="510">
        <v>7.0</v>
      </c>
      <c r="CS178" s="510">
        <v>0.0</v>
      </c>
      <c r="CT178" s="510">
        <v>0.0</v>
      </c>
      <c r="CU178" s="510">
        <v>0.0</v>
      </c>
      <c r="CV178" s="510">
        <v>0.0</v>
      </c>
      <c r="CW178" s="510">
        <v>0.0</v>
      </c>
      <c r="CX178" s="510">
        <v>0.0</v>
      </c>
      <c r="CY178" s="510">
        <v>0.0</v>
      </c>
      <c r="CZ178" s="510">
        <v>0.0</v>
      </c>
      <c r="DA178" s="510">
        <v>0.0</v>
      </c>
      <c r="DB178" s="510">
        <v>0.0</v>
      </c>
      <c r="DC178" s="510">
        <v>0.0</v>
      </c>
      <c r="DD178" s="510">
        <v>0.0</v>
      </c>
      <c r="DE178" s="510">
        <v>0.0</v>
      </c>
      <c r="DF178" s="510">
        <v>0.0</v>
      </c>
      <c r="DG178" s="176">
        <f t="shared" si="13"/>
        <v>0</v>
      </c>
      <c r="DH178" s="177">
        <v>156.0</v>
      </c>
      <c r="DI178" s="177">
        <v>61.0</v>
      </c>
      <c r="DJ178" s="178">
        <v>156.0</v>
      </c>
      <c r="DK178" s="178">
        <v>61.0</v>
      </c>
      <c r="DL178" s="179">
        <f t="shared" si="14"/>
        <v>6</v>
      </c>
      <c r="DM178" s="180">
        <f t="shared" si="15"/>
        <v>1</v>
      </c>
      <c r="DN178" s="180">
        <f t="shared" si="16"/>
        <v>5</v>
      </c>
      <c r="DO178" s="177">
        <v>1.0</v>
      </c>
      <c r="DP178" s="177">
        <v>0.0</v>
      </c>
      <c r="DQ178" s="177">
        <v>0.0</v>
      </c>
      <c r="DR178" s="177">
        <v>5.0</v>
      </c>
      <c r="DS178" s="177">
        <v>0.0</v>
      </c>
      <c r="DT178" s="177">
        <v>0.0</v>
      </c>
      <c r="DU178" s="177">
        <v>0.0</v>
      </c>
      <c r="DV178" s="177">
        <v>0.0</v>
      </c>
      <c r="DW178" s="177">
        <v>0.0</v>
      </c>
      <c r="DX178" s="177">
        <v>0.0</v>
      </c>
      <c r="DY178" s="177">
        <v>0.0</v>
      </c>
      <c r="DZ178" s="177">
        <v>2.0</v>
      </c>
      <c r="EA178" s="177">
        <v>0.0</v>
      </c>
      <c r="EB178" s="177">
        <v>0.0</v>
      </c>
      <c r="EC178" s="177">
        <v>0.0</v>
      </c>
      <c r="ED178" s="177">
        <v>0.0</v>
      </c>
      <c r="EE178" s="177">
        <v>0.0</v>
      </c>
      <c r="EF178" s="177">
        <v>0.0</v>
      </c>
      <c r="EG178" s="179">
        <f t="shared" si="17"/>
        <v>2</v>
      </c>
      <c r="EH178" s="179">
        <f t="shared" si="18"/>
        <v>0</v>
      </c>
      <c r="EI178" s="177">
        <v>146.0</v>
      </c>
      <c r="EJ178" s="177">
        <v>56.0</v>
      </c>
      <c r="EK178" s="178">
        <v>146.0</v>
      </c>
      <c r="EL178" s="178">
        <v>56.0</v>
      </c>
      <c r="EM178" s="185">
        <f t="shared" si="362"/>
        <v>6</v>
      </c>
      <c r="EN178" s="186">
        <f t="shared" si="202"/>
        <v>0</v>
      </c>
      <c r="EO178" s="186">
        <f t="shared" si="90"/>
        <v>6</v>
      </c>
      <c r="EP178" s="177">
        <v>0.0</v>
      </c>
      <c r="EQ178" s="177">
        <v>0.0</v>
      </c>
      <c r="ER178" s="177">
        <v>0.0</v>
      </c>
      <c r="ES178" s="177">
        <v>5.0</v>
      </c>
      <c r="ET178" s="177">
        <v>0.0</v>
      </c>
      <c r="EU178" s="177">
        <v>0.0</v>
      </c>
      <c r="EV178" s="177">
        <v>0.0</v>
      </c>
      <c r="EW178" s="177">
        <v>1.0</v>
      </c>
      <c r="EX178" s="177">
        <v>1.0</v>
      </c>
      <c r="EY178" s="177">
        <v>0.0</v>
      </c>
      <c r="EZ178" s="177">
        <v>0.0</v>
      </c>
      <c r="FA178" s="177">
        <v>0.0</v>
      </c>
      <c r="FB178" s="177">
        <v>0.0</v>
      </c>
      <c r="FC178" s="177">
        <v>0.0</v>
      </c>
      <c r="FD178" s="177">
        <v>0.0</v>
      </c>
      <c r="FE178" s="177">
        <v>0.0</v>
      </c>
      <c r="FF178" s="177">
        <v>0.0</v>
      </c>
      <c r="FG178" s="177">
        <v>0.0</v>
      </c>
      <c r="FH178" s="185">
        <f t="shared" si="22"/>
        <v>1</v>
      </c>
      <c r="FI178" s="185">
        <f t="shared" si="23"/>
        <v>1</v>
      </c>
      <c r="FJ178" s="510">
        <v>145.0</v>
      </c>
      <c r="FK178" s="510">
        <v>55.0</v>
      </c>
      <c r="FL178" s="510">
        <v>145.0</v>
      </c>
      <c r="FM178" s="510">
        <v>55.0</v>
      </c>
      <c r="FN178" s="180"/>
      <c r="FO178" s="180">
        <v>6.0</v>
      </c>
      <c r="FP178" s="188">
        <f t="shared" si="412"/>
        <v>6</v>
      </c>
      <c r="FQ178" s="211">
        <v>0.0</v>
      </c>
      <c r="FR178" s="212">
        <v>6.0</v>
      </c>
      <c r="FS178" s="511">
        <v>0.0</v>
      </c>
      <c r="FT178" s="512">
        <v>0.0</v>
      </c>
      <c r="FU178" s="512">
        <v>0.0</v>
      </c>
      <c r="FV178" s="512">
        <v>5.0</v>
      </c>
      <c r="FW178" s="512">
        <v>0.0</v>
      </c>
      <c r="FX178" s="512">
        <v>0.0</v>
      </c>
      <c r="FY178" s="512">
        <v>0.0</v>
      </c>
      <c r="FZ178" s="512">
        <v>1.0</v>
      </c>
      <c r="GA178" s="512">
        <v>0.0</v>
      </c>
      <c r="GB178" s="512">
        <v>0.0</v>
      </c>
      <c r="GC178" s="512">
        <v>0.0</v>
      </c>
      <c r="GD178" s="512">
        <v>1.0</v>
      </c>
      <c r="GE178" s="512">
        <v>0.0</v>
      </c>
      <c r="GF178" s="512">
        <v>0.0</v>
      </c>
      <c r="GG178" s="512">
        <v>0.0</v>
      </c>
      <c r="GH178" s="512">
        <v>0.0</v>
      </c>
      <c r="GI178" s="512">
        <v>0.0</v>
      </c>
      <c r="GJ178" s="512">
        <v>0.0</v>
      </c>
      <c r="GK178" s="212">
        <v>1.0</v>
      </c>
      <c r="GL178" s="212">
        <v>0.0</v>
      </c>
      <c r="GM178" s="207">
        <v>135.0</v>
      </c>
      <c r="GN178" s="207">
        <v>52.0</v>
      </c>
      <c r="GO178" s="213">
        <v>135.0</v>
      </c>
      <c r="GP178" s="213">
        <v>52.0</v>
      </c>
      <c r="GQ178" s="207"/>
      <c r="GR178" s="213">
        <v>6.0</v>
      </c>
      <c r="GS178" s="193">
        <v>0.0</v>
      </c>
      <c r="GT178" s="194">
        <f t="shared" si="25"/>
        <v>6</v>
      </c>
      <c r="GU178" s="194">
        <f t="shared" si="26"/>
        <v>0</v>
      </c>
      <c r="GV178" s="194">
        <f t="shared" si="27"/>
        <v>6</v>
      </c>
      <c r="GW178" s="207">
        <v>0.0</v>
      </c>
      <c r="GX178" s="207">
        <v>0.0</v>
      </c>
      <c r="GY178" s="207">
        <v>0.0</v>
      </c>
      <c r="GZ178" s="207">
        <v>6.0</v>
      </c>
      <c r="HA178" s="207">
        <v>0.0</v>
      </c>
      <c r="HB178" s="207">
        <v>0.0</v>
      </c>
      <c r="HC178" s="207">
        <v>0.0</v>
      </c>
      <c r="HD178" s="207">
        <v>0.0</v>
      </c>
      <c r="HE178" s="207">
        <v>0.0</v>
      </c>
      <c r="HF178" s="207">
        <v>0.0</v>
      </c>
      <c r="HG178" s="207">
        <v>0.0</v>
      </c>
      <c r="HH178" s="207">
        <v>0.0</v>
      </c>
      <c r="HI178" s="207">
        <v>0.0</v>
      </c>
      <c r="HJ178" s="207">
        <v>0.0</v>
      </c>
      <c r="HK178" s="207">
        <v>0.0</v>
      </c>
      <c r="HL178" s="207">
        <v>0.0</v>
      </c>
      <c r="HM178" s="207">
        <v>0.0</v>
      </c>
      <c r="HN178" s="207">
        <v>0.0</v>
      </c>
      <c r="HO178" s="222"/>
      <c r="HP178" s="222"/>
      <c r="HQ178" s="214"/>
      <c r="HR178" s="197"/>
      <c r="HS178" s="197"/>
      <c r="HT178" s="198">
        <f t="shared" si="28"/>
        <v>7</v>
      </c>
      <c r="HU178" s="198">
        <f t="shared" si="29"/>
        <v>6</v>
      </c>
      <c r="HV178" s="198">
        <f t="shared" si="30"/>
        <v>5</v>
      </c>
      <c r="HW178" s="198">
        <f t="shared" si="99"/>
        <v>8</v>
      </c>
      <c r="HX178" s="198">
        <f t="shared" si="32"/>
        <v>8</v>
      </c>
      <c r="HY178" s="198">
        <f t="shared" si="33"/>
        <v>9</v>
      </c>
      <c r="HZ178" s="198">
        <f t="shared" si="34"/>
        <v>9</v>
      </c>
      <c r="IA178" s="198">
        <f t="shared" si="35"/>
        <v>8</v>
      </c>
      <c r="IB178" s="198">
        <f t="shared" si="36"/>
        <v>6</v>
      </c>
      <c r="IC178" s="198">
        <f t="shared" si="37"/>
        <v>6</v>
      </c>
      <c r="ID178" s="198">
        <f t="shared" si="38"/>
        <v>6</v>
      </c>
      <c r="IE178" s="198">
        <f t="shared" si="39"/>
        <v>6</v>
      </c>
      <c r="IF178" s="197"/>
      <c r="IG178" s="197"/>
      <c r="IH178" s="197"/>
      <c r="II178" s="197"/>
      <c r="IJ178" s="197"/>
      <c r="IK178" s="197"/>
      <c r="IL178" s="197"/>
      <c r="IM178" s="197"/>
      <c r="IN178" s="197"/>
      <c r="IO178" s="197"/>
      <c r="IP178" s="197"/>
      <c r="IQ178" s="197"/>
      <c r="IR178" s="197"/>
      <c r="IS178" s="197"/>
      <c r="IT178" s="197"/>
      <c r="IU178" s="197"/>
      <c r="IV178" s="197"/>
      <c r="IW178" s="197"/>
      <c r="IX178" s="197"/>
      <c r="IY178" s="197"/>
      <c r="IZ178" s="197"/>
      <c r="JA178" s="199"/>
      <c r="JB178" s="200">
        <f t="shared" si="40"/>
        <v>7</v>
      </c>
      <c r="JC178" s="200">
        <f t="shared" si="41"/>
        <v>6</v>
      </c>
      <c r="JD178" s="200">
        <f t="shared" si="42"/>
        <v>5</v>
      </c>
      <c r="JE178" s="200">
        <f t="shared" si="43"/>
        <v>8</v>
      </c>
      <c r="JF178" s="200">
        <f t="shared" si="44"/>
        <v>8</v>
      </c>
      <c r="JG178" s="200">
        <f t="shared" si="45"/>
        <v>9</v>
      </c>
      <c r="JH178" s="200">
        <f t="shared" si="46"/>
        <v>9</v>
      </c>
      <c r="JI178" s="200">
        <f t="shared" si="47"/>
        <v>8</v>
      </c>
      <c r="JJ178" s="200">
        <f t="shared" si="48"/>
        <v>6</v>
      </c>
      <c r="JK178" s="200">
        <f t="shared" si="49"/>
        <v>7</v>
      </c>
      <c r="JL178" s="200">
        <f t="shared" si="50"/>
        <v>6</v>
      </c>
      <c r="JM178" s="200">
        <f t="shared" si="51"/>
        <v>6</v>
      </c>
      <c r="JN178" s="199"/>
      <c r="JO178" s="200">
        <f t="shared" si="52"/>
        <v>7</v>
      </c>
      <c r="JP178" s="202">
        <v>6.0</v>
      </c>
      <c r="JQ178" s="202">
        <v>5.0</v>
      </c>
      <c r="JR178" s="202">
        <v>8.0</v>
      </c>
      <c r="JS178" s="202">
        <v>8.0</v>
      </c>
      <c r="JT178" s="199"/>
      <c r="JU178" s="199"/>
      <c r="JV178" s="200">
        <f t="shared" ref="JV178:JX178" si="434">IA178-JI178</f>
        <v>0</v>
      </c>
      <c r="JW178" s="200">
        <f t="shared" si="434"/>
        <v>0</v>
      </c>
      <c r="JX178" s="200">
        <f t="shared" si="434"/>
        <v>-1</v>
      </c>
      <c r="JY178" s="199"/>
      <c r="JZ178" s="199"/>
      <c r="KA178" s="199"/>
      <c r="KB178" s="200">
        <f t="shared" ref="KB178:KM178" si="435">JB178-JO178</f>
        <v>0</v>
      </c>
      <c r="KC178" s="200">
        <f t="shared" si="435"/>
        <v>0</v>
      </c>
      <c r="KD178" s="200">
        <f t="shared" si="435"/>
        <v>0</v>
      </c>
      <c r="KE178" s="200">
        <f t="shared" si="435"/>
        <v>0</v>
      </c>
      <c r="KF178" s="200">
        <f t="shared" si="435"/>
        <v>0</v>
      </c>
      <c r="KG178" s="200">
        <f t="shared" si="435"/>
        <v>9</v>
      </c>
      <c r="KH178" s="200">
        <f t="shared" si="435"/>
        <v>9</v>
      </c>
      <c r="KI178" s="200">
        <f t="shared" si="435"/>
        <v>8</v>
      </c>
      <c r="KJ178" s="200">
        <f t="shared" si="435"/>
        <v>6</v>
      </c>
      <c r="KK178" s="200">
        <f t="shared" si="435"/>
        <v>8</v>
      </c>
      <c r="KL178" s="200">
        <f t="shared" si="435"/>
        <v>6</v>
      </c>
      <c r="KM178" s="200">
        <f t="shared" si="435"/>
        <v>6</v>
      </c>
      <c r="KN178" s="199"/>
      <c r="KO178" s="199"/>
      <c r="KP178" s="199"/>
      <c r="KQ178" s="199"/>
      <c r="KR178" s="199"/>
      <c r="KS178" s="199"/>
      <c r="KT178" s="199"/>
      <c r="KU178" s="199"/>
      <c r="KV178" s="199"/>
      <c r="KW178" s="199"/>
      <c r="KX178" s="199"/>
      <c r="KY178" s="199"/>
      <c r="KZ178" s="199"/>
      <c r="LA178" s="199"/>
      <c r="LB178" s="199"/>
      <c r="LC178" s="199"/>
      <c r="LD178" s="199"/>
      <c r="LE178" s="199"/>
      <c r="LF178" s="199"/>
      <c r="LG178" s="199"/>
    </row>
    <row r="179" ht="14.25" customHeight="1">
      <c r="A179" s="156">
        <v>172.0</v>
      </c>
      <c r="B179" s="500" t="s">
        <v>290</v>
      </c>
      <c r="C179" s="501">
        <v>3374150.0</v>
      </c>
      <c r="D179" s="501" t="s">
        <v>291</v>
      </c>
      <c r="E179" s="501" t="s">
        <v>293</v>
      </c>
      <c r="F179" s="502">
        <v>8.0</v>
      </c>
      <c r="G179" s="503">
        <v>541.0</v>
      </c>
      <c r="H179" s="504">
        <v>6.0</v>
      </c>
      <c r="I179" s="505">
        <v>0.0</v>
      </c>
      <c r="J179" s="505">
        <v>0.0</v>
      </c>
      <c r="K179" s="505">
        <v>0.0</v>
      </c>
      <c r="L179" s="506">
        <v>6.0</v>
      </c>
      <c r="M179" s="506">
        <v>0.0</v>
      </c>
      <c r="N179" s="506">
        <v>0.0</v>
      </c>
      <c r="O179" s="166">
        <f t="shared" si="369"/>
        <v>6</v>
      </c>
      <c r="P179" s="203">
        <v>7.0</v>
      </c>
      <c r="Q179" s="506">
        <v>1.0</v>
      </c>
      <c r="R179" s="506">
        <v>1.0</v>
      </c>
      <c r="S179" s="506">
        <v>0.0</v>
      </c>
      <c r="T179" s="507">
        <v>5.0</v>
      </c>
      <c r="U179" s="507">
        <v>2.0</v>
      </c>
      <c r="V179" s="507">
        <v>0.0</v>
      </c>
      <c r="W179" s="166">
        <f t="shared" si="225"/>
        <v>5</v>
      </c>
      <c r="X179" s="203">
        <v>4.0</v>
      </c>
      <c r="Y179" s="507">
        <v>0.0</v>
      </c>
      <c r="Z179" s="507">
        <v>0.0</v>
      </c>
      <c r="AA179" s="507">
        <v>0.0</v>
      </c>
      <c r="AB179" s="507">
        <v>4.0</v>
      </c>
      <c r="AC179" s="507">
        <v>0.0</v>
      </c>
      <c r="AD179" s="507">
        <v>0.0</v>
      </c>
      <c r="AE179" s="166">
        <f t="shared" si="214"/>
        <v>4</v>
      </c>
      <c r="AF179" s="167">
        <v>5.0</v>
      </c>
      <c r="AG179" s="508">
        <v>0.0</v>
      </c>
      <c r="AH179" s="508">
        <v>0.0</v>
      </c>
      <c r="AI179" s="508">
        <v>0.0</v>
      </c>
      <c r="AJ179" s="508">
        <v>5.0</v>
      </c>
      <c r="AK179" s="508">
        <v>0.0</v>
      </c>
      <c r="AL179" s="508">
        <v>0.0</v>
      </c>
      <c r="AM179" s="166">
        <f t="shared" si="370"/>
        <v>5</v>
      </c>
      <c r="AN179" s="167">
        <v>10.0</v>
      </c>
      <c r="AO179" s="508">
        <v>0.0</v>
      </c>
      <c r="AP179" s="508">
        <v>1.0</v>
      </c>
      <c r="AQ179" s="508">
        <v>1.0</v>
      </c>
      <c r="AR179" s="508">
        <v>8.0</v>
      </c>
      <c r="AS179" s="508">
        <v>5.0</v>
      </c>
      <c r="AT179" s="508">
        <v>0.0</v>
      </c>
      <c r="AU179" s="168">
        <f t="shared" si="375"/>
        <v>5</v>
      </c>
      <c r="AV179" s="509">
        <v>561.0</v>
      </c>
      <c r="AW179" s="204">
        <f t="shared" si="8"/>
        <v>10</v>
      </c>
      <c r="AX179" s="509">
        <v>0.0</v>
      </c>
      <c r="AY179" s="509">
        <v>1.0</v>
      </c>
      <c r="AZ179" s="509">
        <v>1.0</v>
      </c>
      <c r="BA179" s="509">
        <v>8.0</v>
      </c>
      <c r="BB179" s="509">
        <v>0.0</v>
      </c>
      <c r="BC179" s="509">
        <v>0.0</v>
      </c>
      <c r="BD179" s="509">
        <v>0.0</v>
      </c>
      <c r="BE179" s="509">
        <v>0.0</v>
      </c>
      <c r="BF179" s="509">
        <v>0.0</v>
      </c>
      <c r="BG179" s="509">
        <v>0.0</v>
      </c>
      <c r="BH179" s="509">
        <v>0.0</v>
      </c>
      <c r="BI179" s="509">
        <v>0.0</v>
      </c>
      <c r="BJ179" s="509">
        <v>0.0</v>
      </c>
      <c r="BK179" s="509">
        <v>0.0</v>
      </c>
      <c r="BL179" s="509">
        <v>0.0</v>
      </c>
      <c r="BM179" s="509">
        <v>0.0</v>
      </c>
      <c r="BN179" s="509">
        <v>0.0</v>
      </c>
      <c r="BO179" s="509">
        <v>0.0</v>
      </c>
      <c r="BP179" s="205">
        <f t="shared" si="423"/>
        <v>0</v>
      </c>
      <c r="BQ179" s="173">
        <v>529.0</v>
      </c>
      <c r="BR179" s="170">
        <f t="shared" si="10"/>
        <v>5</v>
      </c>
      <c r="BS179" s="510">
        <v>0.0</v>
      </c>
      <c r="BT179" s="510">
        <v>0.0</v>
      </c>
      <c r="BU179" s="510">
        <v>0.0</v>
      </c>
      <c r="BV179" s="510">
        <v>4.0</v>
      </c>
      <c r="BW179" s="510">
        <v>0.0</v>
      </c>
      <c r="BX179" s="510">
        <v>0.0</v>
      </c>
      <c r="BY179" s="510">
        <v>1.0</v>
      </c>
      <c r="BZ179" s="510">
        <v>0.0</v>
      </c>
      <c r="CA179" s="510">
        <v>0.0</v>
      </c>
      <c r="CB179" s="510">
        <v>1.0</v>
      </c>
      <c r="CC179" s="510">
        <v>1.0</v>
      </c>
      <c r="CD179" s="510">
        <v>4.0</v>
      </c>
      <c r="CE179" s="510">
        <v>0.0</v>
      </c>
      <c r="CF179" s="510">
        <v>0.0</v>
      </c>
      <c r="CG179" s="510">
        <v>0.0</v>
      </c>
      <c r="CH179" s="510">
        <v>0.0</v>
      </c>
      <c r="CI179" s="510">
        <v>0.0</v>
      </c>
      <c r="CJ179" s="510">
        <v>0.0</v>
      </c>
      <c r="CK179" s="172">
        <f t="shared" si="132"/>
        <v>6</v>
      </c>
      <c r="CL179" s="510">
        <v>532.0</v>
      </c>
      <c r="CM179" s="510">
        <v>193.0</v>
      </c>
      <c r="CN179" s="175">
        <f t="shared" si="295"/>
        <v>7</v>
      </c>
      <c r="CO179" s="510">
        <v>0.0</v>
      </c>
      <c r="CP179" s="510">
        <v>0.0</v>
      </c>
      <c r="CQ179" s="510">
        <v>1.0</v>
      </c>
      <c r="CR179" s="510">
        <v>6.0</v>
      </c>
      <c r="CS179" s="510">
        <v>0.0</v>
      </c>
      <c r="CT179" s="510">
        <v>0.0</v>
      </c>
      <c r="CU179" s="510">
        <v>0.0</v>
      </c>
      <c r="CV179" s="510">
        <v>0.0</v>
      </c>
      <c r="CW179" s="510">
        <v>0.0</v>
      </c>
      <c r="CX179" s="510">
        <v>0.0</v>
      </c>
      <c r="CY179" s="510">
        <v>0.0</v>
      </c>
      <c r="CZ179" s="510">
        <v>0.0</v>
      </c>
      <c r="DA179" s="510">
        <v>0.0</v>
      </c>
      <c r="DB179" s="510">
        <v>0.0</v>
      </c>
      <c r="DC179" s="510">
        <v>0.0</v>
      </c>
      <c r="DD179" s="510">
        <v>0.0</v>
      </c>
      <c r="DE179" s="510">
        <v>0.0</v>
      </c>
      <c r="DF179" s="510">
        <v>0.0</v>
      </c>
      <c r="DG179" s="176">
        <f t="shared" si="13"/>
        <v>0</v>
      </c>
      <c r="DH179" s="177">
        <v>487.0</v>
      </c>
      <c r="DI179" s="177">
        <v>178.0</v>
      </c>
      <c r="DJ179" s="178">
        <v>487.0</v>
      </c>
      <c r="DK179" s="178">
        <v>178.0</v>
      </c>
      <c r="DL179" s="179">
        <f t="shared" si="14"/>
        <v>10</v>
      </c>
      <c r="DM179" s="180">
        <f t="shared" si="15"/>
        <v>3</v>
      </c>
      <c r="DN179" s="180">
        <f t="shared" si="16"/>
        <v>7</v>
      </c>
      <c r="DO179" s="177">
        <v>0.0</v>
      </c>
      <c r="DP179" s="177">
        <v>0.0</v>
      </c>
      <c r="DQ179" s="177">
        <v>1.0</v>
      </c>
      <c r="DR179" s="177">
        <v>6.0</v>
      </c>
      <c r="DS179" s="177">
        <v>0.0</v>
      </c>
      <c r="DT179" s="177">
        <v>1.0</v>
      </c>
      <c r="DU179" s="177">
        <v>1.0</v>
      </c>
      <c r="DV179" s="177">
        <v>1.0</v>
      </c>
      <c r="DW179" s="177">
        <v>0.0</v>
      </c>
      <c r="DX179" s="177">
        <v>0.0</v>
      </c>
      <c r="DY179" s="177">
        <v>0.0</v>
      </c>
      <c r="DZ179" s="177">
        <v>0.0</v>
      </c>
      <c r="EA179" s="177">
        <v>0.0</v>
      </c>
      <c r="EB179" s="177">
        <v>0.0</v>
      </c>
      <c r="EC179" s="177">
        <v>0.0</v>
      </c>
      <c r="ED179" s="177">
        <v>0.0</v>
      </c>
      <c r="EE179" s="177">
        <v>0.0</v>
      </c>
      <c r="EF179" s="177">
        <v>0.0</v>
      </c>
      <c r="EG179" s="179">
        <f t="shared" si="17"/>
        <v>0</v>
      </c>
      <c r="EH179" s="179">
        <f t="shared" si="18"/>
        <v>0</v>
      </c>
      <c r="EI179" s="177">
        <v>485.0</v>
      </c>
      <c r="EJ179" s="177">
        <v>183.0</v>
      </c>
      <c r="EK179" s="178">
        <v>485.0</v>
      </c>
      <c r="EL179" s="178">
        <v>183.0</v>
      </c>
      <c r="EM179" s="185">
        <f t="shared" si="362"/>
        <v>11</v>
      </c>
      <c r="EN179" s="186">
        <f t="shared" si="202"/>
        <v>3</v>
      </c>
      <c r="EO179" s="186">
        <f t="shared" si="90"/>
        <v>8</v>
      </c>
      <c r="EP179" s="177">
        <v>0.0</v>
      </c>
      <c r="EQ179" s="177">
        <v>1.0</v>
      </c>
      <c r="ER179" s="177">
        <v>2.0</v>
      </c>
      <c r="ES179" s="177">
        <v>7.0</v>
      </c>
      <c r="ET179" s="177">
        <v>0.0</v>
      </c>
      <c r="EU179" s="177">
        <v>0.0</v>
      </c>
      <c r="EV179" s="177">
        <v>0.0</v>
      </c>
      <c r="EW179" s="177">
        <v>1.0</v>
      </c>
      <c r="EX179" s="177">
        <v>0.0</v>
      </c>
      <c r="EY179" s="177">
        <v>0.0</v>
      </c>
      <c r="EZ179" s="177">
        <v>0.0</v>
      </c>
      <c r="FA179" s="177">
        <v>0.0</v>
      </c>
      <c r="FB179" s="177">
        <v>0.0</v>
      </c>
      <c r="FC179" s="177">
        <v>0.0</v>
      </c>
      <c r="FD179" s="177">
        <v>0.0</v>
      </c>
      <c r="FE179" s="177">
        <v>0.0</v>
      </c>
      <c r="FF179" s="177">
        <v>0.0</v>
      </c>
      <c r="FG179" s="177">
        <v>0.0</v>
      </c>
      <c r="FH179" s="185">
        <f t="shared" si="22"/>
        <v>0</v>
      </c>
      <c r="FI179" s="185">
        <f t="shared" si="23"/>
        <v>0</v>
      </c>
      <c r="FJ179" s="510">
        <v>476.0</v>
      </c>
      <c r="FK179" s="510">
        <v>177.0</v>
      </c>
      <c r="FL179" s="510">
        <v>476.0</v>
      </c>
      <c r="FM179" s="510">
        <v>177.0</v>
      </c>
      <c r="FN179" s="180"/>
      <c r="FO179" s="180">
        <v>11.0</v>
      </c>
      <c r="FP179" s="188">
        <f t="shared" si="412"/>
        <v>11</v>
      </c>
      <c r="FQ179" s="211">
        <v>2.0</v>
      </c>
      <c r="FR179" s="212">
        <v>9.0</v>
      </c>
      <c r="FS179" s="511">
        <v>0.0</v>
      </c>
      <c r="FT179" s="512">
        <v>0.0</v>
      </c>
      <c r="FU179" s="512">
        <v>2.0</v>
      </c>
      <c r="FV179" s="512">
        <v>9.0</v>
      </c>
      <c r="FW179" s="512">
        <v>0.0</v>
      </c>
      <c r="FX179" s="512">
        <v>0.0</v>
      </c>
      <c r="FY179" s="512">
        <v>0.0</v>
      </c>
      <c r="FZ179" s="512">
        <v>0.0</v>
      </c>
      <c r="GA179" s="512">
        <v>0.0</v>
      </c>
      <c r="GB179" s="512">
        <v>0.0</v>
      </c>
      <c r="GC179" s="512">
        <v>0.0</v>
      </c>
      <c r="GD179" s="512">
        <v>0.0</v>
      </c>
      <c r="GE179" s="512">
        <v>0.0</v>
      </c>
      <c r="GF179" s="512">
        <v>0.0</v>
      </c>
      <c r="GG179" s="512">
        <v>0.0</v>
      </c>
      <c r="GH179" s="512">
        <v>0.0</v>
      </c>
      <c r="GI179" s="512">
        <v>0.0</v>
      </c>
      <c r="GJ179" s="512">
        <v>0.0</v>
      </c>
      <c r="GK179" s="212">
        <v>0.0</v>
      </c>
      <c r="GL179" s="212">
        <v>0.0</v>
      </c>
      <c r="GM179" s="207">
        <v>464.0</v>
      </c>
      <c r="GN179" s="207">
        <v>173.0</v>
      </c>
      <c r="GO179" s="213">
        <v>464.0</v>
      </c>
      <c r="GP179" s="213">
        <v>173.0</v>
      </c>
      <c r="GQ179" s="207"/>
      <c r="GR179" s="213">
        <v>11.0</v>
      </c>
      <c r="GS179" s="193">
        <v>2.0</v>
      </c>
      <c r="GT179" s="194">
        <f t="shared" si="25"/>
        <v>11</v>
      </c>
      <c r="GU179" s="194">
        <f t="shared" si="26"/>
        <v>2</v>
      </c>
      <c r="GV179" s="194">
        <f t="shared" si="27"/>
        <v>9</v>
      </c>
      <c r="GW179" s="207">
        <v>0.0</v>
      </c>
      <c r="GX179" s="207">
        <v>0.0</v>
      </c>
      <c r="GY179" s="207">
        <v>2.0</v>
      </c>
      <c r="GZ179" s="207">
        <v>9.0</v>
      </c>
      <c r="HA179" s="207">
        <v>0.0</v>
      </c>
      <c r="HB179" s="207">
        <v>0.0</v>
      </c>
      <c r="HC179" s="207">
        <v>0.0</v>
      </c>
      <c r="HD179" s="207">
        <v>0.0</v>
      </c>
      <c r="HE179" s="207">
        <v>0.0</v>
      </c>
      <c r="HF179" s="207">
        <v>0.0</v>
      </c>
      <c r="HG179" s="207">
        <v>0.0</v>
      </c>
      <c r="HH179" s="207">
        <v>0.0</v>
      </c>
      <c r="HI179" s="207">
        <v>0.0</v>
      </c>
      <c r="HJ179" s="207">
        <v>0.0</v>
      </c>
      <c r="HK179" s="207">
        <v>0.0</v>
      </c>
      <c r="HL179" s="207">
        <v>0.0</v>
      </c>
      <c r="HM179" s="207">
        <v>0.0</v>
      </c>
      <c r="HN179" s="207">
        <v>0.0</v>
      </c>
      <c r="HO179" s="222"/>
      <c r="HP179" s="222"/>
      <c r="HQ179" s="214"/>
      <c r="HR179" s="197"/>
      <c r="HS179" s="197"/>
      <c r="HT179" s="198">
        <f t="shared" si="28"/>
        <v>6</v>
      </c>
      <c r="HU179" s="198">
        <f t="shared" si="29"/>
        <v>7</v>
      </c>
      <c r="HV179" s="198">
        <f t="shared" si="30"/>
        <v>4</v>
      </c>
      <c r="HW179" s="198">
        <f t="shared" si="99"/>
        <v>5</v>
      </c>
      <c r="HX179" s="198">
        <f t="shared" si="32"/>
        <v>10</v>
      </c>
      <c r="HY179" s="198">
        <f t="shared" si="33"/>
        <v>10</v>
      </c>
      <c r="HZ179" s="198">
        <f t="shared" si="34"/>
        <v>5</v>
      </c>
      <c r="IA179" s="198">
        <f t="shared" si="35"/>
        <v>7</v>
      </c>
      <c r="IB179" s="198">
        <f t="shared" si="36"/>
        <v>10</v>
      </c>
      <c r="IC179" s="198">
        <f t="shared" si="37"/>
        <v>11</v>
      </c>
      <c r="ID179" s="198">
        <f t="shared" si="38"/>
        <v>11</v>
      </c>
      <c r="IE179" s="198">
        <f t="shared" si="39"/>
        <v>11</v>
      </c>
      <c r="IF179" s="197"/>
      <c r="IG179" s="197"/>
      <c r="IH179" s="197"/>
      <c r="II179" s="197"/>
      <c r="IJ179" s="197"/>
      <c r="IK179" s="197"/>
      <c r="IL179" s="197"/>
      <c r="IM179" s="197"/>
      <c r="IN179" s="197"/>
      <c r="IO179" s="197"/>
      <c r="IP179" s="197"/>
      <c r="IQ179" s="197"/>
      <c r="IR179" s="197"/>
      <c r="IS179" s="197"/>
      <c r="IT179" s="197"/>
      <c r="IU179" s="197"/>
      <c r="IV179" s="197"/>
      <c r="IW179" s="197"/>
      <c r="IX179" s="197"/>
      <c r="IY179" s="197"/>
      <c r="IZ179" s="197"/>
      <c r="JA179" s="199"/>
      <c r="JB179" s="200">
        <f t="shared" si="40"/>
        <v>6</v>
      </c>
      <c r="JC179" s="200">
        <f t="shared" si="41"/>
        <v>7</v>
      </c>
      <c r="JD179" s="200">
        <f t="shared" si="42"/>
        <v>4</v>
      </c>
      <c r="JE179" s="200">
        <f t="shared" si="43"/>
        <v>5</v>
      </c>
      <c r="JF179" s="200">
        <f t="shared" si="44"/>
        <v>10</v>
      </c>
      <c r="JG179" s="200">
        <f t="shared" si="45"/>
        <v>10</v>
      </c>
      <c r="JH179" s="200">
        <f t="shared" si="46"/>
        <v>5</v>
      </c>
      <c r="JI179" s="200">
        <f t="shared" si="47"/>
        <v>7</v>
      </c>
      <c r="JJ179" s="200">
        <f t="shared" si="48"/>
        <v>10</v>
      </c>
      <c r="JK179" s="200">
        <f t="shared" si="49"/>
        <v>11</v>
      </c>
      <c r="JL179" s="200">
        <f t="shared" si="50"/>
        <v>11</v>
      </c>
      <c r="JM179" s="200">
        <f t="shared" si="51"/>
        <v>11</v>
      </c>
      <c r="JN179" s="199"/>
      <c r="JO179" s="200">
        <f t="shared" si="52"/>
        <v>6</v>
      </c>
      <c r="JP179" s="202">
        <v>7.0</v>
      </c>
      <c r="JQ179" s="202">
        <v>4.0</v>
      </c>
      <c r="JR179" s="202">
        <v>5.0</v>
      </c>
      <c r="JS179" s="202">
        <v>10.0</v>
      </c>
      <c r="JT179" s="199"/>
      <c r="JU179" s="199"/>
      <c r="JV179" s="200">
        <f t="shared" ref="JV179:JX179" si="436">IA179-JI179</f>
        <v>0</v>
      </c>
      <c r="JW179" s="200">
        <f t="shared" si="436"/>
        <v>0</v>
      </c>
      <c r="JX179" s="200">
        <f t="shared" si="436"/>
        <v>0</v>
      </c>
      <c r="JY179" s="199"/>
      <c r="JZ179" s="199"/>
      <c r="KA179" s="199"/>
      <c r="KB179" s="200">
        <f t="shared" ref="KB179:KM179" si="437">JB179-JO179</f>
        <v>0</v>
      </c>
      <c r="KC179" s="200">
        <f t="shared" si="437"/>
        <v>0</v>
      </c>
      <c r="KD179" s="200">
        <f t="shared" si="437"/>
        <v>0</v>
      </c>
      <c r="KE179" s="200">
        <f t="shared" si="437"/>
        <v>0</v>
      </c>
      <c r="KF179" s="200">
        <f t="shared" si="437"/>
        <v>0</v>
      </c>
      <c r="KG179" s="200">
        <f t="shared" si="437"/>
        <v>10</v>
      </c>
      <c r="KH179" s="200">
        <f t="shared" si="437"/>
        <v>5</v>
      </c>
      <c r="KI179" s="200">
        <f t="shared" si="437"/>
        <v>7</v>
      </c>
      <c r="KJ179" s="200">
        <f t="shared" si="437"/>
        <v>10</v>
      </c>
      <c r="KK179" s="200">
        <f t="shared" si="437"/>
        <v>11</v>
      </c>
      <c r="KL179" s="200">
        <f t="shared" si="437"/>
        <v>11</v>
      </c>
      <c r="KM179" s="200">
        <f t="shared" si="437"/>
        <v>11</v>
      </c>
      <c r="KN179" s="199"/>
      <c r="KO179" s="199"/>
      <c r="KP179" s="199"/>
      <c r="KQ179" s="199"/>
      <c r="KR179" s="199"/>
      <c r="KS179" s="199"/>
      <c r="KT179" s="199"/>
      <c r="KU179" s="199"/>
      <c r="KV179" s="199"/>
      <c r="KW179" s="199"/>
      <c r="KX179" s="199"/>
      <c r="KY179" s="199"/>
      <c r="KZ179" s="199"/>
      <c r="LA179" s="199"/>
      <c r="LB179" s="199"/>
      <c r="LC179" s="199"/>
      <c r="LD179" s="199"/>
      <c r="LE179" s="199"/>
      <c r="LF179" s="199"/>
      <c r="LG179" s="199"/>
    </row>
    <row r="180" ht="14.25" customHeight="1">
      <c r="A180" s="156">
        <v>173.0</v>
      </c>
      <c r="B180" s="500" t="s">
        <v>290</v>
      </c>
      <c r="C180" s="501">
        <v>3374150.0</v>
      </c>
      <c r="D180" s="501" t="s">
        <v>291</v>
      </c>
      <c r="E180" s="501" t="s">
        <v>294</v>
      </c>
      <c r="F180" s="502">
        <v>5.0</v>
      </c>
      <c r="G180" s="503">
        <v>341.0</v>
      </c>
      <c r="H180" s="504">
        <v>6.0</v>
      </c>
      <c r="I180" s="505">
        <v>0.0</v>
      </c>
      <c r="J180" s="505">
        <v>0.0</v>
      </c>
      <c r="K180" s="505">
        <v>4.0</v>
      </c>
      <c r="L180" s="506">
        <v>2.0</v>
      </c>
      <c r="M180" s="506">
        <v>0.0</v>
      </c>
      <c r="N180" s="506">
        <v>0.0</v>
      </c>
      <c r="O180" s="166">
        <f t="shared" si="369"/>
        <v>6</v>
      </c>
      <c r="P180" s="203">
        <v>6.0</v>
      </c>
      <c r="Q180" s="506">
        <v>0.0</v>
      </c>
      <c r="R180" s="506">
        <v>0.0</v>
      </c>
      <c r="S180" s="506">
        <v>4.0</v>
      </c>
      <c r="T180" s="507">
        <v>2.0</v>
      </c>
      <c r="U180" s="507">
        <v>1.0</v>
      </c>
      <c r="V180" s="507">
        <v>0.0</v>
      </c>
      <c r="W180" s="166">
        <f t="shared" si="225"/>
        <v>5</v>
      </c>
      <c r="X180" s="203">
        <v>7.0</v>
      </c>
      <c r="Y180" s="507">
        <v>0.0</v>
      </c>
      <c r="Z180" s="507">
        <v>0.0</v>
      </c>
      <c r="AA180" s="507">
        <v>5.0</v>
      </c>
      <c r="AB180" s="507">
        <v>2.0</v>
      </c>
      <c r="AC180" s="507">
        <v>2.0</v>
      </c>
      <c r="AD180" s="507">
        <v>0.0</v>
      </c>
      <c r="AE180" s="166">
        <f t="shared" si="214"/>
        <v>5</v>
      </c>
      <c r="AF180" s="167">
        <v>7.0</v>
      </c>
      <c r="AG180" s="508">
        <v>0.0</v>
      </c>
      <c r="AH180" s="508">
        <v>0.0</v>
      </c>
      <c r="AI180" s="508">
        <v>4.0</v>
      </c>
      <c r="AJ180" s="508">
        <v>3.0</v>
      </c>
      <c r="AK180" s="508">
        <v>0.0</v>
      </c>
      <c r="AL180" s="508">
        <v>0.0</v>
      </c>
      <c r="AM180" s="166">
        <f t="shared" si="370"/>
        <v>7</v>
      </c>
      <c r="AN180" s="167">
        <v>5.0</v>
      </c>
      <c r="AO180" s="508">
        <v>0.0</v>
      </c>
      <c r="AP180" s="508">
        <v>0.0</v>
      </c>
      <c r="AQ180" s="508">
        <v>2.0</v>
      </c>
      <c r="AR180" s="508">
        <v>3.0</v>
      </c>
      <c r="AS180" s="508">
        <v>0.0</v>
      </c>
      <c r="AT180" s="508">
        <v>0.0</v>
      </c>
      <c r="AU180" s="168">
        <f t="shared" si="375"/>
        <v>5</v>
      </c>
      <c r="AV180" s="509">
        <v>321.0</v>
      </c>
      <c r="AW180" s="204">
        <f t="shared" si="8"/>
        <v>6</v>
      </c>
      <c r="AX180" s="509">
        <v>0.0</v>
      </c>
      <c r="AY180" s="509">
        <v>0.0</v>
      </c>
      <c r="AZ180" s="509">
        <v>2.0</v>
      </c>
      <c r="BA180" s="509">
        <v>3.0</v>
      </c>
      <c r="BB180" s="509">
        <v>0.0</v>
      </c>
      <c r="BC180" s="509">
        <v>0.0</v>
      </c>
      <c r="BD180" s="509">
        <v>0.0</v>
      </c>
      <c r="BE180" s="509">
        <v>1.0</v>
      </c>
      <c r="BF180" s="509">
        <v>0.0</v>
      </c>
      <c r="BG180" s="509">
        <v>0.0</v>
      </c>
      <c r="BH180" s="509">
        <v>0.0</v>
      </c>
      <c r="BI180" s="509">
        <v>0.0</v>
      </c>
      <c r="BJ180" s="509">
        <v>0.0</v>
      </c>
      <c r="BK180" s="509">
        <v>0.0</v>
      </c>
      <c r="BL180" s="509">
        <v>0.0</v>
      </c>
      <c r="BM180" s="509">
        <v>0.0</v>
      </c>
      <c r="BN180" s="509">
        <v>0.0</v>
      </c>
      <c r="BO180" s="509">
        <v>0.0</v>
      </c>
      <c r="BP180" s="205">
        <f t="shared" si="423"/>
        <v>0</v>
      </c>
      <c r="BQ180" s="173">
        <v>356.0</v>
      </c>
      <c r="BR180" s="170">
        <f t="shared" si="10"/>
        <v>7</v>
      </c>
      <c r="BS180" s="510">
        <v>0.0</v>
      </c>
      <c r="BT180" s="510">
        <v>0.0</v>
      </c>
      <c r="BU180" s="510">
        <v>2.0</v>
      </c>
      <c r="BV180" s="510">
        <v>2.0</v>
      </c>
      <c r="BW180" s="510">
        <v>0.0</v>
      </c>
      <c r="BX180" s="510">
        <v>0.0</v>
      </c>
      <c r="BY180" s="510">
        <v>1.0</v>
      </c>
      <c r="BZ180" s="510">
        <v>2.0</v>
      </c>
      <c r="CA180" s="510">
        <v>0.0</v>
      </c>
      <c r="CB180" s="510">
        <v>0.0</v>
      </c>
      <c r="CC180" s="510">
        <v>0.0</v>
      </c>
      <c r="CD180" s="510">
        <v>2.0</v>
      </c>
      <c r="CE180" s="510">
        <v>0.0</v>
      </c>
      <c r="CF180" s="510">
        <v>0.0</v>
      </c>
      <c r="CG180" s="510">
        <v>0.0</v>
      </c>
      <c r="CH180" s="510">
        <v>0.0</v>
      </c>
      <c r="CI180" s="510">
        <v>0.0</v>
      </c>
      <c r="CJ180" s="510">
        <v>0.0</v>
      </c>
      <c r="CK180" s="172">
        <f t="shared" si="132"/>
        <v>2</v>
      </c>
      <c r="CL180" s="510">
        <v>346.0</v>
      </c>
      <c r="CM180" s="510">
        <v>135.0</v>
      </c>
      <c r="CN180" s="175">
        <f t="shared" si="295"/>
        <v>7</v>
      </c>
      <c r="CO180" s="510">
        <v>0.0</v>
      </c>
      <c r="CP180" s="510">
        <v>0.0</v>
      </c>
      <c r="CQ180" s="510">
        <v>3.0</v>
      </c>
      <c r="CR180" s="510">
        <v>4.0</v>
      </c>
      <c r="CS180" s="510">
        <v>0.0</v>
      </c>
      <c r="CT180" s="510">
        <v>0.0</v>
      </c>
      <c r="CU180" s="510">
        <v>0.0</v>
      </c>
      <c r="CV180" s="510">
        <v>0.0</v>
      </c>
      <c r="CW180" s="510">
        <v>0.0</v>
      </c>
      <c r="CX180" s="510">
        <v>0.0</v>
      </c>
      <c r="CY180" s="510">
        <v>0.0</v>
      </c>
      <c r="CZ180" s="510">
        <v>0.0</v>
      </c>
      <c r="DA180" s="510">
        <v>0.0</v>
      </c>
      <c r="DB180" s="510">
        <v>0.0</v>
      </c>
      <c r="DC180" s="510">
        <v>0.0</v>
      </c>
      <c r="DD180" s="510">
        <v>0.0</v>
      </c>
      <c r="DE180" s="510">
        <v>0.0</v>
      </c>
      <c r="DF180" s="510">
        <v>0.0</v>
      </c>
      <c r="DG180" s="176">
        <f t="shared" si="13"/>
        <v>0</v>
      </c>
      <c r="DH180" s="177">
        <v>329.0</v>
      </c>
      <c r="DI180" s="177">
        <v>123.0</v>
      </c>
      <c r="DJ180" s="178">
        <v>329.0</v>
      </c>
      <c r="DK180" s="178">
        <v>123.0</v>
      </c>
      <c r="DL180" s="179">
        <f t="shared" si="14"/>
        <v>7</v>
      </c>
      <c r="DM180" s="180">
        <f t="shared" si="15"/>
        <v>3</v>
      </c>
      <c r="DN180" s="180">
        <f t="shared" si="16"/>
        <v>4</v>
      </c>
      <c r="DO180" s="177">
        <v>0.0</v>
      </c>
      <c r="DP180" s="177">
        <v>0.0</v>
      </c>
      <c r="DQ180" s="177">
        <v>3.0</v>
      </c>
      <c r="DR180" s="177">
        <v>4.0</v>
      </c>
      <c r="DS180" s="177">
        <v>0.0</v>
      </c>
      <c r="DT180" s="177">
        <v>0.0</v>
      </c>
      <c r="DU180" s="177">
        <v>0.0</v>
      </c>
      <c r="DV180" s="177">
        <v>0.0</v>
      </c>
      <c r="DW180" s="177">
        <v>0.0</v>
      </c>
      <c r="DX180" s="177">
        <v>0.0</v>
      </c>
      <c r="DY180" s="177">
        <v>0.0</v>
      </c>
      <c r="DZ180" s="177">
        <v>0.0</v>
      </c>
      <c r="EA180" s="177">
        <v>0.0</v>
      </c>
      <c r="EB180" s="177">
        <v>0.0</v>
      </c>
      <c r="EC180" s="177">
        <v>0.0</v>
      </c>
      <c r="ED180" s="177">
        <v>0.0</v>
      </c>
      <c r="EE180" s="177">
        <v>0.0</v>
      </c>
      <c r="EF180" s="177">
        <v>0.0</v>
      </c>
      <c r="EG180" s="179">
        <f t="shared" si="17"/>
        <v>0</v>
      </c>
      <c r="EH180" s="179">
        <f t="shared" si="18"/>
        <v>0</v>
      </c>
      <c r="EI180" s="177">
        <v>322.0</v>
      </c>
      <c r="EJ180" s="177">
        <v>125.0</v>
      </c>
      <c r="EK180" s="178">
        <v>322.0</v>
      </c>
      <c r="EL180" s="178">
        <v>125.0</v>
      </c>
      <c r="EM180" s="185">
        <f t="shared" si="362"/>
        <v>7</v>
      </c>
      <c r="EN180" s="186">
        <f t="shared" si="202"/>
        <v>3</v>
      </c>
      <c r="EO180" s="186">
        <f t="shared" si="90"/>
        <v>4</v>
      </c>
      <c r="EP180" s="177">
        <v>0.0</v>
      </c>
      <c r="EQ180" s="177">
        <v>0.0</v>
      </c>
      <c r="ER180" s="177">
        <v>3.0</v>
      </c>
      <c r="ES180" s="177">
        <v>4.0</v>
      </c>
      <c r="ET180" s="177">
        <v>0.0</v>
      </c>
      <c r="EU180" s="177">
        <v>0.0</v>
      </c>
      <c r="EV180" s="177">
        <v>0.0</v>
      </c>
      <c r="EW180" s="177">
        <v>0.0</v>
      </c>
      <c r="EX180" s="177">
        <v>0.0</v>
      </c>
      <c r="EY180" s="177">
        <v>0.0</v>
      </c>
      <c r="EZ180" s="177">
        <v>0.0</v>
      </c>
      <c r="FA180" s="177">
        <v>0.0</v>
      </c>
      <c r="FB180" s="177">
        <v>0.0</v>
      </c>
      <c r="FC180" s="177">
        <v>0.0</v>
      </c>
      <c r="FD180" s="177">
        <v>0.0</v>
      </c>
      <c r="FE180" s="177">
        <v>0.0</v>
      </c>
      <c r="FF180" s="177">
        <v>0.0</v>
      </c>
      <c r="FG180" s="177">
        <v>0.0</v>
      </c>
      <c r="FH180" s="185">
        <f t="shared" si="22"/>
        <v>0</v>
      </c>
      <c r="FI180" s="185">
        <f t="shared" si="23"/>
        <v>0</v>
      </c>
      <c r="FJ180" s="510">
        <v>314.0</v>
      </c>
      <c r="FK180" s="510">
        <v>117.0</v>
      </c>
      <c r="FL180" s="510">
        <v>314.0</v>
      </c>
      <c r="FM180" s="510">
        <v>117.0</v>
      </c>
      <c r="FN180" s="180"/>
      <c r="FO180" s="180">
        <v>7.0</v>
      </c>
      <c r="FP180" s="188">
        <f t="shared" si="412"/>
        <v>7</v>
      </c>
      <c r="FQ180" s="211">
        <v>2.0</v>
      </c>
      <c r="FR180" s="212">
        <v>5.0</v>
      </c>
      <c r="FS180" s="511">
        <v>0.0</v>
      </c>
      <c r="FT180" s="512">
        <v>0.0</v>
      </c>
      <c r="FU180" s="512">
        <v>2.0</v>
      </c>
      <c r="FV180" s="512">
        <v>5.0</v>
      </c>
      <c r="FW180" s="512">
        <v>0.0</v>
      </c>
      <c r="FX180" s="512">
        <v>0.0</v>
      </c>
      <c r="FY180" s="512">
        <v>0.0</v>
      </c>
      <c r="FZ180" s="512">
        <v>0.0</v>
      </c>
      <c r="GA180" s="512">
        <v>0.0</v>
      </c>
      <c r="GB180" s="512">
        <v>0.0</v>
      </c>
      <c r="GC180" s="512">
        <v>0.0</v>
      </c>
      <c r="GD180" s="512">
        <v>0.0</v>
      </c>
      <c r="GE180" s="512">
        <v>0.0</v>
      </c>
      <c r="GF180" s="512">
        <v>0.0</v>
      </c>
      <c r="GG180" s="512">
        <v>0.0</v>
      </c>
      <c r="GH180" s="512">
        <v>0.0</v>
      </c>
      <c r="GI180" s="512">
        <v>0.0</v>
      </c>
      <c r="GJ180" s="512">
        <v>0.0</v>
      </c>
      <c r="GK180" s="212">
        <v>0.0</v>
      </c>
      <c r="GL180" s="212">
        <v>0.0</v>
      </c>
      <c r="GM180" s="207">
        <v>313.0</v>
      </c>
      <c r="GN180" s="207">
        <v>111.0</v>
      </c>
      <c r="GO180" s="213">
        <v>313.0</v>
      </c>
      <c r="GP180" s="213">
        <v>111.0</v>
      </c>
      <c r="GQ180" s="207"/>
      <c r="GR180" s="213">
        <v>7.0</v>
      </c>
      <c r="GS180" s="193">
        <v>0.0</v>
      </c>
      <c r="GT180" s="194">
        <f t="shared" si="25"/>
        <v>7</v>
      </c>
      <c r="GU180" s="194">
        <f t="shared" si="26"/>
        <v>0</v>
      </c>
      <c r="GV180" s="194">
        <f t="shared" si="27"/>
        <v>7</v>
      </c>
      <c r="GW180" s="207">
        <v>0.0</v>
      </c>
      <c r="GX180" s="207">
        <v>0.0</v>
      </c>
      <c r="GY180" s="207">
        <v>0.0</v>
      </c>
      <c r="GZ180" s="207">
        <v>7.0</v>
      </c>
      <c r="HA180" s="207">
        <v>0.0</v>
      </c>
      <c r="HB180" s="207">
        <v>0.0</v>
      </c>
      <c r="HC180" s="207">
        <v>0.0</v>
      </c>
      <c r="HD180" s="207">
        <v>0.0</v>
      </c>
      <c r="HE180" s="207">
        <v>0.0</v>
      </c>
      <c r="HF180" s="207">
        <v>0.0</v>
      </c>
      <c r="HG180" s="207">
        <v>0.0</v>
      </c>
      <c r="HH180" s="207">
        <v>0.0</v>
      </c>
      <c r="HI180" s="207">
        <v>0.0</v>
      </c>
      <c r="HJ180" s="207">
        <v>0.0</v>
      </c>
      <c r="HK180" s="207">
        <v>0.0</v>
      </c>
      <c r="HL180" s="207">
        <v>0.0</v>
      </c>
      <c r="HM180" s="207">
        <v>0.0</v>
      </c>
      <c r="HN180" s="207">
        <v>0.0</v>
      </c>
      <c r="HO180" s="222"/>
      <c r="HP180" s="222"/>
      <c r="HQ180" s="214"/>
      <c r="HR180" s="197"/>
      <c r="HS180" s="197"/>
      <c r="HT180" s="198">
        <f t="shared" si="28"/>
        <v>6</v>
      </c>
      <c r="HU180" s="198">
        <f t="shared" si="29"/>
        <v>6</v>
      </c>
      <c r="HV180" s="198">
        <f t="shared" si="30"/>
        <v>7</v>
      </c>
      <c r="HW180" s="198">
        <f t="shared" si="99"/>
        <v>7</v>
      </c>
      <c r="HX180" s="198">
        <f t="shared" si="32"/>
        <v>5</v>
      </c>
      <c r="HY180" s="198">
        <f t="shared" si="33"/>
        <v>6</v>
      </c>
      <c r="HZ180" s="198">
        <f t="shared" si="34"/>
        <v>7</v>
      </c>
      <c r="IA180" s="198">
        <f t="shared" si="35"/>
        <v>7</v>
      </c>
      <c r="IB180" s="198">
        <f t="shared" si="36"/>
        <v>7</v>
      </c>
      <c r="IC180" s="198">
        <f t="shared" si="37"/>
        <v>7</v>
      </c>
      <c r="ID180" s="198">
        <f t="shared" si="38"/>
        <v>7</v>
      </c>
      <c r="IE180" s="198">
        <f t="shared" si="39"/>
        <v>7</v>
      </c>
      <c r="IF180" s="197"/>
      <c r="IG180" s="197"/>
      <c r="IH180" s="197"/>
      <c r="II180" s="197"/>
      <c r="IJ180" s="197"/>
      <c r="IK180" s="197"/>
      <c r="IL180" s="197"/>
      <c r="IM180" s="197"/>
      <c r="IN180" s="197"/>
      <c r="IO180" s="197"/>
      <c r="IP180" s="197"/>
      <c r="IQ180" s="197"/>
      <c r="IR180" s="197"/>
      <c r="IS180" s="197"/>
      <c r="IT180" s="197"/>
      <c r="IU180" s="197"/>
      <c r="IV180" s="197"/>
      <c r="IW180" s="197"/>
      <c r="IX180" s="197"/>
      <c r="IY180" s="197"/>
      <c r="IZ180" s="197"/>
      <c r="JA180" s="199"/>
      <c r="JB180" s="200">
        <f t="shared" si="40"/>
        <v>6</v>
      </c>
      <c r="JC180" s="200">
        <f t="shared" si="41"/>
        <v>6</v>
      </c>
      <c r="JD180" s="200">
        <f t="shared" si="42"/>
        <v>7</v>
      </c>
      <c r="JE180" s="200">
        <f t="shared" si="43"/>
        <v>7</v>
      </c>
      <c r="JF180" s="200">
        <f t="shared" si="44"/>
        <v>5</v>
      </c>
      <c r="JG180" s="200">
        <f t="shared" si="45"/>
        <v>6</v>
      </c>
      <c r="JH180" s="200">
        <f t="shared" si="46"/>
        <v>7</v>
      </c>
      <c r="JI180" s="200">
        <f t="shared" si="47"/>
        <v>7</v>
      </c>
      <c r="JJ180" s="200">
        <f t="shared" si="48"/>
        <v>7</v>
      </c>
      <c r="JK180" s="200">
        <f t="shared" si="49"/>
        <v>7</v>
      </c>
      <c r="JL180" s="200">
        <f t="shared" si="50"/>
        <v>7</v>
      </c>
      <c r="JM180" s="200">
        <f t="shared" si="51"/>
        <v>7</v>
      </c>
      <c r="JN180" s="199"/>
      <c r="JO180" s="200">
        <f t="shared" si="52"/>
        <v>6</v>
      </c>
      <c r="JP180" s="202">
        <v>6.0</v>
      </c>
      <c r="JQ180" s="202">
        <v>7.0</v>
      </c>
      <c r="JR180" s="202">
        <v>7.0</v>
      </c>
      <c r="JS180" s="202">
        <v>5.0</v>
      </c>
      <c r="JT180" s="199"/>
      <c r="JU180" s="199"/>
      <c r="JV180" s="200">
        <f t="shared" ref="JV180:JX180" si="438">IA180-JI180</f>
        <v>0</v>
      </c>
      <c r="JW180" s="200">
        <f t="shared" si="438"/>
        <v>0</v>
      </c>
      <c r="JX180" s="200">
        <f t="shared" si="438"/>
        <v>0</v>
      </c>
      <c r="JY180" s="199"/>
      <c r="JZ180" s="199"/>
      <c r="KA180" s="199"/>
      <c r="KB180" s="200">
        <f t="shared" ref="KB180:KM180" si="439">JB180-JO180</f>
        <v>0</v>
      </c>
      <c r="KC180" s="200">
        <f t="shared" si="439"/>
        <v>0</v>
      </c>
      <c r="KD180" s="200">
        <f t="shared" si="439"/>
        <v>0</v>
      </c>
      <c r="KE180" s="200">
        <f t="shared" si="439"/>
        <v>0</v>
      </c>
      <c r="KF180" s="200">
        <f t="shared" si="439"/>
        <v>0</v>
      </c>
      <c r="KG180" s="200">
        <f t="shared" si="439"/>
        <v>6</v>
      </c>
      <c r="KH180" s="200">
        <f t="shared" si="439"/>
        <v>7</v>
      </c>
      <c r="KI180" s="200">
        <f t="shared" si="439"/>
        <v>7</v>
      </c>
      <c r="KJ180" s="200">
        <f t="shared" si="439"/>
        <v>7</v>
      </c>
      <c r="KK180" s="200">
        <f t="shared" si="439"/>
        <v>7</v>
      </c>
      <c r="KL180" s="200">
        <f t="shared" si="439"/>
        <v>7</v>
      </c>
      <c r="KM180" s="200">
        <f t="shared" si="439"/>
        <v>7</v>
      </c>
      <c r="KN180" s="199"/>
      <c r="KO180" s="199"/>
      <c r="KP180" s="199"/>
      <c r="KQ180" s="199"/>
      <c r="KR180" s="199"/>
      <c r="KS180" s="199"/>
      <c r="KT180" s="199"/>
      <c r="KU180" s="199"/>
      <c r="KV180" s="199"/>
      <c r="KW180" s="199"/>
      <c r="KX180" s="199"/>
      <c r="KY180" s="199"/>
      <c r="KZ180" s="199"/>
      <c r="LA180" s="199"/>
      <c r="LB180" s="199"/>
      <c r="LC180" s="199"/>
      <c r="LD180" s="199"/>
      <c r="LE180" s="199"/>
      <c r="LF180" s="199"/>
      <c r="LG180" s="199"/>
    </row>
    <row r="181" ht="14.25" customHeight="1">
      <c r="A181" s="156">
        <v>174.0</v>
      </c>
      <c r="B181" s="500" t="s">
        <v>290</v>
      </c>
      <c r="C181" s="501">
        <v>3374150.0</v>
      </c>
      <c r="D181" s="501" t="s">
        <v>291</v>
      </c>
      <c r="E181" s="501" t="s">
        <v>295</v>
      </c>
      <c r="F181" s="502">
        <v>5.0</v>
      </c>
      <c r="G181" s="503">
        <v>177.0</v>
      </c>
      <c r="H181" s="504">
        <v>3.0</v>
      </c>
      <c r="I181" s="505">
        <v>1.0</v>
      </c>
      <c r="J181" s="505">
        <v>1.0</v>
      </c>
      <c r="K181" s="505">
        <v>0.0</v>
      </c>
      <c r="L181" s="506">
        <v>1.0</v>
      </c>
      <c r="M181" s="506">
        <v>2.0</v>
      </c>
      <c r="N181" s="506">
        <v>0.0</v>
      </c>
      <c r="O181" s="166">
        <v>1.0</v>
      </c>
      <c r="P181" s="203">
        <v>3.0</v>
      </c>
      <c r="Q181" s="506">
        <v>0.0</v>
      </c>
      <c r="R181" s="506">
        <v>2.0</v>
      </c>
      <c r="S181" s="506">
        <v>0.0</v>
      </c>
      <c r="T181" s="507">
        <v>1.0</v>
      </c>
      <c r="U181" s="507">
        <v>1.0</v>
      </c>
      <c r="V181" s="507">
        <v>0.0</v>
      </c>
      <c r="W181" s="166">
        <f t="shared" si="225"/>
        <v>2</v>
      </c>
      <c r="X181" s="203">
        <v>4.0</v>
      </c>
      <c r="Y181" s="507">
        <v>0.0</v>
      </c>
      <c r="Z181" s="507">
        <v>3.0</v>
      </c>
      <c r="AA181" s="507">
        <v>0.0</v>
      </c>
      <c r="AB181" s="507">
        <v>1.0</v>
      </c>
      <c r="AC181" s="507">
        <v>1.0</v>
      </c>
      <c r="AD181" s="507">
        <v>0.0</v>
      </c>
      <c r="AE181" s="166">
        <f t="shared" si="214"/>
        <v>3</v>
      </c>
      <c r="AF181" s="167">
        <v>2.0</v>
      </c>
      <c r="AG181" s="508">
        <v>0.0</v>
      </c>
      <c r="AH181" s="508">
        <v>1.0</v>
      </c>
      <c r="AI181" s="508">
        <v>0.0</v>
      </c>
      <c r="AJ181" s="508">
        <v>1.0</v>
      </c>
      <c r="AK181" s="508">
        <v>0.0</v>
      </c>
      <c r="AL181" s="508">
        <v>0.0</v>
      </c>
      <c r="AM181" s="166">
        <f t="shared" si="370"/>
        <v>2</v>
      </c>
      <c r="AN181" s="167">
        <v>2.0</v>
      </c>
      <c r="AO181" s="508">
        <v>0.0</v>
      </c>
      <c r="AP181" s="508">
        <v>0.0</v>
      </c>
      <c r="AQ181" s="508">
        <v>1.0</v>
      </c>
      <c r="AR181" s="508">
        <v>1.0</v>
      </c>
      <c r="AS181" s="508">
        <v>0.0</v>
      </c>
      <c r="AT181" s="508">
        <v>0.0</v>
      </c>
      <c r="AU181" s="168">
        <f t="shared" si="375"/>
        <v>2</v>
      </c>
      <c r="AV181" s="509">
        <v>170.0</v>
      </c>
      <c r="AW181" s="204">
        <f t="shared" si="8"/>
        <v>2</v>
      </c>
      <c r="AX181" s="509">
        <v>0.0</v>
      </c>
      <c r="AY181" s="509">
        <v>0.0</v>
      </c>
      <c r="AZ181" s="509">
        <v>1.0</v>
      </c>
      <c r="BA181" s="509">
        <v>1.0</v>
      </c>
      <c r="BB181" s="509">
        <v>0.0</v>
      </c>
      <c r="BC181" s="509">
        <v>0.0</v>
      </c>
      <c r="BD181" s="509">
        <v>0.0</v>
      </c>
      <c r="BE181" s="509">
        <v>0.0</v>
      </c>
      <c r="BF181" s="509">
        <v>0.0</v>
      </c>
      <c r="BG181" s="509">
        <v>0.0</v>
      </c>
      <c r="BH181" s="509">
        <v>0.0</v>
      </c>
      <c r="BI181" s="509">
        <v>0.0</v>
      </c>
      <c r="BJ181" s="509">
        <v>0.0</v>
      </c>
      <c r="BK181" s="509">
        <v>0.0</v>
      </c>
      <c r="BL181" s="509">
        <v>0.0</v>
      </c>
      <c r="BM181" s="509">
        <v>0.0</v>
      </c>
      <c r="BN181" s="509">
        <v>0.0</v>
      </c>
      <c r="BO181" s="509">
        <v>0.0</v>
      </c>
      <c r="BP181" s="205">
        <f t="shared" si="423"/>
        <v>0</v>
      </c>
      <c r="BQ181" s="173">
        <v>184.0</v>
      </c>
      <c r="BR181" s="170">
        <f t="shared" si="10"/>
        <v>4</v>
      </c>
      <c r="BS181" s="510">
        <v>0.0</v>
      </c>
      <c r="BT181" s="510">
        <v>0.0</v>
      </c>
      <c r="BU181" s="510">
        <v>0.0</v>
      </c>
      <c r="BV181" s="510">
        <v>0.0</v>
      </c>
      <c r="BW181" s="510">
        <v>1.0</v>
      </c>
      <c r="BX181" s="510">
        <v>2.0</v>
      </c>
      <c r="BY181" s="510">
        <v>0.0</v>
      </c>
      <c r="BZ181" s="510">
        <v>1.0</v>
      </c>
      <c r="CA181" s="510">
        <v>0.0</v>
      </c>
      <c r="CB181" s="510">
        <v>0.0</v>
      </c>
      <c r="CC181" s="510">
        <v>0.0</v>
      </c>
      <c r="CD181" s="510">
        <v>1.0</v>
      </c>
      <c r="CE181" s="510">
        <v>0.0</v>
      </c>
      <c r="CF181" s="510">
        <v>0.0</v>
      </c>
      <c r="CG181" s="510">
        <v>1.0</v>
      </c>
      <c r="CH181" s="510">
        <v>0.0</v>
      </c>
      <c r="CI181" s="510">
        <v>0.0</v>
      </c>
      <c r="CJ181" s="510">
        <v>0.0</v>
      </c>
      <c r="CK181" s="172">
        <f t="shared" si="132"/>
        <v>2</v>
      </c>
      <c r="CL181" s="510">
        <v>180.0</v>
      </c>
      <c r="CM181" s="510">
        <v>72.0</v>
      </c>
      <c r="CN181" s="175">
        <f t="shared" si="295"/>
        <v>3</v>
      </c>
      <c r="CO181" s="510">
        <v>1.0</v>
      </c>
      <c r="CP181" s="510">
        <v>0.0</v>
      </c>
      <c r="CQ181" s="510">
        <v>0.0</v>
      </c>
      <c r="CR181" s="510">
        <v>1.0</v>
      </c>
      <c r="CS181" s="510">
        <v>0.0</v>
      </c>
      <c r="CT181" s="510">
        <v>0.0</v>
      </c>
      <c r="CU181" s="510">
        <v>1.0</v>
      </c>
      <c r="CV181" s="510">
        <v>0.0</v>
      </c>
      <c r="CW181" s="510">
        <v>0.0</v>
      </c>
      <c r="CX181" s="510">
        <v>0.0</v>
      </c>
      <c r="CY181" s="510">
        <v>0.0</v>
      </c>
      <c r="CZ181" s="510">
        <v>0.0</v>
      </c>
      <c r="DA181" s="510">
        <v>0.0</v>
      </c>
      <c r="DB181" s="510">
        <v>0.0</v>
      </c>
      <c r="DC181" s="510">
        <v>0.0</v>
      </c>
      <c r="DD181" s="510">
        <v>0.0</v>
      </c>
      <c r="DE181" s="510">
        <v>0.0</v>
      </c>
      <c r="DF181" s="510">
        <v>0.0</v>
      </c>
      <c r="DG181" s="176">
        <f t="shared" si="13"/>
        <v>0</v>
      </c>
      <c r="DH181" s="177">
        <v>159.0</v>
      </c>
      <c r="DI181" s="177">
        <v>61.0</v>
      </c>
      <c r="DJ181" s="178">
        <v>159.0</v>
      </c>
      <c r="DK181" s="178">
        <v>61.0</v>
      </c>
      <c r="DL181" s="179">
        <f t="shared" si="14"/>
        <v>2</v>
      </c>
      <c r="DM181" s="180">
        <f t="shared" si="15"/>
        <v>2</v>
      </c>
      <c r="DN181" s="180">
        <f t="shared" si="16"/>
        <v>0</v>
      </c>
      <c r="DO181" s="177">
        <v>1.0</v>
      </c>
      <c r="DP181" s="177">
        <v>0.0</v>
      </c>
      <c r="DQ181" s="177">
        <v>1.0</v>
      </c>
      <c r="DR181" s="177">
        <v>0.0</v>
      </c>
      <c r="DS181" s="177">
        <v>0.0</v>
      </c>
      <c r="DT181" s="177">
        <v>0.0</v>
      </c>
      <c r="DU181" s="177">
        <v>0.0</v>
      </c>
      <c r="DV181" s="177">
        <v>0.0</v>
      </c>
      <c r="DW181" s="177">
        <v>0.0</v>
      </c>
      <c r="DX181" s="177">
        <v>0.0</v>
      </c>
      <c r="DY181" s="177">
        <v>0.0</v>
      </c>
      <c r="DZ181" s="177">
        <v>1.0</v>
      </c>
      <c r="EA181" s="177">
        <v>0.0</v>
      </c>
      <c r="EB181" s="177">
        <v>0.0</v>
      </c>
      <c r="EC181" s="177">
        <v>0.0</v>
      </c>
      <c r="ED181" s="177">
        <v>0.0</v>
      </c>
      <c r="EE181" s="177">
        <v>0.0</v>
      </c>
      <c r="EF181" s="177">
        <v>0.0</v>
      </c>
      <c r="EG181" s="179">
        <f t="shared" si="17"/>
        <v>1</v>
      </c>
      <c r="EH181" s="179">
        <f t="shared" si="18"/>
        <v>0</v>
      </c>
      <c r="EI181" s="177">
        <v>157.0</v>
      </c>
      <c r="EJ181" s="177">
        <v>63.0</v>
      </c>
      <c r="EK181" s="178">
        <v>157.0</v>
      </c>
      <c r="EL181" s="178">
        <v>63.0</v>
      </c>
      <c r="EM181" s="185">
        <f t="shared" si="362"/>
        <v>3</v>
      </c>
      <c r="EN181" s="186">
        <f t="shared" si="202"/>
        <v>3</v>
      </c>
      <c r="EO181" s="186">
        <f t="shared" si="90"/>
        <v>0</v>
      </c>
      <c r="EP181" s="177">
        <v>0.0</v>
      </c>
      <c r="EQ181" s="177">
        <v>0.0</v>
      </c>
      <c r="ER181" s="177">
        <v>1.0</v>
      </c>
      <c r="ES181" s="177">
        <v>0.0</v>
      </c>
      <c r="ET181" s="177">
        <v>1.0</v>
      </c>
      <c r="EU181" s="177">
        <v>0.0</v>
      </c>
      <c r="EV181" s="177">
        <v>1.0</v>
      </c>
      <c r="EW181" s="177">
        <v>0.0</v>
      </c>
      <c r="EX181" s="177">
        <v>0.0</v>
      </c>
      <c r="EY181" s="177">
        <v>1.0</v>
      </c>
      <c r="EZ181" s="177">
        <v>0.0</v>
      </c>
      <c r="FA181" s="177">
        <v>0.0</v>
      </c>
      <c r="FB181" s="177">
        <v>0.0</v>
      </c>
      <c r="FC181" s="177">
        <v>0.0</v>
      </c>
      <c r="FD181" s="177">
        <v>0.0</v>
      </c>
      <c r="FE181" s="177">
        <v>0.0</v>
      </c>
      <c r="FF181" s="177">
        <v>0.0</v>
      </c>
      <c r="FG181" s="177">
        <v>0.0</v>
      </c>
      <c r="FH181" s="185">
        <f t="shared" si="22"/>
        <v>1</v>
      </c>
      <c r="FI181" s="185">
        <f t="shared" si="23"/>
        <v>1</v>
      </c>
      <c r="FJ181" s="510">
        <v>157.0</v>
      </c>
      <c r="FK181" s="510">
        <v>65.0</v>
      </c>
      <c r="FL181" s="510">
        <v>157.0</v>
      </c>
      <c r="FM181" s="510">
        <v>65.0</v>
      </c>
      <c r="FN181" s="180"/>
      <c r="FO181" s="180">
        <v>3.0</v>
      </c>
      <c r="FP181" s="188">
        <f t="shared" si="412"/>
        <v>3</v>
      </c>
      <c r="FQ181" s="211">
        <v>3.0</v>
      </c>
      <c r="FR181" s="212">
        <v>0.0</v>
      </c>
      <c r="FS181" s="511">
        <v>1.0</v>
      </c>
      <c r="FT181" s="512">
        <v>0.0</v>
      </c>
      <c r="FU181" s="512">
        <v>2.0</v>
      </c>
      <c r="FV181" s="512">
        <v>0.0</v>
      </c>
      <c r="FW181" s="512">
        <v>0.0</v>
      </c>
      <c r="FX181" s="512">
        <v>0.0</v>
      </c>
      <c r="FY181" s="512">
        <v>0.0</v>
      </c>
      <c r="FZ181" s="512">
        <v>0.0</v>
      </c>
      <c r="GA181" s="512">
        <v>0.0</v>
      </c>
      <c r="GB181" s="512">
        <v>0.0</v>
      </c>
      <c r="GC181" s="512">
        <v>0.0</v>
      </c>
      <c r="GD181" s="512">
        <v>0.0</v>
      </c>
      <c r="GE181" s="512">
        <v>0.0</v>
      </c>
      <c r="GF181" s="512">
        <v>0.0</v>
      </c>
      <c r="GG181" s="512">
        <v>0.0</v>
      </c>
      <c r="GH181" s="512">
        <v>0.0</v>
      </c>
      <c r="GI181" s="512">
        <v>0.0</v>
      </c>
      <c r="GJ181" s="512">
        <v>0.0</v>
      </c>
      <c r="GK181" s="212">
        <v>0.0</v>
      </c>
      <c r="GL181" s="212">
        <v>0.0</v>
      </c>
      <c r="GM181" s="207">
        <v>155.0</v>
      </c>
      <c r="GN181" s="207">
        <v>62.0</v>
      </c>
      <c r="GO181" s="213">
        <v>155.0</v>
      </c>
      <c r="GP181" s="213">
        <v>62.0</v>
      </c>
      <c r="GQ181" s="207"/>
      <c r="GR181" s="213">
        <v>4.0</v>
      </c>
      <c r="GS181" s="193">
        <v>3.0</v>
      </c>
      <c r="GT181" s="194">
        <f t="shared" si="25"/>
        <v>4</v>
      </c>
      <c r="GU181" s="194">
        <f t="shared" si="26"/>
        <v>3</v>
      </c>
      <c r="GV181" s="194">
        <f t="shared" si="27"/>
        <v>1</v>
      </c>
      <c r="GW181" s="207">
        <v>0.0</v>
      </c>
      <c r="GX181" s="207">
        <v>1.0</v>
      </c>
      <c r="GY181" s="207">
        <v>1.0</v>
      </c>
      <c r="GZ181" s="207">
        <v>1.0</v>
      </c>
      <c r="HA181" s="207">
        <v>0.0</v>
      </c>
      <c r="HB181" s="207">
        <v>0.0</v>
      </c>
      <c r="HC181" s="207">
        <v>1.0</v>
      </c>
      <c r="HD181" s="207">
        <v>0.0</v>
      </c>
      <c r="HE181" s="207">
        <v>0.0</v>
      </c>
      <c r="HF181" s="207">
        <v>0.0</v>
      </c>
      <c r="HG181" s="207">
        <v>0.0</v>
      </c>
      <c r="HH181" s="207">
        <v>0.0</v>
      </c>
      <c r="HI181" s="207">
        <v>0.0</v>
      </c>
      <c r="HJ181" s="207">
        <v>0.0</v>
      </c>
      <c r="HK181" s="207">
        <v>0.0</v>
      </c>
      <c r="HL181" s="207">
        <v>0.0</v>
      </c>
      <c r="HM181" s="207">
        <v>0.0</v>
      </c>
      <c r="HN181" s="207">
        <v>0.0</v>
      </c>
      <c r="HO181" s="222"/>
      <c r="HP181" s="222"/>
      <c r="HQ181" s="214"/>
      <c r="HR181" s="197"/>
      <c r="HS181" s="197"/>
      <c r="HT181" s="198">
        <f t="shared" si="28"/>
        <v>3</v>
      </c>
      <c r="HU181" s="198">
        <f t="shared" si="29"/>
        <v>3</v>
      </c>
      <c r="HV181" s="198">
        <f t="shared" si="30"/>
        <v>4</v>
      </c>
      <c r="HW181" s="198">
        <f t="shared" si="99"/>
        <v>2</v>
      </c>
      <c r="HX181" s="198">
        <f t="shared" si="32"/>
        <v>2</v>
      </c>
      <c r="HY181" s="198">
        <f t="shared" si="33"/>
        <v>2</v>
      </c>
      <c r="HZ181" s="198">
        <f t="shared" si="34"/>
        <v>4</v>
      </c>
      <c r="IA181" s="198">
        <f t="shared" si="35"/>
        <v>3</v>
      </c>
      <c r="IB181" s="198">
        <f t="shared" si="36"/>
        <v>2</v>
      </c>
      <c r="IC181" s="198">
        <f t="shared" si="37"/>
        <v>3</v>
      </c>
      <c r="ID181" s="198">
        <f t="shared" si="38"/>
        <v>3</v>
      </c>
      <c r="IE181" s="198">
        <f t="shared" si="39"/>
        <v>4</v>
      </c>
      <c r="IF181" s="197"/>
      <c r="IG181" s="197"/>
      <c r="IH181" s="197"/>
      <c r="II181" s="197"/>
      <c r="IJ181" s="197"/>
      <c r="IK181" s="197"/>
      <c r="IL181" s="197"/>
      <c r="IM181" s="197"/>
      <c r="IN181" s="197"/>
      <c r="IO181" s="197"/>
      <c r="IP181" s="197"/>
      <c r="IQ181" s="197"/>
      <c r="IR181" s="197"/>
      <c r="IS181" s="197"/>
      <c r="IT181" s="197"/>
      <c r="IU181" s="197"/>
      <c r="IV181" s="197"/>
      <c r="IW181" s="197"/>
      <c r="IX181" s="197"/>
      <c r="IY181" s="197"/>
      <c r="IZ181" s="197"/>
      <c r="JA181" s="199"/>
      <c r="JB181" s="200">
        <f t="shared" si="40"/>
        <v>3</v>
      </c>
      <c r="JC181" s="200">
        <f t="shared" si="41"/>
        <v>3</v>
      </c>
      <c r="JD181" s="200">
        <f t="shared" si="42"/>
        <v>4</v>
      </c>
      <c r="JE181" s="200">
        <f t="shared" si="43"/>
        <v>2</v>
      </c>
      <c r="JF181" s="200">
        <f t="shared" si="44"/>
        <v>2</v>
      </c>
      <c r="JG181" s="200">
        <f t="shared" si="45"/>
        <v>2</v>
      </c>
      <c r="JH181" s="200">
        <f t="shared" si="46"/>
        <v>4</v>
      </c>
      <c r="JI181" s="200">
        <f t="shared" si="47"/>
        <v>3</v>
      </c>
      <c r="JJ181" s="200">
        <f t="shared" si="48"/>
        <v>2</v>
      </c>
      <c r="JK181" s="200">
        <f t="shared" si="49"/>
        <v>4</v>
      </c>
      <c r="JL181" s="200">
        <f t="shared" si="50"/>
        <v>3</v>
      </c>
      <c r="JM181" s="200">
        <f t="shared" si="51"/>
        <v>4</v>
      </c>
      <c r="JN181" s="199"/>
      <c r="JO181" s="200">
        <f t="shared" si="52"/>
        <v>3</v>
      </c>
      <c r="JP181" s="202">
        <v>3.0</v>
      </c>
      <c r="JQ181" s="202">
        <v>4.0</v>
      </c>
      <c r="JR181" s="202">
        <v>2.0</v>
      </c>
      <c r="JS181" s="202">
        <v>2.0</v>
      </c>
      <c r="JT181" s="199"/>
      <c r="JU181" s="199"/>
      <c r="JV181" s="200">
        <f t="shared" ref="JV181:JX181" si="440">IA181-JI181</f>
        <v>0</v>
      </c>
      <c r="JW181" s="200">
        <f t="shared" si="440"/>
        <v>0</v>
      </c>
      <c r="JX181" s="200">
        <f t="shared" si="440"/>
        <v>-1</v>
      </c>
      <c r="JY181" s="199"/>
      <c r="JZ181" s="199"/>
      <c r="KA181" s="199"/>
      <c r="KB181" s="200">
        <f t="shared" ref="KB181:KM181" si="441">JB181-JO181</f>
        <v>0</v>
      </c>
      <c r="KC181" s="200">
        <f t="shared" si="441"/>
        <v>0</v>
      </c>
      <c r="KD181" s="200">
        <f t="shared" si="441"/>
        <v>0</v>
      </c>
      <c r="KE181" s="200">
        <f t="shared" si="441"/>
        <v>0</v>
      </c>
      <c r="KF181" s="200">
        <f t="shared" si="441"/>
        <v>0</v>
      </c>
      <c r="KG181" s="200">
        <f t="shared" si="441"/>
        <v>2</v>
      </c>
      <c r="KH181" s="200">
        <f t="shared" si="441"/>
        <v>4</v>
      </c>
      <c r="KI181" s="200">
        <f t="shared" si="441"/>
        <v>3</v>
      </c>
      <c r="KJ181" s="200">
        <f t="shared" si="441"/>
        <v>2</v>
      </c>
      <c r="KK181" s="200">
        <f t="shared" si="441"/>
        <v>5</v>
      </c>
      <c r="KL181" s="200">
        <f t="shared" si="441"/>
        <v>3</v>
      </c>
      <c r="KM181" s="200">
        <f t="shared" si="441"/>
        <v>4</v>
      </c>
      <c r="KN181" s="199"/>
      <c r="KO181" s="199"/>
      <c r="KP181" s="199"/>
      <c r="KQ181" s="199"/>
      <c r="KR181" s="199"/>
      <c r="KS181" s="199"/>
      <c r="KT181" s="199"/>
      <c r="KU181" s="199"/>
      <c r="KV181" s="199"/>
      <c r="KW181" s="199"/>
      <c r="KX181" s="199"/>
      <c r="KY181" s="199"/>
      <c r="KZ181" s="199"/>
      <c r="LA181" s="199"/>
      <c r="LB181" s="199"/>
      <c r="LC181" s="199"/>
      <c r="LD181" s="199"/>
      <c r="LE181" s="199"/>
      <c r="LF181" s="199"/>
      <c r="LG181" s="199"/>
    </row>
    <row r="182" ht="14.25" customHeight="1">
      <c r="A182" s="156">
        <v>175.0</v>
      </c>
      <c r="B182" s="157" t="s">
        <v>290</v>
      </c>
      <c r="C182" s="158">
        <v>3374150.0</v>
      </c>
      <c r="D182" s="158" t="s">
        <v>296</v>
      </c>
      <c r="E182" s="158" t="s">
        <v>297</v>
      </c>
      <c r="F182" s="159">
        <v>11.0</v>
      </c>
      <c r="G182" s="285"/>
      <c r="H182" s="160">
        <v>11.0</v>
      </c>
      <c r="I182" s="161"/>
      <c r="J182" s="161"/>
      <c r="K182" s="161">
        <v>0.0</v>
      </c>
      <c r="L182" s="164">
        <v>11.0</v>
      </c>
      <c r="M182" s="164">
        <v>0.0</v>
      </c>
      <c r="N182" s="164">
        <v>0.0</v>
      </c>
      <c r="O182" s="166">
        <f t="shared" ref="O182:O184" si="444">H182-(M182+N182)</f>
        <v>11</v>
      </c>
      <c r="P182" s="203">
        <v>14.0</v>
      </c>
      <c r="Q182" s="164"/>
      <c r="R182" s="164"/>
      <c r="S182" s="164">
        <v>2.0</v>
      </c>
      <c r="T182" s="165">
        <v>12.0</v>
      </c>
      <c r="U182" s="165">
        <v>3.0</v>
      </c>
      <c r="V182" s="165"/>
      <c r="W182" s="166">
        <f t="shared" si="225"/>
        <v>11</v>
      </c>
      <c r="X182" s="203">
        <v>11.0</v>
      </c>
      <c r="Y182" s="165"/>
      <c r="Z182" s="165"/>
      <c r="AA182" s="165">
        <v>2.0</v>
      </c>
      <c r="AB182" s="165">
        <v>9.0</v>
      </c>
      <c r="AC182" s="165">
        <v>0.0</v>
      </c>
      <c r="AD182" s="165"/>
      <c r="AE182" s="166">
        <f t="shared" si="214"/>
        <v>11</v>
      </c>
      <c r="AF182" s="167">
        <v>10.0</v>
      </c>
      <c r="AG182" s="165"/>
      <c r="AH182" s="165"/>
      <c r="AI182" s="165">
        <v>1.0</v>
      </c>
      <c r="AJ182" s="165">
        <v>9.0</v>
      </c>
      <c r="AK182" s="165"/>
      <c r="AL182" s="165">
        <v>1.0</v>
      </c>
      <c r="AM182" s="166">
        <f t="shared" si="370"/>
        <v>9</v>
      </c>
      <c r="AN182" s="167">
        <v>9.0</v>
      </c>
      <c r="AO182" s="165"/>
      <c r="AP182" s="165"/>
      <c r="AQ182" s="165">
        <v>1.0</v>
      </c>
      <c r="AR182" s="165">
        <v>8.0</v>
      </c>
      <c r="AS182" s="165"/>
      <c r="AT182" s="165">
        <v>0.0</v>
      </c>
      <c r="AU182" s="168">
        <f t="shared" si="375"/>
        <v>9</v>
      </c>
      <c r="AV182" s="169">
        <v>424.0</v>
      </c>
      <c r="AW182" s="204">
        <f t="shared" si="8"/>
        <v>10</v>
      </c>
      <c r="AX182" s="169"/>
      <c r="AY182" s="197"/>
      <c r="AZ182" s="169">
        <v>1.0</v>
      </c>
      <c r="BA182" s="169">
        <v>8.0</v>
      </c>
      <c r="BB182" s="169">
        <v>1.0</v>
      </c>
      <c r="BC182" s="197"/>
      <c r="BD182" s="197"/>
      <c r="BE182" s="197"/>
      <c r="BF182" s="169"/>
      <c r="BG182" s="197"/>
      <c r="BH182" s="169"/>
      <c r="BI182" s="197"/>
      <c r="BJ182" s="197"/>
      <c r="BK182" s="197"/>
      <c r="BL182" s="197"/>
      <c r="BM182" s="197"/>
      <c r="BN182" s="197"/>
      <c r="BO182" s="197"/>
      <c r="BP182" s="205">
        <f t="shared" si="423"/>
        <v>0</v>
      </c>
      <c r="BQ182" s="173">
        <v>430.0</v>
      </c>
      <c r="BR182" s="170">
        <f t="shared" si="10"/>
        <v>10</v>
      </c>
      <c r="BS182" s="173">
        <v>1.0</v>
      </c>
      <c r="BT182" s="6"/>
      <c r="BU182" s="173">
        <v>1.0</v>
      </c>
      <c r="BV182" s="173">
        <v>8.0</v>
      </c>
      <c r="BW182" s="6"/>
      <c r="BX182" s="6"/>
      <c r="BY182" s="6"/>
      <c r="BZ182" s="6"/>
      <c r="CA182" s="6"/>
      <c r="CB182" s="6"/>
      <c r="CC182" s="6"/>
      <c r="CD182" s="6"/>
      <c r="CE182" s="173">
        <v>1.0</v>
      </c>
      <c r="CF182" s="6"/>
      <c r="CG182" s="6"/>
      <c r="CH182" s="6"/>
      <c r="CI182" s="6"/>
      <c r="CJ182" s="6"/>
      <c r="CK182" s="172">
        <f t="shared" si="132"/>
        <v>1</v>
      </c>
      <c r="CL182" s="173">
        <v>416.0</v>
      </c>
      <c r="CM182" s="173">
        <v>179.0</v>
      </c>
      <c r="CN182" s="175">
        <f t="shared" si="295"/>
        <v>10</v>
      </c>
      <c r="CO182" s="173">
        <v>1.0</v>
      </c>
      <c r="CP182" s="6"/>
      <c r="CQ182" s="173">
        <v>1.0</v>
      </c>
      <c r="CR182" s="173">
        <v>8.0</v>
      </c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176">
        <f t="shared" si="13"/>
        <v>0</v>
      </c>
      <c r="DH182" s="177">
        <v>350.0</v>
      </c>
      <c r="DI182" s="177">
        <v>147.0</v>
      </c>
      <c r="DJ182" s="178">
        <v>340.0</v>
      </c>
      <c r="DK182" s="178">
        <v>144.0</v>
      </c>
      <c r="DL182" s="179">
        <f t="shared" si="14"/>
        <v>9</v>
      </c>
      <c r="DM182" s="180">
        <f t="shared" si="15"/>
        <v>1</v>
      </c>
      <c r="DN182" s="180">
        <f t="shared" si="16"/>
        <v>8</v>
      </c>
      <c r="DO182" s="226"/>
      <c r="DP182" s="226"/>
      <c r="DQ182" s="177">
        <v>1.0</v>
      </c>
      <c r="DR182" s="177">
        <v>8.0</v>
      </c>
      <c r="DS182" s="226"/>
      <c r="DT182" s="226"/>
      <c r="DU182" s="226"/>
      <c r="DV182" s="226"/>
      <c r="DW182" s="226"/>
      <c r="DX182" s="226"/>
      <c r="DY182" s="226"/>
      <c r="DZ182" s="226"/>
      <c r="EA182" s="226"/>
      <c r="EB182" s="226"/>
      <c r="EC182" s="226"/>
      <c r="ED182" s="226"/>
      <c r="EE182" s="226"/>
      <c r="EF182" s="226"/>
      <c r="EG182" s="179">
        <f t="shared" si="17"/>
        <v>0</v>
      </c>
      <c r="EH182" s="179">
        <f t="shared" si="18"/>
        <v>0</v>
      </c>
      <c r="EI182" s="177">
        <v>348.0</v>
      </c>
      <c r="EJ182" s="177">
        <v>157.0</v>
      </c>
      <c r="EK182" s="178">
        <v>337.0</v>
      </c>
      <c r="EL182" s="178">
        <v>151.0</v>
      </c>
      <c r="EM182" s="185">
        <f t="shared" si="362"/>
        <v>9</v>
      </c>
      <c r="EN182" s="186">
        <v>2.0</v>
      </c>
      <c r="EO182" s="186">
        <v>7.0</v>
      </c>
      <c r="EP182" s="226"/>
      <c r="EQ182" s="226"/>
      <c r="ER182" s="177"/>
      <c r="ES182" s="177">
        <v>7.0</v>
      </c>
      <c r="ET182" s="226"/>
      <c r="EU182" s="226"/>
      <c r="EV182" s="177">
        <v>2.0</v>
      </c>
      <c r="EW182" s="226"/>
      <c r="EX182" s="226"/>
      <c r="EY182" s="226"/>
      <c r="EZ182" s="226"/>
      <c r="FA182" s="177">
        <v>1.0</v>
      </c>
      <c r="FB182" s="227"/>
      <c r="FC182" s="226"/>
      <c r="FD182" s="226"/>
      <c r="FE182" s="226"/>
      <c r="FF182" s="177">
        <v>1.0</v>
      </c>
      <c r="FG182" s="226"/>
      <c r="FH182" s="185">
        <f t="shared" si="22"/>
        <v>2</v>
      </c>
      <c r="FI182" s="185">
        <f t="shared" si="23"/>
        <v>0</v>
      </c>
      <c r="FJ182" s="177">
        <v>343.0</v>
      </c>
      <c r="FK182" s="177">
        <v>152.0</v>
      </c>
      <c r="FL182" s="177">
        <v>335.0</v>
      </c>
      <c r="FM182" s="177">
        <v>148.0</v>
      </c>
      <c r="FN182" s="180"/>
      <c r="FO182" s="180">
        <v>7.0</v>
      </c>
      <c r="FP182" s="188">
        <f t="shared" si="412"/>
        <v>7</v>
      </c>
      <c r="FQ182" s="211">
        <v>1.0</v>
      </c>
      <c r="FR182" s="212">
        <v>6.0</v>
      </c>
      <c r="FS182" s="206">
        <v>0.0</v>
      </c>
      <c r="FT182" s="207">
        <v>0.0</v>
      </c>
      <c r="FU182" s="207">
        <v>1.0</v>
      </c>
      <c r="FV182" s="207">
        <v>6.0</v>
      </c>
      <c r="FW182" s="207">
        <v>0.0</v>
      </c>
      <c r="FX182" s="207">
        <v>0.0</v>
      </c>
      <c r="FY182" s="207">
        <v>0.0</v>
      </c>
      <c r="FZ182" s="207">
        <v>0.0</v>
      </c>
      <c r="GA182" s="207">
        <v>0.0</v>
      </c>
      <c r="GB182" s="207">
        <v>0.0</v>
      </c>
      <c r="GC182" s="207">
        <v>0.0</v>
      </c>
      <c r="GD182" s="207">
        <v>1.0</v>
      </c>
      <c r="GE182" s="207">
        <v>0.0</v>
      </c>
      <c r="GF182" s="207">
        <v>0.0</v>
      </c>
      <c r="GG182" s="207">
        <v>0.0</v>
      </c>
      <c r="GH182" s="207">
        <v>0.0</v>
      </c>
      <c r="GI182" s="207">
        <v>1.0</v>
      </c>
      <c r="GJ182" s="207">
        <v>0.0</v>
      </c>
      <c r="GK182" s="212">
        <v>2.0</v>
      </c>
      <c r="GL182" s="212">
        <v>0.0</v>
      </c>
      <c r="GM182" s="207">
        <v>339.0</v>
      </c>
      <c r="GN182" s="207">
        <v>156.0</v>
      </c>
      <c r="GO182" s="213">
        <v>329.0</v>
      </c>
      <c r="GP182" s="191">
        <v>149.0</v>
      </c>
      <c r="GQ182" s="207"/>
      <c r="GR182" s="213">
        <v>7.0</v>
      </c>
      <c r="GS182" s="193">
        <v>2.0</v>
      </c>
      <c r="GT182" s="194">
        <f t="shared" si="25"/>
        <v>7</v>
      </c>
      <c r="GU182" s="194">
        <f t="shared" si="26"/>
        <v>2</v>
      </c>
      <c r="GV182" s="194">
        <f t="shared" si="27"/>
        <v>5</v>
      </c>
      <c r="GW182" s="207">
        <v>0.0</v>
      </c>
      <c r="GX182" s="207">
        <v>0.0</v>
      </c>
      <c r="GY182" s="207">
        <v>1.0</v>
      </c>
      <c r="GZ182" s="207">
        <v>5.0</v>
      </c>
      <c r="HA182" s="207">
        <v>1.0</v>
      </c>
      <c r="HB182" s="207">
        <v>0.0</v>
      </c>
      <c r="HC182" s="207">
        <v>0.0</v>
      </c>
      <c r="HD182" s="207">
        <v>0.0</v>
      </c>
      <c r="HE182" s="207">
        <v>0.0</v>
      </c>
      <c r="HF182" s="207">
        <v>0.0</v>
      </c>
      <c r="HG182" s="207">
        <v>0.0</v>
      </c>
      <c r="HH182" s="207">
        <v>1.0</v>
      </c>
      <c r="HI182" s="207">
        <v>0.0</v>
      </c>
      <c r="HJ182" s="207">
        <v>0.0</v>
      </c>
      <c r="HK182" s="207">
        <v>0.0</v>
      </c>
      <c r="HL182" s="207">
        <v>0.0</v>
      </c>
      <c r="HM182" s="207">
        <v>0.0</v>
      </c>
      <c r="HN182" s="207">
        <v>0.0</v>
      </c>
      <c r="HO182" s="222"/>
      <c r="HP182" s="222"/>
      <c r="HQ182" s="214"/>
      <c r="HR182" s="197"/>
      <c r="HS182" s="197"/>
      <c r="HT182" s="198">
        <f t="shared" si="28"/>
        <v>11</v>
      </c>
      <c r="HU182" s="198">
        <f t="shared" si="29"/>
        <v>14</v>
      </c>
      <c r="HV182" s="198">
        <f t="shared" si="30"/>
        <v>11</v>
      </c>
      <c r="HW182" s="198">
        <f t="shared" si="99"/>
        <v>10</v>
      </c>
      <c r="HX182" s="198">
        <f t="shared" si="32"/>
        <v>9</v>
      </c>
      <c r="HY182" s="198">
        <f t="shared" si="33"/>
        <v>10</v>
      </c>
      <c r="HZ182" s="198">
        <f t="shared" si="34"/>
        <v>10</v>
      </c>
      <c r="IA182" s="198">
        <f t="shared" si="35"/>
        <v>10</v>
      </c>
      <c r="IB182" s="198">
        <f t="shared" si="36"/>
        <v>9</v>
      </c>
      <c r="IC182" s="198">
        <f t="shared" si="37"/>
        <v>9</v>
      </c>
      <c r="ID182" s="198">
        <f t="shared" si="38"/>
        <v>7</v>
      </c>
      <c r="IE182" s="198">
        <f t="shared" si="39"/>
        <v>7</v>
      </c>
      <c r="IF182" s="197"/>
      <c r="IG182" s="197"/>
      <c r="IH182" s="197"/>
      <c r="II182" s="197"/>
      <c r="IJ182" s="197"/>
      <c r="IK182" s="197"/>
      <c r="IL182" s="197"/>
      <c r="IM182" s="197"/>
      <c r="IN182" s="197"/>
      <c r="IO182" s="197"/>
      <c r="IP182" s="197"/>
      <c r="IQ182" s="197"/>
      <c r="IR182" s="197"/>
      <c r="IS182" s="197"/>
      <c r="IT182" s="197"/>
      <c r="IU182" s="197"/>
      <c r="IV182" s="197"/>
      <c r="IW182" s="197"/>
      <c r="IX182" s="197"/>
      <c r="IY182" s="197"/>
      <c r="IZ182" s="197"/>
      <c r="JA182" s="199"/>
      <c r="JB182" s="200">
        <f t="shared" si="40"/>
        <v>11</v>
      </c>
      <c r="JC182" s="200">
        <f t="shared" si="41"/>
        <v>14</v>
      </c>
      <c r="JD182" s="200">
        <f t="shared" si="42"/>
        <v>11</v>
      </c>
      <c r="JE182" s="200">
        <f t="shared" si="43"/>
        <v>10</v>
      </c>
      <c r="JF182" s="200">
        <f t="shared" si="44"/>
        <v>9</v>
      </c>
      <c r="JG182" s="200">
        <f t="shared" si="45"/>
        <v>10</v>
      </c>
      <c r="JH182" s="200">
        <f t="shared" si="46"/>
        <v>10</v>
      </c>
      <c r="JI182" s="200">
        <f t="shared" si="47"/>
        <v>10</v>
      </c>
      <c r="JJ182" s="200">
        <f t="shared" si="48"/>
        <v>9</v>
      </c>
      <c r="JK182" s="200">
        <f t="shared" si="49"/>
        <v>10</v>
      </c>
      <c r="JL182" s="200">
        <f t="shared" si="50"/>
        <v>7</v>
      </c>
      <c r="JM182" s="200">
        <f t="shared" si="51"/>
        <v>7</v>
      </c>
      <c r="JN182" s="199"/>
      <c r="JO182" s="200">
        <f t="shared" si="52"/>
        <v>11</v>
      </c>
      <c r="JP182" s="202">
        <v>14.0</v>
      </c>
      <c r="JQ182" s="202">
        <v>11.0</v>
      </c>
      <c r="JR182" s="202">
        <v>10.0</v>
      </c>
      <c r="JS182" s="202">
        <v>9.0</v>
      </c>
      <c r="JT182" s="199"/>
      <c r="JU182" s="199"/>
      <c r="JV182" s="200">
        <f t="shared" ref="JV182:JX182" si="442">IA182-JI182</f>
        <v>0</v>
      </c>
      <c r="JW182" s="200">
        <f t="shared" si="442"/>
        <v>0</v>
      </c>
      <c r="JX182" s="200">
        <f t="shared" si="442"/>
        <v>-1</v>
      </c>
      <c r="JY182" s="199"/>
      <c r="JZ182" s="199"/>
      <c r="KA182" s="199"/>
      <c r="KB182" s="200">
        <f t="shared" ref="KB182:KM182" si="443">JB182-JO182</f>
        <v>0</v>
      </c>
      <c r="KC182" s="200">
        <f t="shared" si="443"/>
        <v>0</v>
      </c>
      <c r="KD182" s="200">
        <f t="shared" si="443"/>
        <v>0</v>
      </c>
      <c r="KE182" s="200">
        <f t="shared" si="443"/>
        <v>0</v>
      </c>
      <c r="KF182" s="200">
        <f t="shared" si="443"/>
        <v>0</v>
      </c>
      <c r="KG182" s="200">
        <f t="shared" si="443"/>
        <v>10</v>
      </c>
      <c r="KH182" s="200">
        <f t="shared" si="443"/>
        <v>10</v>
      </c>
      <c r="KI182" s="200">
        <f t="shared" si="443"/>
        <v>10</v>
      </c>
      <c r="KJ182" s="200">
        <f t="shared" si="443"/>
        <v>9</v>
      </c>
      <c r="KK182" s="200">
        <f t="shared" si="443"/>
        <v>11</v>
      </c>
      <c r="KL182" s="200">
        <f t="shared" si="443"/>
        <v>7</v>
      </c>
      <c r="KM182" s="200">
        <f t="shared" si="443"/>
        <v>7</v>
      </c>
      <c r="KN182" s="199"/>
      <c r="KO182" s="199"/>
      <c r="KP182" s="199"/>
      <c r="KQ182" s="199"/>
      <c r="KR182" s="199"/>
      <c r="KS182" s="199"/>
      <c r="KT182" s="199"/>
      <c r="KU182" s="199"/>
      <c r="KV182" s="199"/>
      <c r="KW182" s="199"/>
      <c r="KX182" s="199"/>
      <c r="KY182" s="199"/>
      <c r="KZ182" s="199"/>
      <c r="LA182" s="199"/>
      <c r="LB182" s="199"/>
      <c r="LC182" s="199"/>
      <c r="LD182" s="199"/>
      <c r="LE182" s="199"/>
      <c r="LF182" s="199"/>
      <c r="LG182" s="199"/>
    </row>
    <row r="183" ht="14.25" customHeight="1">
      <c r="A183" s="156">
        <v>176.0</v>
      </c>
      <c r="B183" s="157" t="s">
        <v>290</v>
      </c>
      <c r="C183" s="158">
        <v>3374150.0</v>
      </c>
      <c r="D183" s="158" t="s">
        <v>296</v>
      </c>
      <c r="E183" s="158" t="s">
        <v>298</v>
      </c>
      <c r="F183" s="159">
        <v>7.0</v>
      </c>
      <c r="G183" s="285"/>
      <c r="H183" s="160">
        <v>5.0</v>
      </c>
      <c r="I183" s="161"/>
      <c r="J183" s="161"/>
      <c r="K183" s="161">
        <v>1.0</v>
      </c>
      <c r="L183" s="164">
        <v>4.0</v>
      </c>
      <c r="M183" s="164"/>
      <c r="N183" s="164"/>
      <c r="O183" s="166">
        <f t="shared" si="444"/>
        <v>5</v>
      </c>
      <c r="P183" s="203">
        <v>6.0</v>
      </c>
      <c r="Q183" s="164"/>
      <c r="R183" s="164">
        <v>1.0</v>
      </c>
      <c r="S183" s="164">
        <v>1.0</v>
      </c>
      <c r="T183" s="165">
        <v>4.0</v>
      </c>
      <c r="U183" s="165">
        <v>1.0</v>
      </c>
      <c r="V183" s="165"/>
      <c r="W183" s="166">
        <f t="shared" si="225"/>
        <v>5</v>
      </c>
      <c r="X183" s="203">
        <v>7.0</v>
      </c>
      <c r="Y183" s="165"/>
      <c r="Z183" s="165">
        <v>1.0</v>
      </c>
      <c r="AA183" s="165">
        <v>1.0</v>
      </c>
      <c r="AB183" s="165">
        <v>5.0</v>
      </c>
      <c r="AC183" s="165">
        <v>2.0</v>
      </c>
      <c r="AD183" s="165"/>
      <c r="AE183" s="166">
        <f t="shared" si="214"/>
        <v>5</v>
      </c>
      <c r="AF183" s="167">
        <v>5.0</v>
      </c>
      <c r="AG183" s="165"/>
      <c r="AH183" s="165">
        <v>1.0</v>
      </c>
      <c r="AI183" s="165"/>
      <c r="AJ183" s="165">
        <v>4.0</v>
      </c>
      <c r="AK183" s="165">
        <v>0.0</v>
      </c>
      <c r="AL183" s="165"/>
      <c r="AM183" s="166">
        <f t="shared" si="370"/>
        <v>5</v>
      </c>
      <c r="AN183" s="167">
        <v>4.0</v>
      </c>
      <c r="AO183" s="165"/>
      <c r="AP183" s="165"/>
      <c r="AQ183" s="165">
        <v>2.0</v>
      </c>
      <c r="AR183" s="165">
        <v>2.0</v>
      </c>
      <c r="AS183" s="165"/>
      <c r="AT183" s="165">
        <v>1.0</v>
      </c>
      <c r="AU183" s="168">
        <f t="shared" si="375"/>
        <v>3</v>
      </c>
      <c r="AV183" s="169">
        <v>214.0</v>
      </c>
      <c r="AW183" s="204">
        <f t="shared" si="8"/>
        <v>3</v>
      </c>
      <c r="AX183" s="197"/>
      <c r="AY183" s="197"/>
      <c r="AZ183" s="169"/>
      <c r="BA183" s="169">
        <v>3.0</v>
      </c>
      <c r="BB183" s="197"/>
      <c r="BC183" s="197"/>
      <c r="BD183" s="197"/>
      <c r="BE183" s="197"/>
      <c r="BF183" s="197"/>
      <c r="BG183" s="197"/>
      <c r="BH183" s="169">
        <v>1.0</v>
      </c>
      <c r="BI183" s="197"/>
      <c r="BJ183" s="197"/>
      <c r="BK183" s="197"/>
      <c r="BL183" s="197"/>
      <c r="BM183" s="197"/>
      <c r="BN183" s="197"/>
      <c r="BO183" s="197"/>
      <c r="BP183" s="205">
        <f t="shared" si="423"/>
        <v>1</v>
      </c>
      <c r="BQ183" s="173">
        <v>211.0</v>
      </c>
      <c r="BR183" s="170">
        <f t="shared" si="10"/>
        <v>3</v>
      </c>
      <c r="BS183" s="6"/>
      <c r="BT183" s="6"/>
      <c r="BU183" s="6"/>
      <c r="BV183" s="173">
        <v>3.0</v>
      </c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172">
        <f t="shared" si="132"/>
        <v>0</v>
      </c>
      <c r="CL183" s="173">
        <v>478.0</v>
      </c>
      <c r="CM183" s="173">
        <v>176.0</v>
      </c>
      <c r="CN183" s="175">
        <f t="shared" si="295"/>
        <v>3</v>
      </c>
      <c r="CO183" s="6"/>
      <c r="CP183" s="6"/>
      <c r="CQ183" s="6"/>
      <c r="CR183" s="173">
        <v>3.0</v>
      </c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176">
        <f t="shared" si="13"/>
        <v>0</v>
      </c>
      <c r="DH183" s="177">
        <v>207.0</v>
      </c>
      <c r="DI183" s="177">
        <v>64.0</v>
      </c>
      <c r="DJ183" s="178">
        <v>176.0</v>
      </c>
      <c r="DK183" s="178">
        <v>54.0</v>
      </c>
      <c r="DL183" s="179">
        <f t="shared" si="14"/>
        <v>3</v>
      </c>
      <c r="DM183" s="180">
        <f t="shared" si="15"/>
        <v>0</v>
      </c>
      <c r="DN183" s="180">
        <f t="shared" si="16"/>
        <v>3</v>
      </c>
      <c r="DO183" s="226"/>
      <c r="DP183" s="226"/>
      <c r="DQ183" s="177"/>
      <c r="DR183" s="177">
        <v>2.0</v>
      </c>
      <c r="DS183" s="226"/>
      <c r="DT183" s="226"/>
      <c r="DU183" s="226"/>
      <c r="DV183" s="177">
        <v>1.0</v>
      </c>
      <c r="DW183" s="226"/>
      <c r="DX183" s="226"/>
      <c r="DY183" s="226"/>
      <c r="DZ183" s="226"/>
      <c r="EA183" s="226"/>
      <c r="EB183" s="226"/>
      <c r="EC183" s="226"/>
      <c r="ED183" s="226"/>
      <c r="EE183" s="177">
        <v>1.0</v>
      </c>
      <c r="EF183" s="226"/>
      <c r="EG183" s="179">
        <f t="shared" si="17"/>
        <v>1</v>
      </c>
      <c r="EH183" s="179">
        <f t="shared" si="18"/>
        <v>1</v>
      </c>
      <c r="EI183" s="177">
        <v>194.0</v>
      </c>
      <c r="EJ183" s="177">
        <v>62.0</v>
      </c>
      <c r="EK183" s="178">
        <v>167.0</v>
      </c>
      <c r="EL183" s="178">
        <v>51.0</v>
      </c>
      <c r="EM183" s="185">
        <f t="shared" si="362"/>
        <v>3</v>
      </c>
      <c r="EN183" s="186">
        <f t="shared" ref="EN183:EN184" si="447">(EP183+EQ183+ER183+ET183+EU183+EV183)</f>
        <v>0</v>
      </c>
      <c r="EO183" s="186">
        <f t="shared" ref="EO183:EO184" si="448">ES183+EW183</f>
        <v>3</v>
      </c>
      <c r="EP183" s="226"/>
      <c r="EQ183" s="226"/>
      <c r="ER183" s="227"/>
      <c r="ES183" s="177">
        <v>3.0</v>
      </c>
      <c r="ET183" s="226"/>
      <c r="EU183" s="226"/>
      <c r="EV183" s="226"/>
      <c r="EW183" s="227"/>
      <c r="EX183" s="226"/>
      <c r="EY183" s="226"/>
      <c r="EZ183" s="226"/>
      <c r="FA183" s="226"/>
      <c r="FB183" s="226"/>
      <c r="FC183" s="226"/>
      <c r="FD183" s="226"/>
      <c r="FE183" s="226"/>
      <c r="FF183" s="227"/>
      <c r="FG183" s="226"/>
      <c r="FH183" s="185">
        <f t="shared" si="22"/>
        <v>0</v>
      </c>
      <c r="FI183" s="185">
        <f t="shared" si="23"/>
        <v>0</v>
      </c>
      <c r="FJ183" s="177">
        <v>196.0</v>
      </c>
      <c r="FK183" s="177">
        <v>60.0</v>
      </c>
      <c r="FL183" s="177">
        <v>183.0</v>
      </c>
      <c r="FM183" s="177">
        <v>57.0</v>
      </c>
      <c r="FN183" s="180"/>
      <c r="FO183" s="180">
        <v>3.0</v>
      </c>
      <c r="FP183" s="188">
        <f t="shared" si="412"/>
        <v>3</v>
      </c>
      <c r="FQ183" s="211">
        <v>0.0</v>
      </c>
      <c r="FR183" s="212">
        <v>3.0</v>
      </c>
      <c r="FS183" s="206">
        <v>0.0</v>
      </c>
      <c r="FT183" s="207">
        <v>0.0</v>
      </c>
      <c r="FU183" s="207">
        <v>0.0</v>
      </c>
      <c r="FV183" s="207">
        <v>3.0</v>
      </c>
      <c r="FW183" s="207">
        <v>0.0</v>
      </c>
      <c r="FX183" s="207">
        <v>0.0</v>
      </c>
      <c r="FY183" s="207">
        <v>0.0</v>
      </c>
      <c r="FZ183" s="207">
        <v>0.0</v>
      </c>
      <c r="GA183" s="207">
        <v>0.0</v>
      </c>
      <c r="GB183" s="207">
        <v>0.0</v>
      </c>
      <c r="GC183" s="207">
        <v>0.0</v>
      </c>
      <c r="GD183" s="207">
        <v>0.0</v>
      </c>
      <c r="GE183" s="207">
        <v>0.0</v>
      </c>
      <c r="GF183" s="207">
        <v>0.0</v>
      </c>
      <c r="GG183" s="207">
        <v>0.0</v>
      </c>
      <c r="GH183" s="207">
        <v>0.0</v>
      </c>
      <c r="GI183" s="207">
        <v>0.0</v>
      </c>
      <c r="GJ183" s="207">
        <v>0.0</v>
      </c>
      <c r="GK183" s="212">
        <v>0.0</v>
      </c>
      <c r="GL183" s="212">
        <v>0.0</v>
      </c>
      <c r="GM183" s="207">
        <v>423.0</v>
      </c>
      <c r="GN183" s="207">
        <v>62.0</v>
      </c>
      <c r="GO183" s="213">
        <v>167.0</v>
      </c>
      <c r="GP183" s="191">
        <v>51.0</v>
      </c>
      <c r="GQ183" s="207"/>
      <c r="GR183" s="213">
        <v>3.0</v>
      </c>
      <c r="GS183" s="193">
        <v>0.0</v>
      </c>
      <c r="GT183" s="194">
        <f t="shared" si="25"/>
        <v>3</v>
      </c>
      <c r="GU183" s="194">
        <f t="shared" si="26"/>
        <v>0</v>
      </c>
      <c r="GV183" s="194">
        <f t="shared" si="27"/>
        <v>3</v>
      </c>
      <c r="GW183" s="207">
        <v>0.0</v>
      </c>
      <c r="GX183" s="207">
        <v>0.0</v>
      </c>
      <c r="GY183" s="207">
        <v>0.0</v>
      </c>
      <c r="GZ183" s="207">
        <v>3.0</v>
      </c>
      <c r="HA183" s="207">
        <v>0.0</v>
      </c>
      <c r="HB183" s="207">
        <v>0.0</v>
      </c>
      <c r="HC183" s="207">
        <v>0.0</v>
      </c>
      <c r="HD183" s="207">
        <v>0.0</v>
      </c>
      <c r="HE183" s="207">
        <v>0.0</v>
      </c>
      <c r="HF183" s="207">
        <v>0.0</v>
      </c>
      <c r="HG183" s="207">
        <v>0.0</v>
      </c>
      <c r="HH183" s="207">
        <v>0.0</v>
      </c>
      <c r="HI183" s="207">
        <v>0.0</v>
      </c>
      <c r="HJ183" s="207">
        <v>0.0</v>
      </c>
      <c r="HK183" s="207">
        <v>0.0</v>
      </c>
      <c r="HL183" s="207">
        <v>0.0</v>
      </c>
      <c r="HM183" s="207">
        <v>0.0</v>
      </c>
      <c r="HN183" s="207">
        <v>0.0</v>
      </c>
      <c r="HO183" s="222"/>
      <c r="HP183" s="222"/>
      <c r="HQ183" s="214"/>
      <c r="HR183" s="197"/>
      <c r="HS183" s="197"/>
      <c r="HT183" s="198">
        <f t="shared" si="28"/>
        <v>5</v>
      </c>
      <c r="HU183" s="198">
        <f t="shared" si="29"/>
        <v>6</v>
      </c>
      <c r="HV183" s="198">
        <f t="shared" si="30"/>
        <v>7</v>
      </c>
      <c r="HW183" s="198">
        <f t="shared" si="99"/>
        <v>5</v>
      </c>
      <c r="HX183" s="198">
        <f t="shared" si="32"/>
        <v>4</v>
      </c>
      <c r="HY183" s="198">
        <f t="shared" si="33"/>
        <v>3</v>
      </c>
      <c r="HZ183" s="198">
        <f t="shared" si="34"/>
        <v>3</v>
      </c>
      <c r="IA183" s="198">
        <f t="shared" si="35"/>
        <v>3</v>
      </c>
      <c r="IB183" s="198">
        <f t="shared" si="36"/>
        <v>3</v>
      </c>
      <c r="IC183" s="198">
        <f t="shared" si="37"/>
        <v>3</v>
      </c>
      <c r="ID183" s="198">
        <f t="shared" si="38"/>
        <v>3</v>
      </c>
      <c r="IE183" s="198">
        <f t="shared" si="39"/>
        <v>3</v>
      </c>
      <c r="IF183" s="197"/>
      <c r="IG183" s="197"/>
      <c r="IH183" s="197"/>
      <c r="II183" s="197"/>
      <c r="IJ183" s="197"/>
      <c r="IK183" s="197"/>
      <c r="IL183" s="197"/>
      <c r="IM183" s="197"/>
      <c r="IN183" s="197"/>
      <c r="IO183" s="197"/>
      <c r="IP183" s="197"/>
      <c r="IQ183" s="197"/>
      <c r="IR183" s="197"/>
      <c r="IS183" s="197"/>
      <c r="IT183" s="197"/>
      <c r="IU183" s="197"/>
      <c r="IV183" s="197"/>
      <c r="IW183" s="197"/>
      <c r="IX183" s="197"/>
      <c r="IY183" s="197"/>
      <c r="IZ183" s="197"/>
      <c r="JA183" s="199"/>
      <c r="JB183" s="200">
        <f t="shared" si="40"/>
        <v>5</v>
      </c>
      <c r="JC183" s="200">
        <f t="shared" si="41"/>
        <v>6</v>
      </c>
      <c r="JD183" s="200">
        <f t="shared" si="42"/>
        <v>7</v>
      </c>
      <c r="JE183" s="200">
        <f t="shared" si="43"/>
        <v>5</v>
      </c>
      <c r="JF183" s="200">
        <f t="shared" si="44"/>
        <v>4</v>
      </c>
      <c r="JG183" s="200">
        <f t="shared" si="45"/>
        <v>3</v>
      </c>
      <c r="JH183" s="200">
        <f t="shared" si="46"/>
        <v>3</v>
      </c>
      <c r="JI183" s="200">
        <f t="shared" si="47"/>
        <v>3</v>
      </c>
      <c r="JJ183" s="200">
        <f t="shared" si="48"/>
        <v>3</v>
      </c>
      <c r="JK183" s="200">
        <f t="shared" si="49"/>
        <v>3</v>
      </c>
      <c r="JL183" s="200">
        <f t="shared" si="50"/>
        <v>3</v>
      </c>
      <c r="JM183" s="200">
        <f t="shared" si="51"/>
        <v>3</v>
      </c>
      <c r="JN183" s="199"/>
      <c r="JO183" s="200">
        <f t="shared" si="52"/>
        <v>5</v>
      </c>
      <c r="JP183" s="202">
        <v>6.0</v>
      </c>
      <c r="JQ183" s="202">
        <v>7.0</v>
      </c>
      <c r="JR183" s="202">
        <v>5.0</v>
      </c>
      <c r="JS183" s="202">
        <v>4.0</v>
      </c>
      <c r="JT183" s="199"/>
      <c r="JU183" s="199"/>
      <c r="JV183" s="200">
        <f t="shared" ref="JV183:JX183" si="445">IA183-JI183</f>
        <v>0</v>
      </c>
      <c r="JW183" s="200">
        <f t="shared" si="445"/>
        <v>0</v>
      </c>
      <c r="JX183" s="200">
        <f t="shared" si="445"/>
        <v>0</v>
      </c>
      <c r="JY183" s="199"/>
      <c r="JZ183" s="199"/>
      <c r="KA183" s="199"/>
      <c r="KB183" s="200">
        <f t="shared" ref="KB183:KM183" si="446">JB183-JO183</f>
        <v>0</v>
      </c>
      <c r="KC183" s="200">
        <f t="shared" si="446"/>
        <v>0</v>
      </c>
      <c r="KD183" s="200">
        <f t="shared" si="446"/>
        <v>0</v>
      </c>
      <c r="KE183" s="200">
        <f t="shared" si="446"/>
        <v>0</v>
      </c>
      <c r="KF183" s="200">
        <f t="shared" si="446"/>
        <v>0</v>
      </c>
      <c r="KG183" s="200">
        <f t="shared" si="446"/>
        <v>3</v>
      </c>
      <c r="KH183" s="200">
        <f t="shared" si="446"/>
        <v>3</v>
      </c>
      <c r="KI183" s="200">
        <f t="shared" si="446"/>
        <v>3</v>
      </c>
      <c r="KJ183" s="200">
        <f t="shared" si="446"/>
        <v>3</v>
      </c>
      <c r="KK183" s="200">
        <f t="shared" si="446"/>
        <v>3</v>
      </c>
      <c r="KL183" s="200">
        <f t="shared" si="446"/>
        <v>3</v>
      </c>
      <c r="KM183" s="200">
        <f t="shared" si="446"/>
        <v>3</v>
      </c>
      <c r="KN183" s="199"/>
      <c r="KO183" s="199"/>
      <c r="KP183" s="199"/>
      <c r="KQ183" s="199"/>
      <c r="KR183" s="199"/>
      <c r="KS183" s="199"/>
      <c r="KT183" s="199"/>
      <c r="KU183" s="199"/>
      <c r="KV183" s="199"/>
      <c r="KW183" s="199"/>
      <c r="KX183" s="199"/>
      <c r="KY183" s="199"/>
      <c r="KZ183" s="199"/>
      <c r="LA183" s="199"/>
      <c r="LB183" s="199"/>
      <c r="LC183" s="199"/>
      <c r="LD183" s="199"/>
      <c r="LE183" s="199"/>
      <c r="LF183" s="199"/>
      <c r="LG183" s="199"/>
      <c r="LH183" s="199"/>
      <c r="LI183" s="199"/>
      <c r="LJ183" s="199"/>
      <c r="LK183" s="199"/>
    </row>
    <row r="184" ht="14.25" customHeight="1">
      <c r="A184" s="156">
        <v>177.0</v>
      </c>
      <c r="B184" s="157" t="s">
        <v>290</v>
      </c>
      <c r="C184" s="158">
        <v>3374150.0</v>
      </c>
      <c r="D184" s="158" t="s">
        <v>296</v>
      </c>
      <c r="E184" s="158" t="s">
        <v>196</v>
      </c>
      <c r="F184" s="159">
        <v>10.0</v>
      </c>
      <c r="G184" s="285"/>
      <c r="H184" s="160">
        <v>4.0</v>
      </c>
      <c r="I184" s="161"/>
      <c r="J184" s="161">
        <v>1.0</v>
      </c>
      <c r="K184" s="161">
        <v>0.0</v>
      </c>
      <c r="L184" s="164">
        <v>3.0</v>
      </c>
      <c r="M184" s="164"/>
      <c r="N184" s="164"/>
      <c r="O184" s="166">
        <f t="shared" si="444"/>
        <v>4</v>
      </c>
      <c r="P184" s="203">
        <v>5.0</v>
      </c>
      <c r="Q184" s="164"/>
      <c r="R184" s="164">
        <v>1.0</v>
      </c>
      <c r="S184" s="164">
        <v>1.0</v>
      </c>
      <c r="T184" s="165">
        <v>3.0</v>
      </c>
      <c r="U184" s="165">
        <v>1.0</v>
      </c>
      <c r="V184" s="165"/>
      <c r="W184" s="166">
        <f t="shared" si="225"/>
        <v>4</v>
      </c>
      <c r="X184" s="203">
        <v>6.0</v>
      </c>
      <c r="Y184" s="165"/>
      <c r="Z184" s="165"/>
      <c r="AA184" s="165">
        <v>2.0</v>
      </c>
      <c r="AB184" s="165">
        <v>4.0</v>
      </c>
      <c r="AC184" s="165">
        <v>2.0</v>
      </c>
      <c r="AD184" s="165"/>
      <c r="AE184" s="166">
        <f t="shared" si="214"/>
        <v>4</v>
      </c>
      <c r="AF184" s="167">
        <v>6.0</v>
      </c>
      <c r="AG184" s="165"/>
      <c r="AH184" s="165">
        <v>1.0</v>
      </c>
      <c r="AI184" s="165"/>
      <c r="AJ184" s="165">
        <v>5.0</v>
      </c>
      <c r="AK184" s="165">
        <v>2.0</v>
      </c>
      <c r="AL184" s="165"/>
      <c r="AM184" s="166">
        <f t="shared" si="370"/>
        <v>4</v>
      </c>
      <c r="AN184" s="167">
        <v>7.0</v>
      </c>
      <c r="AO184" s="165">
        <v>1.0</v>
      </c>
      <c r="AP184" s="165">
        <v>1.0</v>
      </c>
      <c r="AQ184" s="165">
        <v>1.0</v>
      </c>
      <c r="AR184" s="165">
        <v>4.0</v>
      </c>
      <c r="AS184" s="165">
        <v>2.0</v>
      </c>
      <c r="AT184" s="165"/>
      <c r="AU184" s="168">
        <f t="shared" si="375"/>
        <v>5</v>
      </c>
      <c r="AV184" s="169">
        <v>459.0</v>
      </c>
      <c r="AW184" s="204">
        <f t="shared" si="8"/>
        <v>7</v>
      </c>
      <c r="AX184" s="169"/>
      <c r="AY184" s="169">
        <v>2.0</v>
      </c>
      <c r="AZ184" s="169"/>
      <c r="BA184" s="169">
        <v>4.0</v>
      </c>
      <c r="BB184" s="169">
        <v>1.0</v>
      </c>
      <c r="BC184" s="197"/>
      <c r="BD184" s="197"/>
      <c r="BE184" s="197"/>
      <c r="BF184" s="197"/>
      <c r="BG184" s="197"/>
      <c r="BH184" s="169">
        <v>1.0</v>
      </c>
      <c r="BI184" s="197"/>
      <c r="BJ184" s="197"/>
      <c r="BK184" s="197"/>
      <c r="BL184" s="197"/>
      <c r="BM184" s="197"/>
      <c r="BN184" s="197"/>
      <c r="BO184" s="197"/>
      <c r="BP184" s="205">
        <f t="shared" si="423"/>
        <v>1</v>
      </c>
      <c r="BQ184" s="173">
        <v>462.0</v>
      </c>
      <c r="BR184" s="170">
        <f t="shared" si="10"/>
        <v>5</v>
      </c>
      <c r="BS184" s="6"/>
      <c r="BT184" s="173">
        <v>1.0</v>
      </c>
      <c r="BU184" s="6"/>
      <c r="BV184" s="173">
        <v>4.0</v>
      </c>
      <c r="BW184" s="6"/>
      <c r="BX184" s="6"/>
      <c r="BY184" s="6"/>
      <c r="BZ184" s="6"/>
      <c r="CA184" s="6"/>
      <c r="CB184" s="173">
        <v>1.0</v>
      </c>
      <c r="CC184" s="6"/>
      <c r="CD184" s="6"/>
      <c r="CE184" s="6"/>
      <c r="CF184" s="6"/>
      <c r="CG184" s="6"/>
      <c r="CH184" s="6"/>
      <c r="CI184" s="6"/>
      <c r="CJ184" s="6"/>
      <c r="CK184" s="172">
        <f t="shared" si="132"/>
        <v>1</v>
      </c>
      <c r="CL184" s="173">
        <v>207.0</v>
      </c>
      <c r="CM184" s="173">
        <v>65.0</v>
      </c>
      <c r="CN184" s="175">
        <f t="shared" si="295"/>
        <v>5</v>
      </c>
      <c r="CO184" s="6"/>
      <c r="CP184" s="173">
        <v>1.0</v>
      </c>
      <c r="CQ184" s="6"/>
      <c r="CR184" s="173">
        <v>3.0</v>
      </c>
      <c r="CS184" s="6"/>
      <c r="CT184" s="6"/>
      <c r="CU184" s="173">
        <v>1.0</v>
      </c>
      <c r="CV184" s="6"/>
      <c r="CW184" s="6"/>
      <c r="CX184" s="6"/>
      <c r="CY184" s="6"/>
      <c r="CZ184" s="173">
        <v>1.0</v>
      </c>
      <c r="DA184" s="6"/>
      <c r="DB184" s="6"/>
      <c r="DC184" s="6"/>
      <c r="DD184" s="6"/>
      <c r="DE184" s="6"/>
      <c r="DF184" s="6"/>
      <c r="DG184" s="176">
        <f t="shared" si="13"/>
        <v>1</v>
      </c>
      <c r="DH184" s="177">
        <v>424.0</v>
      </c>
      <c r="DI184" s="177">
        <v>155.0</v>
      </c>
      <c r="DJ184" s="178">
        <v>415.0</v>
      </c>
      <c r="DK184" s="178">
        <v>151.0</v>
      </c>
      <c r="DL184" s="179">
        <f t="shared" si="14"/>
        <v>6</v>
      </c>
      <c r="DM184" s="180">
        <f t="shared" si="15"/>
        <v>3</v>
      </c>
      <c r="DN184" s="180">
        <f t="shared" si="16"/>
        <v>3</v>
      </c>
      <c r="DO184" s="177">
        <v>1.0</v>
      </c>
      <c r="DP184" s="177">
        <v>1.0</v>
      </c>
      <c r="DQ184" s="177">
        <v>1.0</v>
      </c>
      <c r="DR184" s="177">
        <v>3.0</v>
      </c>
      <c r="DS184" s="226"/>
      <c r="DT184" s="226"/>
      <c r="DU184" s="226"/>
      <c r="DV184" s="226"/>
      <c r="DW184" s="226"/>
      <c r="DX184" s="226"/>
      <c r="DY184" s="226"/>
      <c r="DZ184" s="226"/>
      <c r="EA184" s="226"/>
      <c r="EB184" s="226"/>
      <c r="EC184" s="226"/>
      <c r="ED184" s="226"/>
      <c r="EE184" s="226"/>
      <c r="EF184" s="226"/>
      <c r="EG184" s="179">
        <f t="shared" si="17"/>
        <v>0</v>
      </c>
      <c r="EH184" s="179">
        <f t="shared" si="18"/>
        <v>0</v>
      </c>
      <c r="EI184" s="177">
        <v>419.0</v>
      </c>
      <c r="EJ184" s="177">
        <v>162.0</v>
      </c>
      <c r="EK184" s="178">
        <v>410.0</v>
      </c>
      <c r="EL184" s="178">
        <v>156.0</v>
      </c>
      <c r="EM184" s="185">
        <f t="shared" si="362"/>
        <v>5</v>
      </c>
      <c r="EN184" s="186">
        <f t="shared" si="447"/>
        <v>2</v>
      </c>
      <c r="EO184" s="186">
        <f t="shared" si="448"/>
        <v>3</v>
      </c>
      <c r="EP184" s="227"/>
      <c r="EQ184" s="177">
        <v>1.0</v>
      </c>
      <c r="ER184" s="177">
        <v>1.0</v>
      </c>
      <c r="ES184" s="177">
        <v>3.0</v>
      </c>
      <c r="ET184" s="226"/>
      <c r="EU184" s="226"/>
      <c r="EV184" s="226"/>
      <c r="EW184" s="226"/>
      <c r="EX184" s="226"/>
      <c r="EY184" s="226"/>
      <c r="EZ184" s="226"/>
      <c r="FA184" s="226"/>
      <c r="FB184" s="177">
        <v>1.0</v>
      </c>
      <c r="FC184" s="226"/>
      <c r="FD184" s="226"/>
      <c r="FE184" s="226"/>
      <c r="FF184" s="226"/>
      <c r="FG184" s="226"/>
      <c r="FH184" s="185">
        <f t="shared" si="22"/>
        <v>1</v>
      </c>
      <c r="FI184" s="185">
        <f t="shared" si="23"/>
        <v>1</v>
      </c>
      <c r="FJ184" s="177">
        <v>407.0</v>
      </c>
      <c r="FK184" s="177">
        <v>157.0</v>
      </c>
      <c r="FL184" s="177">
        <v>404.0</v>
      </c>
      <c r="FM184" s="177">
        <v>157.0</v>
      </c>
      <c r="FN184" s="180"/>
      <c r="FO184" s="180">
        <v>5.0</v>
      </c>
      <c r="FP184" s="188">
        <f t="shared" si="412"/>
        <v>5</v>
      </c>
      <c r="FQ184" s="211">
        <v>2.0</v>
      </c>
      <c r="FR184" s="212">
        <v>3.0</v>
      </c>
      <c r="FS184" s="206">
        <v>0.0</v>
      </c>
      <c r="FT184" s="207">
        <v>0.0</v>
      </c>
      <c r="FU184" s="207">
        <v>2.0</v>
      </c>
      <c r="FV184" s="207">
        <v>3.0</v>
      </c>
      <c r="FW184" s="207">
        <v>0.0</v>
      </c>
      <c r="FX184" s="207">
        <v>0.0</v>
      </c>
      <c r="FY184" s="207">
        <v>0.0</v>
      </c>
      <c r="FZ184" s="207">
        <v>0.0</v>
      </c>
      <c r="GA184" s="207">
        <v>0.0</v>
      </c>
      <c r="GB184" s="207">
        <v>0.0</v>
      </c>
      <c r="GC184" s="207">
        <v>0.0</v>
      </c>
      <c r="GD184" s="207">
        <v>0.0</v>
      </c>
      <c r="GE184" s="207">
        <v>0.0</v>
      </c>
      <c r="GF184" s="207">
        <v>0.0</v>
      </c>
      <c r="GG184" s="207">
        <v>0.0</v>
      </c>
      <c r="GH184" s="207">
        <v>0.0</v>
      </c>
      <c r="GI184" s="207">
        <v>0.0</v>
      </c>
      <c r="GJ184" s="207">
        <v>0.0</v>
      </c>
      <c r="GK184" s="212">
        <v>0.0</v>
      </c>
      <c r="GL184" s="212">
        <v>0.0</v>
      </c>
      <c r="GM184" s="207">
        <v>210.0</v>
      </c>
      <c r="GN184" s="207">
        <v>164.0</v>
      </c>
      <c r="GO184" s="213">
        <v>404.0</v>
      </c>
      <c r="GP184" s="191">
        <v>156.0</v>
      </c>
      <c r="GQ184" s="207"/>
      <c r="GR184" s="213">
        <v>5.0</v>
      </c>
      <c r="GS184" s="193">
        <v>2.0</v>
      </c>
      <c r="GT184" s="194">
        <f t="shared" si="25"/>
        <v>5</v>
      </c>
      <c r="GU184" s="194">
        <f t="shared" si="26"/>
        <v>2</v>
      </c>
      <c r="GV184" s="194">
        <f t="shared" si="27"/>
        <v>3</v>
      </c>
      <c r="GW184" s="207">
        <v>0.0</v>
      </c>
      <c r="GX184" s="207">
        <v>0.0</v>
      </c>
      <c r="GY184" s="207">
        <v>2.0</v>
      </c>
      <c r="GZ184" s="207">
        <v>2.0</v>
      </c>
      <c r="HA184" s="207">
        <v>0.0</v>
      </c>
      <c r="HB184" s="207">
        <v>0.0</v>
      </c>
      <c r="HC184" s="207">
        <v>0.0</v>
      </c>
      <c r="HD184" s="207">
        <v>1.0</v>
      </c>
      <c r="HE184" s="207">
        <v>0.0</v>
      </c>
      <c r="HF184" s="207">
        <v>0.0</v>
      </c>
      <c r="HG184" s="207">
        <v>0.0</v>
      </c>
      <c r="HH184" s="207">
        <v>1.0</v>
      </c>
      <c r="HI184" s="207">
        <v>0.0</v>
      </c>
      <c r="HJ184" s="207">
        <v>0.0</v>
      </c>
      <c r="HK184" s="207">
        <v>0.0</v>
      </c>
      <c r="HL184" s="207">
        <v>0.0</v>
      </c>
      <c r="HM184" s="207">
        <v>0.0</v>
      </c>
      <c r="HN184" s="207">
        <v>0.0</v>
      </c>
      <c r="HO184" s="222"/>
      <c r="HP184" s="222"/>
      <c r="HQ184" s="214"/>
      <c r="HR184" s="197"/>
      <c r="HS184" s="197"/>
      <c r="HT184" s="198">
        <f t="shared" si="28"/>
        <v>4</v>
      </c>
      <c r="HU184" s="198">
        <f t="shared" si="29"/>
        <v>5</v>
      </c>
      <c r="HV184" s="198">
        <f t="shared" si="30"/>
        <v>6</v>
      </c>
      <c r="HW184" s="198">
        <f t="shared" si="99"/>
        <v>6</v>
      </c>
      <c r="HX184" s="198">
        <f t="shared" si="32"/>
        <v>7</v>
      </c>
      <c r="HY184" s="198">
        <f t="shared" si="33"/>
        <v>7</v>
      </c>
      <c r="HZ184" s="198">
        <f t="shared" si="34"/>
        <v>5</v>
      </c>
      <c r="IA184" s="198">
        <f t="shared" si="35"/>
        <v>5</v>
      </c>
      <c r="IB184" s="198">
        <f t="shared" si="36"/>
        <v>6</v>
      </c>
      <c r="IC184" s="198">
        <f t="shared" si="37"/>
        <v>5</v>
      </c>
      <c r="ID184" s="198">
        <f t="shared" si="38"/>
        <v>5</v>
      </c>
      <c r="IE184" s="198">
        <f t="shared" si="39"/>
        <v>5</v>
      </c>
      <c r="IF184" s="197"/>
      <c r="IG184" s="197"/>
      <c r="IH184" s="197"/>
      <c r="II184" s="197"/>
      <c r="IJ184" s="197"/>
      <c r="IK184" s="197"/>
      <c r="IL184" s="197"/>
      <c r="IM184" s="197"/>
      <c r="IN184" s="197"/>
      <c r="IO184" s="197"/>
      <c r="IP184" s="197"/>
      <c r="IQ184" s="197"/>
      <c r="IR184" s="197"/>
      <c r="IS184" s="197"/>
      <c r="IT184" s="197"/>
      <c r="IU184" s="197"/>
      <c r="IV184" s="197"/>
      <c r="IW184" s="197"/>
      <c r="IX184" s="197"/>
      <c r="IY184" s="197"/>
      <c r="IZ184" s="197"/>
      <c r="JA184" s="199"/>
      <c r="JB184" s="200">
        <f t="shared" si="40"/>
        <v>4</v>
      </c>
      <c r="JC184" s="200">
        <f t="shared" si="41"/>
        <v>5</v>
      </c>
      <c r="JD184" s="200">
        <f t="shared" si="42"/>
        <v>6</v>
      </c>
      <c r="JE184" s="200">
        <f t="shared" si="43"/>
        <v>6</v>
      </c>
      <c r="JF184" s="200">
        <f t="shared" si="44"/>
        <v>7</v>
      </c>
      <c r="JG184" s="200">
        <f t="shared" si="45"/>
        <v>7</v>
      </c>
      <c r="JH184" s="200">
        <f t="shared" si="46"/>
        <v>5</v>
      </c>
      <c r="JI184" s="200">
        <f t="shared" si="47"/>
        <v>5</v>
      </c>
      <c r="JJ184" s="200">
        <f t="shared" si="48"/>
        <v>6</v>
      </c>
      <c r="JK184" s="200">
        <f t="shared" si="49"/>
        <v>5</v>
      </c>
      <c r="JL184" s="200">
        <f t="shared" si="50"/>
        <v>5</v>
      </c>
      <c r="JM184" s="200">
        <f t="shared" si="51"/>
        <v>5</v>
      </c>
      <c r="JN184" s="199"/>
      <c r="JO184" s="200">
        <f t="shared" si="52"/>
        <v>4</v>
      </c>
      <c r="JP184" s="202">
        <v>5.0</v>
      </c>
      <c r="JQ184" s="202">
        <v>6.0</v>
      </c>
      <c r="JR184" s="202">
        <v>6.0</v>
      </c>
      <c r="JS184" s="202">
        <v>7.0</v>
      </c>
      <c r="JT184" s="199"/>
      <c r="JU184" s="199"/>
      <c r="JV184" s="200">
        <f t="shared" ref="JV184:JX184" si="449">IA184-JI184</f>
        <v>0</v>
      </c>
      <c r="JW184" s="200">
        <f t="shared" si="449"/>
        <v>0</v>
      </c>
      <c r="JX184" s="200">
        <f t="shared" si="449"/>
        <v>0</v>
      </c>
      <c r="JY184" s="199"/>
      <c r="JZ184" s="199"/>
      <c r="KA184" s="199"/>
      <c r="KB184" s="200">
        <f t="shared" ref="KB184:KM184" si="450">JB184-JO184</f>
        <v>0</v>
      </c>
      <c r="KC184" s="200">
        <f t="shared" si="450"/>
        <v>0</v>
      </c>
      <c r="KD184" s="200">
        <f t="shared" si="450"/>
        <v>0</v>
      </c>
      <c r="KE184" s="200">
        <f t="shared" si="450"/>
        <v>0</v>
      </c>
      <c r="KF184" s="200">
        <f t="shared" si="450"/>
        <v>0</v>
      </c>
      <c r="KG184" s="200">
        <f t="shared" si="450"/>
        <v>7</v>
      </c>
      <c r="KH184" s="200">
        <f t="shared" si="450"/>
        <v>5</v>
      </c>
      <c r="KI184" s="200">
        <f t="shared" si="450"/>
        <v>5</v>
      </c>
      <c r="KJ184" s="200">
        <f t="shared" si="450"/>
        <v>6</v>
      </c>
      <c r="KK184" s="200">
        <f t="shared" si="450"/>
        <v>5</v>
      </c>
      <c r="KL184" s="200">
        <f t="shared" si="450"/>
        <v>5</v>
      </c>
      <c r="KM184" s="200">
        <f t="shared" si="450"/>
        <v>5</v>
      </c>
      <c r="KN184" s="199"/>
      <c r="KO184" s="199"/>
      <c r="KP184" s="199"/>
      <c r="KQ184" s="199"/>
      <c r="KR184" s="199"/>
      <c r="KS184" s="199"/>
      <c r="KT184" s="199"/>
      <c r="KU184" s="199"/>
      <c r="KV184" s="199"/>
      <c r="KW184" s="199"/>
      <c r="KX184" s="199"/>
      <c r="KY184" s="199"/>
      <c r="KZ184" s="199"/>
      <c r="LA184" s="199"/>
      <c r="LB184" s="199"/>
      <c r="LC184" s="199"/>
      <c r="LD184" s="199"/>
      <c r="LE184" s="199"/>
      <c r="LF184" s="199"/>
      <c r="LG184" s="199"/>
      <c r="LH184" s="199"/>
      <c r="LI184" s="199"/>
      <c r="LJ184" s="199"/>
      <c r="LK184" s="199"/>
    </row>
    <row r="185" ht="29.25" customHeight="1">
      <c r="A185" s="513"/>
      <c r="B185" s="513" t="s">
        <v>299</v>
      </c>
      <c r="C185" s="513"/>
      <c r="D185" s="513"/>
      <c r="E185" s="513"/>
      <c r="F185" s="514">
        <f t="shared" ref="F185:AV185" si="451">SUM(F8:F184)</f>
        <v>1622</v>
      </c>
      <c r="G185" s="515">
        <f t="shared" si="451"/>
        <v>91166</v>
      </c>
      <c r="H185" s="516">
        <f t="shared" si="451"/>
        <v>1735</v>
      </c>
      <c r="I185" s="517">
        <f t="shared" si="451"/>
        <v>93</v>
      </c>
      <c r="J185" s="517">
        <f t="shared" si="451"/>
        <v>95</v>
      </c>
      <c r="K185" s="517">
        <f t="shared" si="451"/>
        <v>372</v>
      </c>
      <c r="L185" s="517">
        <f t="shared" si="451"/>
        <v>1174</v>
      </c>
      <c r="M185" s="517">
        <f t="shared" si="451"/>
        <v>160</v>
      </c>
      <c r="N185" s="517">
        <f t="shared" si="451"/>
        <v>98</v>
      </c>
      <c r="O185" s="518">
        <f t="shared" si="451"/>
        <v>1478</v>
      </c>
      <c r="P185" s="519">
        <f t="shared" si="451"/>
        <v>1859</v>
      </c>
      <c r="Q185" s="517">
        <f t="shared" si="451"/>
        <v>60</v>
      </c>
      <c r="R185" s="517">
        <f t="shared" si="451"/>
        <v>82</v>
      </c>
      <c r="S185" s="517">
        <f t="shared" si="451"/>
        <v>429</v>
      </c>
      <c r="T185" s="517">
        <f t="shared" si="451"/>
        <v>1288</v>
      </c>
      <c r="U185" s="517">
        <f t="shared" si="451"/>
        <v>390</v>
      </c>
      <c r="V185" s="517">
        <f t="shared" si="451"/>
        <v>183</v>
      </c>
      <c r="W185" s="517">
        <f t="shared" si="451"/>
        <v>1281</v>
      </c>
      <c r="X185" s="519">
        <f t="shared" si="451"/>
        <v>1723</v>
      </c>
      <c r="Y185" s="517">
        <f t="shared" si="451"/>
        <v>62</v>
      </c>
      <c r="Z185" s="517">
        <f t="shared" si="451"/>
        <v>91</v>
      </c>
      <c r="AA185" s="517">
        <f t="shared" si="451"/>
        <v>371</v>
      </c>
      <c r="AB185" s="517">
        <f t="shared" si="451"/>
        <v>1199</v>
      </c>
      <c r="AC185" s="517">
        <f t="shared" si="451"/>
        <v>176</v>
      </c>
      <c r="AD185" s="517">
        <f t="shared" si="451"/>
        <v>256</v>
      </c>
      <c r="AE185" s="517">
        <f t="shared" si="451"/>
        <v>1280</v>
      </c>
      <c r="AF185" s="519">
        <f t="shared" si="451"/>
        <v>1538</v>
      </c>
      <c r="AG185" s="517">
        <f t="shared" si="451"/>
        <v>44</v>
      </c>
      <c r="AH185" s="517">
        <f t="shared" si="451"/>
        <v>81</v>
      </c>
      <c r="AI185" s="517">
        <f t="shared" si="451"/>
        <v>319</v>
      </c>
      <c r="AJ185" s="517">
        <f t="shared" si="451"/>
        <v>1093</v>
      </c>
      <c r="AK185" s="517">
        <f t="shared" si="451"/>
        <v>192</v>
      </c>
      <c r="AL185" s="517">
        <f t="shared" si="451"/>
        <v>228</v>
      </c>
      <c r="AM185" s="517">
        <f t="shared" si="451"/>
        <v>1119</v>
      </c>
      <c r="AN185" s="519">
        <f t="shared" si="451"/>
        <v>1505</v>
      </c>
      <c r="AO185" s="517">
        <f t="shared" si="451"/>
        <v>46</v>
      </c>
      <c r="AP185" s="517">
        <f t="shared" si="451"/>
        <v>82</v>
      </c>
      <c r="AQ185" s="517">
        <f t="shared" si="451"/>
        <v>318</v>
      </c>
      <c r="AR185" s="517">
        <f t="shared" si="451"/>
        <v>1059</v>
      </c>
      <c r="AS185" s="517">
        <f t="shared" si="451"/>
        <v>130</v>
      </c>
      <c r="AT185" s="517">
        <f t="shared" si="451"/>
        <v>140</v>
      </c>
      <c r="AU185" s="520">
        <f t="shared" si="451"/>
        <v>1237</v>
      </c>
      <c r="AV185" s="521">
        <f t="shared" si="451"/>
        <v>94612</v>
      </c>
      <c r="AW185" s="204">
        <f t="shared" si="8"/>
        <v>1487</v>
      </c>
      <c r="AX185" s="517">
        <f t="shared" ref="AX185:BQ185" si="452">SUM(AX8:AX184)</f>
        <v>23</v>
      </c>
      <c r="AY185" s="517">
        <f t="shared" si="452"/>
        <v>63</v>
      </c>
      <c r="AZ185" s="517">
        <f t="shared" si="452"/>
        <v>261</v>
      </c>
      <c r="BA185" s="517">
        <f t="shared" si="452"/>
        <v>974</v>
      </c>
      <c r="BB185" s="517">
        <f t="shared" si="452"/>
        <v>17</v>
      </c>
      <c r="BC185" s="517">
        <f t="shared" si="452"/>
        <v>21</v>
      </c>
      <c r="BD185" s="517">
        <f t="shared" si="452"/>
        <v>57</v>
      </c>
      <c r="BE185" s="517">
        <f t="shared" si="452"/>
        <v>71</v>
      </c>
      <c r="BF185" s="517">
        <f t="shared" si="452"/>
        <v>5</v>
      </c>
      <c r="BG185" s="517">
        <f t="shared" si="452"/>
        <v>14</v>
      </c>
      <c r="BH185" s="517">
        <f t="shared" si="452"/>
        <v>28</v>
      </c>
      <c r="BI185" s="517">
        <f t="shared" si="452"/>
        <v>88</v>
      </c>
      <c r="BJ185" s="517">
        <f t="shared" si="452"/>
        <v>0</v>
      </c>
      <c r="BK185" s="517">
        <f t="shared" si="452"/>
        <v>0</v>
      </c>
      <c r="BL185" s="517">
        <f t="shared" si="452"/>
        <v>4</v>
      </c>
      <c r="BM185" s="517">
        <f t="shared" si="452"/>
        <v>7</v>
      </c>
      <c r="BN185" s="517">
        <f t="shared" si="452"/>
        <v>17</v>
      </c>
      <c r="BO185" s="517">
        <f t="shared" si="452"/>
        <v>0</v>
      </c>
      <c r="BP185" s="517">
        <f t="shared" si="452"/>
        <v>163</v>
      </c>
      <c r="BQ185" s="517">
        <f t="shared" si="452"/>
        <v>95057</v>
      </c>
      <c r="BR185" s="204">
        <f t="shared" si="10"/>
        <v>1292</v>
      </c>
      <c r="BS185" s="517">
        <f t="shared" ref="BS185:DM185" si="453">SUM(BS8:BS184)</f>
        <v>18</v>
      </c>
      <c r="BT185" s="517">
        <f t="shared" si="453"/>
        <v>47</v>
      </c>
      <c r="BU185" s="517">
        <f t="shared" si="453"/>
        <v>195</v>
      </c>
      <c r="BV185" s="517">
        <f t="shared" si="453"/>
        <v>902</v>
      </c>
      <c r="BW185" s="517">
        <f t="shared" si="453"/>
        <v>18</v>
      </c>
      <c r="BX185" s="517">
        <f t="shared" si="453"/>
        <v>13</v>
      </c>
      <c r="BY185" s="517">
        <f t="shared" si="453"/>
        <v>33</v>
      </c>
      <c r="BZ185" s="517">
        <f t="shared" si="453"/>
        <v>66</v>
      </c>
      <c r="CA185" s="517">
        <f t="shared" si="453"/>
        <v>10</v>
      </c>
      <c r="CB185" s="517">
        <f t="shared" si="453"/>
        <v>24</v>
      </c>
      <c r="CC185" s="517">
        <f t="shared" si="453"/>
        <v>63</v>
      </c>
      <c r="CD185" s="517">
        <f t="shared" si="453"/>
        <v>111</v>
      </c>
      <c r="CE185" s="517">
        <f t="shared" si="453"/>
        <v>1</v>
      </c>
      <c r="CF185" s="517">
        <f t="shared" si="453"/>
        <v>1</v>
      </c>
      <c r="CG185" s="517">
        <f t="shared" si="453"/>
        <v>5</v>
      </c>
      <c r="CH185" s="517">
        <f t="shared" si="453"/>
        <v>6</v>
      </c>
      <c r="CI185" s="517">
        <f t="shared" si="453"/>
        <v>33</v>
      </c>
      <c r="CJ185" s="517">
        <f t="shared" si="453"/>
        <v>0</v>
      </c>
      <c r="CK185" s="517">
        <f t="shared" si="453"/>
        <v>254</v>
      </c>
      <c r="CL185" s="522">
        <f t="shared" si="453"/>
        <v>95447</v>
      </c>
      <c r="CM185" s="522">
        <f t="shared" si="453"/>
        <v>33223</v>
      </c>
      <c r="CN185" s="522">
        <f t="shared" si="453"/>
        <v>1465</v>
      </c>
      <c r="CO185" s="522">
        <f t="shared" si="453"/>
        <v>22</v>
      </c>
      <c r="CP185" s="522">
        <f t="shared" si="453"/>
        <v>31</v>
      </c>
      <c r="CQ185" s="522">
        <f t="shared" si="453"/>
        <v>207</v>
      </c>
      <c r="CR185" s="522">
        <f t="shared" si="453"/>
        <v>876</v>
      </c>
      <c r="CS185" s="522">
        <f t="shared" si="453"/>
        <v>19</v>
      </c>
      <c r="CT185" s="522">
        <f t="shared" si="453"/>
        <v>20</v>
      </c>
      <c r="CU185" s="522">
        <f t="shared" si="453"/>
        <v>92</v>
      </c>
      <c r="CV185" s="522">
        <f t="shared" si="453"/>
        <v>198</v>
      </c>
      <c r="CW185" s="522">
        <f t="shared" si="453"/>
        <v>7</v>
      </c>
      <c r="CX185" s="522">
        <f t="shared" si="453"/>
        <v>19</v>
      </c>
      <c r="CY185" s="522">
        <f t="shared" si="453"/>
        <v>35</v>
      </c>
      <c r="CZ185" s="522">
        <f t="shared" si="453"/>
        <v>67</v>
      </c>
      <c r="DA185" s="522">
        <f t="shared" si="453"/>
        <v>0</v>
      </c>
      <c r="DB185" s="522">
        <f t="shared" si="453"/>
        <v>3</v>
      </c>
      <c r="DC185" s="522">
        <f t="shared" si="453"/>
        <v>1</v>
      </c>
      <c r="DD185" s="522">
        <f t="shared" si="453"/>
        <v>10</v>
      </c>
      <c r="DE185" s="522">
        <f t="shared" si="453"/>
        <v>9</v>
      </c>
      <c r="DF185" s="522">
        <f t="shared" si="453"/>
        <v>1</v>
      </c>
      <c r="DG185" s="522">
        <f t="shared" si="453"/>
        <v>152</v>
      </c>
      <c r="DH185" s="522">
        <f t="shared" si="453"/>
        <v>89987</v>
      </c>
      <c r="DI185" s="522">
        <f t="shared" si="453"/>
        <v>28166</v>
      </c>
      <c r="DJ185" s="522">
        <f t="shared" si="453"/>
        <v>86211</v>
      </c>
      <c r="DK185" s="522">
        <f t="shared" si="453"/>
        <v>26615</v>
      </c>
      <c r="DL185" s="522">
        <f t="shared" si="453"/>
        <v>1448</v>
      </c>
      <c r="DM185" s="522">
        <f t="shared" si="453"/>
        <v>355</v>
      </c>
      <c r="DN185" s="523">
        <f t="shared" si="16"/>
        <v>1093</v>
      </c>
      <c r="DO185" s="522">
        <f t="shared" ref="DO185:FM185" si="454">SUM(DO8:DO184)</f>
        <v>14</v>
      </c>
      <c r="DP185" s="522">
        <f t="shared" si="454"/>
        <v>28</v>
      </c>
      <c r="DQ185" s="522">
        <f t="shared" si="454"/>
        <v>235</v>
      </c>
      <c r="DR185" s="522">
        <f t="shared" si="454"/>
        <v>982</v>
      </c>
      <c r="DS185" s="522">
        <f t="shared" si="454"/>
        <v>8</v>
      </c>
      <c r="DT185" s="522">
        <f t="shared" si="454"/>
        <v>14</v>
      </c>
      <c r="DU185" s="522">
        <f t="shared" si="454"/>
        <v>56</v>
      </c>
      <c r="DV185" s="522">
        <f t="shared" si="454"/>
        <v>111</v>
      </c>
      <c r="DW185" s="522">
        <f t="shared" si="454"/>
        <v>17</v>
      </c>
      <c r="DX185" s="522">
        <f t="shared" si="454"/>
        <v>20</v>
      </c>
      <c r="DY185" s="522">
        <f t="shared" si="454"/>
        <v>47</v>
      </c>
      <c r="DZ185" s="522">
        <f t="shared" si="454"/>
        <v>91</v>
      </c>
      <c r="EA185" s="522">
        <f t="shared" si="454"/>
        <v>0</v>
      </c>
      <c r="EB185" s="522">
        <f t="shared" si="454"/>
        <v>1</v>
      </c>
      <c r="EC185" s="522">
        <f t="shared" si="454"/>
        <v>2</v>
      </c>
      <c r="ED185" s="522">
        <f t="shared" si="454"/>
        <v>14</v>
      </c>
      <c r="EE185" s="522">
        <f t="shared" si="454"/>
        <v>14</v>
      </c>
      <c r="EF185" s="522">
        <f t="shared" si="454"/>
        <v>1</v>
      </c>
      <c r="EG185" s="522">
        <f t="shared" si="454"/>
        <v>207</v>
      </c>
      <c r="EH185" s="522">
        <f t="shared" si="454"/>
        <v>102</v>
      </c>
      <c r="EI185" s="522">
        <f t="shared" si="454"/>
        <v>89239</v>
      </c>
      <c r="EJ185" s="522">
        <f t="shared" si="454"/>
        <v>27667</v>
      </c>
      <c r="EK185" s="522">
        <f t="shared" si="454"/>
        <v>85691</v>
      </c>
      <c r="EL185" s="522">
        <f t="shared" si="454"/>
        <v>26321</v>
      </c>
      <c r="EM185" s="522">
        <f t="shared" si="454"/>
        <v>1423</v>
      </c>
      <c r="EN185" s="522">
        <f t="shared" si="454"/>
        <v>326</v>
      </c>
      <c r="EO185" s="522">
        <f t="shared" si="454"/>
        <v>1097</v>
      </c>
      <c r="EP185" s="522">
        <f t="shared" si="454"/>
        <v>8</v>
      </c>
      <c r="EQ185" s="522">
        <f t="shared" si="454"/>
        <v>29</v>
      </c>
      <c r="ER185" s="522">
        <f t="shared" si="454"/>
        <v>233</v>
      </c>
      <c r="ES185" s="522">
        <f t="shared" si="454"/>
        <v>1002</v>
      </c>
      <c r="ET185" s="522">
        <f t="shared" si="454"/>
        <v>10</v>
      </c>
      <c r="EU185" s="522">
        <f t="shared" si="454"/>
        <v>5</v>
      </c>
      <c r="EV185" s="522">
        <f t="shared" si="454"/>
        <v>42</v>
      </c>
      <c r="EW185" s="522">
        <f t="shared" si="454"/>
        <v>94</v>
      </c>
      <c r="EX185" s="522">
        <f t="shared" si="454"/>
        <v>5</v>
      </c>
      <c r="EY185" s="522">
        <f t="shared" si="454"/>
        <v>4</v>
      </c>
      <c r="EZ185" s="522">
        <f t="shared" si="454"/>
        <v>22</v>
      </c>
      <c r="FA185" s="522">
        <f t="shared" si="454"/>
        <v>94</v>
      </c>
      <c r="FB185" s="522">
        <f t="shared" si="454"/>
        <v>1</v>
      </c>
      <c r="FC185" s="522">
        <f t="shared" si="454"/>
        <v>3</v>
      </c>
      <c r="FD185" s="522">
        <f t="shared" si="454"/>
        <v>4</v>
      </c>
      <c r="FE185" s="522">
        <f t="shared" si="454"/>
        <v>5</v>
      </c>
      <c r="FF185" s="522">
        <f t="shared" si="454"/>
        <v>14</v>
      </c>
      <c r="FG185" s="522">
        <f t="shared" si="454"/>
        <v>0</v>
      </c>
      <c r="FH185" s="522">
        <f t="shared" si="454"/>
        <v>152</v>
      </c>
      <c r="FI185" s="522">
        <f t="shared" si="454"/>
        <v>39</v>
      </c>
      <c r="FJ185" s="522">
        <f t="shared" si="454"/>
        <v>88549</v>
      </c>
      <c r="FK185" s="522">
        <f t="shared" si="454"/>
        <v>26104</v>
      </c>
      <c r="FL185" s="522">
        <f t="shared" si="454"/>
        <v>85194</v>
      </c>
      <c r="FM185" s="522">
        <f t="shared" si="454"/>
        <v>24785</v>
      </c>
      <c r="FN185" s="522"/>
      <c r="FO185" s="522">
        <f t="shared" ref="FO185:HP185" si="455">SUM(FO8:FO184)</f>
        <v>1410</v>
      </c>
      <c r="FP185" s="522">
        <f t="shared" si="455"/>
        <v>1410</v>
      </c>
      <c r="FQ185" s="522">
        <f t="shared" si="455"/>
        <v>316</v>
      </c>
      <c r="FR185" s="522">
        <f t="shared" si="455"/>
        <v>1094</v>
      </c>
      <c r="FS185" s="522">
        <f t="shared" si="455"/>
        <v>12</v>
      </c>
      <c r="FT185" s="522">
        <f t="shared" si="455"/>
        <v>19</v>
      </c>
      <c r="FU185" s="522">
        <f t="shared" si="455"/>
        <v>229</v>
      </c>
      <c r="FV185" s="522">
        <f t="shared" si="455"/>
        <v>1025</v>
      </c>
      <c r="FW185" s="522">
        <f t="shared" si="455"/>
        <v>10</v>
      </c>
      <c r="FX185" s="522">
        <f t="shared" si="455"/>
        <v>8</v>
      </c>
      <c r="FY185" s="522">
        <f t="shared" si="455"/>
        <v>38</v>
      </c>
      <c r="FZ185" s="522">
        <f t="shared" si="455"/>
        <v>69</v>
      </c>
      <c r="GA185" s="522">
        <f t="shared" si="455"/>
        <v>2</v>
      </c>
      <c r="GB185" s="522">
        <f t="shared" si="455"/>
        <v>5</v>
      </c>
      <c r="GC185" s="522">
        <f t="shared" si="455"/>
        <v>12</v>
      </c>
      <c r="GD185" s="522">
        <f t="shared" si="455"/>
        <v>73</v>
      </c>
      <c r="GE185" s="522">
        <f t="shared" si="455"/>
        <v>0</v>
      </c>
      <c r="GF185" s="522">
        <f t="shared" si="455"/>
        <v>1</v>
      </c>
      <c r="GG185" s="522">
        <f t="shared" si="455"/>
        <v>7</v>
      </c>
      <c r="GH185" s="522">
        <f t="shared" si="455"/>
        <v>12</v>
      </c>
      <c r="GI185" s="522">
        <f t="shared" si="455"/>
        <v>19</v>
      </c>
      <c r="GJ185" s="522">
        <f t="shared" si="455"/>
        <v>0</v>
      </c>
      <c r="GK185" s="522">
        <f t="shared" si="455"/>
        <v>131</v>
      </c>
      <c r="GL185" s="522">
        <f t="shared" si="455"/>
        <v>27</v>
      </c>
      <c r="GM185" s="522">
        <f t="shared" si="455"/>
        <v>88319</v>
      </c>
      <c r="GN185" s="522">
        <f t="shared" si="455"/>
        <v>26556</v>
      </c>
      <c r="GO185" s="522">
        <f t="shared" si="455"/>
        <v>85331</v>
      </c>
      <c r="GP185" s="522">
        <f t="shared" si="455"/>
        <v>24714</v>
      </c>
      <c r="GQ185" s="522">
        <f t="shared" si="455"/>
        <v>0</v>
      </c>
      <c r="GR185" s="522">
        <f t="shared" si="455"/>
        <v>1416</v>
      </c>
      <c r="GS185" s="522">
        <f t="shared" si="455"/>
        <v>311</v>
      </c>
      <c r="GT185" s="522">
        <f t="shared" si="455"/>
        <v>1416</v>
      </c>
      <c r="GU185" s="522">
        <f t="shared" si="455"/>
        <v>311</v>
      </c>
      <c r="GV185" s="522">
        <f t="shared" si="455"/>
        <v>1105</v>
      </c>
      <c r="GW185" s="522">
        <f t="shared" si="455"/>
        <v>9</v>
      </c>
      <c r="GX185" s="522">
        <f t="shared" si="455"/>
        <v>23</v>
      </c>
      <c r="GY185" s="522">
        <f t="shared" si="455"/>
        <v>214</v>
      </c>
      <c r="GZ185" s="522">
        <f t="shared" si="455"/>
        <v>1039</v>
      </c>
      <c r="HA185" s="522">
        <f t="shared" si="455"/>
        <v>10</v>
      </c>
      <c r="HB185" s="522">
        <f t="shared" si="455"/>
        <v>13</v>
      </c>
      <c r="HC185" s="522">
        <f t="shared" si="455"/>
        <v>42</v>
      </c>
      <c r="HD185" s="522">
        <f t="shared" si="455"/>
        <v>66</v>
      </c>
      <c r="HE185" s="522">
        <f t="shared" si="455"/>
        <v>4</v>
      </c>
      <c r="HF185" s="522">
        <f t="shared" si="455"/>
        <v>6</v>
      </c>
      <c r="HG185" s="522">
        <f t="shared" si="455"/>
        <v>24</v>
      </c>
      <c r="HH185" s="522">
        <f t="shared" si="455"/>
        <v>73</v>
      </c>
      <c r="HI185" s="522">
        <f t="shared" si="455"/>
        <v>0</v>
      </c>
      <c r="HJ185" s="522">
        <f t="shared" si="455"/>
        <v>0</v>
      </c>
      <c r="HK185" s="522">
        <f t="shared" si="455"/>
        <v>1</v>
      </c>
      <c r="HL185" s="522">
        <f t="shared" si="455"/>
        <v>2</v>
      </c>
      <c r="HM185" s="522">
        <f t="shared" si="455"/>
        <v>16</v>
      </c>
      <c r="HN185" s="522">
        <f t="shared" si="455"/>
        <v>0</v>
      </c>
      <c r="HO185" s="522">
        <f t="shared" si="455"/>
        <v>65</v>
      </c>
      <c r="HP185" s="522">
        <f t="shared" si="455"/>
        <v>23</v>
      </c>
      <c r="HQ185" s="521"/>
      <c r="HR185" s="521"/>
      <c r="HS185" s="197"/>
      <c r="HT185" s="198">
        <f t="shared" si="28"/>
        <v>1735</v>
      </c>
      <c r="HU185" s="198">
        <f t="shared" si="29"/>
        <v>1859</v>
      </c>
      <c r="HV185" s="198">
        <f t="shared" si="30"/>
        <v>1723</v>
      </c>
      <c r="HW185" s="198">
        <f t="shared" si="99"/>
        <v>1538</v>
      </c>
      <c r="HX185" s="198">
        <f t="shared" si="32"/>
        <v>1505</v>
      </c>
      <c r="HY185" s="198">
        <f t="shared" si="33"/>
        <v>1487</v>
      </c>
      <c r="HZ185" s="198">
        <f t="shared" si="34"/>
        <v>1292</v>
      </c>
      <c r="IA185" s="198">
        <f t="shared" si="35"/>
        <v>1465</v>
      </c>
      <c r="IB185" s="198">
        <f t="shared" si="36"/>
        <v>1448</v>
      </c>
      <c r="IC185" s="198">
        <f t="shared" si="37"/>
        <v>1423</v>
      </c>
      <c r="ID185" s="198">
        <f t="shared" si="38"/>
        <v>1410</v>
      </c>
      <c r="IE185" s="198">
        <f t="shared" si="39"/>
        <v>1416</v>
      </c>
      <c r="IF185" s="521"/>
      <c r="IG185" s="197"/>
      <c r="IH185" s="521"/>
      <c r="II185" s="521"/>
      <c r="IJ185" s="521"/>
      <c r="IK185" s="521"/>
      <c r="IL185" s="521"/>
      <c r="IM185" s="521"/>
      <c r="IN185" s="521"/>
      <c r="IO185" s="521"/>
      <c r="IP185" s="521"/>
      <c r="IQ185" s="521"/>
      <c r="IR185" s="521"/>
      <c r="IS185" s="521"/>
      <c r="IT185" s="521"/>
      <c r="IU185" s="521"/>
      <c r="IV185" s="521"/>
      <c r="IW185" s="521"/>
      <c r="IX185" s="521"/>
      <c r="IY185" s="521"/>
      <c r="IZ185" s="521"/>
      <c r="JA185" s="524">
        <f t="shared" ref="JA185:JL185" si="456">SUM(JA8:JA184)</f>
        <v>0</v>
      </c>
      <c r="JB185" s="517">
        <f t="shared" si="456"/>
        <v>1729</v>
      </c>
      <c r="JC185" s="517">
        <f t="shared" si="456"/>
        <v>1859</v>
      </c>
      <c r="JD185" s="517">
        <f t="shared" si="456"/>
        <v>1723</v>
      </c>
      <c r="JE185" s="517">
        <f t="shared" si="456"/>
        <v>1537</v>
      </c>
      <c r="JF185" s="517">
        <f t="shared" si="456"/>
        <v>1505</v>
      </c>
      <c r="JG185" s="517">
        <f t="shared" si="456"/>
        <v>1487</v>
      </c>
      <c r="JH185" s="517">
        <f t="shared" si="456"/>
        <v>1292</v>
      </c>
      <c r="JI185" s="517">
        <f t="shared" si="456"/>
        <v>1465</v>
      </c>
      <c r="JJ185" s="517">
        <f t="shared" si="456"/>
        <v>1448</v>
      </c>
      <c r="JK185" s="517">
        <f t="shared" si="456"/>
        <v>1548</v>
      </c>
      <c r="JL185" s="517">
        <f t="shared" si="456"/>
        <v>1410</v>
      </c>
      <c r="JM185" s="525">
        <f t="shared" si="51"/>
        <v>1416</v>
      </c>
      <c r="JN185" s="517">
        <f t="shared" ref="JN185:KQ185" si="457">SUM(JN8:JN184)</f>
        <v>0</v>
      </c>
      <c r="JO185" s="517">
        <f t="shared" si="457"/>
        <v>1735</v>
      </c>
      <c r="JP185" s="517">
        <f t="shared" si="457"/>
        <v>1859</v>
      </c>
      <c r="JQ185" s="517">
        <f t="shared" si="457"/>
        <v>1723</v>
      </c>
      <c r="JR185" s="517">
        <f t="shared" si="457"/>
        <v>1538</v>
      </c>
      <c r="JS185" s="517">
        <f t="shared" si="457"/>
        <v>1505</v>
      </c>
      <c r="JT185" s="517">
        <f t="shared" si="457"/>
        <v>0</v>
      </c>
      <c r="JU185" s="517">
        <f t="shared" si="457"/>
        <v>0</v>
      </c>
      <c r="JV185" s="517">
        <f t="shared" si="457"/>
        <v>0</v>
      </c>
      <c r="JW185" s="517">
        <f t="shared" si="457"/>
        <v>0</v>
      </c>
      <c r="JX185" s="517">
        <f t="shared" si="457"/>
        <v>-125</v>
      </c>
      <c r="JY185" s="517">
        <f t="shared" si="457"/>
        <v>0</v>
      </c>
      <c r="JZ185" s="517">
        <f t="shared" si="457"/>
        <v>0</v>
      </c>
      <c r="KA185" s="517">
        <f t="shared" si="457"/>
        <v>0</v>
      </c>
      <c r="KB185" s="517">
        <f t="shared" si="457"/>
        <v>-6</v>
      </c>
      <c r="KC185" s="517">
        <f t="shared" si="457"/>
        <v>0</v>
      </c>
      <c r="KD185" s="517">
        <f t="shared" si="457"/>
        <v>0</v>
      </c>
      <c r="KE185" s="517">
        <f t="shared" si="457"/>
        <v>-1</v>
      </c>
      <c r="KF185" s="517">
        <f t="shared" si="457"/>
        <v>0</v>
      </c>
      <c r="KG185" s="517">
        <f t="shared" si="457"/>
        <v>1487</v>
      </c>
      <c r="KH185" s="517">
        <f t="shared" si="457"/>
        <v>1292</v>
      </c>
      <c r="KI185" s="517">
        <f t="shared" si="457"/>
        <v>1465</v>
      </c>
      <c r="KJ185" s="517">
        <f t="shared" si="457"/>
        <v>1448</v>
      </c>
      <c r="KK185" s="517">
        <f t="shared" si="457"/>
        <v>1673</v>
      </c>
      <c r="KL185" s="517">
        <f t="shared" si="457"/>
        <v>1410</v>
      </c>
      <c r="KM185" s="517">
        <f t="shared" si="457"/>
        <v>1416</v>
      </c>
      <c r="KN185" s="517">
        <f t="shared" si="457"/>
        <v>0</v>
      </c>
      <c r="KO185" s="517">
        <f t="shared" si="457"/>
        <v>0</v>
      </c>
      <c r="KP185" s="517">
        <f t="shared" si="457"/>
        <v>0</v>
      </c>
      <c r="KQ185" s="517">
        <f t="shared" si="457"/>
        <v>0</v>
      </c>
      <c r="KR185" s="526"/>
      <c r="KS185" s="526"/>
      <c r="KT185" s="526"/>
      <c r="KU185" s="526"/>
      <c r="KV185" s="526"/>
      <c r="KW185" s="526"/>
      <c r="KX185" s="526"/>
      <c r="KY185" s="526"/>
      <c r="KZ185" s="526"/>
      <c r="LA185" s="526"/>
      <c r="LB185" s="526"/>
      <c r="LC185" s="526"/>
      <c r="LD185" s="526"/>
      <c r="LE185" s="526"/>
      <c r="LF185" s="526"/>
      <c r="LG185" s="526"/>
      <c r="LH185" s="526"/>
      <c r="LI185" s="526"/>
      <c r="LJ185" s="526"/>
      <c r="LK185" s="526"/>
    </row>
    <row r="186" ht="14.25" customHeight="1">
      <c r="H186" s="2"/>
      <c r="I186" s="527"/>
      <c r="J186" s="527"/>
      <c r="K186" s="527"/>
      <c r="L186" s="528"/>
      <c r="M186" s="528"/>
      <c r="N186" s="528"/>
      <c r="O186" s="199"/>
      <c r="P186" s="529"/>
      <c r="Q186" s="528"/>
      <c r="R186" s="528"/>
      <c r="S186" s="528"/>
      <c r="W186" s="4"/>
      <c r="X186" s="5"/>
      <c r="AE186" s="4"/>
      <c r="AF186" s="5"/>
      <c r="AM186" s="4"/>
      <c r="AN186" s="5"/>
      <c r="AU186" s="4"/>
      <c r="AV186" s="6"/>
      <c r="AW186" s="7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530">
        <v>8.0</v>
      </c>
      <c r="BT186" s="530">
        <v>24.0</v>
      </c>
      <c r="BU186" s="530">
        <v>76.0</v>
      </c>
      <c r="BV186" s="530">
        <v>350.0</v>
      </c>
      <c r="BW186" s="530">
        <v>5.0</v>
      </c>
      <c r="BX186" s="530">
        <v>2.0</v>
      </c>
      <c r="BY186" s="530">
        <v>6.0</v>
      </c>
      <c r="BZ186" s="530">
        <v>9.0</v>
      </c>
      <c r="CA186" s="530">
        <v>2.0</v>
      </c>
      <c r="CB186" s="530">
        <v>5.0</v>
      </c>
      <c r="CC186" s="530">
        <v>21.0</v>
      </c>
      <c r="CD186" s="531">
        <v>26.0</v>
      </c>
      <c r="CE186" s="530">
        <v>0.0</v>
      </c>
      <c r="CF186" s="530">
        <v>1.0</v>
      </c>
      <c r="CG186" s="530">
        <v>3.0</v>
      </c>
      <c r="CH186" s="530">
        <v>5.0</v>
      </c>
      <c r="CI186" s="530">
        <v>6.0</v>
      </c>
      <c r="CJ186" s="530">
        <v>0.0</v>
      </c>
      <c r="CK186" s="530">
        <v>69.0</v>
      </c>
      <c r="CL186" s="532"/>
      <c r="CM186" s="532"/>
      <c r="CN186" s="532"/>
      <c r="CO186" s="532"/>
      <c r="CP186" s="532"/>
      <c r="CQ186" s="532"/>
      <c r="CR186" s="532"/>
      <c r="CS186" s="532"/>
      <c r="CT186" s="532"/>
      <c r="CU186" s="532"/>
      <c r="CV186" s="532"/>
      <c r="CW186" s="532"/>
      <c r="CX186" s="532"/>
      <c r="CY186" s="532"/>
      <c r="CZ186" s="532"/>
      <c r="DA186" s="532"/>
      <c r="DB186" s="532"/>
      <c r="DC186" s="532"/>
      <c r="DD186" s="532"/>
      <c r="DE186" s="532"/>
      <c r="DF186" s="532"/>
      <c r="DG186" s="532"/>
      <c r="DH186" s="532"/>
      <c r="DI186" s="532"/>
      <c r="DJ186" s="532"/>
      <c r="DK186" s="532"/>
      <c r="DL186" s="532"/>
      <c r="DM186" s="532"/>
      <c r="DN186" s="180">
        <f t="shared" si="16"/>
        <v>0</v>
      </c>
      <c r="DO186" s="532"/>
      <c r="DP186" s="532"/>
      <c r="DQ186" s="532"/>
      <c r="DR186" s="532"/>
      <c r="DS186" s="532"/>
      <c r="DT186" s="532"/>
      <c r="DU186" s="532"/>
      <c r="DV186" s="532"/>
      <c r="DW186" s="532"/>
      <c r="DX186" s="532"/>
      <c r="DY186" s="532"/>
      <c r="DZ186" s="532"/>
      <c r="EA186" s="532"/>
      <c r="EB186" s="532"/>
      <c r="EC186" s="532"/>
      <c r="ED186" s="532"/>
      <c r="EE186" s="532"/>
      <c r="EF186" s="532"/>
      <c r="EG186" s="532"/>
      <c r="EH186" s="532"/>
      <c r="EI186" s="532"/>
      <c r="EJ186" s="532"/>
      <c r="EK186" s="532"/>
      <c r="EL186" s="532"/>
      <c r="EM186" s="532"/>
      <c r="EN186" s="532"/>
      <c r="EO186" s="532"/>
      <c r="EP186" s="532"/>
      <c r="EQ186" s="532"/>
      <c r="ER186" s="532"/>
      <c r="ES186" s="532"/>
      <c r="ET186" s="532"/>
      <c r="EU186" s="532"/>
      <c r="EV186" s="532"/>
      <c r="EW186" s="532"/>
      <c r="EX186" s="532"/>
      <c r="EY186" s="532"/>
      <c r="EZ186" s="532"/>
      <c r="FA186" s="532"/>
      <c r="FB186" s="532"/>
      <c r="FC186" s="532"/>
      <c r="FD186" s="532"/>
      <c r="FE186" s="532"/>
      <c r="FF186" s="532"/>
      <c r="FG186" s="532"/>
      <c r="FH186" s="532"/>
      <c r="FI186" s="532"/>
      <c r="FJ186" s="532"/>
      <c r="FK186" s="532"/>
      <c r="FL186" s="532"/>
      <c r="FM186" s="532"/>
      <c r="FN186" s="532"/>
      <c r="FO186" s="532"/>
      <c r="FP186" s="532"/>
      <c r="FQ186" s="532"/>
      <c r="FR186" s="532"/>
      <c r="FS186" s="532"/>
      <c r="FT186" s="532"/>
      <c r="FU186" s="532"/>
      <c r="FV186" s="532"/>
      <c r="FW186" s="532"/>
      <c r="FX186" s="532"/>
      <c r="FY186" s="532"/>
      <c r="FZ186" s="532"/>
      <c r="GA186" s="532"/>
      <c r="GB186" s="532"/>
      <c r="GC186" s="532"/>
      <c r="GD186" s="532"/>
      <c r="GE186" s="532"/>
      <c r="GF186" s="532"/>
      <c r="GG186" s="532"/>
      <c r="GH186" s="532"/>
      <c r="GI186" s="532"/>
      <c r="GJ186" s="532"/>
      <c r="GK186" s="532"/>
      <c r="GL186" s="532"/>
      <c r="GM186" s="532"/>
      <c r="GN186" s="532"/>
      <c r="GO186" s="532"/>
      <c r="GP186" s="532"/>
      <c r="GQ186" s="532"/>
      <c r="GR186" s="532"/>
      <c r="GS186" s="533"/>
      <c r="GT186" s="533"/>
      <c r="GU186" s="533"/>
      <c r="GV186" s="533"/>
      <c r="GW186" s="532"/>
      <c r="GX186" s="532"/>
      <c r="GY186" s="532"/>
      <c r="GZ186" s="532"/>
      <c r="HA186" s="532"/>
      <c r="HB186" s="532"/>
      <c r="HC186" s="532"/>
      <c r="HD186" s="532"/>
      <c r="HE186" s="532"/>
      <c r="HF186" s="532"/>
      <c r="HG186" s="532"/>
      <c r="HH186" s="532"/>
      <c r="HI186" s="532"/>
      <c r="HJ186" s="532"/>
      <c r="HK186" s="532"/>
      <c r="HL186" s="532"/>
      <c r="HM186" s="532"/>
      <c r="HN186" s="532"/>
      <c r="HO186" s="532"/>
      <c r="HP186" s="532"/>
      <c r="HQ186" s="534"/>
      <c r="HR186" s="535"/>
      <c r="HS186" s="535"/>
      <c r="HT186" s="535"/>
      <c r="HU186" s="535"/>
      <c r="HV186" s="535"/>
      <c r="HW186" s="535"/>
      <c r="HX186" s="6"/>
      <c r="HY186" s="6"/>
      <c r="HZ186" s="6"/>
      <c r="IA186" s="6"/>
      <c r="IB186" s="197"/>
      <c r="IC186" s="6"/>
      <c r="ID186" s="536" t="str">
        <f t="shared" si="38"/>
        <v/>
      </c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IY186" s="6"/>
      <c r="IZ186" s="6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200"/>
      <c r="JN186" s="4"/>
      <c r="JO186" s="4"/>
      <c r="JP186" s="4"/>
      <c r="JQ186" s="4"/>
      <c r="JR186" s="4"/>
      <c r="JS186" s="4"/>
      <c r="JT186" s="4"/>
      <c r="JU186" s="4"/>
      <c r="JV186" s="4"/>
      <c r="JW186" s="200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</row>
    <row r="187" ht="14.25" customHeight="1">
      <c r="H187" s="2"/>
      <c r="I187" s="527"/>
      <c r="J187" s="527"/>
      <c r="K187" s="527"/>
      <c r="L187" s="528"/>
      <c r="M187" s="528"/>
      <c r="N187" s="528"/>
      <c r="O187" s="199"/>
      <c r="P187" s="529"/>
      <c r="Q187" s="528"/>
      <c r="R187" s="528"/>
      <c r="S187" s="528"/>
      <c r="W187" s="4"/>
      <c r="X187" s="5"/>
      <c r="AE187" s="4"/>
      <c r="AF187" s="5"/>
      <c r="AM187" s="4"/>
      <c r="AN187" s="5"/>
      <c r="AU187" s="4"/>
      <c r="AV187" s="6"/>
      <c r="AW187" s="7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173" t="s">
        <v>300</v>
      </c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537" t="s">
        <v>300</v>
      </c>
      <c r="GP187" s="173" t="s">
        <v>300</v>
      </c>
      <c r="GQ187" s="6"/>
      <c r="GR187" s="6"/>
      <c r="GS187" s="533"/>
      <c r="GT187" s="533"/>
      <c r="GU187" s="533"/>
      <c r="GV187" s="533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197"/>
      <c r="IC187" s="6"/>
      <c r="ID187" s="536" t="str">
        <f t="shared" si="38"/>
        <v/>
      </c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IY187" s="6"/>
      <c r="IZ187" s="6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200"/>
      <c r="JN187" s="4"/>
      <c r="JO187" s="4"/>
      <c r="JP187" s="4"/>
      <c r="JQ187" s="4"/>
      <c r="JR187" s="4"/>
      <c r="JS187" s="4"/>
      <c r="JT187" s="4"/>
      <c r="JU187" s="4"/>
      <c r="JV187" s="4"/>
      <c r="JW187" s="200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</row>
    <row r="188" ht="14.25" customHeight="1">
      <c r="H188" s="2"/>
      <c r="I188" s="527"/>
      <c r="J188" s="527"/>
      <c r="K188" s="527"/>
      <c r="L188" s="528"/>
      <c r="M188" s="528"/>
      <c r="N188" s="528"/>
      <c r="O188" s="199"/>
      <c r="P188" s="529"/>
      <c r="Q188" s="528"/>
      <c r="R188" s="528"/>
      <c r="S188" s="528"/>
      <c r="W188" s="4"/>
      <c r="X188" s="5"/>
      <c r="AE188" s="4"/>
      <c r="AF188" s="5"/>
      <c r="AM188" s="4"/>
      <c r="AN188" s="5"/>
      <c r="AU188" s="4"/>
      <c r="AV188" s="6"/>
      <c r="AW188" s="7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197">
        <f>sum(BS185:BV185)</f>
        <v>1162</v>
      </c>
      <c r="BW188" s="6"/>
      <c r="BX188" s="197">
        <f>sum(BW185:BZ185)</f>
        <v>130</v>
      </c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533"/>
      <c r="GT188" s="533"/>
      <c r="GU188" s="533"/>
      <c r="GV188" s="533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197"/>
      <c r="IC188" s="6"/>
      <c r="ID188" s="536" t="str">
        <f t="shared" si="38"/>
        <v/>
      </c>
      <c r="IE188" s="6"/>
      <c r="IF188" s="6"/>
      <c r="IG188" s="6"/>
      <c r="IH188" s="6"/>
      <c r="II188" s="6"/>
      <c r="IJ188" s="6"/>
      <c r="IK188" s="6"/>
      <c r="IL188" s="6"/>
      <c r="IM188" s="6"/>
      <c r="IN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IY188" s="6"/>
      <c r="IZ188" s="6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200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</row>
    <row r="189" ht="14.25" customHeight="1">
      <c r="H189" s="2"/>
      <c r="I189" s="527"/>
      <c r="J189" s="527"/>
      <c r="K189" s="527"/>
      <c r="L189" s="528"/>
      <c r="M189" s="528"/>
      <c r="N189" s="528"/>
      <c r="O189" s="199"/>
      <c r="P189" s="529"/>
      <c r="Q189" s="528"/>
      <c r="R189" s="528"/>
      <c r="S189" s="528"/>
      <c r="W189" s="4"/>
      <c r="X189" s="5"/>
      <c r="AE189" s="4"/>
      <c r="AF189" s="5"/>
      <c r="AM189" s="4"/>
      <c r="AN189" s="5"/>
      <c r="AU189" s="4"/>
      <c r="AV189" s="6"/>
      <c r="AW189" s="7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197">
        <f>sum(BV188:BX188)</f>
        <v>1292</v>
      </c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533"/>
      <c r="GT189" s="533"/>
      <c r="GU189" s="533"/>
      <c r="GV189" s="533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197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IY189" s="6"/>
      <c r="IZ189" s="6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200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</row>
    <row r="190" ht="14.25" customHeight="1">
      <c r="H190" s="2"/>
      <c r="I190" s="527"/>
      <c r="J190" s="527"/>
      <c r="K190" s="527"/>
      <c r="L190" s="528"/>
      <c r="M190" s="528"/>
      <c r="N190" s="528"/>
      <c r="O190" s="199"/>
      <c r="P190" s="529"/>
      <c r="Q190" s="528"/>
      <c r="R190" s="528"/>
      <c r="S190" s="528"/>
      <c r="W190" s="4"/>
      <c r="X190" s="5"/>
      <c r="AE190" s="4"/>
      <c r="AF190" s="5"/>
      <c r="AM190" s="4"/>
      <c r="AN190" s="5"/>
      <c r="AU190" s="4"/>
      <c r="AV190" s="6"/>
      <c r="AW190" s="7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533"/>
      <c r="GT190" s="533"/>
      <c r="GU190" s="533"/>
      <c r="GV190" s="533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197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200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</row>
    <row r="191" ht="14.25" customHeight="1">
      <c r="H191" s="2"/>
      <c r="I191" s="527"/>
      <c r="J191" s="527"/>
      <c r="K191" s="527"/>
      <c r="L191" s="528"/>
      <c r="M191" s="528"/>
      <c r="N191" s="528"/>
      <c r="O191" s="199"/>
      <c r="P191" s="529"/>
      <c r="Q191" s="528"/>
      <c r="R191" s="528"/>
      <c r="S191" s="528"/>
      <c r="W191" s="4"/>
      <c r="X191" s="5"/>
      <c r="AE191" s="4"/>
      <c r="AF191" s="5"/>
      <c r="AM191" s="4"/>
      <c r="AN191" s="5"/>
      <c r="AU191" s="4"/>
      <c r="AV191" s="6"/>
      <c r="AW191" s="7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533"/>
      <c r="GT191" s="533"/>
      <c r="GU191" s="533"/>
      <c r="GV191" s="533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200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</row>
    <row r="192" ht="14.25" customHeight="1">
      <c r="H192" s="2"/>
      <c r="I192" s="527"/>
      <c r="J192" s="527"/>
      <c r="K192" s="527"/>
      <c r="L192" s="528"/>
      <c r="M192" s="528"/>
      <c r="N192" s="528"/>
      <c r="O192" s="199"/>
      <c r="P192" s="529"/>
      <c r="Q192" s="528"/>
      <c r="R192" s="528"/>
      <c r="S192" s="528"/>
      <c r="W192" s="4"/>
      <c r="X192" s="5"/>
      <c r="AE192" s="4"/>
      <c r="AF192" s="5"/>
      <c r="AM192" s="4"/>
      <c r="AN192" s="5"/>
      <c r="AU192" s="4"/>
      <c r="AV192" s="6"/>
      <c r="AW192" s="7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533"/>
      <c r="GT192" s="533"/>
      <c r="GU192" s="533"/>
      <c r="GV192" s="533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IY192" s="6"/>
      <c r="IZ192" s="6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200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</row>
    <row r="193" ht="14.25" customHeight="1">
      <c r="H193" s="2"/>
      <c r="I193" s="527"/>
      <c r="J193" s="527"/>
      <c r="K193" s="527"/>
      <c r="L193" s="528"/>
      <c r="M193" s="528"/>
      <c r="N193" s="528"/>
      <c r="O193" s="199"/>
      <c r="P193" s="529"/>
      <c r="Q193" s="528"/>
      <c r="R193" s="528"/>
      <c r="S193" s="528"/>
      <c r="W193" s="4"/>
      <c r="X193" s="5"/>
      <c r="AE193" s="4"/>
      <c r="AF193" s="5"/>
      <c r="AM193" s="4"/>
      <c r="AN193" s="5"/>
      <c r="AU193" s="4"/>
      <c r="AV193" s="6"/>
      <c r="AW193" s="7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533"/>
      <c r="GT193" s="533"/>
      <c r="GU193" s="533"/>
      <c r="GV193" s="533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IY193" s="6"/>
      <c r="IZ193" s="6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200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</row>
    <row r="194" ht="14.25" customHeight="1">
      <c r="H194" s="2"/>
      <c r="I194" s="527"/>
      <c r="J194" s="527"/>
      <c r="K194" s="527"/>
      <c r="L194" s="528"/>
      <c r="M194" s="528"/>
      <c r="N194" s="528"/>
      <c r="O194" s="199"/>
      <c r="P194" s="529"/>
      <c r="Q194" s="528"/>
      <c r="R194" s="528"/>
      <c r="S194" s="528"/>
      <c r="W194" s="4"/>
      <c r="X194" s="5"/>
      <c r="AE194" s="4"/>
      <c r="AF194" s="5"/>
      <c r="AM194" s="4"/>
      <c r="AN194" s="5"/>
      <c r="AU194" s="4"/>
      <c r="AV194" s="6"/>
      <c r="AW194" s="7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533"/>
      <c r="GT194" s="533"/>
      <c r="GU194" s="533"/>
      <c r="GV194" s="533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IY194" s="6"/>
      <c r="IZ194" s="6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200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</row>
    <row r="195" ht="14.25" customHeight="1">
      <c r="H195" s="2"/>
      <c r="I195" s="527"/>
      <c r="J195" s="527"/>
      <c r="K195" s="527"/>
      <c r="L195" s="528"/>
      <c r="M195" s="528"/>
      <c r="N195" s="528"/>
      <c r="O195" s="199"/>
      <c r="P195" s="529"/>
      <c r="Q195" s="528"/>
      <c r="R195" s="528"/>
      <c r="S195" s="528"/>
      <c r="W195" s="4"/>
      <c r="X195" s="5"/>
      <c r="AE195" s="4"/>
      <c r="AF195" s="5"/>
      <c r="AM195" s="4"/>
      <c r="AN195" s="5"/>
      <c r="AU195" s="4"/>
      <c r="AV195" s="6"/>
      <c r="AW195" s="7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533"/>
      <c r="GT195" s="533"/>
      <c r="GU195" s="533"/>
      <c r="GV195" s="533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200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</row>
    <row r="196" ht="14.25" customHeight="1">
      <c r="H196" s="2"/>
      <c r="I196" s="527"/>
      <c r="J196" s="527"/>
      <c r="K196" s="527"/>
      <c r="L196" s="528"/>
      <c r="M196" s="528"/>
      <c r="N196" s="528"/>
      <c r="O196" s="199"/>
      <c r="P196" s="529"/>
      <c r="Q196" s="528"/>
      <c r="R196" s="528"/>
      <c r="S196" s="528"/>
      <c r="W196" s="4"/>
      <c r="X196" s="5"/>
      <c r="AE196" s="4"/>
      <c r="AF196" s="5"/>
      <c r="AM196" s="4"/>
      <c r="AN196" s="5"/>
      <c r="AU196" s="4"/>
      <c r="AV196" s="6"/>
      <c r="AW196" s="7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538"/>
      <c r="GT196" s="538"/>
      <c r="GU196" s="538"/>
      <c r="GV196" s="538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IY196" s="6"/>
      <c r="IZ196" s="6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200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</row>
    <row r="197" ht="14.25" customHeight="1">
      <c r="H197" s="2"/>
      <c r="I197" s="527"/>
      <c r="J197" s="527"/>
      <c r="K197" s="527"/>
      <c r="L197" s="528"/>
      <c r="M197" s="528"/>
      <c r="N197" s="528"/>
      <c r="O197" s="199"/>
      <c r="P197" s="529"/>
      <c r="Q197" s="528"/>
      <c r="R197" s="528"/>
      <c r="S197" s="528"/>
      <c r="W197" s="4"/>
      <c r="X197" s="5"/>
      <c r="AE197" s="4"/>
      <c r="AF197" s="5"/>
      <c r="AM197" s="4"/>
      <c r="AN197" s="5"/>
      <c r="AU197" s="4"/>
      <c r="AV197" s="6"/>
      <c r="AW197" s="7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538"/>
      <c r="GT197" s="538"/>
      <c r="GU197" s="538"/>
      <c r="GV197" s="538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6"/>
      <c r="IK197" s="6"/>
      <c r="IL197" s="6"/>
      <c r="IM197" s="6"/>
      <c r="IN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IY197" s="6"/>
      <c r="IZ197" s="6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200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</row>
    <row r="198" ht="14.25" customHeight="1">
      <c r="H198" s="2"/>
      <c r="I198" s="527"/>
      <c r="J198" s="527"/>
      <c r="K198" s="527"/>
      <c r="L198" s="528"/>
      <c r="M198" s="528"/>
      <c r="N198" s="528"/>
      <c r="O198" s="199"/>
      <c r="P198" s="529"/>
      <c r="Q198" s="528"/>
      <c r="R198" s="528"/>
      <c r="S198" s="528"/>
      <c r="W198" s="4"/>
      <c r="X198" s="5"/>
      <c r="AE198" s="4"/>
      <c r="AF198" s="5"/>
      <c r="AM198" s="4"/>
      <c r="AN198" s="5"/>
      <c r="AU198" s="4"/>
      <c r="AV198" s="6"/>
      <c r="AW198" s="7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538"/>
      <c r="GT198" s="538"/>
      <c r="GU198" s="538"/>
      <c r="GV198" s="538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J198" s="6"/>
      <c r="IK198" s="6"/>
      <c r="IL198" s="6"/>
      <c r="IM198" s="6"/>
      <c r="IN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IY198" s="6"/>
      <c r="IZ198" s="6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</row>
    <row r="199" ht="14.25" customHeight="1">
      <c r="H199" s="2"/>
      <c r="I199" s="527"/>
      <c r="J199" s="527"/>
      <c r="K199" s="527"/>
      <c r="L199" s="528"/>
      <c r="M199" s="528"/>
      <c r="N199" s="528"/>
      <c r="O199" s="199"/>
      <c r="P199" s="529"/>
      <c r="Q199" s="528"/>
      <c r="R199" s="528"/>
      <c r="S199" s="528"/>
      <c r="W199" s="4"/>
      <c r="X199" s="5"/>
      <c r="AE199" s="4"/>
      <c r="AF199" s="5"/>
      <c r="AM199" s="4"/>
      <c r="AN199" s="5"/>
      <c r="AU199" s="4"/>
      <c r="AV199" s="6"/>
      <c r="AW199" s="7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538"/>
      <c r="GT199" s="538"/>
      <c r="GU199" s="538"/>
      <c r="GV199" s="538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IY199" s="6"/>
      <c r="IZ199" s="6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</row>
    <row r="200" ht="14.25" customHeight="1">
      <c r="H200" s="2"/>
      <c r="I200" s="527"/>
      <c r="J200" s="527"/>
      <c r="K200" s="527"/>
      <c r="L200" s="528"/>
      <c r="M200" s="528"/>
      <c r="N200" s="528"/>
      <c r="O200" s="199"/>
      <c r="P200" s="529"/>
      <c r="Q200" s="528"/>
      <c r="R200" s="528"/>
      <c r="S200" s="528"/>
      <c r="W200" s="4"/>
      <c r="X200" s="5"/>
      <c r="AE200" s="4"/>
      <c r="AF200" s="5"/>
      <c r="AM200" s="4"/>
      <c r="AN200" s="5"/>
      <c r="AU200" s="4"/>
      <c r="AV200" s="6"/>
      <c r="AW200" s="7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539"/>
      <c r="GT200" s="539"/>
      <c r="GU200" s="539"/>
      <c r="GV200" s="539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J200" s="6"/>
      <c r="IK200" s="6"/>
      <c r="IL200" s="6"/>
      <c r="IM200" s="6"/>
      <c r="IN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IY200" s="6"/>
      <c r="IZ200" s="6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</row>
    <row r="201" ht="14.25" customHeight="1">
      <c r="H201" s="2"/>
      <c r="I201" s="2"/>
      <c r="J201" s="2"/>
      <c r="K201" s="2"/>
      <c r="L201" s="3"/>
      <c r="M201" s="3"/>
      <c r="N201" s="3"/>
      <c r="O201" s="4"/>
      <c r="P201" s="5"/>
      <c r="Q201" s="3"/>
      <c r="R201" s="3"/>
      <c r="S201" s="3"/>
      <c r="W201" s="4"/>
      <c r="X201" s="5"/>
      <c r="AE201" s="4"/>
      <c r="AF201" s="5"/>
      <c r="AM201" s="4"/>
      <c r="AN201" s="5"/>
      <c r="AU201" s="4"/>
      <c r="AV201" s="6"/>
      <c r="AW201" s="7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539"/>
      <c r="GT201" s="539"/>
      <c r="GU201" s="539"/>
      <c r="GV201" s="539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6"/>
      <c r="IK201" s="6"/>
      <c r="IL201" s="6"/>
      <c r="IM201" s="6"/>
      <c r="IN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IY201" s="6"/>
      <c r="IZ201" s="6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</row>
    <row r="202" ht="14.25" customHeight="1">
      <c r="H202" s="2"/>
      <c r="I202" s="2"/>
      <c r="J202" s="2"/>
      <c r="K202" s="2"/>
      <c r="L202" s="3"/>
      <c r="M202" s="3"/>
      <c r="N202" s="3"/>
      <c r="O202" s="4"/>
      <c r="P202" s="5"/>
      <c r="Q202" s="3"/>
      <c r="R202" s="3"/>
      <c r="S202" s="3"/>
      <c r="W202" s="4"/>
      <c r="X202" s="5"/>
      <c r="AE202" s="4"/>
      <c r="AF202" s="5"/>
      <c r="AM202" s="4"/>
      <c r="AN202" s="5"/>
      <c r="AU202" s="4"/>
      <c r="AV202" s="6"/>
      <c r="AW202" s="7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</row>
    <row r="203" ht="14.25" customHeight="1">
      <c r="H203" s="2"/>
      <c r="I203" s="2"/>
      <c r="J203" s="2"/>
      <c r="K203" s="2"/>
      <c r="L203" s="3"/>
      <c r="M203" s="3"/>
      <c r="N203" s="3"/>
      <c r="O203" s="4"/>
      <c r="P203" s="5"/>
      <c r="Q203" s="3"/>
      <c r="R203" s="3"/>
      <c r="S203" s="3"/>
      <c r="W203" s="4"/>
      <c r="X203" s="5"/>
      <c r="AE203" s="4"/>
      <c r="AF203" s="5"/>
      <c r="AM203" s="4"/>
      <c r="AN203" s="5"/>
      <c r="AU203" s="4"/>
      <c r="AV203" s="6"/>
      <c r="AW203" s="7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</row>
    <row r="204" ht="14.25" customHeight="1">
      <c r="H204" s="2"/>
      <c r="I204" s="2"/>
      <c r="J204" s="2"/>
      <c r="K204" s="2"/>
      <c r="L204" s="3"/>
      <c r="M204" s="3"/>
      <c r="N204" s="3"/>
      <c r="O204" s="4"/>
      <c r="P204" s="5"/>
      <c r="Q204" s="3"/>
      <c r="R204" s="3"/>
      <c r="S204" s="3"/>
      <c r="W204" s="4"/>
      <c r="X204" s="5"/>
      <c r="AE204" s="4"/>
      <c r="AF204" s="5"/>
      <c r="AM204" s="4"/>
      <c r="AN204" s="5"/>
      <c r="AU204" s="4"/>
      <c r="AV204" s="6"/>
      <c r="AW204" s="7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</row>
    <row r="205" ht="14.25" customHeight="1">
      <c r="H205" s="2"/>
      <c r="I205" s="2"/>
      <c r="J205" s="2"/>
      <c r="K205" s="2"/>
      <c r="L205" s="3"/>
      <c r="M205" s="3"/>
      <c r="N205" s="3"/>
      <c r="O205" s="4"/>
      <c r="P205" s="5"/>
      <c r="Q205" s="3"/>
      <c r="R205" s="3"/>
      <c r="S205" s="3"/>
      <c r="W205" s="4"/>
      <c r="X205" s="5"/>
      <c r="AE205" s="4"/>
      <c r="AF205" s="5"/>
      <c r="AM205" s="4"/>
      <c r="AN205" s="5"/>
      <c r="AU205" s="4"/>
      <c r="AV205" s="6"/>
      <c r="AW205" s="7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6"/>
      <c r="IK205" s="6"/>
      <c r="IL205" s="6"/>
      <c r="IM205" s="6"/>
      <c r="IN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IY205" s="6"/>
      <c r="IZ205" s="6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</row>
    <row r="206" ht="14.25" customHeight="1">
      <c r="H206" s="2"/>
      <c r="I206" s="2"/>
      <c r="J206" s="2"/>
      <c r="K206" s="2"/>
      <c r="L206" s="3"/>
      <c r="M206" s="3"/>
      <c r="N206" s="3"/>
      <c r="O206" s="4"/>
      <c r="P206" s="5"/>
      <c r="Q206" s="3"/>
      <c r="R206" s="3"/>
      <c r="S206" s="3"/>
      <c r="W206" s="4"/>
      <c r="X206" s="5"/>
      <c r="AE206" s="4"/>
      <c r="AF206" s="5"/>
      <c r="AM206" s="4"/>
      <c r="AN206" s="5"/>
      <c r="AU206" s="4"/>
      <c r="AV206" s="6"/>
      <c r="AW206" s="7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6"/>
      <c r="IK206" s="6"/>
      <c r="IL206" s="6"/>
      <c r="IM206" s="6"/>
      <c r="IN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IY206" s="6"/>
      <c r="IZ206" s="6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</row>
    <row r="207" ht="14.25" customHeight="1">
      <c r="H207" s="2"/>
      <c r="I207" s="2"/>
      <c r="J207" s="2"/>
      <c r="K207" s="2"/>
      <c r="L207" s="3"/>
      <c r="M207" s="3"/>
      <c r="N207" s="3"/>
      <c r="O207" s="4"/>
      <c r="P207" s="5"/>
      <c r="Q207" s="3"/>
      <c r="R207" s="3"/>
      <c r="S207" s="3"/>
      <c r="W207" s="4"/>
      <c r="X207" s="5"/>
      <c r="AE207" s="4"/>
      <c r="AF207" s="5"/>
      <c r="AM207" s="4"/>
      <c r="AN207" s="5"/>
      <c r="AU207" s="4"/>
      <c r="AV207" s="6"/>
      <c r="AW207" s="7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</row>
    <row r="208" ht="14.25" customHeight="1">
      <c r="H208" s="2"/>
      <c r="I208" s="2"/>
      <c r="J208" s="2"/>
      <c r="K208" s="2"/>
      <c r="L208" s="3"/>
      <c r="M208" s="3"/>
      <c r="N208" s="3"/>
      <c r="O208" s="4"/>
      <c r="P208" s="5"/>
      <c r="Q208" s="3"/>
      <c r="R208" s="3"/>
      <c r="S208" s="3"/>
      <c r="W208" s="4"/>
      <c r="X208" s="5"/>
      <c r="AE208" s="4"/>
      <c r="AF208" s="5"/>
      <c r="AM208" s="4"/>
      <c r="AN208" s="5"/>
      <c r="AU208" s="4"/>
      <c r="AV208" s="6"/>
      <c r="AW208" s="7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</row>
    <row r="209" ht="14.25" customHeight="1">
      <c r="H209" s="2"/>
      <c r="I209" s="2"/>
      <c r="J209" s="2"/>
      <c r="K209" s="2"/>
      <c r="L209" s="3"/>
      <c r="M209" s="3"/>
      <c r="N209" s="3"/>
      <c r="O209" s="4"/>
      <c r="P209" s="5"/>
      <c r="Q209" s="3"/>
      <c r="R209" s="3"/>
      <c r="S209" s="3"/>
      <c r="W209" s="4"/>
      <c r="X209" s="5"/>
      <c r="AE209" s="4"/>
      <c r="AF209" s="5"/>
      <c r="AM209" s="4"/>
      <c r="AN209" s="5"/>
      <c r="AU209" s="4"/>
      <c r="AV209" s="6"/>
      <c r="AW209" s="7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6"/>
      <c r="IK209" s="6"/>
      <c r="IL209" s="6"/>
      <c r="IM209" s="6"/>
      <c r="IN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IY209" s="6"/>
      <c r="IZ209" s="6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</row>
    <row r="210" ht="14.25" customHeight="1">
      <c r="H210" s="2"/>
      <c r="I210" s="2"/>
      <c r="J210" s="2"/>
      <c r="K210" s="2"/>
      <c r="L210" s="3"/>
      <c r="M210" s="3"/>
      <c r="N210" s="3"/>
      <c r="O210" s="4"/>
      <c r="P210" s="5"/>
      <c r="Q210" s="3"/>
      <c r="R210" s="3"/>
      <c r="S210" s="3"/>
      <c r="W210" s="4"/>
      <c r="X210" s="5"/>
      <c r="AE210" s="4"/>
      <c r="AF210" s="5"/>
      <c r="AM210" s="4"/>
      <c r="AN210" s="5"/>
      <c r="AU210" s="4"/>
      <c r="AV210" s="6"/>
      <c r="AW210" s="7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J210" s="6"/>
      <c r="IK210" s="6"/>
      <c r="IL210" s="6"/>
      <c r="IM210" s="6"/>
      <c r="IN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IY210" s="6"/>
      <c r="IZ210" s="6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</row>
    <row r="211" ht="14.25" customHeight="1">
      <c r="H211" s="2"/>
      <c r="I211" s="2"/>
      <c r="J211" s="2"/>
      <c r="K211" s="2"/>
      <c r="L211" s="3"/>
      <c r="M211" s="3"/>
      <c r="N211" s="3"/>
      <c r="O211" s="4"/>
      <c r="P211" s="5"/>
      <c r="Q211" s="3"/>
      <c r="R211" s="3"/>
      <c r="S211" s="3"/>
      <c r="W211" s="4"/>
      <c r="X211" s="5"/>
      <c r="AE211" s="4"/>
      <c r="AF211" s="5"/>
      <c r="AM211" s="4"/>
      <c r="AN211" s="5"/>
      <c r="AU211" s="4"/>
      <c r="AV211" s="6"/>
      <c r="AW211" s="7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6"/>
      <c r="IK211" s="6"/>
      <c r="IL211" s="6"/>
      <c r="IM211" s="6"/>
      <c r="IN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IY211" s="6"/>
      <c r="IZ211" s="6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</row>
    <row r="212" ht="14.25" customHeight="1">
      <c r="H212" s="2"/>
      <c r="I212" s="2"/>
      <c r="J212" s="2"/>
      <c r="K212" s="2"/>
      <c r="L212" s="3"/>
      <c r="M212" s="3"/>
      <c r="N212" s="3"/>
      <c r="O212" s="4"/>
      <c r="P212" s="5"/>
      <c r="Q212" s="3"/>
      <c r="R212" s="3"/>
      <c r="S212" s="3"/>
      <c r="W212" s="4"/>
      <c r="X212" s="5"/>
      <c r="AE212" s="4"/>
      <c r="AF212" s="5"/>
      <c r="AM212" s="4"/>
      <c r="AN212" s="5"/>
      <c r="AU212" s="4"/>
      <c r="AV212" s="6"/>
      <c r="AW212" s="7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6"/>
      <c r="IK212" s="6"/>
      <c r="IL212" s="6"/>
      <c r="IM212" s="6"/>
      <c r="IN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IY212" s="6"/>
      <c r="IZ212" s="6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</row>
    <row r="213" ht="14.25" customHeight="1">
      <c r="H213" s="2"/>
      <c r="I213" s="2"/>
      <c r="J213" s="2"/>
      <c r="K213" s="2"/>
      <c r="L213" s="3"/>
      <c r="M213" s="3"/>
      <c r="N213" s="3"/>
      <c r="O213" s="4"/>
      <c r="P213" s="5"/>
      <c r="Q213" s="3"/>
      <c r="R213" s="3"/>
      <c r="S213" s="3"/>
      <c r="W213" s="4"/>
      <c r="X213" s="5"/>
      <c r="AE213" s="4"/>
      <c r="AF213" s="5"/>
      <c r="AM213" s="4"/>
      <c r="AN213" s="5"/>
      <c r="AU213" s="4"/>
      <c r="AV213" s="6"/>
      <c r="AW213" s="7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</row>
    <row r="214" ht="14.25" customHeight="1">
      <c r="H214" s="2"/>
      <c r="I214" s="2"/>
      <c r="J214" s="2"/>
      <c r="K214" s="2"/>
      <c r="L214" s="3"/>
      <c r="M214" s="3"/>
      <c r="N214" s="3"/>
      <c r="O214" s="4"/>
      <c r="P214" s="5"/>
      <c r="Q214" s="3"/>
      <c r="R214" s="3"/>
      <c r="S214" s="3"/>
      <c r="W214" s="4"/>
      <c r="X214" s="5"/>
      <c r="AE214" s="4"/>
      <c r="AF214" s="5"/>
      <c r="AM214" s="4"/>
      <c r="AN214" s="5"/>
      <c r="AU214" s="4"/>
      <c r="AV214" s="6"/>
      <c r="AW214" s="7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IY214" s="6"/>
      <c r="IZ214" s="6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</row>
    <row r="215" ht="14.25" customHeight="1">
      <c r="H215" s="2"/>
      <c r="I215" s="2"/>
      <c r="J215" s="2"/>
      <c r="K215" s="2"/>
      <c r="L215" s="3"/>
      <c r="M215" s="3"/>
      <c r="N215" s="3"/>
      <c r="O215" s="4"/>
      <c r="P215" s="5"/>
      <c r="Q215" s="3"/>
      <c r="R215" s="3"/>
      <c r="S215" s="3"/>
      <c r="W215" s="4"/>
      <c r="X215" s="5"/>
      <c r="AE215" s="4"/>
      <c r="AF215" s="5"/>
      <c r="AM215" s="4"/>
      <c r="AN215" s="5"/>
      <c r="AU215" s="4"/>
      <c r="AV215" s="6"/>
      <c r="AW215" s="7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IY215" s="6"/>
      <c r="IZ215" s="6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</row>
    <row r="216" ht="14.25" customHeight="1">
      <c r="H216" s="2"/>
      <c r="I216" s="2"/>
      <c r="J216" s="2"/>
      <c r="K216" s="2"/>
      <c r="L216" s="3"/>
      <c r="M216" s="3"/>
      <c r="N216" s="3"/>
      <c r="O216" s="4"/>
      <c r="P216" s="5"/>
      <c r="Q216" s="3"/>
      <c r="R216" s="3"/>
      <c r="S216" s="3"/>
      <c r="W216" s="4"/>
      <c r="X216" s="5"/>
      <c r="AE216" s="4"/>
      <c r="AF216" s="5"/>
      <c r="AM216" s="4"/>
      <c r="AN216" s="5"/>
      <c r="AU216" s="4"/>
      <c r="AV216" s="6"/>
      <c r="AW216" s="7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IY216" s="6"/>
      <c r="IZ216" s="6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</row>
    <row r="217" ht="14.25" customHeight="1">
      <c r="H217" s="2"/>
      <c r="I217" s="2"/>
      <c r="J217" s="2"/>
      <c r="K217" s="2"/>
      <c r="L217" s="3"/>
      <c r="M217" s="3"/>
      <c r="N217" s="3"/>
      <c r="O217" s="4"/>
      <c r="P217" s="5"/>
      <c r="Q217" s="3"/>
      <c r="R217" s="3"/>
      <c r="S217" s="3"/>
      <c r="W217" s="4"/>
      <c r="X217" s="5"/>
      <c r="AE217" s="4"/>
      <c r="AF217" s="5"/>
      <c r="AM217" s="4"/>
      <c r="AN217" s="5"/>
      <c r="AU217" s="4"/>
      <c r="AV217" s="6"/>
      <c r="AW217" s="7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</row>
    <row r="218" ht="14.25" customHeight="1">
      <c r="H218" s="2"/>
      <c r="I218" s="2"/>
      <c r="J218" s="2"/>
      <c r="K218" s="2"/>
      <c r="L218" s="3"/>
      <c r="M218" s="3"/>
      <c r="N218" s="3"/>
      <c r="O218" s="4"/>
      <c r="P218" s="5"/>
      <c r="Q218" s="3"/>
      <c r="R218" s="3"/>
      <c r="S218" s="3"/>
      <c r="W218" s="4"/>
      <c r="X218" s="5"/>
      <c r="AE218" s="4"/>
      <c r="AF218" s="5"/>
      <c r="AM218" s="4"/>
      <c r="AN218" s="5"/>
      <c r="AU218" s="4"/>
      <c r="AV218" s="6"/>
      <c r="AW218" s="7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</row>
    <row r="219" ht="14.25" customHeight="1">
      <c r="H219" s="2"/>
      <c r="I219" s="2"/>
      <c r="J219" s="2"/>
      <c r="K219" s="2"/>
      <c r="L219" s="3"/>
      <c r="M219" s="3"/>
      <c r="N219" s="3"/>
      <c r="O219" s="4"/>
      <c r="P219" s="5"/>
      <c r="Q219" s="3"/>
      <c r="R219" s="3"/>
      <c r="S219" s="3"/>
      <c r="W219" s="4"/>
      <c r="X219" s="5"/>
      <c r="AE219" s="4"/>
      <c r="AF219" s="5"/>
      <c r="AM219" s="4"/>
      <c r="AN219" s="5"/>
      <c r="AU219" s="4"/>
      <c r="AV219" s="6"/>
      <c r="AW219" s="7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</row>
    <row r="220" ht="14.25" customHeight="1">
      <c r="H220" s="2"/>
      <c r="I220" s="2"/>
      <c r="J220" s="2"/>
      <c r="K220" s="2"/>
      <c r="L220" s="3"/>
      <c r="M220" s="3"/>
      <c r="N220" s="3"/>
      <c r="O220" s="4"/>
      <c r="P220" s="5"/>
      <c r="Q220" s="3"/>
      <c r="R220" s="3"/>
      <c r="S220" s="3"/>
      <c r="W220" s="4"/>
      <c r="X220" s="5"/>
      <c r="AE220" s="4"/>
      <c r="AF220" s="5"/>
      <c r="AM220" s="4"/>
      <c r="AN220" s="5"/>
      <c r="AU220" s="4"/>
      <c r="AV220" s="6"/>
      <c r="AW220" s="7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IY220" s="6"/>
      <c r="IZ220" s="6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</row>
    <row r="221" ht="14.25" customHeight="1">
      <c r="H221" s="2"/>
      <c r="I221" s="2"/>
      <c r="J221" s="2"/>
      <c r="K221" s="2"/>
      <c r="L221" s="3"/>
      <c r="M221" s="3"/>
      <c r="N221" s="3"/>
      <c r="O221" s="4"/>
      <c r="P221" s="5"/>
      <c r="Q221" s="3"/>
      <c r="R221" s="3"/>
      <c r="S221" s="3"/>
      <c r="W221" s="4"/>
      <c r="X221" s="5"/>
      <c r="AE221" s="4"/>
      <c r="AF221" s="5"/>
      <c r="AM221" s="4"/>
      <c r="AN221" s="5"/>
      <c r="AU221" s="4"/>
      <c r="AV221" s="6"/>
      <c r="AW221" s="7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6"/>
      <c r="IK221" s="6"/>
      <c r="IL221" s="6"/>
      <c r="IM221" s="6"/>
      <c r="IN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IY221" s="6"/>
      <c r="IZ221" s="6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</row>
    <row r="222" ht="14.25" customHeight="1">
      <c r="H222" s="2"/>
      <c r="I222" s="2"/>
      <c r="J222" s="2"/>
      <c r="K222" s="2"/>
      <c r="L222" s="3"/>
      <c r="M222" s="3"/>
      <c r="N222" s="3"/>
      <c r="O222" s="4"/>
      <c r="P222" s="5"/>
      <c r="Q222" s="3"/>
      <c r="R222" s="3"/>
      <c r="S222" s="3"/>
      <c r="W222" s="4"/>
      <c r="X222" s="5"/>
      <c r="AE222" s="4"/>
      <c r="AF222" s="5"/>
      <c r="AM222" s="4"/>
      <c r="AN222" s="5"/>
      <c r="AU222" s="4"/>
      <c r="AV222" s="6"/>
      <c r="AW222" s="7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IY222" s="6"/>
      <c r="IZ222" s="6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</row>
    <row r="223" ht="14.25" customHeight="1">
      <c r="H223" s="2"/>
      <c r="I223" s="2"/>
      <c r="J223" s="2"/>
      <c r="K223" s="2"/>
      <c r="L223" s="3"/>
      <c r="M223" s="3"/>
      <c r="N223" s="3"/>
      <c r="O223" s="4"/>
      <c r="P223" s="5"/>
      <c r="Q223" s="3"/>
      <c r="R223" s="3"/>
      <c r="S223" s="3"/>
      <c r="W223" s="4"/>
      <c r="X223" s="5"/>
      <c r="AE223" s="4"/>
      <c r="AF223" s="5"/>
      <c r="AM223" s="4"/>
      <c r="AN223" s="5"/>
      <c r="AU223" s="4"/>
      <c r="AV223" s="6"/>
      <c r="AW223" s="7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IY223" s="6"/>
      <c r="IZ223" s="6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</row>
    <row r="224" ht="14.25" customHeight="1">
      <c r="H224" s="2"/>
      <c r="I224" s="2"/>
      <c r="J224" s="2"/>
      <c r="K224" s="2"/>
      <c r="L224" s="3"/>
      <c r="M224" s="3"/>
      <c r="N224" s="3"/>
      <c r="O224" s="4"/>
      <c r="P224" s="5"/>
      <c r="Q224" s="3"/>
      <c r="R224" s="3"/>
      <c r="S224" s="3"/>
      <c r="W224" s="4"/>
      <c r="X224" s="5"/>
      <c r="AE224" s="4"/>
      <c r="AF224" s="5"/>
      <c r="AM224" s="4"/>
      <c r="AN224" s="5"/>
      <c r="AU224" s="4"/>
      <c r="AV224" s="6"/>
      <c r="AW224" s="7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6"/>
      <c r="IK224" s="6"/>
      <c r="IL224" s="6"/>
      <c r="IM224" s="6"/>
      <c r="IN224" s="6"/>
      <c r="IO224" s="6"/>
      <c r="IP224" s="6"/>
      <c r="IQ224" s="6"/>
      <c r="IR224" s="6"/>
      <c r="IS224" s="6"/>
      <c r="IT224" s="6"/>
      <c r="IU224" s="6"/>
      <c r="IV224" s="6"/>
      <c r="IW224" s="6"/>
      <c r="IX224" s="6"/>
      <c r="IY224" s="6"/>
      <c r="IZ224" s="6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</row>
    <row r="225" ht="14.25" customHeight="1">
      <c r="H225" s="2"/>
      <c r="I225" s="2"/>
      <c r="J225" s="2"/>
      <c r="K225" s="2"/>
      <c r="L225" s="3"/>
      <c r="M225" s="3"/>
      <c r="N225" s="3"/>
      <c r="O225" s="4"/>
      <c r="P225" s="5"/>
      <c r="Q225" s="3"/>
      <c r="R225" s="3"/>
      <c r="S225" s="3"/>
      <c r="W225" s="4"/>
      <c r="X225" s="5"/>
      <c r="AE225" s="4"/>
      <c r="AF225" s="5"/>
      <c r="AM225" s="4"/>
      <c r="AN225" s="5"/>
      <c r="AU225" s="4"/>
      <c r="AV225" s="6"/>
      <c r="AW225" s="7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6"/>
      <c r="IK225" s="6"/>
      <c r="IL225" s="6"/>
      <c r="IM225" s="6"/>
      <c r="IN225" s="6"/>
      <c r="IO225" s="6"/>
      <c r="IP225" s="6"/>
      <c r="IQ225" s="6"/>
      <c r="IR225" s="6"/>
      <c r="IS225" s="6"/>
      <c r="IT225" s="6"/>
      <c r="IU225" s="6"/>
      <c r="IV225" s="6"/>
      <c r="IW225" s="6"/>
      <c r="IX225" s="6"/>
      <c r="IY225" s="6"/>
      <c r="IZ225" s="6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</row>
    <row r="226" ht="14.25" customHeight="1">
      <c r="H226" s="2"/>
      <c r="I226" s="2"/>
      <c r="J226" s="2"/>
      <c r="K226" s="2"/>
      <c r="L226" s="3"/>
      <c r="M226" s="3"/>
      <c r="N226" s="3"/>
      <c r="O226" s="4"/>
      <c r="P226" s="5"/>
      <c r="Q226" s="3"/>
      <c r="R226" s="3"/>
      <c r="S226" s="3"/>
      <c r="W226" s="4"/>
      <c r="X226" s="5"/>
      <c r="AE226" s="4"/>
      <c r="AF226" s="5"/>
      <c r="AM226" s="4"/>
      <c r="AN226" s="5"/>
      <c r="AU226" s="4"/>
      <c r="AV226" s="6"/>
      <c r="AW226" s="7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6"/>
      <c r="IK226" s="6"/>
      <c r="IL226" s="6"/>
      <c r="IM226" s="6"/>
      <c r="IN226" s="6"/>
      <c r="IO226" s="6"/>
      <c r="IP226" s="6"/>
      <c r="IQ226" s="6"/>
      <c r="IR226" s="6"/>
      <c r="IS226" s="6"/>
      <c r="IT226" s="6"/>
      <c r="IU226" s="6"/>
      <c r="IV226" s="6"/>
      <c r="IW226" s="6"/>
      <c r="IX226" s="6"/>
      <c r="IY226" s="6"/>
      <c r="IZ226" s="6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</row>
    <row r="227" ht="14.25" customHeight="1">
      <c r="H227" s="2"/>
      <c r="I227" s="2"/>
      <c r="J227" s="2"/>
      <c r="K227" s="2"/>
      <c r="L227" s="3"/>
      <c r="M227" s="3"/>
      <c r="N227" s="3"/>
      <c r="O227" s="4"/>
      <c r="P227" s="5"/>
      <c r="Q227" s="3"/>
      <c r="R227" s="3"/>
      <c r="S227" s="3"/>
      <c r="W227" s="4"/>
      <c r="X227" s="5"/>
      <c r="AE227" s="4"/>
      <c r="AF227" s="5"/>
      <c r="AM227" s="4"/>
      <c r="AN227" s="5"/>
      <c r="AU227" s="4"/>
      <c r="AV227" s="6"/>
      <c r="AW227" s="7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  <c r="IT227" s="6"/>
      <c r="IU227" s="6"/>
      <c r="IV227" s="6"/>
      <c r="IW227" s="6"/>
      <c r="IX227" s="6"/>
      <c r="IY227" s="6"/>
      <c r="IZ227" s="6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</row>
    <row r="228" ht="14.25" customHeight="1">
      <c r="H228" s="2"/>
      <c r="I228" s="2"/>
      <c r="J228" s="2"/>
      <c r="K228" s="2"/>
      <c r="L228" s="3"/>
      <c r="M228" s="3"/>
      <c r="N228" s="3"/>
      <c r="O228" s="4"/>
      <c r="P228" s="5"/>
      <c r="Q228" s="3"/>
      <c r="R228" s="3"/>
      <c r="S228" s="3"/>
      <c r="W228" s="4"/>
      <c r="X228" s="5"/>
      <c r="AE228" s="4"/>
      <c r="AF228" s="5"/>
      <c r="AM228" s="4"/>
      <c r="AN228" s="5"/>
      <c r="AU228" s="4"/>
      <c r="AV228" s="6"/>
      <c r="AW228" s="7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</row>
    <row r="229" ht="14.25" customHeight="1">
      <c r="H229" s="2"/>
      <c r="I229" s="2"/>
      <c r="J229" s="2"/>
      <c r="K229" s="2"/>
      <c r="L229" s="3"/>
      <c r="M229" s="3"/>
      <c r="N229" s="3"/>
      <c r="O229" s="4"/>
      <c r="P229" s="5"/>
      <c r="Q229" s="3"/>
      <c r="R229" s="3"/>
      <c r="S229" s="3"/>
      <c r="W229" s="4"/>
      <c r="X229" s="5"/>
      <c r="AE229" s="4"/>
      <c r="AF229" s="5"/>
      <c r="AM229" s="4"/>
      <c r="AN229" s="5"/>
      <c r="AU229" s="4"/>
      <c r="AV229" s="6"/>
      <c r="AW229" s="7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  <c r="IT229" s="6"/>
      <c r="IU229" s="6"/>
      <c r="IV229" s="6"/>
      <c r="IW229" s="6"/>
      <c r="IX229" s="6"/>
      <c r="IY229" s="6"/>
      <c r="IZ229" s="6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</row>
    <row r="230" ht="14.25" customHeight="1">
      <c r="H230" s="2"/>
      <c r="I230" s="2"/>
      <c r="J230" s="2"/>
      <c r="K230" s="2"/>
      <c r="L230" s="3"/>
      <c r="M230" s="3"/>
      <c r="N230" s="3"/>
      <c r="O230" s="4"/>
      <c r="P230" s="5"/>
      <c r="Q230" s="3"/>
      <c r="R230" s="3"/>
      <c r="S230" s="3"/>
      <c r="W230" s="4"/>
      <c r="X230" s="5"/>
      <c r="AE230" s="4"/>
      <c r="AF230" s="5"/>
      <c r="AM230" s="4"/>
      <c r="AN230" s="5"/>
      <c r="AU230" s="4"/>
      <c r="AV230" s="6"/>
      <c r="AW230" s="7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  <c r="IT230" s="6"/>
      <c r="IU230" s="6"/>
      <c r="IV230" s="6"/>
      <c r="IW230" s="6"/>
      <c r="IX230" s="6"/>
      <c r="IY230" s="6"/>
      <c r="IZ230" s="6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</row>
    <row r="231" ht="14.25" customHeight="1">
      <c r="H231" s="2"/>
      <c r="I231" s="2"/>
      <c r="J231" s="2"/>
      <c r="K231" s="2"/>
      <c r="L231" s="3"/>
      <c r="M231" s="3"/>
      <c r="N231" s="3"/>
      <c r="O231" s="4"/>
      <c r="P231" s="5"/>
      <c r="Q231" s="3"/>
      <c r="R231" s="3"/>
      <c r="S231" s="3"/>
      <c r="W231" s="4"/>
      <c r="X231" s="5"/>
      <c r="AE231" s="4"/>
      <c r="AF231" s="5"/>
      <c r="AM231" s="4"/>
      <c r="AN231" s="5"/>
      <c r="AU231" s="4"/>
      <c r="AV231" s="6"/>
      <c r="AW231" s="7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6"/>
      <c r="IQ231" s="6"/>
      <c r="IR231" s="6"/>
      <c r="IS231" s="6"/>
      <c r="IT231" s="6"/>
      <c r="IU231" s="6"/>
      <c r="IV231" s="6"/>
      <c r="IW231" s="6"/>
      <c r="IX231" s="6"/>
      <c r="IY231" s="6"/>
      <c r="IZ231" s="6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</row>
    <row r="232" ht="14.25" customHeight="1">
      <c r="H232" s="2"/>
      <c r="I232" s="2"/>
      <c r="J232" s="2"/>
      <c r="K232" s="2"/>
      <c r="L232" s="3"/>
      <c r="M232" s="3"/>
      <c r="N232" s="3"/>
      <c r="O232" s="4"/>
      <c r="P232" s="5"/>
      <c r="Q232" s="3"/>
      <c r="R232" s="3"/>
      <c r="S232" s="3"/>
      <c r="W232" s="4"/>
      <c r="X232" s="5"/>
      <c r="AE232" s="4"/>
      <c r="AF232" s="5"/>
      <c r="AM232" s="4"/>
      <c r="AN232" s="5"/>
      <c r="AU232" s="4"/>
      <c r="AV232" s="6"/>
      <c r="AW232" s="7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</row>
    <row r="233" ht="14.25" customHeight="1">
      <c r="H233" s="2"/>
      <c r="I233" s="2"/>
      <c r="J233" s="2"/>
      <c r="K233" s="2"/>
      <c r="L233" s="3"/>
      <c r="M233" s="3"/>
      <c r="N233" s="3"/>
      <c r="O233" s="4"/>
      <c r="P233" s="5"/>
      <c r="Q233" s="3"/>
      <c r="R233" s="3"/>
      <c r="S233" s="3"/>
      <c r="W233" s="4"/>
      <c r="X233" s="5"/>
      <c r="AE233" s="4"/>
      <c r="AF233" s="5"/>
      <c r="AM233" s="4"/>
      <c r="AN233" s="5"/>
      <c r="AU233" s="4"/>
      <c r="AV233" s="6"/>
      <c r="AW233" s="7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  <c r="IT233" s="6"/>
      <c r="IU233" s="6"/>
      <c r="IV233" s="6"/>
      <c r="IW233" s="6"/>
      <c r="IX233" s="6"/>
      <c r="IY233" s="6"/>
      <c r="IZ233" s="6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</row>
    <row r="234" ht="14.25" customHeight="1">
      <c r="H234" s="2"/>
      <c r="I234" s="2"/>
      <c r="J234" s="2"/>
      <c r="K234" s="2"/>
      <c r="L234" s="3"/>
      <c r="M234" s="3"/>
      <c r="N234" s="3"/>
      <c r="O234" s="4"/>
      <c r="P234" s="5"/>
      <c r="Q234" s="3"/>
      <c r="R234" s="3"/>
      <c r="S234" s="3"/>
      <c r="W234" s="4"/>
      <c r="X234" s="5"/>
      <c r="AE234" s="4"/>
      <c r="AF234" s="5"/>
      <c r="AM234" s="4"/>
      <c r="AN234" s="5"/>
      <c r="AU234" s="4"/>
      <c r="AV234" s="6"/>
      <c r="AW234" s="7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</row>
    <row r="235" ht="14.25" customHeight="1">
      <c r="H235" s="2"/>
      <c r="I235" s="2"/>
      <c r="J235" s="2"/>
      <c r="K235" s="2"/>
      <c r="L235" s="3"/>
      <c r="M235" s="3"/>
      <c r="N235" s="3"/>
      <c r="O235" s="4"/>
      <c r="P235" s="5"/>
      <c r="Q235" s="3"/>
      <c r="R235" s="3"/>
      <c r="S235" s="3"/>
      <c r="W235" s="4"/>
      <c r="X235" s="5"/>
      <c r="AE235" s="4"/>
      <c r="AF235" s="5"/>
      <c r="AM235" s="4"/>
      <c r="AN235" s="5"/>
      <c r="AU235" s="4"/>
      <c r="AV235" s="6"/>
      <c r="AW235" s="7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  <c r="IT235" s="6"/>
      <c r="IU235" s="6"/>
      <c r="IV235" s="6"/>
      <c r="IW235" s="6"/>
      <c r="IX235" s="6"/>
      <c r="IY235" s="6"/>
      <c r="IZ235" s="6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</row>
    <row r="236" ht="14.25" customHeight="1">
      <c r="H236" s="2"/>
      <c r="I236" s="2"/>
      <c r="J236" s="2"/>
      <c r="K236" s="2"/>
      <c r="L236" s="3"/>
      <c r="M236" s="3"/>
      <c r="N236" s="3"/>
      <c r="O236" s="4"/>
      <c r="P236" s="5"/>
      <c r="Q236" s="3"/>
      <c r="R236" s="3"/>
      <c r="S236" s="3"/>
      <c r="W236" s="4"/>
      <c r="X236" s="5"/>
      <c r="AE236" s="4"/>
      <c r="AF236" s="5"/>
      <c r="AM236" s="4"/>
      <c r="AN236" s="5"/>
      <c r="AU236" s="4"/>
      <c r="AV236" s="6"/>
      <c r="AW236" s="7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</row>
    <row r="237" ht="14.25" customHeight="1">
      <c r="H237" s="2"/>
      <c r="I237" s="2"/>
      <c r="J237" s="2"/>
      <c r="K237" s="2"/>
      <c r="L237" s="3"/>
      <c r="M237" s="3"/>
      <c r="N237" s="3"/>
      <c r="O237" s="4"/>
      <c r="P237" s="5"/>
      <c r="Q237" s="3"/>
      <c r="R237" s="3"/>
      <c r="S237" s="3"/>
      <c r="W237" s="4"/>
      <c r="X237" s="5"/>
      <c r="AE237" s="4"/>
      <c r="AF237" s="5"/>
      <c r="AM237" s="4"/>
      <c r="AN237" s="5"/>
      <c r="AU237" s="4"/>
      <c r="AV237" s="6"/>
      <c r="AW237" s="7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  <c r="IT237" s="6"/>
      <c r="IU237" s="6"/>
      <c r="IV237" s="6"/>
      <c r="IW237" s="6"/>
      <c r="IX237" s="6"/>
      <c r="IY237" s="6"/>
      <c r="IZ237" s="6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</row>
    <row r="238" ht="14.25" customHeight="1">
      <c r="H238" s="2"/>
      <c r="I238" s="2"/>
      <c r="J238" s="2"/>
      <c r="K238" s="2"/>
      <c r="L238" s="3"/>
      <c r="M238" s="3"/>
      <c r="N238" s="3"/>
      <c r="O238" s="4"/>
      <c r="P238" s="5"/>
      <c r="Q238" s="3"/>
      <c r="R238" s="3"/>
      <c r="S238" s="3"/>
      <c r="W238" s="4"/>
      <c r="X238" s="5"/>
      <c r="AE238" s="4"/>
      <c r="AF238" s="5"/>
      <c r="AM238" s="4"/>
      <c r="AN238" s="5"/>
      <c r="AU238" s="4"/>
      <c r="AV238" s="6"/>
      <c r="AW238" s="7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  <c r="IT238" s="6"/>
      <c r="IU238" s="6"/>
      <c r="IV238" s="6"/>
      <c r="IW238" s="6"/>
      <c r="IX238" s="6"/>
      <c r="IY238" s="6"/>
      <c r="IZ238" s="6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</row>
    <row r="239" ht="14.25" customHeight="1">
      <c r="H239" s="2"/>
      <c r="I239" s="2"/>
      <c r="J239" s="2"/>
      <c r="K239" s="2"/>
      <c r="L239" s="3"/>
      <c r="M239" s="3"/>
      <c r="N239" s="3"/>
      <c r="O239" s="4"/>
      <c r="P239" s="5"/>
      <c r="Q239" s="3"/>
      <c r="R239" s="3"/>
      <c r="S239" s="3"/>
      <c r="W239" s="4"/>
      <c r="X239" s="5"/>
      <c r="AE239" s="4"/>
      <c r="AF239" s="5"/>
      <c r="AM239" s="4"/>
      <c r="AN239" s="5"/>
      <c r="AU239" s="4"/>
      <c r="AV239" s="6"/>
      <c r="AW239" s="7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  <c r="IT239" s="6"/>
      <c r="IU239" s="6"/>
      <c r="IV239" s="6"/>
      <c r="IW239" s="6"/>
      <c r="IX239" s="6"/>
      <c r="IY239" s="6"/>
      <c r="IZ239" s="6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</row>
    <row r="240" ht="14.25" customHeight="1">
      <c r="H240" s="2"/>
      <c r="I240" s="2"/>
      <c r="J240" s="2"/>
      <c r="K240" s="2"/>
      <c r="L240" s="3"/>
      <c r="M240" s="3"/>
      <c r="N240" s="3"/>
      <c r="O240" s="4"/>
      <c r="P240" s="5"/>
      <c r="Q240" s="3"/>
      <c r="R240" s="3"/>
      <c r="S240" s="3"/>
      <c r="W240" s="4"/>
      <c r="X240" s="5"/>
      <c r="AE240" s="4"/>
      <c r="AF240" s="5"/>
      <c r="AM240" s="4"/>
      <c r="AN240" s="5"/>
      <c r="AU240" s="4"/>
      <c r="AV240" s="6"/>
      <c r="AW240" s="7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  <c r="IT240" s="6"/>
      <c r="IU240" s="6"/>
      <c r="IV240" s="6"/>
      <c r="IW240" s="6"/>
      <c r="IX240" s="6"/>
      <c r="IY240" s="6"/>
      <c r="IZ240" s="6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</row>
    <row r="241" ht="14.25" customHeight="1">
      <c r="H241" s="2"/>
      <c r="I241" s="2"/>
      <c r="J241" s="2"/>
      <c r="K241" s="2"/>
      <c r="L241" s="3"/>
      <c r="M241" s="3"/>
      <c r="N241" s="3"/>
      <c r="O241" s="4"/>
      <c r="P241" s="5"/>
      <c r="Q241" s="3"/>
      <c r="R241" s="3"/>
      <c r="S241" s="3"/>
      <c r="W241" s="4"/>
      <c r="X241" s="5"/>
      <c r="AE241" s="4"/>
      <c r="AF241" s="5"/>
      <c r="AM241" s="4"/>
      <c r="AN241" s="5"/>
      <c r="AU241" s="4"/>
      <c r="AV241" s="6"/>
      <c r="AW241" s="7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IY241" s="6"/>
      <c r="IZ241" s="6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</row>
    <row r="242" ht="14.25" customHeight="1">
      <c r="H242" s="2"/>
      <c r="I242" s="2"/>
      <c r="J242" s="2"/>
      <c r="K242" s="2"/>
      <c r="L242" s="3"/>
      <c r="M242" s="3"/>
      <c r="N242" s="3"/>
      <c r="O242" s="4"/>
      <c r="P242" s="5"/>
      <c r="Q242" s="3"/>
      <c r="R242" s="3"/>
      <c r="S242" s="3"/>
      <c r="W242" s="4"/>
      <c r="X242" s="5"/>
      <c r="AE242" s="4"/>
      <c r="AF242" s="5"/>
      <c r="AM242" s="4"/>
      <c r="AN242" s="5"/>
      <c r="AU242" s="4"/>
      <c r="AV242" s="6"/>
      <c r="AW242" s="7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J242" s="6"/>
      <c r="IK242" s="6"/>
      <c r="IL242" s="6"/>
      <c r="IM242" s="6"/>
      <c r="IN242" s="6"/>
      <c r="IO242" s="6"/>
      <c r="IP242" s="6"/>
      <c r="IQ242" s="6"/>
      <c r="IR242" s="6"/>
      <c r="IS242" s="6"/>
      <c r="IT242" s="6"/>
      <c r="IU242" s="6"/>
      <c r="IV242" s="6"/>
      <c r="IW242" s="6"/>
      <c r="IX242" s="6"/>
      <c r="IY242" s="6"/>
      <c r="IZ242" s="6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</row>
    <row r="243" ht="14.25" customHeight="1">
      <c r="H243" s="2"/>
      <c r="I243" s="2"/>
      <c r="J243" s="2"/>
      <c r="K243" s="2"/>
      <c r="L243" s="3"/>
      <c r="M243" s="3"/>
      <c r="N243" s="3"/>
      <c r="O243" s="4"/>
      <c r="P243" s="5"/>
      <c r="Q243" s="3"/>
      <c r="R243" s="3"/>
      <c r="S243" s="3"/>
      <c r="W243" s="4"/>
      <c r="X243" s="5"/>
      <c r="AE243" s="4"/>
      <c r="AF243" s="5"/>
      <c r="AM243" s="4"/>
      <c r="AN243" s="5"/>
      <c r="AU243" s="4"/>
      <c r="AV243" s="6"/>
      <c r="AW243" s="7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  <c r="IT243" s="6"/>
      <c r="IU243" s="6"/>
      <c r="IV243" s="6"/>
      <c r="IW243" s="6"/>
      <c r="IX243" s="6"/>
      <c r="IY243" s="6"/>
      <c r="IZ243" s="6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</row>
    <row r="244" ht="14.25" customHeight="1">
      <c r="H244" s="2"/>
      <c r="I244" s="2"/>
      <c r="J244" s="2"/>
      <c r="K244" s="2"/>
      <c r="L244" s="3"/>
      <c r="M244" s="3"/>
      <c r="N244" s="3"/>
      <c r="O244" s="4"/>
      <c r="P244" s="5"/>
      <c r="Q244" s="3"/>
      <c r="R244" s="3"/>
      <c r="S244" s="3"/>
      <c r="W244" s="4"/>
      <c r="X244" s="5"/>
      <c r="AE244" s="4"/>
      <c r="AF244" s="5"/>
      <c r="AM244" s="4"/>
      <c r="AN244" s="5"/>
      <c r="AU244" s="4"/>
      <c r="AV244" s="6"/>
      <c r="AW244" s="7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J244" s="6"/>
      <c r="IK244" s="6"/>
      <c r="IL244" s="6"/>
      <c r="IM244" s="6"/>
      <c r="IN244" s="6"/>
      <c r="IO244" s="6"/>
      <c r="IP244" s="6"/>
      <c r="IQ244" s="6"/>
      <c r="IR244" s="6"/>
      <c r="IS244" s="6"/>
      <c r="IT244" s="6"/>
      <c r="IU244" s="6"/>
      <c r="IV244" s="6"/>
      <c r="IW244" s="6"/>
      <c r="IX244" s="6"/>
      <c r="IY244" s="6"/>
      <c r="IZ244" s="6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</row>
    <row r="245" ht="14.25" customHeight="1">
      <c r="H245" s="2"/>
      <c r="I245" s="2"/>
      <c r="J245" s="2"/>
      <c r="K245" s="2"/>
      <c r="L245" s="3"/>
      <c r="M245" s="3"/>
      <c r="N245" s="3"/>
      <c r="O245" s="4"/>
      <c r="P245" s="5"/>
      <c r="Q245" s="3"/>
      <c r="R245" s="3"/>
      <c r="S245" s="3"/>
      <c r="W245" s="4"/>
      <c r="X245" s="5"/>
      <c r="AE245" s="4"/>
      <c r="AF245" s="5"/>
      <c r="AM245" s="4"/>
      <c r="AN245" s="5"/>
      <c r="AU245" s="4"/>
      <c r="AV245" s="6"/>
      <c r="AW245" s="7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IY245" s="6"/>
      <c r="IZ245" s="6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</row>
    <row r="246" ht="14.25" customHeight="1">
      <c r="H246" s="2"/>
      <c r="I246" s="2"/>
      <c r="J246" s="2"/>
      <c r="K246" s="2"/>
      <c r="L246" s="3"/>
      <c r="M246" s="3"/>
      <c r="N246" s="3"/>
      <c r="O246" s="4"/>
      <c r="P246" s="5"/>
      <c r="Q246" s="3"/>
      <c r="R246" s="3"/>
      <c r="S246" s="3"/>
      <c r="W246" s="4"/>
      <c r="X246" s="5"/>
      <c r="AE246" s="4"/>
      <c r="AF246" s="5"/>
      <c r="AM246" s="4"/>
      <c r="AN246" s="5"/>
      <c r="AU246" s="4"/>
      <c r="AV246" s="6"/>
      <c r="AW246" s="7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J246" s="6"/>
      <c r="IK246" s="6"/>
      <c r="IL246" s="6"/>
      <c r="IM246" s="6"/>
      <c r="IN246" s="6"/>
      <c r="IO246" s="6"/>
      <c r="IP246" s="6"/>
      <c r="IQ246" s="6"/>
      <c r="IR246" s="6"/>
      <c r="IS246" s="6"/>
      <c r="IT246" s="6"/>
      <c r="IU246" s="6"/>
      <c r="IV246" s="6"/>
      <c r="IW246" s="6"/>
      <c r="IX246" s="6"/>
      <c r="IY246" s="6"/>
      <c r="IZ246" s="6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</row>
    <row r="247" ht="14.25" customHeight="1">
      <c r="H247" s="2"/>
      <c r="I247" s="2"/>
      <c r="J247" s="2"/>
      <c r="K247" s="2"/>
      <c r="L247" s="3"/>
      <c r="M247" s="3"/>
      <c r="N247" s="3"/>
      <c r="O247" s="4"/>
      <c r="P247" s="5"/>
      <c r="Q247" s="3"/>
      <c r="R247" s="3"/>
      <c r="S247" s="3"/>
      <c r="W247" s="4"/>
      <c r="X247" s="5"/>
      <c r="AE247" s="4"/>
      <c r="AF247" s="5"/>
      <c r="AM247" s="4"/>
      <c r="AN247" s="5"/>
      <c r="AU247" s="4"/>
      <c r="AV247" s="6"/>
      <c r="AW247" s="7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  <c r="IT247" s="6"/>
      <c r="IU247" s="6"/>
      <c r="IV247" s="6"/>
      <c r="IW247" s="6"/>
      <c r="IX247" s="6"/>
      <c r="IY247" s="6"/>
      <c r="IZ247" s="6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</row>
    <row r="248" ht="14.25" customHeight="1">
      <c r="H248" s="2"/>
      <c r="I248" s="2"/>
      <c r="J248" s="2"/>
      <c r="K248" s="2"/>
      <c r="L248" s="3"/>
      <c r="M248" s="3"/>
      <c r="N248" s="3"/>
      <c r="O248" s="4"/>
      <c r="P248" s="5"/>
      <c r="Q248" s="3"/>
      <c r="R248" s="3"/>
      <c r="S248" s="3"/>
      <c r="W248" s="4"/>
      <c r="X248" s="5"/>
      <c r="AE248" s="4"/>
      <c r="AF248" s="5"/>
      <c r="AM248" s="4"/>
      <c r="AN248" s="5"/>
      <c r="AU248" s="4"/>
      <c r="AV248" s="6"/>
      <c r="AW248" s="7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J248" s="6"/>
      <c r="IK248" s="6"/>
      <c r="IL248" s="6"/>
      <c r="IM248" s="6"/>
      <c r="IN248" s="6"/>
      <c r="IO248" s="6"/>
      <c r="IP248" s="6"/>
      <c r="IQ248" s="6"/>
      <c r="IR248" s="6"/>
      <c r="IS248" s="6"/>
      <c r="IT248" s="6"/>
      <c r="IU248" s="6"/>
      <c r="IV248" s="6"/>
      <c r="IW248" s="6"/>
      <c r="IX248" s="6"/>
      <c r="IY248" s="6"/>
      <c r="IZ248" s="6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</row>
    <row r="249" ht="14.25" customHeight="1">
      <c r="H249" s="2"/>
      <c r="I249" s="2"/>
      <c r="J249" s="2"/>
      <c r="K249" s="2"/>
      <c r="L249" s="3"/>
      <c r="M249" s="3"/>
      <c r="N249" s="3"/>
      <c r="O249" s="4"/>
      <c r="P249" s="5"/>
      <c r="Q249" s="3"/>
      <c r="R249" s="3"/>
      <c r="S249" s="3"/>
      <c r="W249" s="4"/>
      <c r="X249" s="5"/>
      <c r="AE249" s="4"/>
      <c r="AF249" s="5"/>
      <c r="AM249" s="4"/>
      <c r="AN249" s="5"/>
      <c r="AU249" s="4"/>
      <c r="AV249" s="6"/>
      <c r="AW249" s="7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IY249" s="6"/>
      <c r="IZ249" s="6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</row>
    <row r="250" ht="14.25" customHeight="1">
      <c r="H250" s="2"/>
      <c r="I250" s="2"/>
      <c r="J250" s="2"/>
      <c r="K250" s="2"/>
      <c r="L250" s="3"/>
      <c r="M250" s="3"/>
      <c r="N250" s="3"/>
      <c r="O250" s="4"/>
      <c r="P250" s="5"/>
      <c r="Q250" s="3"/>
      <c r="R250" s="3"/>
      <c r="S250" s="3"/>
      <c r="W250" s="4"/>
      <c r="X250" s="5"/>
      <c r="AE250" s="4"/>
      <c r="AF250" s="5"/>
      <c r="AM250" s="4"/>
      <c r="AN250" s="5"/>
      <c r="AU250" s="4"/>
      <c r="AV250" s="6"/>
      <c r="AW250" s="7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IY250" s="6"/>
      <c r="IZ250" s="6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</row>
    <row r="251" ht="14.25" customHeight="1">
      <c r="H251" s="2"/>
      <c r="I251" s="2"/>
      <c r="J251" s="2"/>
      <c r="K251" s="2"/>
      <c r="L251" s="3"/>
      <c r="M251" s="3"/>
      <c r="N251" s="3"/>
      <c r="O251" s="4"/>
      <c r="P251" s="5"/>
      <c r="Q251" s="3"/>
      <c r="R251" s="3"/>
      <c r="S251" s="3"/>
      <c r="W251" s="4"/>
      <c r="X251" s="5"/>
      <c r="AE251" s="4"/>
      <c r="AF251" s="5"/>
      <c r="AM251" s="4"/>
      <c r="AN251" s="5"/>
      <c r="AU251" s="4"/>
      <c r="AV251" s="6"/>
      <c r="AW251" s="7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J251" s="6"/>
      <c r="IK251" s="6"/>
      <c r="IL251" s="6"/>
      <c r="IM251" s="6"/>
      <c r="IN251" s="6"/>
      <c r="IO251" s="6"/>
      <c r="IP251" s="6"/>
      <c r="IQ251" s="6"/>
      <c r="IR251" s="6"/>
      <c r="IS251" s="6"/>
      <c r="IT251" s="6"/>
      <c r="IU251" s="6"/>
      <c r="IV251" s="6"/>
      <c r="IW251" s="6"/>
      <c r="IX251" s="6"/>
      <c r="IY251" s="6"/>
      <c r="IZ251" s="6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</row>
    <row r="252" ht="14.25" customHeight="1">
      <c r="H252" s="2"/>
      <c r="I252" s="2"/>
      <c r="J252" s="2"/>
      <c r="K252" s="2"/>
      <c r="L252" s="3"/>
      <c r="M252" s="3"/>
      <c r="N252" s="3"/>
      <c r="O252" s="4"/>
      <c r="P252" s="5"/>
      <c r="Q252" s="3"/>
      <c r="R252" s="3"/>
      <c r="S252" s="3"/>
      <c r="W252" s="4"/>
      <c r="X252" s="5"/>
      <c r="AE252" s="4"/>
      <c r="AF252" s="5"/>
      <c r="AM252" s="4"/>
      <c r="AN252" s="5"/>
      <c r="AU252" s="4"/>
      <c r="AV252" s="6"/>
      <c r="AW252" s="7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J252" s="6"/>
      <c r="IK252" s="6"/>
      <c r="IL252" s="6"/>
      <c r="IM252" s="6"/>
      <c r="IN252" s="6"/>
      <c r="IO252" s="6"/>
      <c r="IP252" s="6"/>
      <c r="IQ252" s="6"/>
      <c r="IR252" s="6"/>
      <c r="IS252" s="6"/>
      <c r="IT252" s="6"/>
      <c r="IU252" s="6"/>
      <c r="IV252" s="6"/>
      <c r="IW252" s="6"/>
      <c r="IX252" s="6"/>
      <c r="IY252" s="6"/>
      <c r="IZ252" s="6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</row>
    <row r="253" ht="14.25" customHeight="1">
      <c r="H253" s="2"/>
      <c r="I253" s="2"/>
      <c r="J253" s="2"/>
      <c r="K253" s="2"/>
      <c r="L253" s="3"/>
      <c r="M253" s="3"/>
      <c r="N253" s="3"/>
      <c r="O253" s="4"/>
      <c r="P253" s="5"/>
      <c r="Q253" s="3"/>
      <c r="R253" s="3"/>
      <c r="S253" s="3"/>
      <c r="W253" s="4"/>
      <c r="X253" s="5"/>
      <c r="AE253" s="4"/>
      <c r="AF253" s="5"/>
      <c r="AM253" s="4"/>
      <c r="AN253" s="5"/>
      <c r="AU253" s="4"/>
      <c r="AV253" s="6"/>
      <c r="AW253" s="7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6"/>
      <c r="IK253" s="6"/>
      <c r="IL253" s="6"/>
      <c r="IM253" s="6"/>
      <c r="IN253" s="6"/>
      <c r="IO253" s="6"/>
      <c r="IP253" s="6"/>
      <c r="IQ253" s="6"/>
      <c r="IR253" s="6"/>
      <c r="IS253" s="6"/>
      <c r="IT253" s="6"/>
      <c r="IU253" s="6"/>
      <c r="IV253" s="6"/>
      <c r="IW253" s="6"/>
      <c r="IX253" s="6"/>
      <c r="IY253" s="6"/>
      <c r="IZ253" s="6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</row>
    <row r="254" ht="14.25" customHeight="1">
      <c r="H254" s="2"/>
      <c r="I254" s="2"/>
      <c r="J254" s="2"/>
      <c r="K254" s="2"/>
      <c r="L254" s="3"/>
      <c r="M254" s="3"/>
      <c r="N254" s="3"/>
      <c r="O254" s="4"/>
      <c r="P254" s="5"/>
      <c r="Q254" s="3"/>
      <c r="R254" s="3"/>
      <c r="S254" s="3"/>
      <c r="W254" s="4"/>
      <c r="X254" s="5"/>
      <c r="AE254" s="4"/>
      <c r="AF254" s="5"/>
      <c r="AM254" s="4"/>
      <c r="AN254" s="5"/>
      <c r="AU254" s="4"/>
      <c r="AV254" s="6"/>
      <c r="AW254" s="7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J254" s="6"/>
      <c r="IK254" s="6"/>
      <c r="IL254" s="6"/>
      <c r="IM254" s="6"/>
      <c r="IN254" s="6"/>
      <c r="IO254" s="6"/>
      <c r="IP254" s="6"/>
      <c r="IQ254" s="6"/>
      <c r="IR254" s="6"/>
      <c r="IS254" s="6"/>
      <c r="IT254" s="6"/>
      <c r="IU254" s="6"/>
      <c r="IV254" s="6"/>
      <c r="IW254" s="6"/>
      <c r="IX254" s="6"/>
      <c r="IY254" s="6"/>
      <c r="IZ254" s="6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</row>
    <row r="255" ht="14.25" customHeight="1">
      <c r="H255" s="2"/>
      <c r="I255" s="2"/>
      <c r="J255" s="2"/>
      <c r="K255" s="2"/>
      <c r="L255" s="3"/>
      <c r="M255" s="3"/>
      <c r="N255" s="3"/>
      <c r="O255" s="4"/>
      <c r="P255" s="5"/>
      <c r="Q255" s="3"/>
      <c r="R255" s="3"/>
      <c r="S255" s="3"/>
      <c r="W255" s="4"/>
      <c r="X255" s="5"/>
      <c r="AE255" s="4"/>
      <c r="AF255" s="5"/>
      <c r="AM255" s="4"/>
      <c r="AN255" s="5"/>
      <c r="AU255" s="4"/>
      <c r="AV255" s="6"/>
      <c r="AW255" s="7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IY255" s="6"/>
      <c r="IZ255" s="6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</row>
    <row r="256" ht="14.25" customHeight="1">
      <c r="H256" s="2"/>
      <c r="I256" s="2"/>
      <c r="J256" s="2"/>
      <c r="K256" s="2"/>
      <c r="L256" s="3"/>
      <c r="M256" s="3"/>
      <c r="N256" s="3"/>
      <c r="O256" s="4"/>
      <c r="P256" s="5"/>
      <c r="Q256" s="3"/>
      <c r="R256" s="3"/>
      <c r="S256" s="3"/>
      <c r="W256" s="4"/>
      <c r="X256" s="5"/>
      <c r="AE256" s="4"/>
      <c r="AF256" s="5"/>
      <c r="AM256" s="4"/>
      <c r="AN256" s="5"/>
      <c r="AU256" s="4"/>
      <c r="AV256" s="6"/>
      <c r="AW256" s="7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/>
      <c r="IS256" s="6"/>
      <c r="IT256" s="6"/>
      <c r="IU256" s="6"/>
      <c r="IV256" s="6"/>
      <c r="IW256" s="6"/>
      <c r="IX256" s="6"/>
      <c r="IY256" s="6"/>
      <c r="IZ256" s="6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</row>
    <row r="257" ht="14.25" customHeight="1">
      <c r="H257" s="2"/>
      <c r="I257" s="2"/>
      <c r="J257" s="2"/>
      <c r="K257" s="2"/>
      <c r="L257" s="3"/>
      <c r="M257" s="3"/>
      <c r="N257" s="3"/>
      <c r="O257" s="4"/>
      <c r="P257" s="5"/>
      <c r="Q257" s="3"/>
      <c r="R257" s="3"/>
      <c r="S257" s="3"/>
      <c r="W257" s="4"/>
      <c r="X257" s="5"/>
      <c r="AE257" s="4"/>
      <c r="AF257" s="5"/>
      <c r="AM257" s="4"/>
      <c r="AN257" s="5"/>
      <c r="AU257" s="4"/>
      <c r="AV257" s="6"/>
      <c r="AW257" s="7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J257" s="6"/>
      <c r="IK257" s="6"/>
      <c r="IL257" s="6"/>
      <c r="IM257" s="6"/>
      <c r="IN257" s="6"/>
      <c r="IO257" s="6"/>
      <c r="IP257" s="6"/>
      <c r="IQ257" s="6"/>
      <c r="IR257" s="6"/>
      <c r="IS257" s="6"/>
      <c r="IT257" s="6"/>
      <c r="IU257" s="6"/>
      <c r="IV257" s="6"/>
      <c r="IW257" s="6"/>
      <c r="IX257" s="6"/>
      <c r="IY257" s="6"/>
      <c r="IZ257" s="6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</row>
    <row r="258" ht="14.25" customHeight="1">
      <c r="H258" s="2"/>
      <c r="I258" s="2"/>
      <c r="J258" s="2"/>
      <c r="K258" s="2"/>
      <c r="L258" s="3"/>
      <c r="M258" s="3"/>
      <c r="N258" s="3"/>
      <c r="O258" s="4"/>
      <c r="P258" s="5"/>
      <c r="Q258" s="3"/>
      <c r="R258" s="3"/>
      <c r="S258" s="3"/>
      <c r="W258" s="4"/>
      <c r="X258" s="5"/>
      <c r="AE258" s="4"/>
      <c r="AF258" s="5"/>
      <c r="AM258" s="4"/>
      <c r="AN258" s="5"/>
      <c r="AU258" s="4"/>
      <c r="AV258" s="6"/>
      <c r="AW258" s="7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  <c r="IT258" s="6"/>
      <c r="IU258" s="6"/>
      <c r="IV258" s="6"/>
      <c r="IW258" s="6"/>
      <c r="IX258" s="6"/>
      <c r="IY258" s="6"/>
      <c r="IZ258" s="6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</row>
    <row r="259" ht="14.25" customHeight="1">
      <c r="H259" s="2"/>
      <c r="I259" s="2"/>
      <c r="J259" s="2"/>
      <c r="K259" s="2"/>
      <c r="L259" s="3"/>
      <c r="M259" s="3"/>
      <c r="N259" s="3"/>
      <c r="O259" s="4"/>
      <c r="P259" s="5"/>
      <c r="Q259" s="3"/>
      <c r="R259" s="3"/>
      <c r="S259" s="3"/>
      <c r="W259" s="4"/>
      <c r="X259" s="5"/>
      <c r="AE259" s="4"/>
      <c r="AF259" s="5"/>
      <c r="AM259" s="4"/>
      <c r="AN259" s="5"/>
      <c r="AU259" s="4"/>
      <c r="AV259" s="6"/>
      <c r="AW259" s="7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6"/>
      <c r="IK259" s="6"/>
      <c r="IL259" s="6"/>
      <c r="IM259" s="6"/>
      <c r="IN259" s="6"/>
      <c r="IO259" s="6"/>
      <c r="IP259" s="6"/>
      <c r="IQ259" s="6"/>
      <c r="IR259" s="6"/>
      <c r="IS259" s="6"/>
      <c r="IT259" s="6"/>
      <c r="IU259" s="6"/>
      <c r="IV259" s="6"/>
      <c r="IW259" s="6"/>
      <c r="IX259" s="6"/>
      <c r="IY259" s="6"/>
      <c r="IZ259" s="6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</row>
    <row r="260" ht="14.25" customHeight="1">
      <c r="H260" s="2"/>
      <c r="I260" s="2"/>
      <c r="J260" s="2"/>
      <c r="K260" s="2"/>
      <c r="L260" s="3"/>
      <c r="M260" s="3"/>
      <c r="N260" s="3"/>
      <c r="O260" s="4"/>
      <c r="P260" s="5"/>
      <c r="Q260" s="3"/>
      <c r="R260" s="3"/>
      <c r="S260" s="3"/>
      <c r="W260" s="4"/>
      <c r="X260" s="5"/>
      <c r="AE260" s="4"/>
      <c r="AF260" s="5"/>
      <c r="AM260" s="4"/>
      <c r="AN260" s="5"/>
      <c r="AU260" s="4"/>
      <c r="AV260" s="6"/>
      <c r="AW260" s="7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IY260" s="6"/>
      <c r="IZ260" s="6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</row>
    <row r="261" ht="14.25" customHeight="1">
      <c r="H261" s="2"/>
      <c r="I261" s="2"/>
      <c r="J261" s="2"/>
      <c r="K261" s="2"/>
      <c r="L261" s="3"/>
      <c r="M261" s="3"/>
      <c r="N261" s="3"/>
      <c r="O261" s="4"/>
      <c r="P261" s="5"/>
      <c r="Q261" s="3"/>
      <c r="R261" s="3"/>
      <c r="S261" s="3"/>
      <c r="W261" s="4"/>
      <c r="X261" s="5"/>
      <c r="AE261" s="4"/>
      <c r="AF261" s="5"/>
      <c r="AM261" s="4"/>
      <c r="AN261" s="5"/>
      <c r="AU261" s="4"/>
      <c r="AV261" s="6"/>
      <c r="AW261" s="7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  <c r="IT261" s="6"/>
      <c r="IU261" s="6"/>
      <c r="IV261" s="6"/>
      <c r="IW261" s="6"/>
      <c r="IX261" s="6"/>
      <c r="IY261" s="6"/>
      <c r="IZ261" s="6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</row>
    <row r="262" ht="14.25" customHeight="1">
      <c r="H262" s="2"/>
      <c r="I262" s="2"/>
      <c r="J262" s="2"/>
      <c r="K262" s="2"/>
      <c r="L262" s="3"/>
      <c r="M262" s="3"/>
      <c r="N262" s="3"/>
      <c r="O262" s="4"/>
      <c r="P262" s="5"/>
      <c r="Q262" s="3"/>
      <c r="R262" s="3"/>
      <c r="S262" s="3"/>
      <c r="W262" s="4"/>
      <c r="X262" s="5"/>
      <c r="AE262" s="4"/>
      <c r="AF262" s="5"/>
      <c r="AM262" s="4"/>
      <c r="AN262" s="5"/>
      <c r="AU262" s="4"/>
      <c r="AV262" s="6"/>
      <c r="AW262" s="7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  <c r="IT262" s="6"/>
      <c r="IU262" s="6"/>
      <c r="IV262" s="6"/>
      <c r="IW262" s="6"/>
      <c r="IX262" s="6"/>
      <c r="IY262" s="6"/>
      <c r="IZ262" s="6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</row>
    <row r="263" ht="14.25" customHeight="1">
      <c r="H263" s="2"/>
      <c r="I263" s="2"/>
      <c r="J263" s="2"/>
      <c r="K263" s="2"/>
      <c r="L263" s="3"/>
      <c r="M263" s="3"/>
      <c r="N263" s="3"/>
      <c r="O263" s="4"/>
      <c r="P263" s="5"/>
      <c r="Q263" s="3"/>
      <c r="R263" s="3"/>
      <c r="S263" s="3"/>
      <c r="W263" s="4"/>
      <c r="X263" s="5"/>
      <c r="AE263" s="4"/>
      <c r="AF263" s="5"/>
      <c r="AM263" s="4"/>
      <c r="AN263" s="5"/>
      <c r="AU263" s="4"/>
      <c r="AV263" s="6"/>
      <c r="AW263" s="7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  <c r="IT263" s="6"/>
      <c r="IU263" s="6"/>
      <c r="IV263" s="6"/>
      <c r="IW263" s="6"/>
      <c r="IX263" s="6"/>
      <c r="IY263" s="6"/>
      <c r="IZ263" s="6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</row>
    <row r="264" ht="14.25" customHeight="1">
      <c r="H264" s="2"/>
      <c r="I264" s="2"/>
      <c r="J264" s="2"/>
      <c r="K264" s="2"/>
      <c r="L264" s="3"/>
      <c r="M264" s="3"/>
      <c r="N264" s="3"/>
      <c r="O264" s="4"/>
      <c r="P264" s="5"/>
      <c r="Q264" s="3"/>
      <c r="R264" s="3"/>
      <c r="S264" s="3"/>
      <c r="W264" s="4"/>
      <c r="X264" s="5"/>
      <c r="AE264" s="4"/>
      <c r="AF264" s="5"/>
      <c r="AM264" s="4"/>
      <c r="AN264" s="5"/>
      <c r="AU264" s="4"/>
      <c r="AV264" s="6"/>
      <c r="AW264" s="7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</row>
    <row r="265" ht="14.25" customHeight="1">
      <c r="H265" s="2"/>
      <c r="I265" s="2"/>
      <c r="J265" s="2"/>
      <c r="K265" s="2"/>
      <c r="L265" s="3"/>
      <c r="M265" s="3"/>
      <c r="N265" s="3"/>
      <c r="O265" s="4"/>
      <c r="P265" s="5"/>
      <c r="Q265" s="3"/>
      <c r="R265" s="3"/>
      <c r="S265" s="3"/>
      <c r="W265" s="4"/>
      <c r="X265" s="5"/>
      <c r="AE265" s="4"/>
      <c r="AF265" s="5"/>
      <c r="AM265" s="4"/>
      <c r="AN265" s="5"/>
      <c r="AU265" s="4"/>
      <c r="AV265" s="6"/>
      <c r="AW265" s="7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  <c r="IT265" s="6"/>
      <c r="IU265" s="6"/>
      <c r="IV265" s="6"/>
      <c r="IW265" s="6"/>
      <c r="IX265" s="6"/>
      <c r="IY265" s="6"/>
      <c r="IZ265" s="6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</row>
    <row r="266" ht="14.25" customHeight="1">
      <c r="H266" s="2"/>
      <c r="I266" s="2"/>
      <c r="J266" s="2"/>
      <c r="K266" s="2"/>
      <c r="L266" s="3"/>
      <c r="M266" s="3"/>
      <c r="N266" s="3"/>
      <c r="O266" s="4"/>
      <c r="P266" s="5"/>
      <c r="Q266" s="3"/>
      <c r="R266" s="3"/>
      <c r="S266" s="3"/>
      <c r="W266" s="4"/>
      <c r="X266" s="5"/>
      <c r="AE266" s="4"/>
      <c r="AF266" s="5"/>
      <c r="AM266" s="4"/>
      <c r="AN266" s="5"/>
      <c r="AU266" s="4"/>
      <c r="AV266" s="6"/>
      <c r="AW266" s="7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  <c r="IT266" s="6"/>
      <c r="IU266" s="6"/>
      <c r="IV266" s="6"/>
      <c r="IW266" s="6"/>
      <c r="IX266" s="6"/>
      <c r="IY266" s="6"/>
      <c r="IZ266" s="6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</row>
    <row r="267" ht="14.25" customHeight="1">
      <c r="H267" s="2"/>
      <c r="I267" s="2"/>
      <c r="J267" s="2"/>
      <c r="K267" s="2"/>
      <c r="L267" s="3"/>
      <c r="M267" s="3"/>
      <c r="N267" s="3"/>
      <c r="O267" s="4"/>
      <c r="P267" s="5"/>
      <c r="Q267" s="3"/>
      <c r="R267" s="3"/>
      <c r="S267" s="3"/>
      <c r="W267" s="4"/>
      <c r="X267" s="5"/>
      <c r="AE267" s="4"/>
      <c r="AF267" s="5"/>
      <c r="AM267" s="4"/>
      <c r="AN267" s="5"/>
      <c r="AU267" s="4"/>
      <c r="AV267" s="6"/>
      <c r="AW267" s="7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  <c r="IT267" s="6"/>
      <c r="IU267" s="6"/>
      <c r="IV267" s="6"/>
      <c r="IW267" s="6"/>
      <c r="IX267" s="6"/>
      <c r="IY267" s="6"/>
      <c r="IZ267" s="6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</row>
    <row r="268" ht="14.25" customHeight="1">
      <c r="H268" s="2"/>
      <c r="I268" s="2"/>
      <c r="J268" s="2"/>
      <c r="K268" s="2"/>
      <c r="L268" s="3"/>
      <c r="M268" s="3"/>
      <c r="N268" s="3"/>
      <c r="O268" s="4"/>
      <c r="P268" s="5"/>
      <c r="Q268" s="3"/>
      <c r="R268" s="3"/>
      <c r="S268" s="3"/>
      <c r="W268" s="4"/>
      <c r="X268" s="5"/>
      <c r="AE268" s="4"/>
      <c r="AF268" s="5"/>
      <c r="AM268" s="4"/>
      <c r="AN268" s="5"/>
      <c r="AU268" s="4"/>
      <c r="AV268" s="6"/>
      <c r="AW268" s="7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  <c r="IX268" s="6"/>
      <c r="IY268" s="6"/>
      <c r="IZ268" s="6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</row>
    <row r="269" ht="14.25" customHeight="1">
      <c r="H269" s="2"/>
      <c r="I269" s="2"/>
      <c r="J269" s="2"/>
      <c r="K269" s="2"/>
      <c r="L269" s="3"/>
      <c r="M269" s="3"/>
      <c r="N269" s="3"/>
      <c r="O269" s="4"/>
      <c r="P269" s="5"/>
      <c r="Q269" s="3"/>
      <c r="R269" s="3"/>
      <c r="S269" s="3"/>
      <c r="W269" s="4"/>
      <c r="X269" s="5"/>
      <c r="AE269" s="4"/>
      <c r="AF269" s="5"/>
      <c r="AM269" s="4"/>
      <c r="AN269" s="5"/>
      <c r="AU269" s="4"/>
      <c r="AV269" s="6"/>
      <c r="AW269" s="7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6"/>
      <c r="IB269" s="6"/>
      <c r="IC269" s="6"/>
      <c r="ID269" s="6"/>
      <c r="IE269" s="6"/>
      <c r="IF269" s="6"/>
      <c r="IG269" s="6"/>
      <c r="IH269" s="6"/>
      <c r="II269" s="6"/>
      <c r="IJ269" s="6"/>
      <c r="IK269" s="6"/>
      <c r="IL269" s="6"/>
      <c r="IM269" s="6"/>
      <c r="IN269" s="6"/>
      <c r="IO269" s="6"/>
      <c r="IP269" s="6"/>
      <c r="IQ269" s="6"/>
      <c r="IR269" s="6"/>
      <c r="IS269" s="6"/>
      <c r="IT269" s="6"/>
      <c r="IU269" s="6"/>
      <c r="IV269" s="6"/>
      <c r="IW269" s="6"/>
      <c r="IX269" s="6"/>
      <c r="IY269" s="6"/>
      <c r="IZ269" s="6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</row>
    <row r="270" ht="14.25" customHeight="1">
      <c r="H270" s="2"/>
      <c r="I270" s="2"/>
      <c r="J270" s="2"/>
      <c r="K270" s="2"/>
      <c r="L270" s="3"/>
      <c r="M270" s="3"/>
      <c r="N270" s="3"/>
      <c r="O270" s="4"/>
      <c r="P270" s="5"/>
      <c r="Q270" s="3"/>
      <c r="R270" s="3"/>
      <c r="S270" s="3"/>
      <c r="W270" s="4"/>
      <c r="X270" s="5"/>
      <c r="AE270" s="4"/>
      <c r="AF270" s="5"/>
      <c r="AM270" s="4"/>
      <c r="AN270" s="5"/>
      <c r="AU270" s="4"/>
      <c r="AV270" s="6"/>
      <c r="AW270" s="7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6"/>
      <c r="IK270" s="6"/>
      <c r="IL270" s="6"/>
      <c r="IM270" s="6"/>
      <c r="IN270" s="6"/>
      <c r="IO270" s="6"/>
      <c r="IP270" s="6"/>
      <c r="IQ270" s="6"/>
      <c r="IR270" s="6"/>
      <c r="IS270" s="6"/>
      <c r="IT270" s="6"/>
      <c r="IU270" s="6"/>
      <c r="IV270" s="6"/>
      <c r="IW270" s="6"/>
      <c r="IX270" s="6"/>
      <c r="IY270" s="6"/>
      <c r="IZ270" s="6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</row>
    <row r="271" ht="14.25" customHeight="1">
      <c r="H271" s="2"/>
      <c r="I271" s="2"/>
      <c r="J271" s="2"/>
      <c r="K271" s="2"/>
      <c r="L271" s="3"/>
      <c r="M271" s="3"/>
      <c r="N271" s="3"/>
      <c r="O271" s="4"/>
      <c r="P271" s="5"/>
      <c r="Q271" s="3"/>
      <c r="R271" s="3"/>
      <c r="S271" s="3"/>
      <c r="W271" s="4"/>
      <c r="X271" s="5"/>
      <c r="AE271" s="4"/>
      <c r="AF271" s="5"/>
      <c r="AM271" s="4"/>
      <c r="AN271" s="5"/>
      <c r="AU271" s="4"/>
      <c r="AV271" s="6"/>
      <c r="AW271" s="7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  <c r="IT271" s="6"/>
      <c r="IU271" s="6"/>
      <c r="IV271" s="6"/>
      <c r="IW271" s="6"/>
      <c r="IX271" s="6"/>
      <c r="IY271" s="6"/>
      <c r="IZ271" s="6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</row>
    <row r="272" ht="14.25" customHeight="1">
      <c r="H272" s="2"/>
      <c r="I272" s="2"/>
      <c r="J272" s="2"/>
      <c r="K272" s="2"/>
      <c r="L272" s="3"/>
      <c r="M272" s="3"/>
      <c r="N272" s="3"/>
      <c r="O272" s="4"/>
      <c r="P272" s="5"/>
      <c r="Q272" s="3"/>
      <c r="R272" s="3"/>
      <c r="S272" s="3"/>
      <c r="W272" s="4"/>
      <c r="X272" s="5"/>
      <c r="AE272" s="4"/>
      <c r="AF272" s="5"/>
      <c r="AM272" s="4"/>
      <c r="AN272" s="5"/>
      <c r="AU272" s="4"/>
      <c r="AV272" s="6"/>
      <c r="AW272" s="7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6"/>
      <c r="IK272" s="6"/>
      <c r="IL272" s="6"/>
      <c r="IM272" s="6"/>
      <c r="IN272" s="6"/>
      <c r="IO272" s="6"/>
      <c r="IP272" s="6"/>
      <c r="IQ272" s="6"/>
      <c r="IR272" s="6"/>
      <c r="IS272" s="6"/>
      <c r="IT272" s="6"/>
      <c r="IU272" s="6"/>
      <c r="IV272" s="6"/>
      <c r="IW272" s="6"/>
      <c r="IX272" s="6"/>
      <c r="IY272" s="6"/>
      <c r="IZ272" s="6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</row>
    <row r="273" ht="14.25" customHeight="1">
      <c r="H273" s="2"/>
      <c r="I273" s="2"/>
      <c r="J273" s="2"/>
      <c r="K273" s="2"/>
      <c r="L273" s="3"/>
      <c r="M273" s="3"/>
      <c r="N273" s="3"/>
      <c r="O273" s="4"/>
      <c r="P273" s="5"/>
      <c r="Q273" s="3"/>
      <c r="R273" s="3"/>
      <c r="S273" s="3"/>
      <c r="W273" s="4"/>
      <c r="X273" s="5"/>
      <c r="AE273" s="4"/>
      <c r="AF273" s="5"/>
      <c r="AM273" s="4"/>
      <c r="AN273" s="5"/>
      <c r="AU273" s="4"/>
      <c r="AV273" s="6"/>
      <c r="AW273" s="7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  <c r="IX273" s="6"/>
      <c r="IY273" s="6"/>
      <c r="IZ273" s="6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</row>
    <row r="274" ht="14.25" customHeight="1">
      <c r="H274" s="2"/>
      <c r="I274" s="2"/>
      <c r="J274" s="2"/>
      <c r="K274" s="2"/>
      <c r="L274" s="3"/>
      <c r="M274" s="3"/>
      <c r="N274" s="3"/>
      <c r="O274" s="4"/>
      <c r="P274" s="5"/>
      <c r="Q274" s="3"/>
      <c r="R274" s="3"/>
      <c r="S274" s="3"/>
      <c r="W274" s="4"/>
      <c r="X274" s="5"/>
      <c r="AE274" s="4"/>
      <c r="AF274" s="5"/>
      <c r="AM274" s="4"/>
      <c r="AN274" s="5"/>
      <c r="AU274" s="4"/>
      <c r="AV274" s="6"/>
      <c r="AW274" s="7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  <c r="IT274" s="6"/>
      <c r="IU274" s="6"/>
      <c r="IV274" s="6"/>
      <c r="IW274" s="6"/>
      <c r="IX274" s="6"/>
      <c r="IY274" s="6"/>
      <c r="IZ274" s="6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</row>
    <row r="275" ht="14.25" customHeight="1">
      <c r="H275" s="2"/>
      <c r="I275" s="2"/>
      <c r="J275" s="2"/>
      <c r="K275" s="2"/>
      <c r="L275" s="3"/>
      <c r="M275" s="3"/>
      <c r="N275" s="3"/>
      <c r="O275" s="4"/>
      <c r="P275" s="5"/>
      <c r="Q275" s="3"/>
      <c r="R275" s="3"/>
      <c r="S275" s="3"/>
      <c r="W275" s="4"/>
      <c r="X275" s="5"/>
      <c r="AE275" s="4"/>
      <c r="AF275" s="5"/>
      <c r="AM275" s="4"/>
      <c r="AN275" s="5"/>
      <c r="AU275" s="4"/>
      <c r="AV275" s="6"/>
      <c r="AW275" s="7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  <c r="IT275" s="6"/>
      <c r="IU275" s="6"/>
      <c r="IV275" s="6"/>
      <c r="IW275" s="6"/>
      <c r="IX275" s="6"/>
      <c r="IY275" s="6"/>
      <c r="IZ275" s="6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</row>
    <row r="276" ht="14.25" customHeight="1">
      <c r="H276" s="2"/>
      <c r="I276" s="2"/>
      <c r="J276" s="2"/>
      <c r="K276" s="2"/>
      <c r="L276" s="3"/>
      <c r="M276" s="3"/>
      <c r="N276" s="3"/>
      <c r="O276" s="4"/>
      <c r="P276" s="5"/>
      <c r="Q276" s="3"/>
      <c r="R276" s="3"/>
      <c r="S276" s="3"/>
      <c r="W276" s="4"/>
      <c r="X276" s="5"/>
      <c r="AE276" s="4"/>
      <c r="AF276" s="5"/>
      <c r="AM276" s="4"/>
      <c r="AN276" s="5"/>
      <c r="AU276" s="4"/>
      <c r="AV276" s="6"/>
      <c r="AW276" s="7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6"/>
      <c r="IB276" s="6"/>
      <c r="IC276" s="6"/>
      <c r="ID276" s="6"/>
      <c r="IE276" s="6"/>
      <c r="IF276" s="6"/>
      <c r="IG276" s="6"/>
      <c r="IH276" s="6"/>
      <c r="II276" s="6"/>
      <c r="IJ276" s="6"/>
      <c r="IK276" s="6"/>
      <c r="IL276" s="6"/>
      <c r="IM276" s="6"/>
      <c r="IN276" s="6"/>
      <c r="IO276" s="6"/>
      <c r="IP276" s="6"/>
      <c r="IQ276" s="6"/>
      <c r="IR276" s="6"/>
      <c r="IS276" s="6"/>
      <c r="IT276" s="6"/>
      <c r="IU276" s="6"/>
      <c r="IV276" s="6"/>
      <c r="IW276" s="6"/>
      <c r="IX276" s="6"/>
      <c r="IY276" s="6"/>
      <c r="IZ276" s="6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</row>
    <row r="277" ht="14.25" customHeight="1">
      <c r="H277" s="2"/>
      <c r="I277" s="2"/>
      <c r="J277" s="2"/>
      <c r="K277" s="2"/>
      <c r="L277" s="3"/>
      <c r="M277" s="3"/>
      <c r="N277" s="3"/>
      <c r="O277" s="4"/>
      <c r="P277" s="5"/>
      <c r="Q277" s="3"/>
      <c r="R277" s="3"/>
      <c r="S277" s="3"/>
      <c r="W277" s="4"/>
      <c r="X277" s="5"/>
      <c r="AE277" s="4"/>
      <c r="AF277" s="5"/>
      <c r="AM277" s="4"/>
      <c r="AN277" s="5"/>
      <c r="AU277" s="4"/>
      <c r="AV277" s="6"/>
      <c r="AW277" s="7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  <c r="IW277" s="6"/>
      <c r="IX277" s="6"/>
      <c r="IY277" s="6"/>
      <c r="IZ277" s="6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</row>
    <row r="278" ht="14.25" customHeight="1">
      <c r="H278" s="2"/>
      <c r="I278" s="2"/>
      <c r="J278" s="2"/>
      <c r="K278" s="2"/>
      <c r="L278" s="3"/>
      <c r="M278" s="3"/>
      <c r="N278" s="3"/>
      <c r="O278" s="4"/>
      <c r="P278" s="5"/>
      <c r="Q278" s="3"/>
      <c r="R278" s="3"/>
      <c r="S278" s="3"/>
      <c r="W278" s="4"/>
      <c r="X278" s="5"/>
      <c r="AE278" s="4"/>
      <c r="AF278" s="5"/>
      <c r="AM278" s="4"/>
      <c r="AN278" s="5"/>
      <c r="AU278" s="4"/>
      <c r="AV278" s="6"/>
      <c r="AW278" s="7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  <c r="IT278" s="6"/>
      <c r="IU278" s="6"/>
      <c r="IV278" s="6"/>
      <c r="IW278" s="6"/>
      <c r="IX278" s="6"/>
      <c r="IY278" s="6"/>
      <c r="IZ278" s="6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</row>
    <row r="279" ht="14.25" customHeight="1">
      <c r="H279" s="2"/>
      <c r="I279" s="2"/>
      <c r="J279" s="2"/>
      <c r="K279" s="2"/>
      <c r="L279" s="3"/>
      <c r="M279" s="3"/>
      <c r="N279" s="3"/>
      <c r="O279" s="4"/>
      <c r="P279" s="5"/>
      <c r="Q279" s="3"/>
      <c r="R279" s="3"/>
      <c r="S279" s="3"/>
      <c r="W279" s="4"/>
      <c r="X279" s="5"/>
      <c r="AE279" s="4"/>
      <c r="AF279" s="5"/>
      <c r="AM279" s="4"/>
      <c r="AN279" s="5"/>
      <c r="AU279" s="4"/>
      <c r="AV279" s="6"/>
      <c r="AW279" s="7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  <c r="IW279" s="6"/>
      <c r="IX279" s="6"/>
      <c r="IY279" s="6"/>
      <c r="IZ279" s="6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</row>
    <row r="280" ht="14.25" customHeight="1">
      <c r="H280" s="2"/>
      <c r="I280" s="2"/>
      <c r="J280" s="2"/>
      <c r="K280" s="2"/>
      <c r="L280" s="3"/>
      <c r="M280" s="3"/>
      <c r="N280" s="3"/>
      <c r="O280" s="4"/>
      <c r="P280" s="5"/>
      <c r="Q280" s="3"/>
      <c r="R280" s="3"/>
      <c r="S280" s="3"/>
      <c r="W280" s="4"/>
      <c r="X280" s="5"/>
      <c r="AE280" s="4"/>
      <c r="AF280" s="5"/>
      <c r="AM280" s="4"/>
      <c r="AN280" s="5"/>
      <c r="AU280" s="4"/>
      <c r="AV280" s="6"/>
      <c r="AW280" s="7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6"/>
      <c r="IG280" s="6"/>
      <c r="IH280" s="6"/>
      <c r="II280" s="6"/>
      <c r="IJ280" s="6"/>
      <c r="IK280" s="6"/>
      <c r="IL280" s="6"/>
      <c r="IM280" s="6"/>
      <c r="IN280" s="6"/>
      <c r="IO280" s="6"/>
      <c r="IP280" s="6"/>
      <c r="IQ280" s="6"/>
      <c r="IR280" s="6"/>
      <c r="IS280" s="6"/>
      <c r="IT280" s="6"/>
      <c r="IU280" s="6"/>
      <c r="IV280" s="6"/>
      <c r="IW280" s="6"/>
      <c r="IX280" s="6"/>
      <c r="IY280" s="6"/>
      <c r="IZ280" s="6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</row>
    <row r="281" ht="14.25" customHeight="1">
      <c r="H281" s="2"/>
      <c r="I281" s="2"/>
      <c r="J281" s="2"/>
      <c r="K281" s="2"/>
      <c r="L281" s="3"/>
      <c r="M281" s="3"/>
      <c r="N281" s="3"/>
      <c r="O281" s="4"/>
      <c r="P281" s="5"/>
      <c r="Q281" s="3"/>
      <c r="R281" s="3"/>
      <c r="S281" s="3"/>
      <c r="W281" s="4"/>
      <c r="X281" s="5"/>
      <c r="AE281" s="4"/>
      <c r="AF281" s="5"/>
      <c r="AM281" s="4"/>
      <c r="AN281" s="5"/>
      <c r="AU281" s="4"/>
      <c r="AV281" s="6"/>
      <c r="AW281" s="7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  <c r="IT281" s="6"/>
      <c r="IU281" s="6"/>
      <c r="IV281" s="6"/>
      <c r="IW281" s="6"/>
      <c r="IX281" s="6"/>
      <c r="IY281" s="6"/>
      <c r="IZ281" s="6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</row>
    <row r="282" ht="14.25" customHeight="1">
      <c r="H282" s="2"/>
      <c r="I282" s="2"/>
      <c r="J282" s="2"/>
      <c r="K282" s="2"/>
      <c r="L282" s="3"/>
      <c r="M282" s="3"/>
      <c r="N282" s="3"/>
      <c r="O282" s="4"/>
      <c r="P282" s="5"/>
      <c r="Q282" s="3"/>
      <c r="R282" s="3"/>
      <c r="S282" s="3"/>
      <c r="W282" s="4"/>
      <c r="X282" s="5"/>
      <c r="AE282" s="4"/>
      <c r="AF282" s="5"/>
      <c r="AM282" s="4"/>
      <c r="AN282" s="5"/>
      <c r="AU282" s="4"/>
      <c r="AV282" s="6"/>
      <c r="AW282" s="7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6"/>
      <c r="IK282" s="6"/>
      <c r="IL282" s="6"/>
      <c r="IM282" s="6"/>
      <c r="IN282" s="6"/>
      <c r="IO282" s="6"/>
      <c r="IP282" s="6"/>
      <c r="IQ282" s="6"/>
      <c r="IR282" s="6"/>
      <c r="IS282" s="6"/>
      <c r="IT282" s="6"/>
      <c r="IU282" s="6"/>
      <c r="IV282" s="6"/>
      <c r="IW282" s="6"/>
      <c r="IX282" s="6"/>
      <c r="IY282" s="6"/>
      <c r="IZ282" s="6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</row>
    <row r="283" ht="14.25" customHeight="1">
      <c r="H283" s="2"/>
      <c r="I283" s="2"/>
      <c r="J283" s="2"/>
      <c r="K283" s="2"/>
      <c r="L283" s="3"/>
      <c r="M283" s="3"/>
      <c r="N283" s="3"/>
      <c r="O283" s="4"/>
      <c r="P283" s="5"/>
      <c r="Q283" s="3"/>
      <c r="R283" s="3"/>
      <c r="S283" s="3"/>
      <c r="W283" s="4"/>
      <c r="X283" s="5"/>
      <c r="AE283" s="4"/>
      <c r="AF283" s="5"/>
      <c r="AM283" s="4"/>
      <c r="AN283" s="5"/>
      <c r="AU283" s="4"/>
      <c r="AV283" s="6"/>
      <c r="AW283" s="7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6"/>
      <c r="IK283" s="6"/>
      <c r="IL283" s="6"/>
      <c r="IM283" s="6"/>
      <c r="IN283" s="6"/>
      <c r="IO283" s="6"/>
      <c r="IP283" s="6"/>
      <c r="IQ283" s="6"/>
      <c r="IR283" s="6"/>
      <c r="IS283" s="6"/>
      <c r="IT283" s="6"/>
      <c r="IU283" s="6"/>
      <c r="IV283" s="6"/>
      <c r="IW283" s="6"/>
      <c r="IX283" s="6"/>
      <c r="IY283" s="6"/>
      <c r="IZ283" s="6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</row>
    <row r="284" ht="14.25" customHeight="1">
      <c r="H284" s="2"/>
      <c r="I284" s="2"/>
      <c r="J284" s="2"/>
      <c r="K284" s="2"/>
      <c r="L284" s="3"/>
      <c r="M284" s="3"/>
      <c r="N284" s="3"/>
      <c r="O284" s="4"/>
      <c r="P284" s="5"/>
      <c r="Q284" s="3"/>
      <c r="R284" s="3"/>
      <c r="S284" s="3"/>
      <c r="W284" s="4"/>
      <c r="X284" s="5"/>
      <c r="AE284" s="4"/>
      <c r="AF284" s="5"/>
      <c r="AM284" s="4"/>
      <c r="AN284" s="5"/>
      <c r="AU284" s="4"/>
      <c r="AV284" s="6"/>
      <c r="AW284" s="7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6"/>
      <c r="IK284" s="6"/>
      <c r="IL284" s="6"/>
      <c r="IM284" s="6"/>
      <c r="IN284" s="6"/>
      <c r="IO284" s="6"/>
      <c r="IP284" s="6"/>
      <c r="IQ284" s="6"/>
      <c r="IR284" s="6"/>
      <c r="IS284" s="6"/>
      <c r="IT284" s="6"/>
      <c r="IU284" s="6"/>
      <c r="IV284" s="6"/>
      <c r="IW284" s="6"/>
      <c r="IX284" s="6"/>
      <c r="IY284" s="6"/>
      <c r="IZ284" s="6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</row>
    <row r="285" ht="14.25" customHeight="1">
      <c r="H285" s="2"/>
      <c r="I285" s="2"/>
      <c r="J285" s="2"/>
      <c r="K285" s="2"/>
      <c r="L285" s="3"/>
      <c r="M285" s="3"/>
      <c r="N285" s="3"/>
      <c r="O285" s="4"/>
      <c r="P285" s="5"/>
      <c r="Q285" s="3"/>
      <c r="R285" s="3"/>
      <c r="S285" s="3"/>
      <c r="W285" s="4"/>
      <c r="X285" s="5"/>
      <c r="AE285" s="4"/>
      <c r="AF285" s="5"/>
      <c r="AM285" s="4"/>
      <c r="AN285" s="5"/>
      <c r="AU285" s="4"/>
      <c r="AV285" s="6"/>
      <c r="AW285" s="7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6"/>
      <c r="IG285" s="6"/>
      <c r="IH285" s="6"/>
      <c r="II285" s="6"/>
      <c r="IJ285" s="6"/>
      <c r="IK285" s="6"/>
      <c r="IL285" s="6"/>
      <c r="IM285" s="6"/>
      <c r="IN285" s="6"/>
      <c r="IO285" s="6"/>
      <c r="IP285" s="6"/>
      <c r="IQ285" s="6"/>
      <c r="IR285" s="6"/>
      <c r="IS285" s="6"/>
      <c r="IT285" s="6"/>
      <c r="IU285" s="6"/>
      <c r="IV285" s="6"/>
      <c r="IW285" s="6"/>
      <c r="IX285" s="6"/>
      <c r="IY285" s="6"/>
      <c r="IZ285" s="6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</row>
    <row r="286" ht="14.25" customHeight="1">
      <c r="H286" s="2"/>
      <c r="I286" s="2"/>
      <c r="J286" s="2"/>
      <c r="K286" s="2"/>
      <c r="L286" s="3"/>
      <c r="M286" s="3"/>
      <c r="N286" s="3"/>
      <c r="O286" s="4"/>
      <c r="P286" s="5"/>
      <c r="Q286" s="3"/>
      <c r="R286" s="3"/>
      <c r="S286" s="3"/>
      <c r="W286" s="4"/>
      <c r="X286" s="5"/>
      <c r="AE286" s="4"/>
      <c r="AF286" s="5"/>
      <c r="AM286" s="4"/>
      <c r="AN286" s="5"/>
      <c r="AU286" s="4"/>
      <c r="AV286" s="6"/>
      <c r="AW286" s="7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  <c r="IT286" s="6"/>
      <c r="IU286" s="6"/>
      <c r="IV286" s="6"/>
      <c r="IW286" s="6"/>
      <c r="IX286" s="6"/>
      <c r="IY286" s="6"/>
      <c r="IZ286" s="6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</row>
    <row r="287" ht="14.25" customHeight="1">
      <c r="H287" s="2"/>
      <c r="I287" s="2"/>
      <c r="J287" s="2"/>
      <c r="K287" s="2"/>
      <c r="L287" s="3"/>
      <c r="M287" s="3"/>
      <c r="N287" s="3"/>
      <c r="O287" s="4"/>
      <c r="P287" s="5"/>
      <c r="Q287" s="3"/>
      <c r="R287" s="3"/>
      <c r="S287" s="3"/>
      <c r="W287" s="4"/>
      <c r="X287" s="5"/>
      <c r="AE287" s="4"/>
      <c r="AF287" s="5"/>
      <c r="AM287" s="4"/>
      <c r="AN287" s="5"/>
      <c r="AU287" s="4"/>
      <c r="AV287" s="6"/>
      <c r="AW287" s="7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6"/>
      <c r="IK287" s="6"/>
      <c r="IL287" s="6"/>
      <c r="IM287" s="6"/>
      <c r="IN287" s="6"/>
      <c r="IO287" s="6"/>
      <c r="IP287" s="6"/>
      <c r="IQ287" s="6"/>
      <c r="IR287" s="6"/>
      <c r="IS287" s="6"/>
      <c r="IT287" s="6"/>
      <c r="IU287" s="6"/>
      <c r="IV287" s="6"/>
      <c r="IW287" s="6"/>
      <c r="IX287" s="6"/>
      <c r="IY287" s="6"/>
      <c r="IZ287" s="6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</row>
    <row r="288" ht="14.25" customHeight="1">
      <c r="H288" s="2"/>
      <c r="I288" s="2"/>
      <c r="J288" s="2"/>
      <c r="K288" s="2"/>
      <c r="L288" s="3"/>
      <c r="M288" s="3"/>
      <c r="N288" s="3"/>
      <c r="O288" s="4"/>
      <c r="P288" s="5"/>
      <c r="Q288" s="3"/>
      <c r="R288" s="3"/>
      <c r="S288" s="3"/>
      <c r="W288" s="4"/>
      <c r="X288" s="5"/>
      <c r="AE288" s="4"/>
      <c r="AF288" s="5"/>
      <c r="AM288" s="4"/>
      <c r="AN288" s="5"/>
      <c r="AU288" s="4"/>
      <c r="AV288" s="6"/>
      <c r="AW288" s="7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6"/>
      <c r="IK288" s="6"/>
      <c r="IL288" s="6"/>
      <c r="IM288" s="6"/>
      <c r="IN288" s="6"/>
      <c r="IO288" s="6"/>
      <c r="IP288" s="6"/>
      <c r="IQ288" s="6"/>
      <c r="IR288" s="6"/>
      <c r="IS288" s="6"/>
      <c r="IT288" s="6"/>
      <c r="IU288" s="6"/>
      <c r="IV288" s="6"/>
      <c r="IW288" s="6"/>
      <c r="IX288" s="6"/>
      <c r="IY288" s="6"/>
      <c r="IZ288" s="6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</row>
    <row r="289" ht="14.25" customHeight="1">
      <c r="H289" s="2"/>
      <c r="I289" s="2"/>
      <c r="J289" s="2"/>
      <c r="K289" s="2"/>
      <c r="L289" s="3"/>
      <c r="M289" s="3"/>
      <c r="N289" s="3"/>
      <c r="O289" s="4"/>
      <c r="P289" s="5"/>
      <c r="Q289" s="3"/>
      <c r="R289" s="3"/>
      <c r="S289" s="3"/>
      <c r="W289" s="4"/>
      <c r="X289" s="5"/>
      <c r="AE289" s="4"/>
      <c r="AF289" s="5"/>
      <c r="AM289" s="4"/>
      <c r="AN289" s="5"/>
      <c r="AU289" s="4"/>
      <c r="AV289" s="6"/>
      <c r="AW289" s="7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/>
      <c r="IK289" s="6"/>
      <c r="IL289" s="6"/>
      <c r="IM289" s="6"/>
      <c r="IN289" s="6"/>
      <c r="IO289" s="6"/>
      <c r="IP289" s="6"/>
      <c r="IQ289" s="6"/>
      <c r="IR289" s="6"/>
      <c r="IS289" s="6"/>
      <c r="IT289" s="6"/>
      <c r="IU289" s="6"/>
      <c r="IV289" s="6"/>
      <c r="IW289" s="6"/>
      <c r="IX289" s="6"/>
      <c r="IY289" s="6"/>
      <c r="IZ289" s="6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</row>
    <row r="290" ht="14.25" customHeight="1">
      <c r="H290" s="2"/>
      <c r="I290" s="2"/>
      <c r="J290" s="2"/>
      <c r="K290" s="2"/>
      <c r="L290" s="3"/>
      <c r="M290" s="3"/>
      <c r="N290" s="3"/>
      <c r="O290" s="4"/>
      <c r="P290" s="5"/>
      <c r="Q290" s="3"/>
      <c r="R290" s="3"/>
      <c r="S290" s="3"/>
      <c r="W290" s="4"/>
      <c r="X290" s="5"/>
      <c r="AE290" s="4"/>
      <c r="AF290" s="5"/>
      <c r="AM290" s="4"/>
      <c r="AN290" s="5"/>
      <c r="AU290" s="4"/>
      <c r="AV290" s="6"/>
      <c r="AW290" s="7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6"/>
      <c r="IL290" s="6"/>
      <c r="IM290" s="6"/>
      <c r="IN290" s="6"/>
      <c r="IO290" s="6"/>
      <c r="IP290" s="6"/>
      <c r="IQ290" s="6"/>
      <c r="IR290" s="6"/>
      <c r="IS290" s="6"/>
      <c r="IT290" s="6"/>
      <c r="IU290" s="6"/>
      <c r="IV290" s="6"/>
      <c r="IW290" s="6"/>
      <c r="IX290" s="6"/>
      <c r="IY290" s="6"/>
      <c r="IZ290" s="6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</row>
    <row r="291" ht="14.25" customHeight="1">
      <c r="H291" s="2"/>
      <c r="I291" s="2"/>
      <c r="J291" s="2"/>
      <c r="K291" s="2"/>
      <c r="L291" s="3"/>
      <c r="M291" s="3"/>
      <c r="N291" s="3"/>
      <c r="O291" s="4"/>
      <c r="P291" s="5"/>
      <c r="Q291" s="3"/>
      <c r="R291" s="3"/>
      <c r="S291" s="3"/>
      <c r="W291" s="4"/>
      <c r="X291" s="5"/>
      <c r="AE291" s="4"/>
      <c r="AF291" s="5"/>
      <c r="AM291" s="4"/>
      <c r="AN291" s="5"/>
      <c r="AU291" s="4"/>
      <c r="AV291" s="6"/>
      <c r="AW291" s="7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  <c r="IT291" s="6"/>
      <c r="IU291" s="6"/>
      <c r="IV291" s="6"/>
      <c r="IW291" s="6"/>
      <c r="IX291" s="6"/>
      <c r="IY291" s="6"/>
      <c r="IZ291" s="6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</row>
    <row r="292" ht="14.25" customHeight="1">
      <c r="H292" s="2"/>
      <c r="I292" s="2"/>
      <c r="J292" s="2"/>
      <c r="K292" s="2"/>
      <c r="L292" s="3"/>
      <c r="M292" s="3"/>
      <c r="N292" s="3"/>
      <c r="O292" s="4"/>
      <c r="P292" s="5"/>
      <c r="Q292" s="3"/>
      <c r="R292" s="3"/>
      <c r="S292" s="3"/>
      <c r="W292" s="4"/>
      <c r="X292" s="5"/>
      <c r="AE292" s="4"/>
      <c r="AF292" s="5"/>
      <c r="AM292" s="4"/>
      <c r="AN292" s="5"/>
      <c r="AU292" s="4"/>
      <c r="AV292" s="6"/>
      <c r="AW292" s="7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/>
      <c r="IK292" s="6"/>
      <c r="IL292" s="6"/>
      <c r="IM292" s="6"/>
      <c r="IN292" s="6"/>
      <c r="IO292" s="6"/>
      <c r="IP292" s="6"/>
      <c r="IQ292" s="6"/>
      <c r="IR292" s="6"/>
      <c r="IS292" s="6"/>
      <c r="IT292" s="6"/>
      <c r="IU292" s="6"/>
      <c r="IV292" s="6"/>
      <c r="IW292" s="6"/>
      <c r="IX292" s="6"/>
      <c r="IY292" s="6"/>
      <c r="IZ292" s="6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</row>
    <row r="293" ht="14.25" customHeight="1">
      <c r="H293" s="2"/>
      <c r="I293" s="2"/>
      <c r="J293" s="2"/>
      <c r="K293" s="2"/>
      <c r="L293" s="3"/>
      <c r="M293" s="3"/>
      <c r="N293" s="3"/>
      <c r="O293" s="4"/>
      <c r="P293" s="5"/>
      <c r="Q293" s="3"/>
      <c r="R293" s="3"/>
      <c r="S293" s="3"/>
      <c r="W293" s="4"/>
      <c r="X293" s="5"/>
      <c r="AE293" s="4"/>
      <c r="AF293" s="5"/>
      <c r="AM293" s="4"/>
      <c r="AN293" s="5"/>
      <c r="AU293" s="4"/>
      <c r="AV293" s="6"/>
      <c r="AW293" s="7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6"/>
      <c r="IL293" s="6"/>
      <c r="IM293" s="6"/>
      <c r="IN293" s="6"/>
      <c r="IO293" s="6"/>
      <c r="IP293" s="6"/>
      <c r="IQ293" s="6"/>
      <c r="IR293" s="6"/>
      <c r="IS293" s="6"/>
      <c r="IT293" s="6"/>
      <c r="IU293" s="6"/>
      <c r="IV293" s="6"/>
      <c r="IW293" s="6"/>
      <c r="IX293" s="6"/>
      <c r="IY293" s="6"/>
      <c r="IZ293" s="6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</row>
    <row r="294" ht="14.25" customHeight="1">
      <c r="H294" s="2"/>
      <c r="I294" s="2"/>
      <c r="J294" s="2"/>
      <c r="K294" s="2"/>
      <c r="L294" s="3"/>
      <c r="M294" s="3"/>
      <c r="N294" s="3"/>
      <c r="O294" s="4"/>
      <c r="P294" s="5"/>
      <c r="Q294" s="3"/>
      <c r="R294" s="3"/>
      <c r="S294" s="3"/>
      <c r="W294" s="4"/>
      <c r="X294" s="5"/>
      <c r="AE294" s="4"/>
      <c r="AF294" s="5"/>
      <c r="AM294" s="4"/>
      <c r="AN294" s="5"/>
      <c r="AU294" s="4"/>
      <c r="AV294" s="6"/>
      <c r="AW294" s="7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  <c r="IT294" s="6"/>
      <c r="IU294" s="6"/>
      <c r="IV294" s="6"/>
      <c r="IW294" s="6"/>
      <c r="IX294" s="6"/>
      <c r="IY294" s="6"/>
      <c r="IZ294" s="6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</row>
    <row r="295" ht="14.25" customHeight="1">
      <c r="H295" s="2"/>
      <c r="I295" s="2"/>
      <c r="J295" s="2"/>
      <c r="K295" s="2"/>
      <c r="L295" s="3"/>
      <c r="M295" s="3"/>
      <c r="N295" s="3"/>
      <c r="O295" s="4"/>
      <c r="P295" s="5"/>
      <c r="Q295" s="3"/>
      <c r="R295" s="3"/>
      <c r="S295" s="3"/>
      <c r="W295" s="4"/>
      <c r="X295" s="5"/>
      <c r="AE295" s="4"/>
      <c r="AF295" s="5"/>
      <c r="AM295" s="4"/>
      <c r="AN295" s="5"/>
      <c r="AU295" s="4"/>
      <c r="AV295" s="6"/>
      <c r="AW295" s="7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  <c r="IW295" s="6"/>
      <c r="IX295" s="6"/>
      <c r="IY295" s="6"/>
      <c r="IZ295" s="6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</row>
    <row r="296" ht="14.25" customHeight="1">
      <c r="H296" s="2"/>
      <c r="I296" s="2"/>
      <c r="J296" s="2"/>
      <c r="K296" s="2"/>
      <c r="L296" s="3"/>
      <c r="M296" s="3"/>
      <c r="N296" s="3"/>
      <c r="O296" s="4"/>
      <c r="P296" s="5"/>
      <c r="Q296" s="3"/>
      <c r="R296" s="3"/>
      <c r="S296" s="3"/>
      <c r="W296" s="4"/>
      <c r="X296" s="5"/>
      <c r="AE296" s="4"/>
      <c r="AF296" s="5"/>
      <c r="AM296" s="4"/>
      <c r="AN296" s="5"/>
      <c r="AU296" s="4"/>
      <c r="AV296" s="6"/>
      <c r="AW296" s="7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6"/>
      <c r="IL296" s="6"/>
      <c r="IM296" s="6"/>
      <c r="IN296" s="6"/>
      <c r="IO296" s="6"/>
      <c r="IP296" s="6"/>
      <c r="IQ296" s="6"/>
      <c r="IR296" s="6"/>
      <c r="IS296" s="6"/>
      <c r="IT296" s="6"/>
      <c r="IU296" s="6"/>
      <c r="IV296" s="6"/>
      <c r="IW296" s="6"/>
      <c r="IX296" s="6"/>
      <c r="IY296" s="6"/>
      <c r="IZ296" s="6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</row>
    <row r="297" ht="14.25" customHeight="1">
      <c r="H297" s="2"/>
      <c r="I297" s="2"/>
      <c r="J297" s="2"/>
      <c r="K297" s="2"/>
      <c r="L297" s="3"/>
      <c r="M297" s="3"/>
      <c r="N297" s="3"/>
      <c r="O297" s="4"/>
      <c r="P297" s="5"/>
      <c r="Q297" s="3"/>
      <c r="R297" s="3"/>
      <c r="S297" s="3"/>
      <c r="W297" s="4"/>
      <c r="X297" s="5"/>
      <c r="AE297" s="4"/>
      <c r="AF297" s="5"/>
      <c r="AM297" s="4"/>
      <c r="AN297" s="5"/>
      <c r="AU297" s="4"/>
      <c r="AV297" s="6"/>
      <c r="AW297" s="7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  <c r="IX297" s="6"/>
      <c r="IY297" s="6"/>
      <c r="IZ297" s="6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</row>
    <row r="298" ht="14.25" customHeight="1">
      <c r="H298" s="2"/>
      <c r="I298" s="2"/>
      <c r="J298" s="2"/>
      <c r="K298" s="2"/>
      <c r="L298" s="3"/>
      <c r="M298" s="3"/>
      <c r="N298" s="3"/>
      <c r="O298" s="4"/>
      <c r="P298" s="5"/>
      <c r="Q298" s="3"/>
      <c r="R298" s="3"/>
      <c r="S298" s="3"/>
      <c r="W298" s="4"/>
      <c r="X298" s="5"/>
      <c r="AE298" s="4"/>
      <c r="AF298" s="5"/>
      <c r="AM298" s="4"/>
      <c r="AN298" s="5"/>
      <c r="AU298" s="4"/>
      <c r="AV298" s="6"/>
      <c r="AW298" s="7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/>
      <c r="IK298" s="6"/>
      <c r="IL298" s="6"/>
      <c r="IM298" s="6"/>
      <c r="IN298" s="6"/>
      <c r="IO298" s="6"/>
      <c r="IP298" s="6"/>
      <c r="IQ298" s="6"/>
      <c r="IR298" s="6"/>
      <c r="IS298" s="6"/>
      <c r="IT298" s="6"/>
      <c r="IU298" s="6"/>
      <c r="IV298" s="6"/>
      <c r="IW298" s="6"/>
      <c r="IX298" s="6"/>
      <c r="IY298" s="6"/>
      <c r="IZ298" s="6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</row>
    <row r="299" ht="14.25" customHeight="1">
      <c r="H299" s="2"/>
      <c r="I299" s="2"/>
      <c r="J299" s="2"/>
      <c r="K299" s="2"/>
      <c r="L299" s="3"/>
      <c r="M299" s="3"/>
      <c r="N299" s="3"/>
      <c r="O299" s="4"/>
      <c r="P299" s="5"/>
      <c r="Q299" s="3"/>
      <c r="R299" s="3"/>
      <c r="S299" s="3"/>
      <c r="W299" s="4"/>
      <c r="X299" s="5"/>
      <c r="AE299" s="4"/>
      <c r="AF299" s="5"/>
      <c r="AM299" s="4"/>
      <c r="AN299" s="5"/>
      <c r="AU299" s="4"/>
      <c r="AV299" s="6"/>
      <c r="AW299" s="7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  <c r="IT299" s="6"/>
      <c r="IU299" s="6"/>
      <c r="IV299" s="6"/>
      <c r="IW299" s="6"/>
      <c r="IX299" s="6"/>
      <c r="IY299" s="6"/>
      <c r="IZ299" s="6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</row>
    <row r="300" ht="14.25" customHeight="1">
      <c r="H300" s="2"/>
      <c r="I300" s="2"/>
      <c r="J300" s="2"/>
      <c r="K300" s="2"/>
      <c r="L300" s="3"/>
      <c r="M300" s="3"/>
      <c r="N300" s="3"/>
      <c r="O300" s="4"/>
      <c r="P300" s="5"/>
      <c r="Q300" s="3"/>
      <c r="R300" s="3"/>
      <c r="S300" s="3"/>
      <c r="W300" s="4"/>
      <c r="X300" s="5"/>
      <c r="AE300" s="4"/>
      <c r="AF300" s="5"/>
      <c r="AM300" s="4"/>
      <c r="AN300" s="5"/>
      <c r="AU300" s="4"/>
      <c r="AV300" s="6"/>
      <c r="AW300" s="7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/>
      <c r="IK300" s="6"/>
      <c r="IL300" s="6"/>
      <c r="IM300" s="6"/>
      <c r="IN300" s="6"/>
      <c r="IO300" s="6"/>
      <c r="IP300" s="6"/>
      <c r="IQ300" s="6"/>
      <c r="IR300" s="6"/>
      <c r="IS300" s="6"/>
      <c r="IT300" s="6"/>
      <c r="IU300" s="6"/>
      <c r="IV300" s="6"/>
      <c r="IW300" s="6"/>
      <c r="IX300" s="6"/>
      <c r="IY300" s="6"/>
      <c r="IZ300" s="6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</row>
    <row r="301" ht="14.25" customHeight="1">
      <c r="H301" s="2"/>
      <c r="I301" s="2"/>
      <c r="J301" s="2"/>
      <c r="K301" s="2"/>
      <c r="L301" s="3"/>
      <c r="M301" s="3"/>
      <c r="N301" s="3"/>
      <c r="O301" s="4"/>
      <c r="P301" s="5"/>
      <c r="Q301" s="3"/>
      <c r="R301" s="3"/>
      <c r="S301" s="3"/>
      <c r="W301" s="4"/>
      <c r="X301" s="5"/>
      <c r="AE301" s="4"/>
      <c r="AF301" s="5"/>
      <c r="AM301" s="4"/>
      <c r="AN301" s="5"/>
      <c r="AU301" s="4"/>
      <c r="AV301" s="6"/>
      <c r="AW301" s="7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6"/>
      <c r="IL301" s="6"/>
      <c r="IM301" s="6"/>
      <c r="IN301" s="6"/>
      <c r="IO301" s="6"/>
      <c r="IP301" s="6"/>
      <c r="IQ301" s="6"/>
      <c r="IR301" s="6"/>
      <c r="IS301" s="6"/>
      <c r="IT301" s="6"/>
      <c r="IU301" s="6"/>
      <c r="IV301" s="6"/>
      <c r="IW301" s="6"/>
      <c r="IX301" s="6"/>
      <c r="IY301" s="6"/>
      <c r="IZ301" s="6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</row>
    <row r="302" ht="14.25" customHeight="1">
      <c r="H302" s="2"/>
      <c r="I302" s="2"/>
      <c r="J302" s="2"/>
      <c r="K302" s="2"/>
      <c r="L302" s="3"/>
      <c r="M302" s="3"/>
      <c r="N302" s="3"/>
      <c r="O302" s="4"/>
      <c r="P302" s="5"/>
      <c r="Q302" s="3"/>
      <c r="R302" s="3"/>
      <c r="S302" s="3"/>
      <c r="W302" s="4"/>
      <c r="X302" s="5"/>
      <c r="AE302" s="4"/>
      <c r="AF302" s="5"/>
      <c r="AM302" s="4"/>
      <c r="AN302" s="5"/>
      <c r="AU302" s="4"/>
      <c r="AV302" s="6"/>
      <c r="AW302" s="7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/>
      <c r="IK302" s="6"/>
      <c r="IL302" s="6"/>
      <c r="IM302" s="6"/>
      <c r="IN302" s="6"/>
      <c r="IO302" s="6"/>
      <c r="IP302" s="6"/>
      <c r="IQ302" s="6"/>
      <c r="IR302" s="6"/>
      <c r="IS302" s="6"/>
      <c r="IT302" s="6"/>
      <c r="IU302" s="6"/>
      <c r="IV302" s="6"/>
      <c r="IW302" s="6"/>
      <c r="IX302" s="6"/>
      <c r="IY302" s="6"/>
      <c r="IZ302" s="6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</row>
    <row r="303" ht="14.25" customHeight="1">
      <c r="H303" s="2"/>
      <c r="I303" s="2"/>
      <c r="J303" s="2"/>
      <c r="K303" s="2"/>
      <c r="L303" s="3"/>
      <c r="M303" s="3"/>
      <c r="N303" s="3"/>
      <c r="O303" s="4"/>
      <c r="P303" s="5"/>
      <c r="Q303" s="3"/>
      <c r="R303" s="3"/>
      <c r="S303" s="3"/>
      <c r="W303" s="4"/>
      <c r="X303" s="5"/>
      <c r="AE303" s="4"/>
      <c r="AF303" s="5"/>
      <c r="AM303" s="4"/>
      <c r="AN303" s="5"/>
      <c r="AU303" s="4"/>
      <c r="AV303" s="6"/>
      <c r="AW303" s="7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  <c r="IW303" s="6"/>
      <c r="IX303" s="6"/>
      <c r="IY303" s="6"/>
      <c r="IZ303" s="6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</row>
    <row r="304" ht="14.25" customHeight="1">
      <c r="H304" s="2"/>
      <c r="I304" s="2"/>
      <c r="J304" s="2"/>
      <c r="K304" s="2"/>
      <c r="L304" s="3"/>
      <c r="M304" s="3"/>
      <c r="N304" s="3"/>
      <c r="O304" s="4"/>
      <c r="P304" s="5"/>
      <c r="Q304" s="3"/>
      <c r="R304" s="3"/>
      <c r="S304" s="3"/>
      <c r="W304" s="4"/>
      <c r="X304" s="5"/>
      <c r="AE304" s="4"/>
      <c r="AF304" s="5"/>
      <c r="AM304" s="4"/>
      <c r="AN304" s="5"/>
      <c r="AU304" s="4"/>
      <c r="AV304" s="6"/>
      <c r="AW304" s="7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  <c r="IT304" s="6"/>
      <c r="IU304" s="6"/>
      <c r="IV304" s="6"/>
      <c r="IW304" s="6"/>
      <c r="IX304" s="6"/>
      <c r="IY304" s="6"/>
      <c r="IZ304" s="6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</row>
    <row r="305" ht="14.25" customHeight="1">
      <c r="H305" s="2"/>
      <c r="I305" s="2"/>
      <c r="J305" s="2"/>
      <c r="K305" s="2"/>
      <c r="L305" s="3"/>
      <c r="M305" s="3"/>
      <c r="N305" s="3"/>
      <c r="O305" s="4"/>
      <c r="P305" s="5"/>
      <c r="Q305" s="3"/>
      <c r="R305" s="3"/>
      <c r="S305" s="3"/>
      <c r="W305" s="4"/>
      <c r="X305" s="5"/>
      <c r="AE305" s="4"/>
      <c r="AF305" s="5"/>
      <c r="AM305" s="4"/>
      <c r="AN305" s="5"/>
      <c r="AU305" s="4"/>
      <c r="AV305" s="6"/>
      <c r="AW305" s="7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  <c r="IW305" s="6"/>
      <c r="IX305" s="6"/>
      <c r="IY305" s="6"/>
      <c r="IZ305" s="6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</row>
    <row r="306" ht="14.25" customHeight="1">
      <c r="H306" s="2"/>
      <c r="I306" s="2"/>
      <c r="J306" s="2"/>
      <c r="K306" s="2"/>
      <c r="L306" s="3"/>
      <c r="M306" s="3"/>
      <c r="N306" s="3"/>
      <c r="O306" s="4"/>
      <c r="P306" s="5"/>
      <c r="Q306" s="3"/>
      <c r="R306" s="3"/>
      <c r="S306" s="3"/>
      <c r="W306" s="4"/>
      <c r="X306" s="5"/>
      <c r="AE306" s="4"/>
      <c r="AF306" s="5"/>
      <c r="AM306" s="4"/>
      <c r="AN306" s="5"/>
      <c r="AU306" s="4"/>
      <c r="AV306" s="6"/>
      <c r="AW306" s="7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  <c r="IT306" s="6"/>
      <c r="IU306" s="6"/>
      <c r="IV306" s="6"/>
      <c r="IW306" s="6"/>
      <c r="IX306" s="6"/>
      <c r="IY306" s="6"/>
      <c r="IZ306" s="6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</row>
    <row r="307" ht="14.25" customHeight="1">
      <c r="H307" s="2"/>
      <c r="I307" s="2"/>
      <c r="J307" s="2"/>
      <c r="K307" s="2"/>
      <c r="L307" s="3"/>
      <c r="M307" s="3"/>
      <c r="N307" s="3"/>
      <c r="O307" s="4"/>
      <c r="P307" s="5"/>
      <c r="Q307" s="3"/>
      <c r="R307" s="3"/>
      <c r="S307" s="3"/>
      <c r="W307" s="4"/>
      <c r="X307" s="5"/>
      <c r="AE307" s="4"/>
      <c r="AF307" s="5"/>
      <c r="AM307" s="4"/>
      <c r="AN307" s="5"/>
      <c r="AU307" s="4"/>
      <c r="AV307" s="6"/>
      <c r="AW307" s="7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/>
      <c r="IK307" s="6"/>
      <c r="IL307" s="6"/>
      <c r="IM307" s="6"/>
      <c r="IN307" s="6"/>
      <c r="IO307" s="6"/>
      <c r="IP307" s="6"/>
      <c r="IQ307" s="6"/>
      <c r="IR307" s="6"/>
      <c r="IS307" s="6"/>
      <c r="IT307" s="6"/>
      <c r="IU307" s="6"/>
      <c r="IV307" s="6"/>
      <c r="IW307" s="6"/>
      <c r="IX307" s="6"/>
      <c r="IY307" s="6"/>
      <c r="IZ307" s="6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</row>
    <row r="308" ht="14.25" customHeight="1">
      <c r="H308" s="2"/>
      <c r="I308" s="2"/>
      <c r="J308" s="2"/>
      <c r="K308" s="2"/>
      <c r="L308" s="3"/>
      <c r="M308" s="3"/>
      <c r="N308" s="3"/>
      <c r="O308" s="4"/>
      <c r="P308" s="5"/>
      <c r="Q308" s="3"/>
      <c r="R308" s="3"/>
      <c r="S308" s="3"/>
      <c r="W308" s="4"/>
      <c r="X308" s="5"/>
      <c r="AE308" s="4"/>
      <c r="AF308" s="5"/>
      <c r="AM308" s="4"/>
      <c r="AN308" s="5"/>
      <c r="AU308" s="4"/>
      <c r="AV308" s="6"/>
      <c r="AW308" s="7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/>
      <c r="IK308" s="6"/>
      <c r="IL308" s="6"/>
      <c r="IM308" s="6"/>
      <c r="IN308" s="6"/>
      <c r="IO308" s="6"/>
      <c r="IP308" s="6"/>
      <c r="IQ308" s="6"/>
      <c r="IR308" s="6"/>
      <c r="IS308" s="6"/>
      <c r="IT308" s="6"/>
      <c r="IU308" s="6"/>
      <c r="IV308" s="6"/>
      <c r="IW308" s="6"/>
      <c r="IX308" s="6"/>
      <c r="IY308" s="6"/>
      <c r="IZ308" s="6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</row>
    <row r="309" ht="14.25" customHeight="1">
      <c r="H309" s="2"/>
      <c r="I309" s="2"/>
      <c r="J309" s="2"/>
      <c r="K309" s="2"/>
      <c r="L309" s="3"/>
      <c r="M309" s="3"/>
      <c r="N309" s="3"/>
      <c r="O309" s="4"/>
      <c r="P309" s="5"/>
      <c r="Q309" s="3"/>
      <c r="R309" s="3"/>
      <c r="S309" s="3"/>
      <c r="W309" s="4"/>
      <c r="X309" s="5"/>
      <c r="AE309" s="4"/>
      <c r="AF309" s="5"/>
      <c r="AM309" s="4"/>
      <c r="AN309" s="5"/>
      <c r="AU309" s="4"/>
      <c r="AV309" s="6"/>
      <c r="AW309" s="7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S309" s="6"/>
      <c r="IT309" s="6"/>
      <c r="IU309" s="6"/>
      <c r="IV309" s="6"/>
      <c r="IW309" s="6"/>
      <c r="IX309" s="6"/>
      <c r="IY309" s="6"/>
      <c r="IZ309" s="6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</row>
    <row r="310" ht="14.25" customHeight="1">
      <c r="H310" s="2"/>
      <c r="I310" s="2"/>
      <c r="J310" s="2"/>
      <c r="K310" s="2"/>
      <c r="L310" s="3"/>
      <c r="M310" s="3"/>
      <c r="N310" s="3"/>
      <c r="O310" s="4"/>
      <c r="P310" s="5"/>
      <c r="Q310" s="3"/>
      <c r="R310" s="3"/>
      <c r="S310" s="3"/>
      <c r="W310" s="4"/>
      <c r="X310" s="5"/>
      <c r="AE310" s="4"/>
      <c r="AF310" s="5"/>
      <c r="AM310" s="4"/>
      <c r="AN310" s="5"/>
      <c r="AU310" s="4"/>
      <c r="AV310" s="6"/>
      <c r="AW310" s="7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S310" s="6"/>
      <c r="IT310" s="6"/>
      <c r="IU310" s="6"/>
      <c r="IV310" s="6"/>
      <c r="IW310" s="6"/>
      <c r="IX310" s="6"/>
      <c r="IY310" s="6"/>
      <c r="IZ310" s="6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</row>
    <row r="311" ht="14.25" customHeight="1">
      <c r="H311" s="2"/>
      <c r="I311" s="2"/>
      <c r="J311" s="2"/>
      <c r="K311" s="2"/>
      <c r="L311" s="3"/>
      <c r="M311" s="3"/>
      <c r="N311" s="3"/>
      <c r="O311" s="4"/>
      <c r="P311" s="5"/>
      <c r="Q311" s="3"/>
      <c r="R311" s="3"/>
      <c r="S311" s="3"/>
      <c r="W311" s="4"/>
      <c r="X311" s="5"/>
      <c r="AE311" s="4"/>
      <c r="AF311" s="5"/>
      <c r="AM311" s="4"/>
      <c r="AN311" s="5"/>
      <c r="AU311" s="4"/>
      <c r="AV311" s="6"/>
      <c r="AW311" s="7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S311" s="6"/>
      <c r="IT311" s="6"/>
      <c r="IU311" s="6"/>
      <c r="IV311" s="6"/>
      <c r="IW311" s="6"/>
      <c r="IX311" s="6"/>
      <c r="IY311" s="6"/>
      <c r="IZ311" s="6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</row>
    <row r="312" ht="14.25" customHeight="1">
      <c r="H312" s="2"/>
      <c r="I312" s="2"/>
      <c r="J312" s="2"/>
      <c r="K312" s="2"/>
      <c r="L312" s="3"/>
      <c r="M312" s="3"/>
      <c r="N312" s="3"/>
      <c r="O312" s="4"/>
      <c r="P312" s="5"/>
      <c r="Q312" s="3"/>
      <c r="R312" s="3"/>
      <c r="S312" s="3"/>
      <c r="W312" s="4"/>
      <c r="X312" s="5"/>
      <c r="AE312" s="4"/>
      <c r="AF312" s="5"/>
      <c r="AM312" s="4"/>
      <c r="AN312" s="5"/>
      <c r="AU312" s="4"/>
      <c r="AV312" s="6"/>
      <c r="AW312" s="7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S312" s="6"/>
      <c r="IT312" s="6"/>
      <c r="IU312" s="6"/>
      <c r="IV312" s="6"/>
      <c r="IW312" s="6"/>
      <c r="IX312" s="6"/>
      <c r="IY312" s="6"/>
      <c r="IZ312" s="6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</row>
    <row r="313" ht="14.25" customHeight="1">
      <c r="H313" s="2"/>
      <c r="I313" s="2"/>
      <c r="J313" s="2"/>
      <c r="K313" s="2"/>
      <c r="L313" s="3"/>
      <c r="M313" s="3"/>
      <c r="N313" s="3"/>
      <c r="O313" s="4"/>
      <c r="P313" s="5"/>
      <c r="Q313" s="3"/>
      <c r="R313" s="3"/>
      <c r="S313" s="3"/>
      <c r="W313" s="4"/>
      <c r="X313" s="5"/>
      <c r="AE313" s="4"/>
      <c r="AF313" s="5"/>
      <c r="AM313" s="4"/>
      <c r="AN313" s="5"/>
      <c r="AU313" s="4"/>
      <c r="AV313" s="6"/>
      <c r="AW313" s="7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S313" s="6"/>
      <c r="IT313" s="6"/>
      <c r="IU313" s="6"/>
      <c r="IV313" s="6"/>
      <c r="IW313" s="6"/>
      <c r="IX313" s="6"/>
      <c r="IY313" s="6"/>
      <c r="IZ313" s="6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</row>
    <row r="314" ht="14.25" customHeight="1">
      <c r="H314" s="2"/>
      <c r="I314" s="2"/>
      <c r="J314" s="2"/>
      <c r="K314" s="2"/>
      <c r="L314" s="3"/>
      <c r="M314" s="3"/>
      <c r="N314" s="3"/>
      <c r="O314" s="4"/>
      <c r="P314" s="5"/>
      <c r="Q314" s="3"/>
      <c r="R314" s="3"/>
      <c r="S314" s="3"/>
      <c r="W314" s="4"/>
      <c r="X314" s="5"/>
      <c r="AE314" s="4"/>
      <c r="AF314" s="5"/>
      <c r="AM314" s="4"/>
      <c r="AN314" s="5"/>
      <c r="AU314" s="4"/>
      <c r="AV314" s="6"/>
      <c r="AW314" s="7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S314" s="6"/>
      <c r="IT314" s="6"/>
      <c r="IU314" s="6"/>
      <c r="IV314" s="6"/>
      <c r="IW314" s="6"/>
      <c r="IX314" s="6"/>
      <c r="IY314" s="6"/>
      <c r="IZ314" s="6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</row>
    <row r="315" ht="14.25" customHeight="1">
      <c r="H315" s="2"/>
      <c r="I315" s="2"/>
      <c r="J315" s="2"/>
      <c r="K315" s="2"/>
      <c r="L315" s="3"/>
      <c r="M315" s="3"/>
      <c r="N315" s="3"/>
      <c r="O315" s="4"/>
      <c r="P315" s="5"/>
      <c r="Q315" s="3"/>
      <c r="R315" s="3"/>
      <c r="S315" s="3"/>
      <c r="W315" s="4"/>
      <c r="X315" s="5"/>
      <c r="AE315" s="4"/>
      <c r="AF315" s="5"/>
      <c r="AM315" s="4"/>
      <c r="AN315" s="5"/>
      <c r="AU315" s="4"/>
      <c r="AV315" s="6"/>
      <c r="AW315" s="7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S315" s="6"/>
      <c r="IT315" s="6"/>
      <c r="IU315" s="6"/>
      <c r="IV315" s="6"/>
      <c r="IW315" s="6"/>
      <c r="IX315" s="6"/>
      <c r="IY315" s="6"/>
      <c r="IZ315" s="6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</row>
    <row r="316" ht="14.25" customHeight="1">
      <c r="H316" s="2"/>
      <c r="I316" s="2"/>
      <c r="J316" s="2"/>
      <c r="K316" s="2"/>
      <c r="L316" s="3"/>
      <c r="M316" s="3"/>
      <c r="N316" s="3"/>
      <c r="O316" s="4"/>
      <c r="P316" s="5"/>
      <c r="Q316" s="3"/>
      <c r="R316" s="3"/>
      <c r="S316" s="3"/>
      <c r="W316" s="4"/>
      <c r="X316" s="5"/>
      <c r="AE316" s="4"/>
      <c r="AF316" s="5"/>
      <c r="AM316" s="4"/>
      <c r="AN316" s="5"/>
      <c r="AU316" s="4"/>
      <c r="AV316" s="6"/>
      <c r="AW316" s="7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S316" s="6"/>
      <c r="IT316" s="6"/>
      <c r="IU316" s="6"/>
      <c r="IV316" s="6"/>
      <c r="IW316" s="6"/>
      <c r="IX316" s="6"/>
      <c r="IY316" s="6"/>
      <c r="IZ316" s="6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</row>
    <row r="317" ht="14.25" customHeight="1">
      <c r="H317" s="2"/>
      <c r="I317" s="2"/>
      <c r="J317" s="2"/>
      <c r="K317" s="2"/>
      <c r="L317" s="3"/>
      <c r="M317" s="3"/>
      <c r="N317" s="3"/>
      <c r="O317" s="4"/>
      <c r="P317" s="5"/>
      <c r="Q317" s="3"/>
      <c r="R317" s="3"/>
      <c r="S317" s="3"/>
      <c r="W317" s="4"/>
      <c r="X317" s="5"/>
      <c r="AE317" s="4"/>
      <c r="AF317" s="5"/>
      <c r="AM317" s="4"/>
      <c r="AN317" s="5"/>
      <c r="AU317" s="4"/>
      <c r="AV317" s="6"/>
      <c r="AW317" s="7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S317" s="6"/>
      <c r="IT317" s="6"/>
      <c r="IU317" s="6"/>
      <c r="IV317" s="6"/>
      <c r="IW317" s="6"/>
      <c r="IX317" s="6"/>
      <c r="IY317" s="6"/>
      <c r="IZ317" s="6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</row>
    <row r="318" ht="14.25" customHeight="1">
      <c r="H318" s="2"/>
      <c r="I318" s="2"/>
      <c r="J318" s="2"/>
      <c r="K318" s="2"/>
      <c r="L318" s="3"/>
      <c r="M318" s="3"/>
      <c r="N318" s="3"/>
      <c r="O318" s="4"/>
      <c r="P318" s="5"/>
      <c r="Q318" s="3"/>
      <c r="R318" s="3"/>
      <c r="S318" s="3"/>
      <c r="W318" s="4"/>
      <c r="X318" s="5"/>
      <c r="AE318" s="4"/>
      <c r="AF318" s="5"/>
      <c r="AM318" s="4"/>
      <c r="AN318" s="5"/>
      <c r="AU318" s="4"/>
      <c r="AV318" s="6"/>
      <c r="AW318" s="7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U318" s="6"/>
      <c r="IV318" s="6"/>
      <c r="IW318" s="6"/>
      <c r="IX318" s="6"/>
      <c r="IY318" s="6"/>
      <c r="IZ318" s="6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</row>
    <row r="319" ht="14.25" customHeight="1">
      <c r="H319" s="2"/>
      <c r="I319" s="2"/>
      <c r="J319" s="2"/>
      <c r="K319" s="2"/>
      <c r="L319" s="3"/>
      <c r="M319" s="3"/>
      <c r="N319" s="3"/>
      <c r="O319" s="4"/>
      <c r="P319" s="5"/>
      <c r="Q319" s="3"/>
      <c r="R319" s="3"/>
      <c r="S319" s="3"/>
      <c r="W319" s="4"/>
      <c r="X319" s="5"/>
      <c r="AE319" s="4"/>
      <c r="AF319" s="5"/>
      <c r="AM319" s="4"/>
      <c r="AN319" s="5"/>
      <c r="AU319" s="4"/>
      <c r="AV319" s="6"/>
      <c r="AW319" s="7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U319" s="6"/>
      <c r="IV319" s="6"/>
      <c r="IW319" s="6"/>
      <c r="IX319" s="6"/>
      <c r="IY319" s="6"/>
      <c r="IZ319" s="6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</row>
    <row r="320" ht="14.25" customHeight="1">
      <c r="H320" s="2"/>
      <c r="I320" s="2"/>
      <c r="J320" s="2"/>
      <c r="K320" s="2"/>
      <c r="L320" s="3"/>
      <c r="M320" s="3"/>
      <c r="N320" s="3"/>
      <c r="O320" s="4"/>
      <c r="P320" s="5"/>
      <c r="Q320" s="3"/>
      <c r="R320" s="3"/>
      <c r="S320" s="3"/>
      <c r="W320" s="4"/>
      <c r="X320" s="5"/>
      <c r="AE320" s="4"/>
      <c r="AF320" s="5"/>
      <c r="AM320" s="4"/>
      <c r="AN320" s="5"/>
      <c r="AU320" s="4"/>
      <c r="AV320" s="6"/>
      <c r="AW320" s="7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S320" s="6"/>
      <c r="IT320" s="6"/>
      <c r="IU320" s="6"/>
      <c r="IV320" s="6"/>
      <c r="IW320" s="6"/>
      <c r="IX320" s="6"/>
      <c r="IY320" s="6"/>
      <c r="IZ320" s="6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</row>
    <row r="321" ht="14.25" customHeight="1">
      <c r="H321" s="2"/>
      <c r="I321" s="2"/>
      <c r="J321" s="2"/>
      <c r="K321" s="2"/>
      <c r="L321" s="3"/>
      <c r="M321" s="3"/>
      <c r="N321" s="3"/>
      <c r="O321" s="4"/>
      <c r="P321" s="5"/>
      <c r="Q321" s="3"/>
      <c r="R321" s="3"/>
      <c r="S321" s="3"/>
      <c r="W321" s="4"/>
      <c r="X321" s="5"/>
      <c r="AE321" s="4"/>
      <c r="AF321" s="5"/>
      <c r="AM321" s="4"/>
      <c r="AN321" s="5"/>
      <c r="AU321" s="4"/>
      <c r="AV321" s="6"/>
      <c r="AW321" s="7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S321" s="6"/>
      <c r="IT321" s="6"/>
      <c r="IU321" s="6"/>
      <c r="IV321" s="6"/>
      <c r="IW321" s="6"/>
      <c r="IX321" s="6"/>
      <c r="IY321" s="6"/>
      <c r="IZ321" s="6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</row>
    <row r="322" ht="14.25" customHeight="1">
      <c r="H322" s="2"/>
      <c r="I322" s="2"/>
      <c r="J322" s="2"/>
      <c r="K322" s="2"/>
      <c r="L322" s="3"/>
      <c r="M322" s="3"/>
      <c r="N322" s="3"/>
      <c r="O322" s="4"/>
      <c r="P322" s="5"/>
      <c r="Q322" s="3"/>
      <c r="R322" s="3"/>
      <c r="S322" s="3"/>
      <c r="W322" s="4"/>
      <c r="X322" s="5"/>
      <c r="AE322" s="4"/>
      <c r="AF322" s="5"/>
      <c r="AM322" s="4"/>
      <c r="AN322" s="5"/>
      <c r="AU322" s="4"/>
      <c r="AV322" s="6"/>
      <c r="AW322" s="7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U322" s="6"/>
      <c r="IV322" s="6"/>
      <c r="IW322" s="6"/>
      <c r="IX322" s="6"/>
      <c r="IY322" s="6"/>
      <c r="IZ322" s="6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</row>
    <row r="323" ht="14.25" customHeight="1">
      <c r="H323" s="2"/>
      <c r="I323" s="2"/>
      <c r="J323" s="2"/>
      <c r="K323" s="2"/>
      <c r="L323" s="3"/>
      <c r="M323" s="3"/>
      <c r="N323" s="3"/>
      <c r="O323" s="4"/>
      <c r="P323" s="5"/>
      <c r="Q323" s="3"/>
      <c r="R323" s="3"/>
      <c r="S323" s="3"/>
      <c r="W323" s="4"/>
      <c r="X323" s="5"/>
      <c r="AE323" s="4"/>
      <c r="AF323" s="5"/>
      <c r="AM323" s="4"/>
      <c r="AN323" s="5"/>
      <c r="AU323" s="4"/>
      <c r="AV323" s="6"/>
      <c r="AW323" s="7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  <c r="IW323" s="6"/>
      <c r="IX323" s="6"/>
      <c r="IY323" s="6"/>
      <c r="IZ323" s="6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</row>
    <row r="324" ht="14.25" customHeight="1">
      <c r="H324" s="2"/>
      <c r="I324" s="2"/>
      <c r="J324" s="2"/>
      <c r="K324" s="2"/>
      <c r="L324" s="3"/>
      <c r="M324" s="3"/>
      <c r="N324" s="3"/>
      <c r="O324" s="4"/>
      <c r="P324" s="5"/>
      <c r="Q324" s="3"/>
      <c r="R324" s="3"/>
      <c r="S324" s="3"/>
      <c r="W324" s="4"/>
      <c r="X324" s="5"/>
      <c r="AE324" s="4"/>
      <c r="AF324" s="5"/>
      <c r="AM324" s="4"/>
      <c r="AN324" s="5"/>
      <c r="AU324" s="4"/>
      <c r="AV324" s="6"/>
      <c r="AW324" s="7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S324" s="6"/>
      <c r="IT324" s="6"/>
      <c r="IU324" s="6"/>
      <c r="IV324" s="6"/>
      <c r="IW324" s="6"/>
      <c r="IX324" s="6"/>
      <c r="IY324" s="6"/>
      <c r="IZ324" s="6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</row>
    <row r="325" ht="14.25" customHeight="1">
      <c r="H325" s="2"/>
      <c r="I325" s="2"/>
      <c r="J325" s="2"/>
      <c r="K325" s="2"/>
      <c r="L325" s="3"/>
      <c r="M325" s="3"/>
      <c r="N325" s="3"/>
      <c r="O325" s="4"/>
      <c r="P325" s="5"/>
      <c r="Q325" s="3"/>
      <c r="R325" s="3"/>
      <c r="S325" s="3"/>
      <c r="W325" s="4"/>
      <c r="X325" s="5"/>
      <c r="AE325" s="4"/>
      <c r="AF325" s="5"/>
      <c r="AM325" s="4"/>
      <c r="AN325" s="5"/>
      <c r="AU325" s="4"/>
      <c r="AV325" s="6"/>
      <c r="AW325" s="7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S325" s="6"/>
      <c r="IT325" s="6"/>
      <c r="IU325" s="6"/>
      <c r="IV325" s="6"/>
      <c r="IW325" s="6"/>
      <c r="IX325" s="6"/>
      <c r="IY325" s="6"/>
      <c r="IZ325" s="6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</row>
    <row r="326" ht="14.25" customHeight="1">
      <c r="H326" s="2"/>
      <c r="I326" s="2"/>
      <c r="J326" s="2"/>
      <c r="K326" s="2"/>
      <c r="L326" s="3"/>
      <c r="M326" s="3"/>
      <c r="N326" s="3"/>
      <c r="O326" s="4"/>
      <c r="P326" s="5"/>
      <c r="Q326" s="3"/>
      <c r="R326" s="3"/>
      <c r="S326" s="3"/>
      <c r="W326" s="4"/>
      <c r="X326" s="5"/>
      <c r="AE326" s="4"/>
      <c r="AF326" s="5"/>
      <c r="AM326" s="4"/>
      <c r="AN326" s="5"/>
      <c r="AU326" s="4"/>
      <c r="AV326" s="6"/>
      <c r="AW326" s="7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S326" s="6"/>
      <c r="IT326" s="6"/>
      <c r="IU326" s="6"/>
      <c r="IV326" s="6"/>
      <c r="IW326" s="6"/>
      <c r="IX326" s="6"/>
      <c r="IY326" s="6"/>
      <c r="IZ326" s="6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</row>
    <row r="327" ht="14.25" customHeight="1">
      <c r="H327" s="2"/>
      <c r="I327" s="2"/>
      <c r="J327" s="2"/>
      <c r="K327" s="2"/>
      <c r="L327" s="3"/>
      <c r="M327" s="3"/>
      <c r="N327" s="3"/>
      <c r="O327" s="4"/>
      <c r="P327" s="5"/>
      <c r="Q327" s="3"/>
      <c r="R327" s="3"/>
      <c r="S327" s="3"/>
      <c r="W327" s="4"/>
      <c r="X327" s="5"/>
      <c r="AE327" s="4"/>
      <c r="AF327" s="5"/>
      <c r="AM327" s="4"/>
      <c r="AN327" s="5"/>
      <c r="AU327" s="4"/>
      <c r="AV327" s="6"/>
      <c r="AW327" s="7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S327" s="6"/>
      <c r="IT327" s="6"/>
      <c r="IU327" s="6"/>
      <c r="IV327" s="6"/>
      <c r="IW327" s="6"/>
      <c r="IX327" s="6"/>
      <c r="IY327" s="6"/>
      <c r="IZ327" s="6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</row>
    <row r="328" ht="14.25" customHeight="1">
      <c r="H328" s="2"/>
      <c r="I328" s="2"/>
      <c r="J328" s="2"/>
      <c r="K328" s="2"/>
      <c r="L328" s="3"/>
      <c r="M328" s="3"/>
      <c r="N328" s="3"/>
      <c r="O328" s="4"/>
      <c r="P328" s="5"/>
      <c r="Q328" s="3"/>
      <c r="R328" s="3"/>
      <c r="S328" s="3"/>
      <c r="W328" s="4"/>
      <c r="X328" s="5"/>
      <c r="AE328" s="4"/>
      <c r="AF328" s="5"/>
      <c r="AM328" s="4"/>
      <c r="AN328" s="5"/>
      <c r="AU328" s="4"/>
      <c r="AV328" s="6"/>
      <c r="AW328" s="7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S328" s="6"/>
      <c r="IT328" s="6"/>
      <c r="IU328" s="6"/>
      <c r="IV328" s="6"/>
      <c r="IW328" s="6"/>
      <c r="IX328" s="6"/>
      <c r="IY328" s="6"/>
      <c r="IZ328" s="6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</row>
    <row r="329" ht="14.25" customHeight="1">
      <c r="H329" s="2"/>
      <c r="I329" s="2"/>
      <c r="J329" s="2"/>
      <c r="K329" s="2"/>
      <c r="L329" s="3"/>
      <c r="M329" s="3"/>
      <c r="N329" s="3"/>
      <c r="O329" s="4"/>
      <c r="P329" s="5"/>
      <c r="Q329" s="3"/>
      <c r="R329" s="3"/>
      <c r="S329" s="3"/>
      <c r="W329" s="4"/>
      <c r="X329" s="5"/>
      <c r="AE329" s="4"/>
      <c r="AF329" s="5"/>
      <c r="AM329" s="4"/>
      <c r="AN329" s="5"/>
      <c r="AU329" s="4"/>
      <c r="AV329" s="6"/>
      <c r="AW329" s="7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  <c r="IW329" s="6"/>
      <c r="IX329" s="6"/>
      <c r="IY329" s="6"/>
      <c r="IZ329" s="6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</row>
    <row r="330" ht="14.25" customHeight="1">
      <c r="H330" s="2"/>
      <c r="I330" s="2"/>
      <c r="J330" s="2"/>
      <c r="K330" s="2"/>
      <c r="L330" s="3"/>
      <c r="M330" s="3"/>
      <c r="N330" s="3"/>
      <c r="O330" s="4"/>
      <c r="P330" s="5"/>
      <c r="Q330" s="3"/>
      <c r="R330" s="3"/>
      <c r="S330" s="3"/>
      <c r="W330" s="4"/>
      <c r="X330" s="5"/>
      <c r="AE330" s="4"/>
      <c r="AF330" s="5"/>
      <c r="AM330" s="4"/>
      <c r="AN330" s="5"/>
      <c r="AU330" s="4"/>
      <c r="AV330" s="6"/>
      <c r="AW330" s="7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U330" s="6"/>
      <c r="IV330" s="6"/>
      <c r="IW330" s="6"/>
      <c r="IX330" s="6"/>
      <c r="IY330" s="6"/>
      <c r="IZ330" s="6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</row>
    <row r="331" ht="14.25" customHeight="1">
      <c r="H331" s="2"/>
      <c r="I331" s="2"/>
      <c r="J331" s="2"/>
      <c r="K331" s="2"/>
      <c r="L331" s="3"/>
      <c r="M331" s="3"/>
      <c r="N331" s="3"/>
      <c r="O331" s="4"/>
      <c r="P331" s="5"/>
      <c r="Q331" s="3"/>
      <c r="R331" s="3"/>
      <c r="S331" s="3"/>
      <c r="W331" s="4"/>
      <c r="X331" s="5"/>
      <c r="AE331" s="4"/>
      <c r="AF331" s="5"/>
      <c r="AM331" s="4"/>
      <c r="AN331" s="5"/>
      <c r="AU331" s="4"/>
      <c r="AV331" s="6"/>
      <c r="AW331" s="7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S331" s="6"/>
      <c r="IT331" s="6"/>
      <c r="IU331" s="6"/>
      <c r="IV331" s="6"/>
      <c r="IW331" s="6"/>
      <c r="IX331" s="6"/>
      <c r="IY331" s="6"/>
      <c r="IZ331" s="6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</row>
    <row r="332" ht="14.25" customHeight="1">
      <c r="H332" s="2"/>
      <c r="I332" s="2"/>
      <c r="J332" s="2"/>
      <c r="K332" s="2"/>
      <c r="L332" s="3"/>
      <c r="M332" s="3"/>
      <c r="N332" s="3"/>
      <c r="O332" s="4"/>
      <c r="P332" s="5"/>
      <c r="Q332" s="3"/>
      <c r="R332" s="3"/>
      <c r="S332" s="3"/>
      <c r="W332" s="4"/>
      <c r="X332" s="5"/>
      <c r="AE332" s="4"/>
      <c r="AF332" s="5"/>
      <c r="AM332" s="4"/>
      <c r="AN332" s="5"/>
      <c r="AU332" s="4"/>
      <c r="AV332" s="6"/>
      <c r="AW332" s="7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U332" s="6"/>
      <c r="IV332" s="6"/>
      <c r="IW332" s="6"/>
      <c r="IX332" s="6"/>
      <c r="IY332" s="6"/>
      <c r="IZ332" s="6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</row>
    <row r="333" ht="14.25" customHeight="1">
      <c r="H333" s="2"/>
      <c r="I333" s="2"/>
      <c r="J333" s="2"/>
      <c r="K333" s="2"/>
      <c r="L333" s="3"/>
      <c r="M333" s="3"/>
      <c r="N333" s="3"/>
      <c r="O333" s="4"/>
      <c r="P333" s="5"/>
      <c r="Q333" s="3"/>
      <c r="R333" s="3"/>
      <c r="S333" s="3"/>
      <c r="W333" s="4"/>
      <c r="X333" s="5"/>
      <c r="AE333" s="4"/>
      <c r="AF333" s="5"/>
      <c r="AM333" s="4"/>
      <c r="AN333" s="5"/>
      <c r="AU333" s="4"/>
      <c r="AV333" s="6"/>
      <c r="AW333" s="7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S333" s="6"/>
      <c r="IT333" s="6"/>
      <c r="IU333" s="6"/>
      <c r="IV333" s="6"/>
      <c r="IW333" s="6"/>
      <c r="IX333" s="6"/>
      <c r="IY333" s="6"/>
      <c r="IZ333" s="6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</row>
    <row r="334" ht="14.25" customHeight="1">
      <c r="H334" s="2"/>
      <c r="I334" s="2"/>
      <c r="J334" s="2"/>
      <c r="K334" s="2"/>
      <c r="L334" s="3"/>
      <c r="M334" s="3"/>
      <c r="N334" s="3"/>
      <c r="O334" s="4"/>
      <c r="P334" s="5"/>
      <c r="Q334" s="3"/>
      <c r="R334" s="3"/>
      <c r="S334" s="3"/>
      <c r="W334" s="4"/>
      <c r="X334" s="5"/>
      <c r="AE334" s="4"/>
      <c r="AF334" s="5"/>
      <c r="AM334" s="4"/>
      <c r="AN334" s="5"/>
      <c r="AU334" s="4"/>
      <c r="AV334" s="6"/>
      <c r="AW334" s="7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S334" s="6"/>
      <c r="IT334" s="6"/>
      <c r="IU334" s="6"/>
      <c r="IV334" s="6"/>
      <c r="IW334" s="6"/>
      <c r="IX334" s="6"/>
      <c r="IY334" s="6"/>
      <c r="IZ334" s="6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</row>
    <row r="335" ht="14.25" customHeight="1">
      <c r="H335" s="2"/>
      <c r="I335" s="2"/>
      <c r="J335" s="2"/>
      <c r="K335" s="2"/>
      <c r="L335" s="3"/>
      <c r="M335" s="3"/>
      <c r="N335" s="3"/>
      <c r="O335" s="4"/>
      <c r="P335" s="5"/>
      <c r="Q335" s="3"/>
      <c r="R335" s="3"/>
      <c r="S335" s="3"/>
      <c r="W335" s="4"/>
      <c r="X335" s="5"/>
      <c r="AE335" s="4"/>
      <c r="AF335" s="5"/>
      <c r="AM335" s="4"/>
      <c r="AN335" s="5"/>
      <c r="AU335" s="4"/>
      <c r="AV335" s="6"/>
      <c r="AW335" s="7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S335" s="6"/>
      <c r="IT335" s="6"/>
      <c r="IU335" s="6"/>
      <c r="IV335" s="6"/>
      <c r="IW335" s="6"/>
      <c r="IX335" s="6"/>
      <c r="IY335" s="6"/>
      <c r="IZ335" s="6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</row>
    <row r="336" ht="14.25" customHeight="1">
      <c r="H336" s="2"/>
      <c r="I336" s="2"/>
      <c r="J336" s="2"/>
      <c r="K336" s="2"/>
      <c r="L336" s="3"/>
      <c r="M336" s="3"/>
      <c r="N336" s="3"/>
      <c r="O336" s="4"/>
      <c r="P336" s="5"/>
      <c r="Q336" s="3"/>
      <c r="R336" s="3"/>
      <c r="S336" s="3"/>
      <c r="W336" s="4"/>
      <c r="X336" s="5"/>
      <c r="AE336" s="4"/>
      <c r="AF336" s="5"/>
      <c r="AM336" s="4"/>
      <c r="AN336" s="5"/>
      <c r="AU336" s="4"/>
      <c r="AV336" s="6"/>
      <c r="AW336" s="7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S336" s="6"/>
      <c r="IT336" s="6"/>
      <c r="IU336" s="6"/>
      <c r="IV336" s="6"/>
      <c r="IW336" s="6"/>
      <c r="IX336" s="6"/>
      <c r="IY336" s="6"/>
      <c r="IZ336" s="6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</row>
    <row r="337" ht="14.25" customHeight="1">
      <c r="H337" s="2"/>
      <c r="I337" s="2"/>
      <c r="J337" s="2"/>
      <c r="K337" s="2"/>
      <c r="L337" s="3"/>
      <c r="M337" s="3"/>
      <c r="N337" s="3"/>
      <c r="O337" s="4"/>
      <c r="P337" s="5"/>
      <c r="Q337" s="3"/>
      <c r="R337" s="3"/>
      <c r="S337" s="3"/>
      <c r="W337" s="4"/>
      <c r="X337" s="5"/>
      <c r="AE337" s="4"/>
      <c r="AF337" s="5"/>
      <c r="AM337" s="4"/>
      <c r="AN337" s="5"/>
      <c r="AU337" s="4"/>
      <c r="AV337" s="6"/>
      <c r="AW337" s="7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S337" s="6"/>
      <c r="IT337" s="6"/>
      <c r="IU337" s="6"/>
      <c r="IV337" s="6"/>
      <c r="IW337" s="6"/>
      <c r="IX337" s="6"/>
      <c r="IY337" s="6"/>
      <c r="IZ337" s="6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</row>
    <row r="338" ht="14.25" customHeight="1">
      <c r="H338" s="2"/>
      <c r="I338" s="2"/>
      <c r="J338" s="2"/>
      <c r="K338" s="2"/>
      <c r="L338" s="3"/>
      <c r="M338" s="3"/>
      <c r="N338" s="3"/>
      <c r="O338" s="4"/>
      <c r="P338" s="5"/>
      <c r="Q338" s="3"/>
      <c r="R338" s="3"/>
      <c r="S338" s="3"/>
      <c r="W338" s="4"/>
      <c r="X338" s="5"/>
      <c r="AE338" s="4"/>
      <c r="AF338" s="5"/>
      <c r="AM338" s="4"/>
      <c r="AN338" s="5"/>
      <c r="AU338" s="4"/>
      <c r="AV338" s="6"/>
      <c r="AW338" s="7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  <c r="IT338" s="6"/>
      <c r="IU338" s="6"/>
      <c r="IV338" s="6"/>
      <c r="IW338" s="6"/>
      <c r="IX338" s="6"/>
      <c r="IY338" s="6"/>
      <c r="IZ338" s="6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</row>
    <row r="339" ht="14.25" customHeight="1">
      <c r="H339" s="2"/>
      <c r="I339" s="2"/>
      <c r="J339" s="2"/>
      <c r="K339" s="2"/>
      <c r="L339" s="3"/>
      <c r="M339" s="3"/>
      <c r="N339" s="3"/>
      <c r="O339" s="4"/>
      <c r="P339" s="5"/>
      <c r="Q339" s="3"/>
      <c r="R339" s="3"/>
      <c r="S339" s="3"/>
      <c r="W339" s="4"/>
      <c r="X339" s="5"/>
      <c r="AE339" s="4"/>
      <c r="AF339" s="5"/>
      <c r="AM339" s="4"/>
      <c r="AN339" s="5"/>
      <c r="AU339" s="4"/>
      <c r="AV339" s="6"/>
      <c r="AW339" s="7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S339" s="6"/>
      <c r="IT339" s="6"/>
      <c r="IU339" s="6"/>
      <c r="IV339" s="6"/>
      <c r="IW339" s="6"/>
      <c r="IX339" s="6"/>
      <c r="IY339" s="6"/>
      <c r="IZ339" s="6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</row>
    <row r="340" ht="14.25" customHeight="1">
      <c r="H340" s="2"/>
      <c r="I340" s="2"/>
      <c r="J340" s="2"/>
      <c r="K340" s="2"/>
      <c r="L340" s="3"/>
      <c r="M340" s="3"/>
      <c r="N340" s="3"/>
      <c r="O340" s="4"/>
      <c r="P340" s="5"/>
      <c r="Q340" s="3"/>
      <c r="R340" s="3"/>
      <c r="S340" s="3"/>
      <c r="W340" s="4"/>
      <c r="X340" s="5"/>
      <c r="AE340" s="4"/>
      <c r="AF340" s="5"/>
      <c r="AM340" s="4"/>
      <c r="AN340" s="5"/>
      <c r="AU340" s="4"/>
      <c r="AV340" s="6"/>
      <c r="AW340" s="7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S340" s="6"/>
      <c r="IT340" s="6"/>
      <c r="IU340" s="6"/>
      <c r="IV340" s="6"/>
      <c r="IW340" s="6"/>
      <c r="IX340" s="6"/>
      <c r="IY340" s="6"/>
      <c r="IZ340" s="6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</row>
    <row r="341" ht="14.25" customHeight="1">
      <c r="H341" s="2"/>
      <c r="I341" s="2"/>
      <c r="J341" s="2"/>
      <c r="K341" s="2"/>
      <c r="L341" s="3"/>
      <c r="M341" s="3"/>
      <c r="N341" s="3"/>
      <c r="O341" s="4"/>
      <c r="P341" s="5"/>
      <c r="Q341" s="3"/>
      <c r="R341" s="3"/>
      <c r="S341" s="3"/>
      <c r="W341" s="4"/>
      <c r="X341" s="5"/>
      <c r="AE341" s="4"/>
      <c r="AF341" s="5"/>
      <c r="AM341" s="4"/>
      <c r="AN341" s="5"/>
      <c r="AU341" s="4"/>
      <c r="AV341" s="6"/>
      <c r="AW341" s="7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S341" s="6"/>
      <c r="IT341" s="6"/>
      <c r="IU341" s="6"/>
      <c r="IV341" s="6"/>
      <c r="IW341" s="6"/>
      <c r="IX341" s="6"/>
      <c r="IY341" s="6"/>
      <c r="IZ341" s="6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</row>
    <row r="342" ht="14.25" customHeight="1">
      <c r="H342" s="2"/>
      <c r="I342" s="2"/>
      <c r="J342" s="2"/>
      <c r="K342" s="2"/>
      <c r="L342" s="3"/>
      <c r="M342" s="3"/>
      <c r="N342" s="3"/>
      <c r="O342" s="4"/>
      <c r="P342" s="5"/>
      <c r="Q342" s="3"/>
      <c r="R342" s="3"/>
      <c r="S342" s="3"/>
      <c r="W342" s="4"/>
      <c r="X342" s="5"/>
      <c r="AE342" s="4"/>
      <c r="AF342" s="5"/>
      <c r="AM342" s="4"/>
      <c r="AN342" s="5"/>
      <c r="AU342" s="4"/>
      <c r="AV342" s="6"/>
      <c r="AW342" s="7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S342" s="6"/>
      <c r="IT342" s="6"/>
      <c r="IU342" s="6"/>
      <c r="IV342" s="6"/>
      <c r="IW342" s="6"/>
      <c r="IX342" s="6"/>
      <c r="IY342" s="6"/>
      <c r="IZ342" s="6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</row>
    <row r="343" ht="14.25" customHeight="1">
      <c r="H343" s="2"/>
      <c r="I343" s="2"/>
      <c r="J343" s="2"/>
      <c r="K343" s="2"/>
      <c r="L343" s="3"/>
      <c r="M343" s="3"/>
      <c r="N343" s="3"/>
      <c r="O343" s="4"/>
      <c r="P343" s="5"/>
      <c r="Q343" s="3"/>
      <c r="R343" s="3"/>
      <c r="S343" s="3"/>
      <c r="W343" s="4"/>
      <c r="X343" s="5"/>
      <c r="AE343" s="4"/>
      <c r="AF343" s="5"/>
      <c r="AM343" s="4"/>
      <c r="AN343" s="5"/>
      <c r="AU343" s="4"/>
      <c r="AV343" s="6"/>
      <c r="AW343" s="7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S343" s="6"/>
      <c r="IT343" s="6"/>
      <c r="IU343" s="6"/>
      <c r="IV343" s="6"/>
      <c r="IW343" s="6"/>
      <c r="IX343" s="6"/>
      <c r="IY343" s="6"/>
      <c r="IZ343" s="6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</row>
    <row r="344" ht="14.25" customHeight="1">
      <c r="H344" s="2"/>
      <c r="I344" s="2"/>
      <c r="J344" s="2"/>
      <c r="K344" s="2"/>
      <c r="L344" s="3"/>
      <c r="M344" s="3"/>
      <c r="N344" s="3"/>
      <c r="O344" s="4"/>
      <c r="P344" s="5"/>
      <c r="Q344" s="3"/>
      <c r="R344" s="3"/>
      <c r="S344" s="3"/>
      <c r="W344" s="4"/>
      <c r="X344" s="5"/>
      <c r="AE344" s="4"/>
      <c r="AF344" s="5"/>
      <c r="AM344" s="4"/>
      <c r="AN344" s="5"/>
      <c r="AU344" s="4"/>
      <c r="AV344" s="6"/>
      <c r="AW344" s="7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U344" s="6"/>
      <c r="IV344" s="6"/>
      <c r="IW344" s="6"/>
      <c r="IX344" s="6"/>
      <c r="IY344" s="6"/>
      <c r="IZ344" s="6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</row>
    <row r="345" ht="14.25" customHeight="1">
      <c r="H345" s="2"/>
      <c r="I345" s="2"/>
      <c r="J345" s="2"/>
      <c r="K345" s="2"/>
      <c r="L345" s="3"/>
      <c r="M345" s="3"/>
      <c r="N345" s="3"/>
      <c r="O345" s="4"/>
      <c r="P345" s="5"/>
      <c r="Q345" s="3"/>
      <c r="R345" s="3"/>
      <c r="S345" s="3"/>
      <c r="W345" s="4"/>
      <c r="X345" s="5"/>
      <c r="AE345" s="4"/>
      <c r="AF345" s="5"/>
      <c r="AM345" s="4"/>
      <c r="AN345" s="5"/>
      <c r="AU345" s="4"/>
      <c r="AV345" s="6"/>
      <c r="AW345" s="7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U345" s="6"/>
      <c r="IV345" s="6"/>
      <c r="IW345" s="6"/>
      <c r="IX345" s="6"/>
      <c r="IY345" s="6"/>
      <c r="IZ345" s="6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</row>
    <row r="346" ht="14.25" customHeight="1">
      <c r="H346" s="2"/>
      <c r="I346" s="2"/>
      <c r="J346" s="2"/>
      <c r="K346" s="2"/>
      <c r="L346" s="3"/>
      <c r="M346" s="3"/>
      <c r="N346" s="3"/>
      <c r="O346" s="4"/>
      <c r="P346" s="5"/>
      <c r="Q346" s="3"/>
      <c r="R346" s="3"/>
      <c r="S346" s="3"/>
      <c r="W346" s="4"/>
      <c r="X346" s="5"/>
      <c r="AE346" s="4"/>
      <c r="AF346" s="5"/>
      <c r="AM346" s="4"/>
      <c r="AN346" s="5"/>
      <c r="AU346" s="4"/>
      <c r="AV346" s="6"/>
      <c r="AW346" s="7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U346" s="6"/>
      <c r="IV346" s="6"/>
      <c r="IW346" s="6"/>
      <c r="IX346" s="6"/>
      <c r="IY346" s="6"/>
      <c r="IZ346" s="6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</row>
    <row r="347" ht="14.25" customHeight="1">
      <c r="H347" s="2"/>
      <c r="I347" s="2"/>
      <c r="J347" s="2"/>
      <c r="K347" s="2"/>
      <c r="L347" s="3"/>
      <c r="M347" s="3"/>
      <c r="N347" s="3"/>
      <c r="O347" s="4"/>
      <c r="P347" s="5"/>
      <c r="Q347" s="3"/>
      <c r="R347" s="3"/>
      <c r="S347" s="3"/>
      <c r="W347" s="4"/>
      <c r="X347" s="5"/>
      <c r="AE347" s="4"/>
      <c r="AF347" s="5"/>
      <c r="AM347" s="4"/>
      <c r="AN347" s="5"/>
      <c r="AU347" s="4"/>
      <c r="AV347" s="6"/>
      <c r="AW347" s="7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U347" s="6"/>
      <c r="IV347" s="6"/>
      <c r="IW347" s="6"/>
      <c r="IX347" s="6"/>
      <c r="IY347" s="6"/>
      <c r="IZ347" s="6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</row>
    <row r="348" ht="14.25" customHeight="1">
      <c r="H348" s="2"/>
      <c r="I348" s="2"/>
      <c r="J348" s="2"/>
      <c r="K348" s="2"/>
      <c r="L348" s="3"/>
      <c r="M348" s="3"/>
      <c r="N348" s="3"/>
      <c r="O348" s="4"/>
      <c r="P348" s="5"/>
      <c r="Q348" s="3"/>
      <c r="R348" s="3"/>
      <c r="S348" s="3"/>
      <c r="W348" s="4"/>
      <c r="X348" s="5"/>
      <c r="AE348" s="4"/>
      <c r="AF348" s="5"/>
      <c r="AM348" s="4"/>
      <c r="AN348" s="5"/>
      <c r="AU348" s="4"/>
      <c r="AV348" s="6"/>
      <c r="AW348" s="7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U348" s="6"/>
      <c r="IV348" s="6"/>
      <c r="IW348" s="6"/>
      <c r="IX348" s="6"/>
      <c r="IY348" s="6"/>
      <c r="IZ348" s="6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</row>
    <row r="349" ht="14.25" customHeight="1">
      <c r="H349" s="2"/>
      <c r="I349" s="2"/>
      <c r="J349" s="2"/>
      <c r="K349" s="2"/>
      <c r="L349" s="3"/>
      <c r="M349" s="3"/>
      <c r="N349" s="3"/>
      <c r="O349" s="4"/>
      <c r="P349" s="5"/>
      <c r="Q349" s="3"/>
      <c r="R349" s="3"/>
      <c r="S349" s="3"/>
      <c r="W349" s="4"/>
      <c r="X349" s="5"/>
      <c r="AE349" s="4"/>
      <c r="AF349" s="5"/>
      <c r="AM349" s="4"/>
      <c r="AN349" s="5"/>
      <c r="AU349" s="4"/>
      <c r="AV349" s="6"/>
      <c r="AW349" s="7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  <c r="IX349" s="6"/>
      <c r="IY349" s="6"/>
      <c r="IZ349" s="6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</row>
    <row r="350" ht="14.25" customHeight="1">
      <c r="H350" s="2"/>
      <c r="I350" s="2"/>
      <c r="J350" s="2"/>
      <c r="K350" s="2"/>
      <c r="L350" s="3"/>
      <c r="M350" s="3"/>
      <c r="N350" s="3"/>
      <c r="O350" s="4"/>
      <c r="P350" s="5"/>
      <c r="Q350" s="3"/>
      <c r="R350" s="3"/>
      <c r="S350" s="3"/>
      <c r="W350" s="4"/>
      <c r="X350" s="5"/>
      <c r="AE350" s="4"/>
      <c r="AF350" s="5"/>
      <c r="AM350" s="4"/>
      <c r="AN350" s="5"/>
      <c r="AU350" s="4"/>
      <c r="AV350" s="6"/>
      <c r="AW350" s="7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  <c r="IW350" s="6"/>
      <c r="IX350" s="6"/>
      <c r="IY350" s="6"/>
      <c r="IZ350" s="6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</row>
    <row r="351" ht="14.25" customHeight="1">
      <c r="H351" s="2"/>
      <c r="I351" s="2"/>
      <c r="J351" s="2"/>
      <c r="K351" s="2"/>
      <c r="L351" s="3"/>
      <c r="M351" s="3"/>
      <c r="N351" s="3"/>
      <c r="O351" s="4"/>
      <c r="P351" s="5"/>
      <c r="Q351" s="3"/>
      <c r="R351" s="3"/>
      <c r="S351" s="3"/>
      <c r="W351" s="4"/>
      <c r="X351" s="5"/>
      <c r="AE351" s="4"/>
      <c r="AF351" s="5"/>
      <c r="AM351" s="4"/>
      <c r="AN351" s="5"/>
      <c r="AU351" s="4"/>
      <c r="AV351" s="6"/>
      <c r="AW351" s="7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U351" s="6"/>
      <c r="IV351" s="6"/>
      <c r="IW351" s="6"/>
      <c r="IX351" s="6"/>
      <c r="IY351" s="6"/>
      <c r="IZ351" s="6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</row>
    <row r="352" ht="14.25" customHeight="1">
      <c r="H352" s="2"/>
      <c r="I352" s="2"/>
      <c r="J352" s="2"/>
      <c r="K352" s="2"/>
      <c r="L352" s="3"/>
      <c r="M352" s="3"/>
      <c r="N352" s="3"/>
      <c r="O352" s="4"/>
      <c r="P352" s="5"/>
      <c r="Q352" s="3"/>
      <c r="R352" s="3"/>
      <c r="S352" s="3"/>
      <c r="W352" s="4"/>
      <c r="X352" s="5"/>
      <c r="AE352" s="4"/>
      <c r="AF352" s="5"/>
      <c r="AM352" s="4"/>
      <c r="AN352" s="5"/>
      <c r="AU352" s="4"/>
      <c r="AV352" s="6"/>
      <c r="AW352" s="7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S352" s="6"/>
      <c r="IT352" s="6"/>
      <c r="IU352" s="6"/>
      <c r="IV352" s="6"/>
      <c r="IW352" s="6"/>
      <c r="IX352" s="6"/>
      <c r="IY352" s="6"/>
      <c r="IZ352" s="6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</row>
    <row r="353" ht="14.25" customHeight="1">
      <c r="H353" s="2"/>
      <c r="I353" s="2"/>
      <c r="J353" s="2"/>
      <c r="K353" s="2"/>
      <c r="L353" s="3"/>
      <c r="M353" s="3"/>
      <c r="N353" s="3"/>
      <c r="O353" s="4"/>
      <c r="P353" s="5"/>
      <c r="Q353" s="3"/>
      <c r="R353" s="3"/>
      <c r="S353" s="3"/>
      <c r="W353" s="4"/>
      <c r="X353" s="5"/>
      <c r="AE353" s="4"/>
      <c r="AF353" s="5"/>
      <c r="AM353" s="4"/>
      <c r="AN353" s="5"/>
      <c r="AU353" s="4"/>
      <c r="AV353" s="6"/>
      <c r="AW353" s="7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S353" s="6"/>
      <c r="IT353" s="6"/>
      <c r="IU353" s="6"/>
      <c r="IV353" s="6"/>
      <c r="IW353" s="6"/>
      <c r="IX353" s="6"/>
      <c r="IY353" s="6"/>
      <c r="IZ353" s="6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</row>
    <row r="354" ht="14.25" customHeight="1">
      <c r="H354" s="2"/>
      <c r="I354" s="2"/>
      <c r="J354" s="2"/>
      <c r="K354" s="2"/>
      <c r="L354" s="3"/>
      <c r="M354" s="3"/>
      <c r="N354" s="3"/>
      <c r="O354" s="4"/>
      <c r="P354" s="5"/>
      <c r="Q354" s="3"/>
      <c r="R354" s="3"/>
      <c r="S354" s="3"/>
      <c r="W354" s="4"/>
      <c r="X354" s="5"/>
      <c r="AE354" s="4"/>
      <c r="AF354" s="5"/>
      <c r="AM354" s="4"/>
      <c r="AN354" s="5"/>
      <c r="AU354" s="4"/>
      <c r="AV354" s="6"/>
      <c r="AW354" s="7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S354" s="6"/>
      <c r="IT354" s="6"/>
      <c r="IU354" s="6"/>
      <c r="IV354" s="6"/>
      <c r="IW354" s="6"/>
      <c r="IX354" s="6"/>
      <c r="IY354" s="6"/>
      <c r="IZ354" s="6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</row>
    <row r="355" ht="14.25" customHeight="1">
      <c r="H355" s="2"/>
      <c r="I355" s="2"/>
      <c r="J355" s="2"/>
      <c r="K355" s="2"/>
      <c r="L355" s="3"/>
      <c r="M355" s="3"/>
      <c r="N355" s="3"/>
      <c r="O355" s="4"/>
      <c r="P355" s="5"/>
      <c r="Q355" s="3"/>
      <c r="R355" s="3"/>
      <c r="S355" s="3"/>
      <c r="W355" s="4"/>
      <c r="X355" s="5"/>
      <c r="AE355" s="4"/>
      <c r="AF355" s="5"/>
      <c r="AM355" s="4"/>
      <c r="AN355" s="5"/>
      <c r="AU355" s="4"/>
      <c r="AV355" s="6"/>
      <c r="AW355" s="7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S355" s="6"/>
      <c r="IT355" s="6"/>
      <c r="IU355" s="6"/>
      <c r="IV355" s="6"/>
      <c r="IW355" s="6"/>
      <c r="IX355" s="6"/>
      <c r="IY355" s="6"/>
      <c r="IZ355" s="6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</row>
    <row r="356" ht="14.25" customHeight="1">
      <c r="H356" s="2"/>
      <c r="I356" s="2"/>
      <c r="J356" s="2"/>
      <c r="K356" s="2"/>
      <c r="L356" s="3"/>
      <c r="M356" s="3"/>
      <c r="N356" s="3"/>
      <c r="O356" s="4"/>
      <c r="P356" s="5"/>
      <c r="Q356" s="3"/>
      <c r="R356" s="3"/>
      <c r="S356" s="3"/>
      <c r="W356" s="4"/>
      <c r="X356" s="5"/>
      <c r="AE356" s="4"/>
      <c r="AF356" s="5"/>
      <c r="AM356" s="4"/>
      <c r="AN356" s="5"/>
      <c r="AU356" s="4"/>
      <c r="AV356" s="6"/>
      <c r="AW356" s="7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S356" s="6"/>
      <c r="IT356" s="6"/>
      <c r="IU356" s="6"/>
      <c r="IV356" s="6"/>
      <c r="IW356" s="6"/>
      <c r="IX356" s="6"/>
      <c r="IY356" s="6"/>
      <c r="IZ356" s="6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</row>
    <row r="357" ht="14.25" customHeight="1">
      <c r="H357" s="2"/>
      <c r="I357" s="2"/>
      <c r="J357" s="2"/>
      <c r="K357" s="2"/>
      <c r="L357" s="3"/>
      <c r="M357" s="3"/>
      <c r="N357" s="3"/>
      <c r="O357" s="4"/>
      <c r="P357" s="5"/>
      <c r="Q357" s="3"/>
      <c r="R357" s="3"/>
      <c r="S357" s="3"/>
      <c r="W357" s="4"/>
      <c r="X357" s="5"/>
      <c r="AE357" s="4"/>
      <c r="AF357" s="5"/>
      <c r="AM357" s="4"/>
      <c r="AN357" s="5"/>
      <c r="AU357" s="4"/>
      <c r="AV357" s="6"/>
      <c r="AW357" s="7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6"/>
      <c r="IK357" s="6"/>
      <c r="IL357" s="6"/>
      <c r="IM357" s="6"/>
      <c r="IN357" s="6"/>
      <c r="IO357" s="6"/>
      <c r="IP357" s="6"/>
      <c r="IQ357" s="6"/>
      <c r="IR357" s="6"/>
      <c r="IS357" s="6"/>
      <c r="IT357" s="6"/>
      <c r="IU357" s="6"/>
      <c r="IV357" s="6"/>
      <c r="IW357" s="6"/>
      <c r="IX357" s="6"/>
      <c r="IY357" s="6"/>
      <c r="IZ357" s="6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</row>
    <row r="358" ht="14.25" customHeight="1">
      <c r="H358" s="2"/>
      <c r="I358" s="2"/>
      <c r="J358" s="2"/>
      <c r="K358" s="2"/>
      <c r="L358" s="3"/>
      <c r="M358" s="3"/>
      <c r="N358" s="3"/>
      <c r="O358" s="4"/>
      <c r="P358" s="5"/>
      <c r="Q358" s="3"/>
      <c r="R358" s="3"/>
      <c r="S358" s="3"/>
      <c r="W358" s="4"/>
      <c r="X358" s="5"/>
      <c r="AE358" s="4"/>
      <c r="AF358" s="5"/>
      <c r="AM358" s="4"/>
      <c r="AN358" s="5"/>
      <c r="AU358" s="4"/>
      <c r="AV358" s="6"/>
      <c r="AW358" s="7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S358" s="6"/>
      <c r="IT358" s="6"/>
      <c r="IU358" s="6"/>
      <c r="IV358" s="6"/>
      <c r="IW358" s="6"/>
      <c r="IX358" s="6"/>
      <c r="IY358" s="6"/>
      <c r="IZ358" s="6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</row>
    <row r="359" ht="14.25" customHeight="1">
      <c r="H359" s="2"/>
      <c r="I359" s="2"/>
      <c r="J359" s="2"/>
      <c r="K359" s="2"/>
      <c r="L359" s="3"/>
      <c r="M359" s="3"/>
      <c r="N359" s="3"/>
      <c r="O359" s="4"/>
      <c r="P359" s="5"/>
      <c r="Q359" s="3"/>
      <c r="R359" s="3"/>
      <c r="S359" s="3"/>
      <c r="W359" s="4"/>
      <c r="X359" s="5"/>
      <c r="AE359" s="4"/>
      <c r="AF359" s="5"/>
      <c r="AM359" s="4"/>
      <c r="AN359" s="5"/>
      <c r="AU359" s="4"/>
      <c r="AV359" s="6"/>
      <c r="AW359" s="7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S359" s="6"/>
      <c r="IT359" s="6"/>
      <c r="IU359" s="6"/>
      <c r="IV359" s="6"/>
      <c r="IW359" s="6"/>
      <c r="IX359" s="6"/>
      <c r="IY359" s="6"/>
      <c r="IZ359" s="6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</row>
    <row r="360" ht="14.25" customHeight="1">
      <c r="H360" s="2"/>
      <c r="I360" s="2"/>
      <c r="J360" s="2"/>
      <c r="K360" s="2"/>
      <c r="L360" s="3"/>
      <c r="M360" s="3"/>
      <c r="N360" s="3"/>
      <c r="O360" s="4"/>
      <c r="P360" s="5"/>
      <c r="Q360" s="3"/>
      <c r="R360" s="3"/>
      <c r="S360" s="3"/>
      <c r="W360" s="4"/>
      <c r="X360" s="5"/>
      <c r="AE360" s="4"/>
      <c r="AF360" s="5"/>
      <c r="AM360" s="4"/>
      <c r="AN360" s="5"/>
      <c r="AU360" s="4"/>
      <c r="AV360" s="6"/>
      <c r="AW360" s="7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U360" s="6"/>
      <c r="IV360" s="6"/>
      <c r="IW360" s="6"/>
      <c r="IX360" s="6"/>
      <c r="IY360" s="6"/>
      <c r="IZ360" s="6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</row>
    <row r="361" ht="14.25" customHeight="1">
      <c r="H361" s="2"/>
      <c r="I361" s="2"/>
      <c r="J361" s="2"/>
      <c r="K361" s="2"/>
      <c r="L361" s="3"/>
      <c r="M361" s="3"/>
      <c r="N361" s="3"/>
      <c r="O361" s="4"/>
      <c r="P361" s="5"/>
      <c r="Q361" s="3"/>
      <c r="R361" s="3"/>
      <c r="S361" s="3"/>
      <c r="W361" s="4"/>
      <c r="X361" s="5"/>
      <c r="AE361" s="4"/>
      <c r="AF361" s="5"/>
      <c r="AM361" s="4"/>
      <c r="AN361" s="5"/>
      <c r="AU361" s="4"/>
      <c r="AV361" s="6"/>
      <c r="AW361" s="7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6"/>
      <c r="IK361" s="6"/>
      <c r="IL361" s="6"/>
      <c r="IM361" s="6"/>
      <c r="IN361" s="6"/>
      <c r="IO361" s="6"/>
      <c r="IP361" s="6"/>
      <c r="IQ361" s="6"/>
      <c r="IR361" s="6"/>
      <c r="IS361" s="6"/>
      <c r="IT361" s="6"/>
      <c r="IU361" s="6"/>
      <c r="IV361" s="6"/>
      <c r="IW361" s="6"/>
      <c r="IX361" s="6"/>
      <c r="IY361" s="6"/>
      <c r="IZ361" s="6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</row>
    <row r="362" ht="14.25" customHeight="1">
      <c r="H362" s="2"/>
      <c r="I362" s="2"/>
      <c r="J362" s="2"/>
      <c r="K362" s="2"/>
      <c r="L362" s="3"/>
      <c r="M362" s="3"/>
      <c r="N362" s="3"/>
      <c r="O362" s="4"/>
      <c r="P362" s="5"/>
      <c r="Q362" s="3"/>
      <c r="R362" s="3"/>
      <c r="S362" s="3"/>
      <c r="W362" s="4"/>
      <c r="X362" s="5"/>
      <c r="AE362" s="4"/>
      <c r="AF362" s="5"/>
      <c r="AM362" s="4"/>
      <c r="AN362" s="5"/>
      <c r="AU362" s="4"/>
      <c r="AV362" s="6"/>
      <c r="AW362" s="7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6"/>
      <c r="IK362" s="6"/>
      <c r="IL362" s="6"/>
      <c r="IM362" s="6"/>
      <c r="IN362" s="6"/>
      <c r="IO362" s="6"/>
      <c r="IP362" s="6"/>
      <c r="IQ362" s="6"/>
      <c r="IR362" s="6"/>
      <c r="IS362" s="6"/>
      <c r="IT362" s="6"/>
      <c r="IU362" s="6"/>
      <c r="IV362" s="6"/>
      <c r="IW362" s="6"/>
      <c r="IX362" s="6"/>
      <c r="IY362" s="6"/>
      <c r="IZ362" s="6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</row>
    <row r="363" ht="14.25" customHeight="1">
      <c r="H363" s="2"/>
      <c r="I363" s="2"/>
      <c r="J363" s="2"/>
      <c r="K363" s="2"/>
      <c r="L363" s="3"/>
      <c r="M363" s="3"/>
      <c r="N363" s="3"/>
      <c r="O363" s="4"/>
      <c r="P363" s="5"/>
      <c r="Q363" s="3"/>
      <c r="R363" s="3"/>
      <c r="S363" s="3"/>
      <c r="W363" s="4"/>
      <c r="X363" s="5"/>
      <c r="AE363" s="4"/>
      <c r="AF363" s="5"/>
      <c r="AM363" s="4"/>
      <c r="AN363" s="5"/>
      <c r="AU363" s="4"/>
      <c r="AV363" s="6"/>
      <c r="AW363" s="7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6"/>
      <c r="IK363" s="6"/>
      <c r="IL363" s="6"/>
      <c r="IM363" s="6"/>
      <c r="IN363" s="6"/>
      <c r="IO363" s="6"/>
      <c r="IP363" s="6"/>
      <c r="IQ363" s="6"/>
      <c r="IR363" s="6"/>
      <c r="IS363" s="6"/>
      <c r="IT363" s="6"/>
      <c r="IU363" s="6"/>
      <c r="IV363" s="6"/>
      <c r="IW363" s="6"/>
      <c r="IX363" s="6"/>
      <c r="IY363" s="6"/>
      <c r="IZ363" s="6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</row>
    <row r="364" ht="14.25" customHeight="1">
      <c r="H364" s="2"/>
      <c r="I364" s="2"/>
      <c r="J364" s="2"/>
      <c r="K364" s="2"/>
      <c r="L364" s="3"/>
      <c r="M364" s="3"/>
      <c r="N364" s="3"/>
      <c r="O364" s="4"/>
      <c r="P364" s="5"/>
      <c r="Q364" s="3"/>
      <c r="R364" s="3"/>
      <c r="S364" s="3"/>
      <c r="W364" s="4"/>
      <c r="X364" s="5"/>
      <c r="AE364" s="4"/>
      <c r="AF364" s="5"/>
      <c r="AM364" s="4"/>
      <c r="AN364" s="5"/>
      <c r="AU364" s="4"/>
      <c r="AV364" s="6"/>
      <c r="AW364" s="7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6"/>
      <c r="IK364" s="6"/>
      <c r="IL364" s="6"/>
      <c r="IM364" s="6"/>
      <c r="IN364" s="6"/>
      <c r="IO364" s="6"/>
      <c r="IP364" s="6"/>
      <c r="IQ364" s="6"/>
      <c r="IR364" s="6"/>
      <c r="IS364" s="6"/>
      <c r="IT364" s="6"/>
      <c r="IU364" s="6"/>
      <c r="IV364" s="6"/>
      <c r="IW364" s="6"/>
      <c r="IX364" s="6"/>
      <c r="IY364" s="6"/>
      <c r="IZ364" s="6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</row>
    <row r="365" ht="14.25" customHeight="1">
      <c r="H365" s="2"/>
      <c r="I365" s="2"/>
      <c r="J365" s="2"/>
      <c r="K365" s="2"/>
      <c r="L365" s="3"/>
      <c r="M365" s="3"/>
      <c r="N365" s="3"/>
      <c r="O365" s="4"/>
      <c r="P365" s="5"/>
      <c r="Q365" s="3"/>
      <c r="R365" s="3"/>
      <c r="S365" s="3"/>
      <c r="W365" s="4"/>
      <c r="X365" s="5"/>
      <c r="AE365" s="4"/>
      <c r="AF365" s="5"/>
      <c r="AM365" s="4"/>
      <c r="AN365" s="5"/>
      <c r="AU365" s="4"/>
      <c r="AV365" s="6"/>
      <c r="AW365" s="7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U365" s="6"/>
      <c r="IV365" s="6"/>
      <c r="IW365" s="6"/>
      <c r="IX365" s="6"/>
      <c r="IY365" s="6"/>
      <c r="IZ365" s="6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</row>
    <row r="366" ht="14.25" customHeight="1">
      <c r="H366" s="2"/>
      <c r="I366" s="2"/>
      <c r="J366" s="2"/>
      <c r="K366" s="2"/>
      <c r="L366" s="3"/>
      <c r="M366" s="3"/>
      <c r="N366" s="3"/>
      <c r="O366" s="4"/>
      <c r="P366" s="5"/>
      <c r="Q366" s="3"/>
      <c r="R366" s="3"/>
      <c r="S366" s="3"/>
      <c r="W366" s="4"/>
      <c r="X366" s="5"/>
      <c r="AE366" s="4"/>
      <c r="AF366" s="5"/>
      <c r="AM366" s="4"/>
      <c r="AN366" s="5"/>
      <c r="AU366" s="4"/>
      <c r="AV366" s="6"/>
      <c r="AW366" s="7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6"/>
      <c r="IK366" s="6"/>
      <c r="IL366" s="6"/>
      <c r="IM366" s="6"/>
      <c r="IN366" s="6"/>
      <c r="IO366" s="6"/>
      <c r="IP366" s="6"/>
      <c r="IQ366" s="6"/>
      <c r="IR366" s="6"/>
      <c r="IS366" s="6"/>
      <c r="IT366" s="6"/>
      <c r="IU366" s="6"/>
      <c r="IV366" s="6"/>
      <c r="IW366" s="6"/>
      <c r="IX366" s="6"/>
      <c r="IY366" s="6"/>
      <c r="IZ366" s="6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</row>
    <row r="367" ht="14.25" customHeight="1">
      <c r="H367" s="2"/>
      <c r="I367" s="2"/>
      <c r="J367" s="2"/>
      <c r="K367" s="2"/>
      <c r="L367" s="3"/>
      <c r="M367" s="3"/>
      <c r="N367" s="3"/>
      <c r="O367" s="4"/>
      <c r="P367" s="5"/>
      <c r="Q367" s="3"/>
      <c r="R367" s="3"/>
      <c r="S367" s="3"/>
      <c r="W367" s="4"/>
      <c r="X367" s="5"/>
      <c r="AE367" s="4"/>
      <c r="AF367" s="5"/>
      <c r="AM367" s="4"/>
      <c r="AN367" s="5"/>
      <c r="AU367" s="4"/>
      <c r="AV367" s="6"/>
      <c r="AW367" s="7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U367" s="6"/>
      <c r="IV367" s="6"/>
      <c r="IW367" s="6"/>
      <c r="IX367" s="6"/>
      <c r="IY367" s="6"/>
      <c r="IZ367" s="6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</row>
    <row r="368" ht="14.25" customHeight="1">
      <c r="H368" s="2"/>
      <c r="I368" s="2"/>
      <c r="J368" s="2"/>
      <c r="K368" s="2"/>
      <c r="L368" s="3"/>
      <c r="M368" s="3"/>
      <c r="N368" s="3"/>
      <c r="O368" s="4"/>
      <c r="P368" s="5"/>
      <c r="Q368" s="3"/>
      <c r="R368" s="3"/>
      <c r="S368" s="3"/>
      <c r="W368" s="4"/>
      <c r="X368" s="5"/>
      <c r="AE368" s="4"/>
      <c r="AF368" s="5"/>
      <c r="AM368" s="4"/>
      <c r="AN368" s="5"/>
      <c r="AU368" s="4"/>
      <c r="AV368" s="6"/>
      <c r="AW368" s="7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6"/>
      <c r="IK368" s="6"/>
      <c r="IL368" s="6"/>
      <c r="IM368" s="6"/>
      <c r="IN368" s="6"/>
      <c r="IO368" s="6"/>
      <c r="IP368" s="6"/>
      <c r="IQ368" s="6"/>
      <c r="IR368" s="6"/>
      <c r="IS368" s="6"/>
      <c r="IT368" s="6"/>
      <c r="IU368" s="6"/>
      <c r="IV368" s="6"/>
      <c r="IW368" s="6"/>
      <c r="IX368" s="6"/>
      <c r="IY368" s="6"/>
      <c r="IZ368" s="6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</row>
    <row r="369" ht="14.25" customHeight="1">
      <c r="H369" s="2"/>
      <c r="I369" s="2"/>
      <c r="J369" s="2"/>
      <c r="K369" s="2"/>
      <c r="L369" s="3"/>
      <c r="M369" s="3"/>
      <c r="N369" s="3"/>
      <c r="O369" s="4"/>
      <c r="P369" s="5"/>
      <c r="Q369" s="3"/>
      <c r="R369" s="3"/>
      <c r="S369" s="3"/>
      <c r="W369" s="4"/>
      <c r="X369" s="5"/>
      <c r="AE369" s="4"/>
      <c r="AF369" s="5"/>
      <c r="AM369" s="4"/>
      <c r="AN369" s="5"/>
      <c r="AU369" s="4"/>
      <c r="AV369" s="6"/>
      <c r="AW369" s="7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6"/>
      <c r="IK369" s="6"/>
      <c r="IL369" s="6"/>
      <c r="IM369" s="6"/>
      <c r="IN369" s="6"/>
      <c r="IO369" s="6"/>
      <c r="IP369" s="6"/>
      <c r="IQ369" s="6"/>
      <c r="IR369" s="6"/>
      <c r="IS369" s="6"/>
      <c r="IT369" s="6"/>
      <c r="IU369" s="6"/>
      <c r="IV369" s="6"/>
      <c r="IW369" s="6"/>
      <c r="IX369" s="6"/>
      <c r="IY369" s="6"/>
      <c r="IZ369" s="6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</row>
    <row r="370" ht="14.25" customHeight="1">
      <c r="H370" s="2"/>
      <c r="I370" s="2"/>
      <c r="J370" s="2"/>
      <c r="K370" s="2"/>
      <c r="L370" s="3"/>
      <c r="M370" s="3"/>
      <c r="N370" s="3"/>
      <c r="O370" s="4"/>
      <c r="P370" s="5"/>
      <c r="Q370" s="3"/>
      <c r="R370" s="3"/>
      <c r="S370" s="3"/>
      <c r="W370" s="4"/>
      <c r="X370" s="5"/>
      <c r="AE370" s="4"/>
      <c r="AF370" s="5"/>
      <c r="AM370" s="4"/>
      <c r="AN370" s="5"/>
      <c r="AU370" s="4"/>
      <c r="AV370" s="6"/>
      <c r="AW370" s="7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6"/>
      <c r="IK370" s="6"/>
      <c r="IL370" s="6"/>
      <c r="IM370" s="6"/>
      <c r="IN370" s="6"/>
      <c r="IO370" s="6"/>
      <c r="IP370" s="6"/>
      <c r="IQ370" s="6"/>
      <c r="IR370" s="6"/>
      <c r="IS370" s="6"/>
      <c r="IT370" s="6"/>
      <c r="IU370" s="6"/>
      <c r="IV370" s="6"/>
      <c r="IW370" s="6"/>
      <c r="IX370" s="6"/>
      <c r="IY370" s="6"/>
      <c r="IZ370" s="6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</row>
    <row r="371" ht="14.25" customHeight="1">
      <c r="H371" s="2"/>
      <c r="I371" s="2"/>
      <c r="J371" s="2"/>
      <c r="K371" s="2"/>
      <c r="L371" s="3"/>
      <c r="M371" s="3"/>
      <c r="N371" s="3"/>
      <c r="O371" s="4"/>
      <c r="P371" s="5"/>
      <c r="Q371" s="3"/>
      <c r="R371" s="3"/>
      <c r="S371" s="3"/>
      <c r="W371" s="4"/>
      <c r="X371" s="5"/>
      <c r="AE371" s="4"/>
      <c r="AF371" s="5"/>
      <c r="AM371" s="4"/>
      <c r="AN371" s="5"/>
      <c r="AU371" s="4"/>
      <c r="AV371" s="6"/>
      <c r="AW371" s="7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6"/>
      <c r="IK371" s="6"/>
      <c r="IL371" s="6"/>
      <c r="IM371" s="6"/>
      <c r="IN371" s="6"/>
      <c r="IO371" s="6"/>
      <c r="IP371" s="6"/>
      <c r="IQ371" s="6"/>
      <c r="IR371" s="6"/>
      <c r="IS371" s="6"/>
      <c r="IT371" s="6"/>
      <c r="IU371" s="6"/>
      <c r="IV371" s="6"/>
      <c r="IW371" s="6"/>
      <c r="IX371" s="6"/>
      <c r="IY371" s="6"/>
      <c r="IZ371" s="6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</row>
    <row r="372" ht="14.25" customHeight="1">
      <c r="H372" s="2"/>
      <c r="I372" s="2"/>
      <c r="J372" s="2"/>
      <c r="K372" s="2"/>
      <c r="L372" s="3"/>
      <c r="M372" s="3"/>
      <c r="N372" s="3"/>
      <c r="O372" s="4"/>
      <c r="P372" s="5"/>
      <c r="Q372" s="3"/>
      <c r="R372" s="3"/>
      <c r="S372" s="3"/>
      <c r="W372" s="4"/>
      <c r="X372" s="5"/>
      <c r="AE372" s="4"/>
      <c r="AF372" s="5"/>
      <c r="AM372" s="4"/>
      <c r="AN372" s="5"/>
      <c r="AU372" s="4"/>
      <c r="AV372" s="6"/>
      <c r="AW372" s="7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U372" s="6"/>
      <c r="IV372" s="6"/>
      <c r="IW372" s="6"/>
      <c r="IX372" s="6"/>
      <c r="IY372" s="6"/>
      <c r="IZ372" s="6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</row>
    <row r="373" ht="14.25" customHeight="1">
      <c r="H373" s="2"/>
      <c r="I373" s="2"/>
      <c r="J373" s="2"/>
      <c r="K373" s="2"/>
      <c r="L373" s="3"/>
      <c r="M373" s="3"/>
      <c r="N373" s="3"/>
      <c r="O373" s="4"/>
      <c r="P373" s="5"/>
      <c r="Q373" s="3"/>
      <c r="R373" s="3"/>
      <c r="S373" s="3"/>
      <c r="W373" s="4"/>
      <c r="X373" s="5"/>
      <c r="AE373" s="4"/>
      <c r="AF373" s="5"/>
      <c r="AM373" s="4"/>
      <c r="AN373" s="5"/>
      <c r="AU373" s="4"/>
      <c r="AV373" s="6"/>
      <c r="AW373" s="7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U373" s="6"/>
      <c r="IV373" s="6"/>
      <c r="IW373" s="6"/>
      <c r="IX373" s="6"/>
      <c r="IY373" s="6"/>
      <c r="IZ373" s="6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</row>
    <row r="374" ht="14.25" customHeight="1">
      <c r="H374" s="2"/>
      <c r="I374" s="2"/>
      <c r="J374" s="2"/>
      <c r="K374" s="2"/>
      <c r="L374" s="3"/>
      <c r="M374" s="3"/>
      <c r="N374" s="3"/>
      <c r="O374" s="4"/>
      <c r="P374" s="5"/>
      <c r="Q374" s="3"/>
      <c r="R374" s="3"/>
      <c r="S374" s="3"/>
      <c r="W374" s="4"/>
      <c r="X374" s="5"/>
      <c r="AE374" s="4"/>
      <c r="AF374" s="5"/>
      <c r="AM374" s="4"/>
      <c r="AN374" s="5"/>
      <c r="AU374" s="4"/>
      <c r="AV374" s="6"/>
      <c r="AW374" s="7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6"/>
      <c r="IK374" s="6"/>
      <c r="IL374" s="6"/>
      <c r="IM374" s="6"/>
      <c r="IN374" s="6"/>
      <c r="IO374" s="6"/>
      <c r="IP374" s="6"/>
      <c r="IQ374" s="6"/>
      <c r="IR374" s="6"/>
      <c r="IS374" s="6"/>
      <c r="IT374" s="6"/>
      <c r="IU374" s="6"/>
      <c r="IV374" s="6"/>
      <c r="IW374" s="6"/>
      <c r="IX374" s="6"/>
      <c r="IY374" s="6"/>
      <c r="IZ374" s="6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</row>
    <row r="375" ht="14.25" customHeight="1">
      <c r="H375" s="2"/>
      <c r="I375" s="2"/>
      <c r="J375" s="2"/>
      <c r="K375" s="2"/>
      <c r="L375" s="3"/>
      <c r="M375" s="3"/>
      <c r="N375" s="3"/>
      <c r="O375" s="4"/>
      <c r="P375" s="5"/>
      <c r="Q375" s="3"/>
      <c r="R375" s="3"/>
      <c r="S375" s="3"/>
      <c r="W375" s="4"/>
      <c r="X375" s="5"/>
      <c r="AE375" s="4"/>
      <c r="AF375" s="5"/>
      <c r="AM375" s="4"/>
      <c r="AN375" s="5"/>
      <c r="AU375" s="4"/>
      <c r="AV375" s="6"/>
      <c r="AW375" s="7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6"/>
      <c r="IK375" s="6"/>
      <c r="IL375" s="6"/>
      <c r="IM375" s="6"/>
      <c r="IN375" s="6"/>
      <c r="IO375" s="6"/>
      <c r="IP375" s="6"/>
      <c r="IQ375" s="6"/>
      <c r="IR375" s="6"/>
      <c r="IS375" s="6"/>
      <c r="IT375" s="6"/>
      <c r="IU375" s="6"/>
      <c r="IV375" s="6"/>
      <c r="IW375" s="6"/>
      <c r="IX375" s="6"/>
      <c r="IY375" s="6"/>
      <c r="IZ375" s="6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</row>
    <row r="376" ht="14.25" customHeight="1">
      <c r="H376" s="2"/>
      <c r="I376" s="2"/>
      <c r="J376" s="2"/>
      <c r="K376" s="2"/>
      <c r="L376" s="3"/>
      <c r="M376" s="3"/>
      <c r="N376" s="3"/>
      <c r="O376" s="4"/>
      <c r="P376" s="5"/>
      <c r="Q376" s="3"/>
      <c r="R376" s="3"/>
      <c r="S376" s="3"/>
      <c r="W376" s="4"/>
      <c r="X376" s="5"/>
      <c r="AE376" s="4"/>
      <c r="AF376" s="5"/>
      <c r="AM376" s="4"/>
      <c r="AN376" s="5"/>
      <c r="AU376" s="4"/>
      <c r="AV376" s="6"/>
      <c r="AW376" s="7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6"/>
      <c r="IK376" s="6"/>
      <c r="IL376" s="6"/>
      <c r="IM376" s="6"/>
      <c r="IN376" s="6"/>
      <c r="IO376" s="6"/>
      <c r="IP376" s="6"/>
      <c r="IQ376" s="6"/>
      <c r="IR376" s="6"/>
      <c r="IS376" s="6"/>
      <c r="IT376" s="6"/>
      <c r="IU376" s="6"/>
      <c r="IV376" s="6"/>
      <c r="IW376" s="6"/>
      <c r="IX376" s="6"/>
      <c r="IY376" s="6"/>
      <c r="IZ376" s="6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</row>
    <row r="377" ht="14.25" customHeight="1">
      <c r="H377" s="2"/>
      <c r="I377" s="2"/>
      <c r="J377" s="2"/>
      <c r="K377" s="2"/>
      <c r="L377" s="3"/>
      <c r="M377" s="3"/>
      <c r="N377" s="3"/>
      <c r="O377" s="4"/>
      <c r="P377" s="5"/>
      <c r="Q377" s="3"/>
      <c r="R377" s="3"/>
      <c r="S377" s="3"/>
      <c r="W377" s="4"/>
      <c r="X377" s="5"/>
      <c r="AE377" s="4"/>
      <c r="AF377" s="5"/>
      <c r="AM377" s="4"/>
      <c r="AN377" s="5"/>
      <c r="AU377" s="4"/>
      <c r="AV377" s="6"/>
      <c r="AW377" s="7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6"/>
      <c r="IK377" s="6"/>
      <c r="IL377" s="6"/>
      <c r="IM377" s="6"/>
      <c r="IN377" s="6"/>
      <c r="IO377" s="6"/>
      <c r="IP377" s="6"/>
      <c r="IQ377" s="6"/>
      <c r="IR377" s="6"/>
      <c r="IS377" s="6"/>
      <c r="IT377" s="6"/>
      <c r="IU377" s="6"/>
      <c r="IV377" s="6"/>
      <c r="IW377" s="6"/>
      <c r="IX377" s="6"/>
      <c r="IY377" s="6"/>
      <c r="IZ377" s="6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</row>
    <row r="378" ht="14.25" customHeight="1">
      <c r="H378" s="2"/>
      <c r="I378" s="2"/>
      <c r="J378" s="2"/>
      <c r="K378" s="2"/>
      <c r="L378" s="3"/>
      <c r="M378" s="3"/>
      <c r="N378" s="3"/>
      <c r="O378" s="4"/>
      <c r="P378" s="5"/>
      <c r="Q378" s="3"/>
      <c r="R378" s="3"/>
      <c r="S378" s="3"/>
      <c r="W378" s="4"/>
      <c r="X378" s="5"/>
      <c r="AE378" s="4"/>
      <c r="AF378" s="5"/>
      <c r="AM378" s="4"/>
      <c r="AN378" s="5"/>
      <c r="AU378" s="4"/>
      <c r="AV378" s="6"/>
      <c r="AW378" s="7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6"/>
      <c r="IK378" s="6"/>
      <c r="IL378" s="6"/>
      <c r="IM378" s="6"/>
      <c r="IN378" s="6"/>
      <c r="IO378" s="6"/>
      <c r="IP378" s="6"/>
      <c r="IQ378" s="6"/>
      <c r="IR378" s="6"/>
      <c r="IS378" s="6"/>
      <c r="IT378" s="6"/>
      <c r="IU378" s="6"/>
      <c r="IV378" s="6"/>
      <c r="IW378" s="6"/>
      <c r="IX378" s="6"/>
      <c r="IY378" s="6"/>
      <c r="IZ378" s="6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</row>
    <row r="379" ht="14.25" customHeight="1">
      <c r="H379" s="2"/>
      <c r="I379" s="2"/>
      <c r="J379" s="2"/>
      <c r="K379" s="2"/>
      <c r="L379" s="3"/>
      <c r="M379" s="3"/>
      <c r="N379" s="3"/>
      <c r="O379" s="4"/>
      <c r="P379" s="5"/>
      <c r="Q379" s="3"/>
      <c r="R379" s="3"/>
      <c r="S379" s="3"/>
      <c r="W379" s="4"/>
      <c r="X379" s="5"/>
      <c r="AE379" s="4"/>
      <c r="AF379" s="5"/>
      <c r="AM379" s="4"/>
      <c r="AN379" s="5"/>
      <c r="AU379" s="4"/>
      <c r="AV379" s="6"/>
      <c r="AW379" s="7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6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U379" s="6"/>
      <c r="IV379" s="6"/>
      <c r="IW379" s="6"/>
      <c r="IX379" s="6"/>
      <c r="IY379" s="6"/>
      <c r="IZ379" s="6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</row>
    <row r="380" ht="14.25" customHeight="1">
      <c r="H380" s="2"/>
      <c r="I380" s="2"/>
      <c r="J380" s="2"/>
      <c r="K380" s="2"/>
      <c r="L380" s="3"/>
      <c r="M380" s="3"/>
      <c r="N380" s="3"/>
      <c r="O380" s="4"/>
      <c r="P380" s="5"/>
      <c r="Q380" s="3"/>
      <c r="R380" s="3"/>
      <c r="S380" s="3"/>
      <c r="W380" s="4"/>
      <c r="X380" s="5"/>
      <c r="AE380" s="4"/>
      <c r="AF380" s="5"/>
      <c r="AM380" s="4"/>
      <c r="AN380" s="5"/>
      <c r="AU380" s="4"/>
      <c r="AV380" s="6"/>
      <c r="AW380" s="7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6"/>
      <c r="IK380" s="6"/>
      <c r="IL380" s="6"/>
      <c r="IM380" s="6"/>
      <c r="IN380" s="6"/>
      <c r="IO380" s="6"/>
      <c r="IP380" s="6"/>
      <c r="IQ380" s="6"/>
      <c r="IR380" s="6"/>
      <c r="IS380" s="6"/>
      <c r="IT380" s="6"/>
      <c r="IU380" s="6"/>
      <c r="IV380" s="6"/>
      <c r="IW380" s="6"/>
      <c r="IX380" s="6"/>
      <c r="IY380" s="6"/>
      <c r="IZ380" s="6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</row>
    <row r="381" ht="14.25" customHeight="1">
      <c r="H381" s="2"/>
      <c r="I381" s="2"/>
      <c r="J381" s="2"/>
      <c r="K381" s="2"/>
      <c r="L381" s="3"/>
      <c r="M381" s="3"/>
      <c r="N381" s="3"/>
      <c r="O381" s="4"/>
      <c r="P381" s="5"/>
      <c r="Q381" s="3"/>
      <c r="R381" s="3"/>
      <c r="S381" s="3"/>
      <c r="W381" s="4"/>
      <c r="X381" s="5"/>
      <c r="AE381" s="4"/>
      <c r="AF381" s="5"/>
      <c r="AM381" s="4"/>
      <c r="AN381" s="5"/>
      <c r="AU381" s="4"/>
      <c r="AV381" s="6"/>
      <c r="AW381" s="7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6"/>
      <c r="IK381" s="6"/>
      <c r="IL381" s="6"/>
      <c r="IM381" s="6"/>
      <c r="IN381" s="6"/>
      <c r="IO381" s="6"/>
      <c r="IP381" s="6"/>
      <c r="IQ381" s="6"/>
      <c r="IR381" s="6"/>
      <c r="IS381" s="6"/>
      <c r="IT381" s="6"/>
      <c r="IU381" s="6"/>
      <c r="IV381" s="6"/>
      <c r="IW381" s="6"/>
      <c r="IX381" s="6"/>
      <c r="IY381" s="6"/>
      <c r="IZ381" s="6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</row>
    <row r="382" ht="14.25" customHeight="1">
      <c r="H382" s="2"/>
      <c r="I382" s="2"/>
      <c r="J382" s="2"/>
      <c r="K382" s="2"/>
      <c r="L382" s="3"/>
      <c r="M382" s="3"/>
      <c r="N382" s="3"/>
      <c r="O382" s="4"/>
      <c r="P382" s="5"/>
      <c r="Q382" s="3"/>
      <c r="R382" s="3"/>
      <c r="S382" s="3"/>
      <c r="W382" s="4"/>
      <c r="X382" s="5"/>
      <c r="AE382" s="4"/>
      <c r="AF382" s="5"/>
      <c r="AM382" s="4"/>
      <c r="AN382" s="5"/>
      <c r="AU382" s="4"/>
      <c r="AV382" s="6"/>
      <c r="AW382" s="7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U382" s="6"/>
      <c r="IV382" s="6"/>
      <c r="IW382" s="6"/>
      <c r="IX382" s="6"/>
      <c r="IY382" s="6"/>
      <c r="IZ382" s="6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</row>
    <row r="383" ht="14.25" customHeight="1">
      <c r="H383" s="2"/>
      <c r="I383" s="2"/>
      <c r="J383" s="2"/>
      <c r="K383" s="2"/>
      <c r="L383" s="3"/>
      <c r="M383" s="3"/>
      <c r="N383" s="3"/>
      <c r="O383" s="4"/>
      <c r="P383" s="5"/>
      <c r="Q383" s="3"/>
      <c r="R383" s="3"/>
      <c r="S383" s="3"/>
      <c r="W383" s="4"/>
      <c r="X383" s="5"/>
      <c r="AE383" s="4"/>
      <c r="AF383" s="5"/>
      <c r="AM383" s="4"/>
      <c r="AN383" s="5"/>
      <c r="AU383" s="4"/>
      <c r="AV383" s="6"/>
      <c r="AW383" s="7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U383" s="6"/>
      <c r="IV383" s="6"/>
      <c r="IW383" s="6"/>
      <c r="IX383" s="6"/>
      <c r="IY383" s="6"/>
      <c r="IZ383" s="6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</row>
    <row r="384" ht="14.25" customHeight="1">
      <c r="H384" s="2"/>
      <c r="I384" s="2"/>
      <c r="J384" s="2"/>
      <c r="K384" s="2"/>
      <c r="L384" s="3"/>
      <c r="M384" s="3"/>
      <c r="N384" s="3"/>
      <c r="O384" s="4"/>
      <c r="P384" s="5"/>
      <c r="Q384" s="3"/>
      <c r="R384" s="3"/>
      <c r="S384" s="3"/>
      <c r="W384" s="4"/>
      <c r="X384" s="5"/>
      <c r="AE384" s="4"/>
      <c r="AF384" s="5"/>
      <c r="AM384" s="4"/>
      <c r="AN384" s="5"/>
      <c r="AU384" s="4"/>
      <c r="AV384" s="6"/>
      <c r="AW384" s="7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U384" s="6"/>
      <c r="IV384" s="6"/>
      <c r="IW384" s="6"/>
      <c r="IX384" s="6"/>
      <c r="IY384" s="6"/>
      <c r="IZ384" s="6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</row>
    <row r="385" ht="14.25" customHeight="1">
      <c r="H385" s="2"/>
      <c r="I385" s="2"/>
      <c r="J385" s="2"/>
      <c r="K385" s="2"/>
      <c r="L385" s="3"/>
      <c r="M385" s="3"/>
      <c r="N385" s="3"/>
      <c r="O385" s="4"/>
      <c r="P385" s="5"/>
      <c r="Q385" s="3"/>
      <c r="R385" s="3"/>
      <c r="S385" s="3"/>
      <c r="W385" s="4"/>
      <c r="X385" s="5"/>
      <c r="AE385" s="4"/>
      <c r="AF385" s="5"/>
      <c r="AM385" s="4"/>
      <c r="AN385" s="5"/>
      <c r="AU385" s="4"/>
      <c r="AV385" s="6"/>
      <c r="AW385" s="7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6"/>
      <c r="IK385" s="6"/>
      <c r="IL385" s="6"/>
      <c r="IM385" s="6"/>
      <c r="IN385" s="6"/>
      <c r="IO385" s="6"/>
      <c r="IP385" s="6"/>
      <c r="IQ385" s="6"/>
      <c r="IR385" s="6"/>
      <c r="IS385" s="6"/>
      <c r="IT385" s="6"/>
      <c r="IU385" s="6"/>
      <c r="IV385" s="6"/>
      <c r="IW385" s="6"/>
      <c r="IX385" s="6"/>
      <c r="IY385" s="6"/>
      <c r="IZ385" s="6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</row>
  </sheetData>
  <mergeCells count="120">
    <mergeCell ref="AG5:AJ5"/>
    <mergeCell ref="AK5:AK6"/>
    <mergeCell ref="AL5:AL6"/>
    <mergeCell ref="AM5:AM6"/>
    <mergeCell ref="AO5:AR5"/>
    <mergeCell ref="AS5:AS6"/>
    <mergeCell ref="AT5:AT6"/>
    <mergeCell ref="AU5:AU6"/>
    <mergeCell ref="AV5:AV6"/>
    <mergeCell ref="AW5:AW6"/>
    <mergeCell ref="AX5:BA5"/>
    <mergeCell ref="BB5:BE5"/>
    <mergeCell ref="BF5:BI5"/>
    <mergeCell ref="BJ5:BM5"/>
    <mergeCell ref="BQ2:CK2"/>
    <mergeCell ref="JB3:JC3"/>
    <mergeCell ref="CL4:DG4"/>
    <mergeCell ref="DH4:EH4"/>
    <mergeCell ref="EI4:FI4"/>
    <mergeCell ref="FJ4:GL4"/>
    <mergeCell ref="GM4:HP4"/>
    <mergeCell ref="JO4:JP4"/>
    <mergeCell ref="H4:O4"/>
    <mergeCell ref="P4:W4"/>
    <mergeCell ref="X4:AE4"/>
    <mergeCell ref="AF4:AM4"/>
    <mergeCell ref="AN4:AU4"/>
    <mergeCell ref="AV4:BP4"/>
    <mergeCell ref="BQ4:CK4"/>
    <mergeCell ref="A2:A6"/>
    <mergeCell ref="B2:B6"/>
    <mergeCell ref="C2:C6"/>
    <mergeCell ref="D2:D6"/>
    <mergeCell ref="E2:E6"/>
    <mergeCell ref="F2:F6"/>
    <mergeCell ref="G2:G6"/>
    <mergeCell ref="H5:H6"/>
    <mergeCell ref="I5:L5"/>
    <mergeCell ref="M5:M6"/>
    <mergeCell ref="N5:N6"/>
    <mergeCell ref="O5:O6"/>
    <mergeCell ref="P5:P6"/>
    <mergeCell ref="Q5:T5"/>
    <mergeCell ref="U5:U6"/>
    <mergeCell ref="V5:V6"/>
    <mergeCell ref="W5:W6"/>
    <mergeCell ref="Y5:AB5"/>
    <mergeCell ref="AC5:AC6"/>
    <mergeCell ref="AD5:AD6"/>
    <mergeCell ref="AE5:AE6"/>
    <mergeCell ref="BQ5:BQ6"/>
    <mergeCell ref="BR5:BR6"/>
    <mergeCell ref="BS5:BV5"/>
    <mergeCell ref="BW5:BZ5"/>
    <mergeCell ref="CA5:CD5"/>
    <mergeCell ref="CE5:CH5"/>
    <mergeCell ref="CL5:CL6"/>
    <mergeCell ref="DI5:DI6"/>
    <mergeCell ref="DJ5:DJ6"/>
    <mergeCell ref="CM5:CM6"/>
    <mergeCell ref="CN5:CN6"/>
    <mergeCell ref="CO5:CR5"/>
    <mergeCell ref="CS5:CV5"/>
    <mergeCell ref="CW5:CZ5"/>
    <mergeCell ref="DA5:DD5"/>
    <mergeCell ref="DH5:DH6"/>
    <mergeCell ref="EA5:ED5"/>
    <mergeCell ref="EG5:EG6"/>
    <mergeCell ref="DK5:DK6"/>
    <mergeCell ref="DL5:DL6"/>
    <mergeCell ref="DM5:DM6"/>
    <mergeCell ref="DN5:DN6"/>
    <mergeCell ref="DO5:DR5"/>
    <mergeCell ref="DS5:DV5"/>
    <mergeCell ref="DW5:DZ5"/>
    <mergeCell ref="EO5:EO6"/>
    <mergeCell ref="EP5:ES5"/>
    <mergeCell ref="EH5:EH6"/>
    <mergeCell ref="EI5:EI6"/>
    <mergeCell ref="EJ5:EJ6"/>
    <mergeCell ref="EK5:EK6"/>
    <mergeCell ref="EL5:EL6"/>
    <mergeCell ref="EM5:EM6"/>
    <mergeCell ref="EN5:EN6"/>
    <mergeCell ref="FL5:FL6"/>
    <mergeCell ref="FM5:FM6"/>
    <mergeCell ref="ET5:EW5"/>
    <mergeCell ref="EX5:FA5"/>
    <mergeCell ref="FB5:FE5"/>
    <mergeCell ref="FH5:FH6"/>
    <mergeCell ref="FI5:FI6"/>
    <mergeCell ref="FJ5:FJ6"/>
    <mergeCell ref="FK5:FK6"/>
    <mergeCell ref="GA5:GD5"/>
    <mergeCell ref="GE5:GH5"/>
    <mergeCell ref="FN5:FN6"/>
    <mergeCell ref="FO5:FO6"/>
    <mergeCell ref="FP5:FP6"/>
    <mergeCell ref="FQ5:FQ6"/>
    <mergeCell ref="FR5:FR6"/>
    <mergeCell ref="FS5:FV5"/>
    <mergeCell ref="FW5:FZ5"/>
    <mergeCell ref="GR5:GR6"/>
    <mergeCell ref="GS5:GS6"/>
    <mergeCell ref="GK5:GK6"/>
    <mergeCell ref="GL5:GL6"/>
    <mergeCell ref="GM5:GM6"/>
    <mergeCell ref="GN5:GN6"/>
    <mergeCell ref="GO5:GO6"/>
    <mergeCell ref="GP5:GP6"/>
    <mergeCell ref="GQ5:GQ6"/>
    <mergeCell ref="HO5:HO6"/>
    <mergeCell ref="HP5:HP6"/>
    <mergeCell ref="GT5:GT6"/>
    <mergeCell ref="GU5:GU6"/>
    <mergeCell ref="GV5:GV6"/>
    <mergeCell ref="GW5:GZ5"/>
    <mergeCell ref="HA5:HD5"/>
    <mergeCell ref="HE5:HH5"/>
    <mergeCell ref="HI5:HL5"/>
  </mergeCells>
  <printOptions/>
  <pageMargins bottom="0.75" footer="0.0" header="0.0" left="0.7" right="0.7" top="0.75"/>
  <pageSetup scale="5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1" width="8.57"/>
    <col customWidth="1" min="2" max="2" width="20.0"/>
    <col customWidth="1" hidden="1" min="3" max="3" width="20.86"/>
    <col customWidth="1" min="4" max="4" width="20.86"/>
    <col customWidth="1" min="5" max="5" width="3.86"/>
    <col customWidth="1" min="6" max="10" width="8.57"/>
    <col hidden="1" min="216" max="216" width="14.43"/>
    <col customWidth="1" min="257" max="257" width="23.0"/>
    <col customWidth="1" min="258" max="258" width="12.14"/>
    <col customWidth="1" min="260" max="260" width="18.14"/>
    <col customWidth="1" min="261" max="261" width="15.71"/>
    <col customWidth="1" min="262" max="262" width="22.0"/>
    <col customWidth="1" min="263" max="270" width="17.0"/>
  </cols>
  <sheetData>
    <row r="1" ht="14.25" customHeight="1">
      <c r="A1" s="540" t="s">
        <v>301</v>
      </c>
      <c r="IZ1" s="231"/>
      <c r="JA1" s="231"/>
    </row>
    <row r="2" ht="14.25" customHeight="1">
      <c r="A2" s="8" t="s">
        <v>1</v>
      </c>
      <c r="B2" s="8" t="s">
        <v>2</v>
      </c>
      <c r="C2" s="8" t="s">
        <v>3</v>
      </c>
      <c r="D2" s="8" t="s">
        <v>4</v>
      </c>
      <c r="E2" s="541"/>
      <c r="F2" s="9" t="s">
        <v>6</v>
      </c>
      <c r="G2" s="9" t="s">
        <v>7</v>
      </c>
      <c r="H2" s="542"/>
      <c r="I2" s="542"/>
      <c r="J2" s="542"/>
      <c r="K2" s="111"/>
      <c r="L2" s="111"/>
      <c r="M2" s="111"/>
      <c r="N2" s="111"/>
      <c r="O2" s="111"/>
      <c r="P2" s="111"/>
      <c r="Q2" s="543"/>
      <c r="R2" s="111"/>
      <c r="S2" s="111"/>
      <c r="T2" s="111"/>
      <c r="U2" s="111"/>
      <c r="V2" s="111"/>
      <c r="W2" s="6"/>
      <c r="X2" s="165"/>
      <c r="Y2" s="165"/>
      <c r="Z2" s="165"/>
      <c r="AA2" s="236"/>
      <c r="AB2" s="165"/>
      <c r="AC2" s="165"/>
      <c r="AD2" s="165"/>
      <c r="AE2" s="165"/>
      <c r="AF2" s="165"/>
      <c r="AG2" s="165"/>
      <c r="AH2" s="165"/>
      <c r="AI2" s="165"/>
      <c r="AJ2" s="165"/>
      <c r="AK2" s="236"/>
      <c r="AL2" s="165"/>
      <c r="AM2" s="165"/>
      <c r="AN2" s="165"/>
      <c r="AO2" s="165"/>
      <c r="AP2" s="165"/>
      <c r="AQ2" s="165"/>
      <c r="AR2" s="165"/>
      <c r="AS2" s="165"/>
      <c r="AT2" s="165"/>
      <c r="AU2" s="236"/>
      <c r="AV2" s="165"/>
      <c r="AW2" s="165"/>
      <c r="AX2" s="165"/>
      <c r="AY2" s="165"/>
      <c r="AZ2" s="165"/>
      <c r="BA2" s="165"/>
      <c r="BB2" s="165"/>
      <c r="BC2" s="165"/>
      <c r="BD2" s="165"/>
      <c r="BE2" s="236"/>
      <c r="IZ2" s="231"/>
      <c r="JA2" s="231"/>
    </row>
    <row r="3" ht="14.25" customHeight="1">
      <c r="A3" s="19"/>
      <c r="B3" s="19"/>
      <c r="C3" s="19"/>
      <c r="D3" s="19"/>
      <c r="E3" s="544"/>
      <c r="F3" s="19"/>
      <c r="G3" s="19"/>
      <c r="H3" s="542"/>
      <c r="I3" s="542"/>
      <c r="J3" s="542"/>
      <c r="K3" s="111"/>
      <c r="L3" s="111"/>
      <c r="M3" s="111"/>
      <c r="N3" s="111"/>
      <c r="O3" s="111"/>
      <c r="P3" s="111"/>
      <c r="Q3" s="543"/>
      <c r="R3" s="111"/>
      <c r="S3" s="111"/>
      <c r="T3" s="111"/>
      <c r="U3" s="111"/>
      <c r="V3" s="111"/>
      <c r="W3" s="6"/>
      <c r="X3" s="165"/>
      <c r="Y3" s="165"/>
      <c r="Z3" s="165"/>
      <c r="AA3" s="236"/>
      <c r="AB3" s="165"/>
      <c r="AC3" s="165"/>
      <c r="AD3" s="165"/>
      <c r="AE3" s="165"/>
      <c r="AF3" s="165"/>
      <c r="AG3" s="165"/>
      <c r="AH3" s="165"/>
      <c r="AI3" s="165"/>
      <c r="AJ3" s="165"/>
      <c r="AK3" s="236"/>
      <c r="AL3" s="165"/>
      <c r="AM3" s="165"/>
      <c r="AN3" s="165"/>
      <c r="AO3" s="165"/>
      <c r="AP3" s="165"/>
      <c r="AQ3" s="165"/>
      <c r="AR3" s="165"/>
      <c r="AS3" s="165"/>
      <c r="AT3" s="165"/>
      <c r="AU3" s="236"/>
      <c r="AV3" s="165"/>
      <c r="AW3" s="165"/>
      <c r="AX3" s="165"/>
      <c r="AY3" s="165"/>
      <c r="AZ3" s="165"/>
      <c r="BA3" s="165"/>
      <c r="BB3" s="165"/>
      <c r="BC3" s="165"/>
      <c r="BD3" s="165"/>
      <c r="BE3" s="236"/>
      <c r="IZ3" s="231"/>
      <c r="JA3" s="231"/>
    </row>
    <row r="4" ht="14.25" customHeight="1">
      <c r="A4" s="19"/>
      <c r="B4" s="19"/>
      <c r="C4" s="19"/>
      <c r="D4" s="19"/>
      <c r="E4" s="544"/>
      <c r="F4" s="19"/>
      <c r="G4" s="19"/>
      <c r="H4" s="28" t="s">
        <v>9</v>
      </c>
      <c r="I4" s="17"/>
      <c r="J4" s="17"/>
      <c r="K4" s="17"/>
      <c r="L4" s="17"/>
      <c r="M4" s="17"/>
      <c r="N4" s="17"/>
      <c r="O4" s="17"/>
      <c r="P4" s="17"/>
      <c r="Q4" s="18"/>
      <c r="R4" s="48" t="s">
        <v>10</v>
      </c>
      <c r="S4" s="17"/>
      <c r="T4" s="17"/>
      <c r="U4" s="17"/>
      <c r="V4" s="17"/>
      <c r="W4" s="17"/>
      <c r="X4" s="17"/>
      <c r="Y4" s="17"/>
      <c r="Z4" s="17"/>
      <c r="AA4" s="18"/>
      <c r="AB4" s="52" t="s">
        <v>11</v>
      </c>
      <c r="AC4" s="17"/>
      <c r="AD4" s="17"/>
      <c r="AE4" s="17"/>
      <c r="AF4" s="17"/>
      <c r="AG4" s="17"/>
      <c r="AH4" s="17"/>
      <c r="AI4" s="17"/>
      <c r="AJ4" s="17"/>
      <c r="AK4" s="18"/>
      <c r="AL4" s="30" t="s">
        <v>12</v>
      </c>
      <c r="AM4" s="17"/>
      <c r="AN4" s="17"/>
      <c r="AO4" s="17"/>
      <c r="AP4" s="17"/>
      <c r="AQ4" s="17"/>
      <c r="AR4" s="17"/>
      <c r="AS4" s="17"/>
      <c r="AT4" s="17"/>
      <c r="AU4" s="18"/>
      <c r="AV4" s="31" t="s">
        <v>13</v>
      </c>
      <c r="AW4" s="17"/>
      <c r="AX4" s="17"/>
      <c r="AY4" s="17"/>
      <c r="AZ4" s="17"/>
      <c r="BA4" s="17"/>
      <c r="BB4" s="17"/>
      <c r="BC4" s="17"/>
      <c r="BD4" s="17"/>
      <c r="BE4" s="18"/>
      <c r="BF4" s="32" t="s">
        <v>14</v>
      </c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4"/>
      <c r="CC4" s="35" t="s">
        <v>15</v>
      </c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4"/>
      <c r="CZ4" s="36" t="s">
        <v>16</v>
      </c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4"/>
      <c r="DX4" s="37" t="s">
        <v>302</v>
      </c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8"/>
      <c r="EY4" s="38" t="s">
        <v>17</v>
      </c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8"/>
      <c r="FZ4" s="39" t="s">
        <v>18</v>
      </c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8"/>
      <c r="HD4" s="40" t="s">
        <v>19</v>
      </c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8"/>
      <c r="IZ4" s="231"/>
      <c r="JA4" s="231"/>
    </row>
    <row r="5" ht="36.75" customHeight="1">
      <c r="A5" s="19"/>
      <c r="B5" s="19"/>
      <c r="C5" s="19"/>
      <c r="D5" s="19"/>
      <c r="E5" s="544"/>
      <c r="F5" s="19"/>
      <c r="G5" s="19"/>
      <c r="H5" s="43" t="s">
        <v>23</v>
      </c>
      <c r="I5" s="545" t="s">
        <v>43</v>
      </c>
      <c r="J5" s="545" t="s">
        <v>44</v>
      </c>
      <c r="K5" s="28" t="s">
        <v>24</v>
      </c>
      <c r="L5" s="17"/>
      <c r="M5" s="17"/>
      <c r="N5" s="18"/>
      <c r="O5" s="44" t="s">
        <v>25</v>
      </c>
      <c r="P5" s="45" t="s">
        <v>26</v>
      </c>
      <c r="Q5" s="46" t="s">
        <v>27</v>
      </c>
      <c r="R5" s="9" t="s">
        <v>23</v>
      </c>
      <c r="S5" s="546" t="s">
        <v>43</v>
      </c>
      <c r="T5" s="546" t="s">
        <v>44</v>
      </c>
      <c r="U5" s="48" t="s">
        <v>24</v>
      </c>
      <c r="V5" s="17"/>
      <c r="W5" s="17"/>
      <c r="X5" s="18"/>
      <c r="Y5" s="49" t="s">
        <v>25</v>
      </c>
      <c r="Z5" s="50" t="s">
        <v>26</v>
      </c>
      <c r="AA5" s="46" t="s">
        <v>27</v>
      </c>
      <c r="AB5" s="547" t="s">
        <v>23</v>
      </c>
      <c r="AC5" s="548" t="s">
        <v>43</v>
      </c>
      <c r="AD5" s="548" t="s">
        <v>44</v>
      </c>
      <c r="AE5" s="52" t="s">
        <v>24</v>
      </c>
      <c r="AF5" s="17"/>
      <c r="AG5" s="17"/>
      <c r="AH5" s="18"/>
      <c r="AI5" s="53" t="s">
        <v>25</v>
      </c>
      <c r="AJ5" s="54" t="s">
        <v>26</v>
      </c>
      <c r="AK5" s="46" t="s">
        <v>27</v>
      </c>
      <c r="AL5" s="549" t="s">
        <v>23</v>
      </c>
      <c r="AM5" s="550" t="s">
        <v>43</v>
      </c>
      <c r="AN5" s="550" t="s">
        <v>44</v>
      </c>
      <c r="AO5" s="30" t="s">
        <v>24</v>
      </c>
      <c r="AP5" s="17"/>
      <c r="AQ5" s="17"/>
      <c r="AR5" s="18"/>
      <c r="AS5" s="55" t="s">
        <v>25</v>
      </c>
      <c r="AT5" s="56" t="s">
        <v>26</v>
      </c>
      <c r="AU5" s="46" t="s">
        <v>27</v>
      </c>
      <c r="AV5" s="551" t="s">
        <v>23</v>
      </c>
      <c r="AW5" s="552" t="s">
        <v>43</v>
      </c>
      <c r="AX5" s="552" t="s">
        <v>44</v>
      </c>
      <c r="AY5" s="31" t="s">
        <v>24</v>
      </c>
      <c r="AZ5" s="17"/>
      <c r="BA5" s="17"/>
      <c r="BB5" s="18"/>
      <c r="BC5" s="57" t="s">
        <v>25</v>
      </c>
      <c r="BD5" s="58" t="s">
        <v>26</v>
      </c>
      <c r="BE5" s="46" t="s">
        <v>27</v>
      </c>
      <c r="BF5" s="60" t="s">
        <v>28</v>
      </c>
      <c r="BG5" s="553" t="s">
        <v>23</v>
      </c>
      <c r="BH5" s="554" t="s">
        <v>43</v>
      </c>
      <c r="BI5" s="554" t="s">
        <v>44</v>
      </c>
      <c r="BJ5" s="62" t="s">
        <v>29</v>
      </c>
      <c r="BK5" s="63"/>
      <c r="BL5" s="63"/>
      <c r="BM5" s="64"/>
      <c r="BN5" s="62" t="s">
        <v>30</v>
      </c>
      <c r="BO5" s="63"/>
      <c r="BP5" s="63"/>
      <c r="BQ5" s="64"/>
      <c r="BR5" s="62" t="s">
        <v>31</v>
      </c>
      <c r="BS5" s="63"/>
      <c r="BT5" s="63"/>
      <c r="BU5" s="64"/>
      <c r="BV5" s="62" t="s">
        <v>32</v>
      </c>
      <c r="BW5" s="63"/>
      <c r="BX5" s="63"/>
      <c r="BY5" s="64"/>
      <c r="BZ5" s="65" t="s">
        <v>33</v>
      </c>
      <c r="CA5" s="65" t="s">
        <v>34</v>
      </c>
      <c r="CB5" s="66" t="s">
        <v>35</v>
      </c>
      <c r="CC5" s="67" t="s">
        <v>36</v>
      </c>
      <c r="CD5" s="555" t="s">
        <v>23</v>
      </c>
      <c r="CE5" s="556" t="s">
        <v>43</v>
      </c>
      <c r="CF5" s="556" t="s">
        <v>44</v>
      </c>
      <c r="CG5" s="69" t="s">
        <v>29</v>
      </c>
      <c r="CH5" s="63"/>
      <c r="CI5" s="63"/>
      <c r="CJ5" s="64"/>
      <c r="CK5" s="69" t="s">
        <v>30</v>
      </c>
      <c r="CL5" s="63"/>
      <c r="CM5" s="63"/>
      <c r="CN5" s="64"/>
      <c r="CO5" s="69" t="s">
        <v>31</v>
      </c>
      <c r="CP5" s="63"/>
      <c r="CQ5" s="63"/>
      <c r="CR5" s="64"/>
      <c r="CS5" s="69" t="s">
        <v>32</v>
      </c>
      <c r="CT5" s="63"/>
      <c r="CU5" s="63"/>
      <c r="CV5" s="64"/>
      <c r="CW5" s="70" t="s">
        <v>33</v>
      </c>
      <c r="CX5" s="70" t="s">
        <v>34</v>
      </c>
      <c r="CY5" s="71" t="s">
        <v>35</v>
      </c>
      <c r="CZ5" s="72" t="s">
        <v>37</v>
      </c>
      <c r="DA5" s="72" t="s">
        <v>303</v>
      </c>
      <c r="DB5" s="74" t="s">
        <v>23</v>
      </c>
      <c r="DC5" s="557" t="s">
        <v>43</v>
      </c>
      <c r="DD5" s="557" t="s">
        <v>44</v>
      </c>
      <c r="DE5" s="75" t="s">
        <v>29</v>
      </c>
      <c r="DF5" s="63"/>
      <c r="DG5" s="63"/>
      <c r="DH5" s="64"/>
      <c r="DI5" s="75" t="s">
        <v>30</v>
      </c>
      <c r="DJ5" s="63"/>
      <c r="DK5" s="63"/>
      <c r="DL5" s="64"/>
      <c r="DM5" s="75" t="s">
        <v>31</v>
      </c>
      <c r="DN5" s="63"/>
      <c r="DO5" s="63"/>
      <c r="DP5" s="64"/>
      <c r="DQ5" s="75" t="s">
        <v>32</v>
      </c>
      <c r="DR5" s="63"/>
      <c r="DS5" s="63"/>
      <c r="DT5" s="64"/>
      <c r="DU5" s="76" t="s">
        <v>33</v>
      </c>
      <c r="DV5" s="76" t="s">
        <v>34</v>
      </c>
      <c r="DW5" s="558" t="s">
        <v>35</v>
      </c>
      <c r="DX5" s="78" t="s">
        <v>304</v>
      </c>
      <c r="DY5" s="79" t="s">
        <v>305</v>
      </c>
      <c r="DZ5" s="79" t="s">
        <v>41</v>
      </c>
      <c r="EA5" s="79" t="s">
        <v>42</v>
      </c>
      <c r="EB5" s="80" t="s">
        <v>23</v>
      </c>
      <c r="EC5" s="81" t="s">
        <v>306</v>
      </c>
      <c r="ED5" s="81" t="s">
        <v>307</v>
      </c>
      <c r="EE5" s="82" t="s">
        <v>29</v>
      </c>
      <c r="EF5" s="17"/>
      <c r="EG5" s="17"/>
      <c r="EH5" s="18"/>
      <c r="EI5" s="82" t="s">
        <v>30</v>
      </c>
      <c r="EJ5" s="17"/>
      <c r="EK5" s="17"/>
      <c r="EL5" s="18"/>
      <c r="EM5" s="82" t="s">
        <v>31</v>
      </c>
      <c r="EN5" s="17"/>
      <c r="EO5" s="17"/>
      <c r="EP5" s="18"/>
      <c r="EQ5" s="82" t="s">
        <v>32</v>
      </c>
      <c r="ER5" s="17"/>
      <c r="ES5" s="17"/>
      <c r="ET5" s="18"/>
      <c r="EU5" s="83" t="s">
        <v>33</v>
      </c>
      <c r="EV5" s="83" t="s">
        <v>34</v>
      </c>
      <c r="EW5" s="84" t="s">
        <v>35</v>
      </c>
      <c r="EX5" s="85" t="s">
        <v>45</v>
      </c>
      <c r="EY5" s="86" t="s">
        <v>39</v>
      </c>
      <c r="EZ5" s="87" t="s">
        <v>46</v>
      </c>
      <c r="FA5" s="87" t="s">
        <v>47</v>
      </c>
      <c r="FB5" s="87" t="s">
        <v>48</v>
      </c>
      <c r="FC5" s="88" t="s">
        <v>23</v>
      </c>
      <c r="FD5" s="89" t="s">
        <v>43</v>
      </c>
      <c r="FE5" s="89" t="s">
        <v>44</v>
      </c>
      <c r="FF5" s="90" t="s">
        <v>29</v>
      </c>
      <c r="FG5" s="17"/>
      <c r="FH5" s="17"/>
      <c r="FI5" s="18"/>
      <c r="FJ5" s="90" t="s">
        <v>30</v>
      </c>
      <c r="FK5" s="17"/>
      <c r="FL5" s="17"/>
      <c r="FM5" s="18"/>
      <c r="FN5" s="90" t="s">
        <v>31</v>
      </c>
      <c r="FO5" s="17"/>
      <c r="FP5" s="17"/>
      <c r="FQ5" s="18"/>
      <c r="FR5" s="90" t="s">
        <v>32</v>
      </c>
      <c r="FS5" s="17"/>
      <c r="FT5" s="17"/>
      <c r="FU5" s="18"/>
      <c r="FV5" s="91" t="s">
        <v>33</v>
      </c>
      <c r="FW5" s="91" t="s">
        <v>34</v>
      </c>
      <c r="FX5" s="92" t="s">
        <v>35</v>
      </c>
      <c r="FY5" s="93" t="s">
        <v>45</v>
      </c>
      <c r="FZ5" s="94" t="s">
        <v>49</v>
      </c>
      <c r="GA5" s="95" t="s">
        <v>50</v>
      </c>
      <c r="GB5" s="95" t="s">
        <v>51</v>
      </c>
      <c r="GC5" s="95" t="s">
        <v>52</v>
      </c>
      <c r="GD5" s="95" t="s">
        <v>308</v>
      </c>
      <c r="GE5" s="95" t="s">
        <v>309</v>
      </c>
      <c r="GF5" s="95" t="s">
        <v>310</v>
      </c>
      <c r="GG5" s="98" t="s">
        <v>23</v>
      </c>
      <c r="GH5" s="95" t="s">
        <v>43</v>
      </c>
      <c r="GI5" s="95" t="s">
        <v>44</v>
      </c>
      <c r="GJ5" s="99" t="s">
        <v>29</v>
      </c>
      <c r="GK5" s="17"/>
      <c r="GL5" s="17"/>
      <c r="GM5" s="18"/>
      <c r="GN5" s="99" t="s">
        <v>30</v>
      </c>
      <c r="GO5" s="17"/>
      <c r="GP5" s="17"/>
      <c r="GQ5" s="18"/>
      <c r="GR5" s="99" t="s">
        <v>31</v>
      </c>
      <c r="GS5" s="17"/>
      <c r="GT5" s="17"/>
      <c r="GU5" s="18"/>
      <c r="GV5" s="99" t="s">
        <v>32</v>
      </c>
      <c r="GW5" s="17"/>
      <c r="GX5" s="17"/>
      <c r="GY5" s="18"/>
      <c r="GZ5" s="100" t="s">
        <v>33</v>
      </c>
      <c r="HA5" s="100" t="s">
        <v>34</v>
      </c>
      <c r="HB5" s="101" t="s">
        <v>35</v>
      </c>
      <c r="HC5" s="102" t="s">
        <v>45</v>
      </c>
      <c r="HD5" s="103" t="s">
        <v>55</v>
      </c>
      <c r="HE5" s="104" t="s">
        <v>56</v>
      </c>
      <c r="HF5" s="104" t="s">
        <v>57</v>
      </c>
      <c r="HG5" s="104" t="s">
        <v>58</v>
      </c>
      <c r="HH5" s="105" t="s">
        <v>53</v>
      </c>
      <c r="HI5" s="97" t="s">
        <v>54</v>
      </c>
      <c r="HJ5" s="97" t="s">
        <v>311</v>
      </c>
      <c r="HK5" s="106" t="s">
        <v>23</v>
      </c>
      <c r="HL5" s="104" t="s">
        <v>43</v>
      </c>
      <c r="HM5" s="104" t="s">
        <v>44</v>
      </c>
      <c r="HN5" s="107" t="s">
        <v>29</v>
      </c>
      <c r="HO5" s="17"/>
      <c r="HP5" s="17"/>
      <c r="HQ5" s="18"/>
      <c r="HR5" s="107" t="s">
        <v>30</v>
      </c>
      <c r="HS5" s="17"/>
      <c r="HT5" s="17"/>
      <c r="HU5" s="18"/>
      <c r="HV5" s="107" t="s">
        <v>31</v>
      </c>
      <c r="HW5" s="17"/>
      <c r="HX5" s="17"/>
      <c r="HY5" s="18"/>
      <c r="HZ5" s="107" t="s">
        <v>32</v>
      </c>
      <c r="IA5" s="17"/>
      <c r="IB5" s="17"/>
      <c r="IC5" s="18"/>
      <c r="ID5" s="108" t="s">
        <v>33</v>
      </c>
      <c r="IE5" s="108" t="s">
        <v>34</v>
      </c>
      <c r="IF5" s="109" t="s">
        <v>35</v>
      </c>
      <c r="IG5" s="110" t="s">
        <v>45</v>
      </c>
      <c r="IZ5" s="231"/>
      <c r="JA5" s="231"/>
      <c r="JB5" s="559"/>
      <c r="JC5" s="559"/>
      <c r="JD5" s="560"/>
      <c r="JE5" s="560"/>
      <c r="JF5" s="560"/>
      <c r="JG5" s="560"/>
      <c r="JH5" s="560"/>
      <c r="JI5" s="560"/>
      <c r="JJ5" s="560"/>
    </row>
    <row r="6" ht="14.25" customHeight="1">
      <c r="A6" s="115"/>
      <c r="B6" s="115"/>
      <c r="C6" s="115"/>
      <c r="D6" s="115"/>
      <c r="E6" s="561"/>
      <c r="F6" s="115"/>
      <c r="G6" s="115"/>
      <c r="H6" s="19"/>
      <c r="I6" s="19"/>
      <c r="J6" s="19"/>
      <c r="K6" s="116" t="s">
        <v>70</v>
      </c>
      <c r="L6" s="116" t="s">
        <v>71</v>
      </c>
      <c r="M6" s="116" t="s">
        <v>72</v>
      </c>
      <c r="N6" s="116" t="s">
        <v>73</v>
      </c>
      <c r="O6" s="115"/>
      <c r="P6" s="115"/>
      <c r="Q6" s="115"/>
      <c r="R6" s="115"/>
      <c r="S6" s="115"/>
      <c r="T6" s="115"/>
      <c r="U6" s="117" t="s">
        <v>70</v>
      </c>
      <c r="V6" s="117" t="s">
        <v>71</v>
      </c>
      <c r="W6" s="117" t="s">
        <v>72</v>
      </c>
      <c r="X6" s="117" t="s">
        <v>73</v>
      </c>
      <c r="Y6" s="115"/>
      <c r="Z6" s="115"/>
      <c r="AA6" s="115"/>
      <c r="AB6" s="115"/>
      <c r="AC6" s="115"/>
      <c r="AD6" s="115"/>
      <c r="AE6" s="119" t="s">
        <v>70</v>
      </c>
      <c r="AF6" s="119" t="s">
        <v>71</v>
      </c>
      <c r="AG6" s="119" t="s">
        <v>72</v>
      </c>
      <c r="AH6" s="119" t="s">
        <v>73</v>
      </c>
      <c r="AI6" s="115"/>
      <c r="AJ6" s="115"/>
      <c r="AK6" s="115"/>
      <c r="AL6" s="115"/>
      <c r="AM6" s="115"/>
      <c r="AN6" s="115"/>
      <c r="AO6" s="120" t="s">
        <v>70</v>
      </c>
      <c r="AP6" s="120" t="s">
        <v>71</v>
      </c>
      <c r="AQ6" s="120" t="s">
        <v>72</v>
      </c>
      <c r="AR6" s="120" t="s">
        <v>73</v>
      </c>
      <c r="AS6" s="115"/>
      <c r="AT6" s="115"/>
      <c r="AU6" s="115"/>
      <c r="AV6" s="115"/>
      <c r="AW6" s="115"/>
      <c r="AX6" s="115"/>
      <c r="AY6" s="121" t="s">
        <v>70</v>
      </c>
      <c r="AZ6" s="121" t="s">
        <v>71</v>
      </c>
      <c r="BA6" s="121" t="s">
        <v>72</v>
      </c>
      <c r="BB6" s="121" t="s">
        <v>73</v>
      </c>
      <c r="BC6" s="115"/>
      <c r="BD6" s="115"/>
      <c r="BE6" s="115"/>
      <c r="BF6" s="115"/>
      <c r="BG6" s="562"/>
      <c r="BH6" s="563"/>
      <c r="BI6" s="563"/>
      <c r="BJ6" s="124" t="s">
        <v>70</v>
      </c>
      <c r="BK6" s="125" t="s">
        <v>71</v>
      </c>
      <c r="BL6" s="125" t="s">
        <v>72</v>
      </c>
      <c r="BM6" s="126" t="s">
        <v>73</v>
      </c>
      <c r="BN6" s="124" t="s">
        <v>70</v>
      </c>
      <c r="BO6" s="125" t="s">
        <v>71</v>
      </c>
      <c r="BP6" s="125" t="s">
        <v>72</v>
      </c>
      <c r="BQ6" s="126" t="s">
        <v>73</v>
      </c>
      <c r="BR6" s="124" t="s">
        <v>70</v>
      </c>
      <c r="BS6" s="125" t="s">
        <v>71</v>
      </c>
      <c r="BT6" s="125" t="s">
        <v>72</v>
      </c>
      <c r="BU6" s="126" t="s">
        <v>73</v>
      </c>
      <c r="BV6" s="124" t="s">
        <v>70</v>
      </c>
      <c r="BW6" s="125" t="s">
        <v>71</v>
      </c>
      <c r="BX6" s="125" t="s">
        <v>72</v>
      </c>
      <c r="BY6" s="126" t="s">
        <v>73</v>
      </c>
      <c r="BZ6" s="126" t="s">
        <v>74</v>
      </c>
      <c r="CA6" s="127" t="s">
        <v>75</v>
      </c>
      <c r="CB6" s="127" t="s">
        <v>75</v>
      </c>
      <c r="CC6" s="115"/>
      <c r="CD6" s="562"/>
      <c r="CE6" s="563"/>
      <c r="CF6" s="563"/>
      <c r="CG6" s="128" t="s">
        <v>70</v>
      </c>
      <c r="CH6" s="129" t="s">
        <v>71</v>
      </c>
      <c r="CI6" s="129" t="s">
        <v>72</v>
      </c>
      <c r="CJ6" s="130" t="s">
        <v>73</v>
      </c>
      <c r="CK6" s="128" t="s">
        <v>70</v>
      </c>
      <c r="CL6" s="129" t="s">
        <v>71</v>
      </c>
      <c r="CM6" s="129" t="s">
        <v>72</v>
      </c>
      <c r="CN6" s="130" t="s">
        <v>73</v>
      </c>
      <c r="CO6" s="128" t="s">
        <v>70</v>
      </c>
      <c r="CP6" s="129" t="s">
        <v>71</v>
      </c>
      <c r="CQ6" s="129" t="s">
        <v>72</v>
      </c>
      <c r="CR6" s="130" t="s">
        <v>73</v>
      </c>
      <c r="CS6" s="128" t="s">
        <v>70</v>
      </c>
      <c r="CT6" s="129" t="s">
        <v>71</v>
      </c>
      <c r="CU6" s="129" t="s">
        <v>72</v>
      </c>
      <c r="CV6" s="130" t="s">
        <v>73</v>
      </c>
      <c r="CW6" s="130" t="s">
        <v>74</v>
      </c>
      <c r="CX6" s="131" t="s">
        <v>75</v>
      </c>
      <c r="CY6" s="131" t="s">
        <v>75</v>
      </c>
      <c r="CZ6" s="115"/>
      <c r="DA6" s="115"/>
      <c r="DB6" s="123"/>
      <c r="DC6" s="563"/>
      <c r="DD6" s="563"/>
      <c r="DE6" s="133" t="s">
        <v>70</v>
      </c>
      <c r="DF6" s="134" t="s">
        <v>71</v>
      </c>
      <c r="DG6" s="134" t="s">
        <v>72</v>
      </c>
      <c r="DH6" s="135" t="s">
        <v>73</v>
      </c>
      <c r="DI6" s="133" t="s">
        <v>70</v>
      </c>
      <c r="DJ6" s="134" t="s">
        <v>71</v>
      </c>
      <c r="DK6" s="134" t="s">
        <v>72</v>
      </c>
      <c r="DL6" s="135" t="s">
        <v>73</v>
      </c>
      <c r="DM6" s="133" t="s">
        <v>70</v>
      </c>
      <c r="DN6" s="134" t="s">
        <v>71</v>
      </c>
      <c r="DO6" s="134" t="s">
        <v>72</v>
      </c>
      <c r="DP6" s="135" t="s">
        <v>73</v>
      </c>
      <c r="DQ6" s="133" t="s">
        <v>70</v>
      </c>
      <c r="DR6" s="134" t="s">
        <v>71</v>
      </c>
      <c r="DS6" s="134" t="s">
        <v>72</v>
      </c>
      <c r="DT6" s="135" t="s">
        <v>73</v>
      </c>
      <c r="DU6" s="135" t="s">
        <v>74</v>
      </c>
      <c r="DV6" s="136" t="s">
        <v>75</v>
      </c>
      <c r="DW6" s="136" t="s">
        <v>75</v>
      </c>
      <c r="DX6" s="115"/>
      <c r="DY6" s="115"/>
      <c r="DZ6" s="115"/>
      <c r="EA6" s="115"/>
      <c r="EB6" s="115"/>
      <c r="EC6" s="115"/>
      <c r="ED6" s="115"/>
      <c r="EE6" s="138" t="s">
        <v>70</v>
      </c>
      <c r="EF6" s="139" t="s">
        <v>71</v>
      </c>
      <c r="EG6" s="139" t="s">
        <v>72</v>
      </c>
      <c r="EH6" s="138" t="s">
        <v>73</v>
      </c>
      <c r="EI6" s="138" t="s">
        <v>70</v>
      </c>
      <c r="EJ6" s="139" t="s">
        <v>71</v>
      </c>
      <c r="EK6" s="139" t="s">
        <v>72</v>
      </c>
      <c r="EL6" s="138" t="s">
        <v>73</v>
      </c>
      <c r="EM6" s="138" t="s">
        <v>70</v>
      </c>
      <c r="EN6" s="139" t="s">
        <v>71</v>
      </c>
      <c r="EO6" s="139" t="s">
        <v>72</v>
      </c>
      <c r="EP6" s="138" t="s">
        <v>73</v>
      </c>
      <c r="EQ6" s="138" t="s">
        <v>70</v>
      </c>
      <c r="ER6" s="139" t="s">
        <v>71</v>
      </c>
      <c r="ES6" s="139" t="s">
        <v>72</v>
      </c>
      <c r="ET6" s="138" t="s">
        <v>73</v>
      </c>
      <c r="EU6" s="138" t="s">
        <v>74</v>
      </c>
      <c r="EV6" s="138" t="s">
        <v>75</v>
      </c>
      <c r="EW6" s="115"/>
      <c r="EX6" s="115"/>
      <c r="EY6" s="115"/>
      <c r="EZ6" s="115"/>
      <c r="FA6" s="115"/>
      <c r="FB6" s="115"/>
      <c r="FC6" s="115"/>
      <c r="FD6" s="115"/>
      <c r="FE6" s="115"/>
      <c r="FF6" s="140" t="s">
        <v>70</v>
      </c>
      <c r="FG6" s="141" t="s">
        <v>71</v>
      </c>
      <c r="FH6" s="141" t="s">
        <v>72</v>
      </c>
      <c r="FI6" s="140" t="s">
        <v>73</v>
      </c>
      <c r="FJ6" s="140" t="s">
        <v>70</v>
      </c>
      <c r="FK6" s="141" t="s">
        <v>71</v>
      </c>
      <c r="FL6" s="141" t="s">
        <v>72</v>
      </c>
      <c r="FM6" s="140" t="s">
        <v>73</v>
      </c>
      <c r="FN6" s="140" t="s">
        <v>70</v>
      </c>
      <c r="FO6" s="141" t="s">
        <v>71</v>
      </c>
      <c r="FP6" s="141" t="s">
        <v>72</v>
      </c>
      <c r="FQ6" s="140" t="s">
        <v>73</v>
      </c>
      <c r="FR6" s="140" t="s">
        <v>70</v>
      </c>
      <c r="FS6" s="141" t="s">
        <v>71</v>
      </c>
      <c r="FT6" s="141" t="s">
        <v>72</v>
      </c>
      <c r="FU6" s="140" t="s">
        <v>73</v>
      </c>
      <c r="FV6" s="140" t="s">
        <v>74</v>
      </c>
      <c r="FW6" s="140" t="s">
        <v>75</v>
      </c>
      <c r="FX6" s="115"/>
      <c r="FY6" s="115"/>
      <c r="FZ6" s="115"/>
      <c r="GA6" s="115"/>
      <c r="GB6" s="115"/>
      <c r="GC6" s="115"/>
      <c r="GD6" s="115"/>
      <c r="GE6" s="115"/>
      <c r="GF6" s="115"/>
      <c r="GG6" s="115"/>
      <c r="GH6" s="115"/>
      <c r="GI6" s="115"/>
      <c r="GJ6" s="100" t="s">
        <v>70</v>
      </c>
      <c r="GK6" s="142" t="s">
        <v>71</v>
      </c>
      <c r="GL6" s="142" t="s">
        <v>72</v>
      </c>
      <c r="GM6" s="100" t="s">
        <v>73</v>
      </c>
      <c r="GN6" s="100" t="s">
        <v>70</v>
      </c>
      <c r="GO6" s="142" t="s">
        <v>71</v>
      </c>
      <c r="GP6" s="142" t="s">
        <v>72</v>
      </c>
      <c r="GQ6" s="100" t="s">
        <v>73</v>
      </c>
      <c r="GR6" s="100" t="s">
        <v>70</v>
      </c>
      <c r="GS6" s="142" t="s">
        <v>71</v>
      </c>
      <c r="GT6" s="142" t="s">
        <v>72</v>
      </c>
      <c r="GU6" s="100" t="s">
        <v>73</v>
      </c>
      <c r="GV6" s="100" t="s">
        <v>70</v>
      </c>
      <c r="GW6" s="142" t="s">
        <v>71</v>
      </c>
      <c r="GX6" s="142" t="s">
        <v>72</v>
      </c>
      <c r="GY6" s="100" t="s">
        <v>73</v>
      </c>
      <c r="GZ6" s="100" t="s">
        <v>74</v>
      </c>
      <c r="HA6" s="100" t="s">
        <v>75</v>
      </c>
      <c r="HB6" s="115"/>
      <c r="HC6" s="115"/>
      <c r="HD6" s="115"/>
      <c r="HE6" s="115"/>
      <c r="HF6" s="115"/>
      <c r="HG6" s="115"/>
      <c r="HH6" s="115"/>
      <c r="HI6" s="115"/>
      <c r="HJ6" s="115"/>
      <c r="HK6" s="115"/>
      <c r="HL6" s="115"/>
      <c r="HM6" s="115"/>
      <c r="HN6" s="108" t="s">
        <v>70</v>
      </c>
      <c r="HO6" s="143" t="s">
        <v>71</v>
      </c>
      <c r="HP6" s="143" t="s">
        <v>72</v>
      </c>
      <c r="HQ6" s="108" t="s">
        <v>73</v>
      </c>
      <c r="HR6" s="108" t="s">
        <v>70</v>
      </c>
      <c r="HS6" s="143" t="s">
        <v>71</v>
      </c>
      <c r="HT6" s="143" t="s">
        <v>72</v>
      </c>
      <c r="HU6" s="108" t="s">
        <v>73</v>
      </c>
      <c r="HV6" s="108" t="s">
        <v>70</v>
      </c>
      <c r="HW6" s="143" t="s">
        <v>71</v>
      </c>
      <c r="HX6" s="143" t="s">
        <v>72</v>
      </c>
      <c r="HY6" s="108" t="s">
        <v>73</v>
      </c>
      <c r="HZ6" s="108" t="s">
        <v>70</v>
      </c>
      <c r="IA6" s="143" t="s">
        <v>71</v>
      </c>
      <c r="IB6" s="143" t="s">
        <v>72</v>
      </c>
      <c r="IC6" s="108" t="s">
        <v>73</v>
      </c>
      <c r="ID6" s="108" t="s">
        <v>74</v>
      </c>
      <c r="IE6" s="108" t="s">
        <v>75</v>
      </c>
      <c r="IF6" s="115"/>
      <c r="IG6" s="115"/>
      <c r="IZ6" s="564" t="s">
        <v>312</v>
      </c>
      <c r="JA6" s="17"/>
      <c r="JB6" s="17"/>
      <c r="JC6" s="18"/>
      <c r="JD6" s="565"/>
      <c r="JE6" s="565"/>
      <c r="JF6" s="564" t="s">
        <v>313</v>
      </c>
      <c r="JG6" s="17"/>
      <c r="JH6" s="17"/>
      <c r="JI6" s="18"/>
      <c r="JJ6" s="565"/>
    </row>
    <row r="7" ht="14.25" customHeight="1">
      <c r="A7" s="145">
        <v>1.0</v>
      </c>
      <c r="B7" s="145">
        <v>2.0</v>
      </c>
      <c r="C7" s="145"/>
      <c r="D7" s="145">
        <v>3.0</v>
      </c>
      <c r="E7" s="145"/>
      <c r="F7" s="145">
        <v>5.0</v>
      </c>
      <c r="G7" s="145">
        <v>6.0</v>
      </c>
      <c r="H7" s="115"/>
      <c r="I7" s="115"/>
      <c r="J7" s="115"/>
      <c r="K7" s="358"/>
      <c r="L7" s="358"/>
      <c r="M7" s="358"/>
      <c r="N7" s="358"/>
      <c r="O7" s="358"/>
      <c r="P7" s="358"/>
      <c r="Q7" s="231"/>
      <c r="R7" s="358"/>
      <c r="S7" s="358"/>
      <c r="T7" s="358"/>
      <c r="U7" s="358"/>
      <c r="V7" s="358"/>
      <c r="W7" s="165"/>
      <c r="X7" s="165"/>
      <c r="Y7" s="165"/>
      <c r="Z7" s="165"/>
      <c r="AA7" s="236"/>
      <c r="AB7" s="165"/>
      <c r="AC7" s="165"/>
      <c r="AD7" s="165"/>
      <c r="AE7" s="165"/>
      <c r="AF7" s="165"/>
      <c r="AG7" s="165"/>
      <c r="AH7" s="165"/>
      <c r="AI7" s="165"/>
      <c r="AJ7" s="165"/>
      <c r="AK7" s="236"/>
      <c r="AL7" s="165"/>
      <c r="AM7" s="165"/>
      <c r="AN7" s="165"/>
      <c r="AO7" s="165"/>
      <c r="AP7" s="165"/>
      <c r="AQ7" s="165"/>
      <c r="AR7" s="165"/>
      <c r="AS7" s="165"/>
      <c r="AT7" s="165"/>
      <c r="AU7" s="236"/>
      <c r="AV7" s="165"/>
      <c r="AW7" s="165"/>
      <c r="AX7" s="165"/>
      <c r="AY7" s="165"/>
      <c r="AZ7" s="165"/>
      <c r="BA7" s="165"/>
      <c r="BB7" s="165"/>
      <c r="BC7" s="165"/>
      <c r="BD7" s="165"/>
      <c r="BE7" s="236"/>
      <c r="BF7" s="146">
        <v>47.0</v>
      </c>
      <c r="BG7" s="146">
        <v>48.0</v>
      </c>
      <c r="BH7" s="146"/>
      <c r="BI7" s="146"/>
      <c r="BJ7" s="146">
        <v>49.0</v>
      </c>
      <c r="BK7" s="146">
        <v>50.0</v>
      </c>
      <c r="BL7" s="146">
        <v>51.0</v>
      </c>
      <c r="BM7" s="146">
        <v>52.0</v>
      </c>
      <c r="BN7" s="146">
        <v>53.0</v>
      </c>
      <c r="BO7" s="146">
        <v>54.0</v>
      </c>
      <c r="BP7" s="146">
        <v>55.0</v>
      </c>
      <c r="BQ7" s="146">
        <v>56.0</v>
      </c>
      <c r="BR7" s="146">
        <v>57.0</v>
      </c>
      <c r="BS7" s="146">
        <v>58.0</v>
      </c>
      <c r="BT7" s="146">
        <v>59.0</v>
      </c>
      <c r="BU7" s="146">
        <v>60.0</v>
      </c>
      <c r="BV7" s="146">
        <v>61.0</v>
      </c>
      <c r="BW7" s="146">
        <v>62.0</v>
      </c>
      <c r="BX7" s="146">
        <v>63.0</v>
      </c>
      <c r="BY7" s="146">
        <v>64.0</v>
      </c>
      <c r="BZ7" s="146">
        <v>65.0</v>
      </c>
      <c r="CA7" s="146">
        <v>66.0</v>
      </c>
      <c r="CB7" s="146">
        <v>67.0</v>
      </c>
      <c r="CC7" s="147">
        <v>68.0</v>
      </c>
      <c r="CD7" s="147">
        <v>69.0</v>
      </c>
      <c r="CE7" s="147"/>
      <c r="CF7" s="147"/>
      <c r="CG7" s="147">
        <v>70.0</v>
      </c>
      <c r="CH7" s="147">
        <v>71.0</v>
      </c>
      <c r="CI7" s="147">
        <v>72.0</v>
      </c>
      <c r="CJ7" s="147">
        <v>73.0</v>
      </c>
      <c r="CK7" s="147">
        <v>74.0</v>
      </c>
      <c r="CL7" s="147">
        <v>75.0</v>
      </c>
      <c r="CM7" s="147">
        <v>76.0</v>
      </c>
      <c r="CN7" s="147">
        <v>77.0</v>
      </c>
      <c r="CO7" s="147">
        <v>78.0</v>
      </c>
      <c r="CP7" s="147">
        <v>79.0</v>
      </c>
      <c r="CQ7" s="147">
        <v>80.0</v>
      </c>
      <c r="CR7" s="147">
        <v>81.0</v>
      </c>
      <c r="CS7" s="147">
        <v>82.0</v>
      </c>
      <c r="CT7" s="147">
        <v>83.0</v>
      </c>
      <c r="CU7" s="147">
        <v>84.0</v>
      </c>
      <c r="CV7" s="147">
        <v>85.0</v>
      </c>
      <c r="CW7" s="147">
        <v>86.0</v>
      </c>
      <c r="CX7" s="147">
        <v>87.0</v>
      </c>
      <c r="CY7" s="147">
        <v>88.0</v>
      </c>
      <c r="CZ7" s="147">
        <v>89.0</v>
      </c>
      <c r="DA7" s="147">
        <v>90.0</v>
      </c>
      <c r="DB7" s="147">
        <v>91.0</v>
      </c>
      <c r="DC7" s="147"/>
      <c r="DD7" s="147"/>
      <c r="DE7" s="147">
        <v>92.0</v>
      </c>
      <c r="DF7" s="147">
        <v>93.0</v>
      </c>
      <c r="DG7" s="147">
        <v>94.0</v>
      </c>
      <c r="DH7" s="147">
        <v>95.0</v>
      </c>
      <c r="DI7" s="147">
        <v>96.0</v>
      </c>
      <c r="DJ7" s="147">
        <v>97.0</v>
      </c>
      <c r="DK7" s="147">
        <v>98.0</v>
      </c>
      <c r="DL7" s="147">
        <v>99.0</v>
      </c>
      <c r="DM7" s="147">
        <v>100.0</v>
      </c>
      <c r="DN7" s="147">
        <v>101.0</v>
      </c>
      <c r="DO7" s="147">
        <v>102.0</v>
      </c>
      <c r="DP7" s="147">
        <v>103.0</v>
      </c>
      <c r="DQ7" s="147">
        <v>104.0</v>
      </c>
      <c r="DR7" s="147">
        <v>105.0</v>
      </c>
      <c r="DS7" s="147">
        <v>106.0</v>
      </c>
      <c r="DT7" s="147">
        <v>107.0</v>
      </c>
      <c r="DU7" s="147">
        <v>108.0</v>
      </c>
      <c r="DV7" s="147">
        <v>109.0</v>
      </c>
      <c r="DW7" s="147">
        <v>110.0</v>
      </c>
      <c r="DX7" s="148">
        <v>111.0</v>
      </c>
      <c r="DY7" s="148">
        <v>112.0</v>
      </c>
      <c r="DZ7" s="148">
        <v>113.0</v>
      </c>
      <c r="EA7" s="148">
        <v>114.0</v>
      </c>
      <c r="EB7" s="148">
        <v>115.0</v>
      </c>
      <c r="EC7" s="148">
        <v>116.0</v>
      </c>
      <c r="ED7" s="148"/>
      <c r="EE7" s="148">
        <v>117.0</v>
      </c>
      <c r="EF7" s="148">
        <v>118.0</v>
      </c>
      <c r="EG7" s="148">
        <v>119.0</v>
      </c>
      <c r="EH7" s="148">
        <v>120.0</v>
      </c>
      <c r="EI7" s="148">
        <v>121.0</v>
      </c>
      <c r="EJ7" s="148">
        <v>122.0</v>
      </c>
      <c r="EK7" s="148">
        <v>123.0</v>
      </c>
      <c r="EL7" s="148">
        <v>124.0</v>
      </c>
      <c r="EM7" s="148">
        <v>125.0</v>
      </c>
      <c r="EN7" s="148">
        <v>126.0</v>
      </c>
      <c r="EO7" s="148">
        <v>127.0</v>
      </c>
      <c r="EP7" s="148">
        <v>128.0</v>
      </c>
      <c r="EQ7" s="148">
        <v>129.0</v>
      </c>
      <c r="ER7" s="148">
        <v>130.0</v>
      </c>
      <c r="ES7" s="148">
        <v>131.0</v>
      </c>
      <c r="ET7" s="148">
        <v>132.0</v>
      </c>
      <c r="EU7" s="148">
        <v>133.0</v>
      </c>
      <c r="EV7" s="148">
        <v>134.0</v>
      </c>
      <c r="EW7" s="148">
        <v>135.0</v>
      </c>
      <c r="EX7" s="148">
        <v>136.0</v>
      </c>
      <c r="EY7" s="148">
        <v>137.0</v>
      </c>
      <c r="EZ7" s="148">
        <v>138.0</v>
      </c>
      <c r="FA7" s="148">
        <v>139.0</v>
      </c>
      <c r="FB7" s="148">
        <v>140.0</v>
      </c>
      <c r="FC7" s="148">
        <v>141.0</v>
      </c>
      <c r="FD7" s="148">
        <v>142.0</v>
      </c>
      <c r="FE7" s="148">
        <v>143.0</v>
      </c>
      <c r="FF7" s="148">
        <v>144.0</v>
      </c>
      <c r="FG7" s="148">
        <v>145.0</v>
      </c>
      <c r="FH7" s="148">
        <v>146.0</v>
      </c>
      <c r="FI7" s="148">
        <v>147.0</v>
      </c>
      <c r="FJ7" s="148">
        <v>148.0</v>
      </c>
      <c r="FK7" s="148">
        <v>149.0</v>
      </c>
      <c r="FL7" s="148">
        <v>150.0</v>
      </c>
      <c r="FM7" s="148">
        <v>151.0</v>
      </c>
      <c r="FN7" s="148">
        <v>152.0</v>
      </c>
      <c r="FO7" s="148">
        <v>153.0</v>
      </c>
      <c r="FP7" s="148">
        <v>154.0</v>
      </c>
      <c r="FQ7" s="148">
        <v>155.0</v>
      </c>
      <c r="FR7" s="148">
        <v>156.0</v>
      </c>
      <c r="FS7" s="148">
        <v>157.0</v>
      </c>
      <c r="FT7" s="148">
        <v>158.0</v>
      </c>
      <c r="FU7" s="148">
        <v>159.0</v>
      </c>
      <c r="FV7" s="148">
        <v>160.0</v>
      </c>
      <c r="FW7" s="148">
        <v>161.0</v>
      </c>
      <c r="FX7" s="148">
        <v>162.0</v>
      </c>
      <c r="FY7" s="148">
        <v>163.0</v>
      </c>
      <c r="FZ7" s="148">
        <v>164.0</v>
      </c>
      <c r="GA7" s="148">
        <v>165.0</v>
      </c>
      <c r="GB7" s="148">
        <v>166.0</v>
      </c>
      <c r="GC7" s="148">
        <v>167.0</v>
      </c>
      <c r="GD7" s="150"/>
      <c r="GE7" s="150"/>
      <c r="GF7" s="150"/>
      <c r="GG7" s="150">
        <v>168.0</v>
      </c>
      <c r="GH7" s="150">
        <v>169.0</v>
      </c>
      <c r="GI7" s="150">
        <v>170.0</v>
      </c>
      <c r="GJ7" s="148">
        <v>171.0</v>
      </c>
      <c r="GK7" s="148">
        <v>172.0</v>
      </c>
      <c r="GL7" s="148">
        <v>173.0</v>
      </c>
      <c r="GM7" s="148">
        <v>174.0</v>
      </c>
      <c r="GN7" s="148">
        <v>175.0</v>
      </c>
      <c r="GO7" s="148">
        <v>176.0</v>
      </c>
      <c r="GP7" s="148">
        <v>177.0</v>
      </c>
      <c r="GQ7" s="148">
        <v>178.0</v>
      </c>
      <c r="GR7" s="148">
        <v>179.0</v>
      </c>
      <c r="GS7" s="148">
        <v>180.0</v>
      </c>
      <c r="GT7" s="148">
        <v>181.0</v>
      </c>
      <c r="GU7" s="148">
        <v>182.0</v>
      </c>
      <c r="GV7" s="148">
        <v>183.0</v>
      </c>
      <c r="GW7" s="148">
        <v>184.0</v>
      </c>
      <c r="GX7" s="148">
        <v>185.0</v>
      </c>
      <c r="GY7" s="148">
        <v>186.0</v>
      </c>
      <c r="GZ7" s="148">
        <v>187.0</v>
      </c>
      <c r="HA7" s="148">
        <v>188.0</v>
      </c>
      <c r="HB7" s="150">
        <v>189.0</v>
      </c>
      <c r="HC7" s="150">
        <v>190.0</v>
      </c>
      <c r="HD7" s="148">
        <v>191.0</v>
      </c>
      <c r="HE7" s="148">
        <v>192.0</v>
      </c>
      <c r="HF7" s="148">
        <v>193.0</v>
      </c>
      <c r="HG7" s="148">
        <v>194.0</v>
      </c>
      <c r="HH7" s="148">
        <v>195.0</v>
      </c>
      <c r="HI7" s="151">
        <v>196.0</v>
      </c>
      <c r="HJ7" s="151">
        <v>196.0</v>
      </c>
      <c r="HK7" s="152">
        <v>197.0</v>
      </c>
      <c r="HL7" s="152">
        <v>198.0</v>
      </c>
      <c r="HM7" s="152">
        <v>199.0</v>
      </c>
      <c r="HN7" s="148">
        <v>200.0</v>
      </c>
      <c r="HO7" s="148">
        <v>201.0</v>
      </c>
      <c r="HP7" s="148">
        <v>202.0</v>
      </c>
      <c r="HQ7" s="148">
        <v>203.0</v>
      </c>
      <c r="HR7" s="148">
        <v>204.0</v>
      </c>
      <c r="HS7" s="148">
        <v>205.0</v>
      </c>
      <c r="HT7" s="148">
        <v>206.0</v>
      </c>
      <c r="HU7" s="148">
        <v>207.0</v>
      </c>
      <c r="HV7" s="148">
        <v>208.0</v>
      </c>
      <c r="HW7" s="148">
        <v>209.0</v>
      </c>
      <c r="HX7" s="148">
        <v>210.0</v>
      </c>
      <c r="HY7" s="148">
        <v>211.0</v>
      </c>
      <c r="HZ7" s="148">
        <v>212.0</v>
      </c>
      <c r="IA7" s="148">
        <v>213.0</v>
      </c>
      <c r="IB7" s="148">
        <v>214.0</v>
      </c>
      <c r="IC7" s="148">
        <v>215.0</v>
      </c>
      <c r="ID7" s="148">
        <v>216.0</v>
      </c>
      <c r="IE7" s="148">
        <v>217.0</v>
      </c>
      <c r="IF7" s="152">
        <v>218.0</v>
      </c>
      <c r="IG7" s="152">
        <v>219.0</v>
      </c>
      <c r="IK7" s="112" t="s">
        <v>60</v>
      </c>
      <c r="IL7" s="112" t="s">
        <v>61</v>
      </c>
      <c r="IM7" s="112" t="s">
        <v>62</v>
      </c>
      <c r="IN7" s="112" t="s">
        <v>63</v>
      </c>
      <c r="IO7" s="112" t="s">
        <v>64</v>
      </c>
      <c r="IP7" s="112" t="s">
        <v>14</v>
      </c>
      <c r="IQ7" s="112" t="s">
        <v>15</v>
      </c>
      <c r="IR7" s="112" t="s">
        <v>65</v>
      </c>
      <c r="IS7" s="112" t="s">
        <v>66</v>
      </c>
      <c r="IT7" s="112" t="s">
        <v>67</v>
      </c>
      <c r="IU7" s="112" t="s">
        <v>68</v>
      </c>
      <c r="IV7" s="566" t="s">
        <v>69</v>
      </c>
      <c r="IW7" s="374" t="s">
        <v>314</v>
      </c>
      <c r="IX7" s="374" t="s">
        <v>315</v>
      </c>
      <c r="IZ7" s="237" t="s">
        <v>316</v>
      </c>
      <c r="JA7" s="237" t="s">
        <v>317</v>
      </c>
      <c r="JB7" s="567" t="s">
        <v>318</v>
      </c>
      <c r="JC7" s="567" t="s">
        <v>319</v>
      </c>
      <c r="JD7" s="568"/>
      <c r="JE7" s="565"/>
      <c r="JF7" s="237" t="s">
        <v>320</v>
      </c>
      <c r="JG7" s="237" t="s">
        <v>317</v>
      </c>
      <c r="JH7" s="567" t="s">
        <v>321</v>
      </c>
      <c r="JI7" s="567" t="s">
        <v>319</v>
      </c>
      <c r="JJ7" s="568"/>
    </row>
    <row r="8" ht="14.25" customHeight="1">
      <c r="A8" s="158">
        <v>1.0</v>
      </c>
      <c r="B8" s="157" t="s">
        <v>76</v>
      </c>
      <c r="C8" s="253">
        <v>3374130.0</v>
      </c>
      <c r="D8" s="569" t="s">
        <v>322</v>
      </c>
      <c r="E8" s="253"/>
      <c r="F8" s="259">
        <f>'KELURAHAN (DI ISI)'!F11+'KELURAHAN (DI ISI)'!F13+'KELURAHAN (DI ISI)'!F14+'KELURAHAN (DI ISI)'!F15+'KELURAHAN (DI ISI)'!F16+'KELURAHAN (DI ISI)'!F17+'KELURAHAN (DI ISI)'!F18+'KELURAHAN (DI ISI)'!F21+'KELURAHAN (DI ISI)'!F22</f>
        <v>36</v>
      </c>
      <c r="G8" s="259">
        <f>'KELURAHAN (DI ISI)'!G11+'KELURAHAN (DI ISI)'!G13+'KELURAHAN (DI ISI)'!G14+'KELURAHAN (DI ISI)'!G15+'KELURAHAN (DI ISI)'!G16+'KELURAHAN (DI ISI)'!G17+'KELURAHAN (DI ISI)'!G18+'KELURAHAN (DI ISI)'!G21+'KELURAHAN (DI ISI)'!G22</f>
        <v>1244</v>
      </c>
      <c r="H8" s="259">
        <f>'KELURAHAN (DI ISI)'!H11+'KELURAHAN (DI ISI)'!H13+'KELURAHAN (DI ISI)'!H14+'KELURAHAN (DI ISI)'!H15+'KELURAHAN (DI ISI)'!H16+'KELURAHAN (DI ISI)'!H17+'KELURAHAN (DI ISI)'!H18+'KELURAHAN (DI ISI)'!H21+'KELURAHAN (DI ISI)'!H22</f>
        <v>66</v>
      </c>
      <c r="I8" s="491">
        <f t="shared" ref="I8:I45" si="1">sum(K8:M8)</f>
        <v>16</v>
      </c>
      <c r="J8" s="491">
        <f t="shared" ref="J8:J45" si="2">N8</f>
        <v>50</v>
      </c>
      <c r="K8" s="491">
        <f>'KELURAHAN (DI ISI)'!I11+'KELURAHAN (DI ISI)'!I13+'KELURAHAN (DI ISI)'!I14+'KELURAHAN (DI ISI)'!I15+'KELURAHAN (DI ISI)'!I16+'KELURAHAN (DI ISI)'!I17+'KELURAHAN (DI ISI)'!I18+'KELURAHAN (DI ISI)'!I21+'KELURAHAN (DI ISI)'!I22</f>
        <v>1</v>
      </c>
      <c r="L8" s="491">
        <f>'KELURAHAN (DI ISI)'!J11+'KELURAHAN (DI ISI)'!J13+'KELURAHAN (DI ISI)'!J14+'KELURAHAN (DI ISI)'!J15+'KELURAHAN (DI ISI)'!J16+'KELURAHAN (DI ISI)'!J17+'KELURAHAN (DI ISI)'!J18+'KELURAHAN (DI ISI)'!J21+'KELURAHAN (DI ISI)'!J22</f>
        <v>4</v>
      </c>
      <c r="M8" s="491">
        <f>'KELURAHAN (DI ISI)'!K11+'KELURAHAN (DI ISI)'!K13+'KELURAHAN (DI ISI)'!K14+'KELURAHAN (DI ISI)'!K15+'KELURAHAN (DI ISI)'!K16+'KELURAHAN (DI ISI)'!K17+'KELURAHAN (DI ISI)'!K18+'KELURAHAN (DI ISI)'!K21+'KELURAHAN (DI ISI)'!K22</f>
        <v>11</v>
      </c>
      <c r="N8" s="491">
        <f>'KELURAHAN (DI ISI)'!L11+'KELURAHAN (DI ISI)'!L13+'KELURAHAN (DI ISI)'!L14+'KELURAHAN (DI ISI)'!L15+'KELURAHAN (DI ISI)'!L16+'KELURAHAN (DI ISI)'!L17+'KELURAHAN (DI ISI)'!L18+'KELURAHAN (DI ISI)'!L21+'KELURAHAN (DI ISI)'!L22</f>
        <v>50</v>
      </c>
      <c r="O8" s="491">
        <f>'KELURAHAN (DI ISI)'!M11+'KELURAHAN (DI ISI)'!M13+'KELURAHAN (DI ISI)'!M14+'KELURAHAN (DI ISI)'!M15+'KELURAHAN (DI ISI)'!M16+'KELURAHAN (DI ISI)'!M17+'KELURAHAN (DI ISI)'!M18+'KELURAHAN (DI ISI)'!M21+'KELURAHAN (DI ISI)'!M22</f>
        <v>24</v>
      </c>
      <c r="P8" s="491">
        <f>'KELURAHAN (DI ISI)'!N11+'KELURAHAN (DI ISI)'!N13+'KELURAHAN (DI ISI)'!N14+'KELURAHAN (DI ISI)'!N15+'KELURAHAN (DI ISI)'!N16+'KELURAHAN (DI ISI)'!N17+'KELURAHAN (DI ISI)'!N18+'KELURAHAN (DI ISI)'!N21+'KELURAHAN (DI ISI)'!N22</f>
        <v>0</v>
      </c>
      <c r="Q8" s="491">
        <f>'KELURAHAN (DI ISI)'!O11+'KELURAHAN (DI ISI)'!O13+'KELURAHAN (DI ISI)'!O14+'KELURAHAN (DI ISI)'!O15+'KELURAHAN (DI ISI)'!O16+'KELURAHAN (DI ISI)'!O17+'KELURAHAN (DI ISI)'!O18+'KELURAHAN (DI ISI)'!O21+'KELURAHAN (DI ISI)'!O22</f>
        <v>42</v>
      </c>
      <c r="R8" s="491">
        <f>'KELURAHAN (DI ISI)'!P11+'KELURAHAN (DI ISI)'!P13+'KELURAHAN (DI ISI)'!P14+'KELURAHAN (DI ISI)'!P15+'KELURAHAN (DI ISI)'!P16+'KELURAHAN (DI ISI)'!P17+'KELURAHAN (DI ISI)'!P18+'KELURAHAN (DI ISI)'!P21+'KELURAHAN (DI ISI)'!P22</f>
        <v>105</v>
      </c>
      <c r="S8" s="491">
        <f t="shared" ref="S8:S45" si="3">SUM(U8:W8)</f>
        <v>37</v>
      </c>
      <c r="T8" s="491">
        <f t="shared" ref="T8:T45" si="4">X8</f>
        <v>68</v>
      </c>
      <c r="U8" s="491">
        <f>'KELURAHAN (DI ISI)'!Q11+'KELURAHAN (DI ISI)'!Q13+'KELURAHAN (DI ISI)'!Q14+'KELURAHAN (DI ISI)'!Q15+'KELURAHAN (DI ISI)'!Q16+'KELURAHAN (DI ISI)'!Q17+'KELURAHAN (DI ISI)'!Q18+'KELURAHAN (DI ISI)'!Q21+'KELURAHAN (DI ISI)'!Q22</f>
        <v>6</v>
      </c>
      <c r="V8" s="491">
        <f>'KELURAHAN (DI ISI)'!R11+'KELURAHAN (DI ISI)'!R13+'KELURAHAN (DI ISI)'!R14+'KELURAHAN (DI ISI)'!R15+'KELURAHAN (DI ISI)'!R16+'KELURAHAN (DI ISI)'!R17+'KELURAHAN (DI ISI)'!R18+'KELURAHAN (DI ISI)'!R21+'KELURAHAN (DI ISI)'!R22</f>
        <v>8</v>
      </c>
      <c r="W8" s="491">
        <f>'KELURAHAN (DI ISI)'!S11+'KELURAHAN (DI ISI)'!S13+'KELURAHAN (DI ISI)'!S14+'KELURAHAN (DI ISI)'!S15+'KELURAHAN (DI ISI)'!S16+'KELURAHAN (DI ISI)'!S17+'KELURAHAN (DI ISI)'!S18+'KELURAHAN (DI ISI)'!S21+'KELURAHAN (DI ISI)'!S22</f>
        <v>23</v>
      </c>
      <c r="X8" s="491">
        <f>'KELURAHAN (DI ISI)'!T11+'KELURAHAN (DI ISI)'!T13+'KELURAHAN (DI ISI)'!T14+'KELURAHAN (DI ISI)'!T15+'KELURAHAN (DI ISI)'!T16+'KELURAHAN (DI ISI)'!T17+'KELURAHAN (DI ISI)'!T18+'KELURAHAN (DI ISI)'!T21+'KELURAHAN (DI ISI)'!T22</f>
        <v>68</v>
      </c>
      <c r="Y8" s="491">
        <f>'KELURAHAN (DI ISI)'!U11+'KELURAHAN (DI ISI)'!U13+'KELURAHAN (DI ISI)'!U14+'KELURAHAN (DI ISI)'!U15+'KELURAHAN (DI ISI)'!U16+'KELURAHAN (DI ISI)'!U17+'KELURAHAN (DI ISI)'!U18+'KELURAHAN (DI ISI)'!U21+'KELURAHAN (DI ISI)'!U22</f>
        <v>38</v>
      </c>
      <c r="Z8" s="491">
        <f>'KELURAHAN (DI ISI)'!V11+'KELURAHAN (DI ISI)'!V13+'KELURAHAN (DI ISI)'!V14+'KELURAHAN (DI ISI)'!V15+'KELURAHAN (DI ISI)'!V16+'KELURAHAN (DI ISI)'!V17+'KELURAHAN (DI ISI)'!V18+'KELURAHAN (DI ISI)'!V21+'KELURAHAN (DI ISI)'!V22</f>
        <v>11</v>
      </c>
      <c r="AA8" s="491">
        <f>'KELURAHAN (DI ISI)'!W11+'KELURAHAN (DI ISI)'!W13+'KELURAHAN (DI ISI)'!W14+'KELURAHAN (DI ISI)'!W15+'KELURAHAN (DI ISI)'!W16+'KELURAHAN (DI ISI)'!W17+'KELURAHAN (DI ISI)'!W18+'KELURAHAN (DI ISI)'!W21+'KELURAHAN (DI ISI)'!W22</f>
        <v>56</v>
      </c>
      <c r="AB8" s="491">
        <f>'KELURAHAN (DI ISI)'!X11+'KELURAHAN (DI ISI)'!X13+'KELURAHAN (DI ISI)'!X14+'KELURAHAN (DI ISI)'!X15+'KELURAHAN (DI ISI)'!X16+'KELURAHAN (DI ISI)'!X17+'KELURAHAN (DI ISI)'!X18+'KELURAHAN (DI ISI)'!X21+'KELURAHAN (DI ISI)'!X22</f>
        <v>102</v>
      </c>
      <c r="AC8" s="491">
        <f t="shared" ref="AC8:AC45" si="5">SUM(AE8:AG8)</f>
        <v>37</v>
      </c>
      <c r="AD8" s="491">
        <f t="shared" ref="AD8:AD45" si="6">AH8</f>
        <v>65</v>
      </c>
      <c r="AE8" s="491">
        <f>'KELURAHAN (DI ISI)'!Y11+'KELURAHAN (DI ISI)'!Y13+'KELURAHAN (DI ISI)'!Y14+'KELURAHAN (DI ISI)'!Y15+'KELURAHAN (DI ISI)'!Y16+'KELURAHAN (DI ISI)'!Y17+'KELURAHAN (DI ISI)'!Y18+'KELURAHAN (DI ISI)'!Y21+'KELURAHAN (DI ISI)'!Y22</f>
        <v>7</v>
      </c>
      <c r="AF8" s="491">
        <f>'KELURAHAN (DI ISI)'!Z11+'KELURAHAN (DI ISI)'!Z13+'KELURAHAN (DI ISI)'!Z14+'KELURAHAN (DI ISI)'!Z15+'KELURAHAN (DI ISI)'!Z16+'KELURAHAN (DI ISI)'!Z17+'KELURAHAN (DI ISI)'!Z18+'KELURAHAN (DI ISI)'!Z21+'KELURAHAN (DI ISI)'!Z22</f>
        <v>9</v>
      </c>
      <c r="AG8" s="491">
        <f>'KELURAHAN (DI ISI)'!AA11+'KELURAHAN (DI ISI)'!AA13+'KELURAHAN (DI ISI)'!AA14+'KELURAHAN (DI ISI)'!AA15+'KELURAHAN (DI ISI)'!AA16+'KELURAHAN (DI ISI)'!AA17+'KELURAHAN (DI ISI)'!AA18+'KELURAHAN (DI ISI)'!AA21+'KELURAHAN (DI ISI)'!AA22</f>
        <v>21</v>
      </c>
      <c r="AH8" s="491">
        <f>'KELURAHAN (DI ISI)'!AB11+'KELURAHAN (DI ISI)'!AB13+'KELURAHAN (DI ISI)'!AB14+'KELURAHAN (DI ISI)'!AB15+'KELURAHAN (DI ISI)'!AB16+'KELURAHAN (DI ISI)'!AB17+'KELURAHAN (DI ISI)'!AB18+'KELURAHAN (DI ISI)'!AB21+'KELURAHAN (DI ISI)'!AB22</f>
        <v>65</v>
      </c>
      <c r="AI8" s="491">
        <f>'KELURAHAN (DI ISI)'!AC11+'KELURAHAN (DI ISI)'!AC13+'KELURAHAN (DI ISI)'!AC14+'KELURAHAN (DI ISI)'!AC15+'KELURAHAN (DI ISI)'!AC16+'KELURAHAN (DI ISI)'!AC17+'KELURAHAN (DI ISI)'!AC18+'KELURAHAN (DI ISI)'!AC21+'KELURAHAN (DI ISI)'!AC22</f>
        <v>11</v>
      </c>
      <c r="AJ8" s="491">
        <f>'KELURAHAN (DI ISI)'!AD11+'KELURAHAN (DI ISI)'!AD13+'KELURAHAN (DI ISI)'!AD14+'KELURAHAN (DI ISI)'!AD15+'KELURAHAN (DI ISI)'!AD16+'KELURAHAN (DI ISI)'!AD17+'KELURAHAN (DI ISI)'!AD18+'KELURAHAN (DI ISI)'!AD21+'KELURAHAN (DI ISI)'!AD22</f>
        <v>8</v>
      </c>
      <c r="AK8" s="491">
        <f>'KELURAHAN (DI ISI)'!AE11+'KELURAHAN (DI ISI)'!AE13+'KELURAHAN (DI ISI)'!AE14+'KELURAHAN (DI ISI)'!AE15+'KELURAHAN (DI ISI)'!AE16+'KELURAHAN (DI ISI)'!AE17+'KELURAHAN (DI ISI)'!AE18+'KELURAHAN (DI ISI)'!AE21+'KELURAHAN (DI ISI)'!AE22</f>
        <v>83</v>
      </c>
      <c r="AL8" s="491">
        <f>'KELURAHAN (DI ISI)'!AF11+'KELURAHAN (DI ISI)'!AF13+'KELURAHAN (DI ISI)'!AF14+'KELURAHAN (DI ISI)'!AF15+'KELURAHAN (DI ISI)'!AF16+'KELURAHAN (DI ISI)'!AF17+'KELURAHAN (DI ISI)'!AF18+'KELURAHAN (DI ISI)'!AF21+'KELURAHAN (DI ISI)'!AF22</f>
        <v>104</v>
      </c>
      <c r="AM8" s="491">
        <f t="shared" ref="AM8:AM45" si="7">SUM(AO8:AQ8)</f>
        <v>38</v>
      </c>
      <c r="AN8" s="491">
        <f t="shared" ref="AN8:AN45" si="8">AR8</f>
        <v>66</v>
      </c>
      <c r="AO8" s="491">
        <f>'KELURAHAN (DI ISI)'!AG11+'KELURAHAN (DI ISI)'!AG13+'KELURAHAN (DI ISI)'!AG14+'KELURAHAN (DI ISI)'!AG15+'KELURAHAN (DI ISI)'!AG16+'KELURAHAN (DI ISI)'!AG17+'KELURAHAN (DI ISI)'!AG18+'KELURAHAN (DI ISI)'!AG21+'KELURAHAN (DI ISI)'!AG22</f>
        <v>3</v>
      </c>
      <c r="AP8" s="491">
        <f>'KELURAHAN (DI ISI)'!AH11+'KELURAHAN (DI ISI)'!AH13+'KELURAHAN (DI ISI)'!AH14+'KELURAHAN (DI ISI)'!AH15+'KELURAHAN (DI ISI)'!AH16+'KELURAHAN (DI ISI)'!AH17+'KELURAHAN (DI ISI)'!AH18+'KELURAHAN (DI ISI)'!AH21+'KELURAHAN (DI ISI)'!AH22</f>
        <v>12</v>
      </c>
      <c r="AQ8" s="491">
        <f>'KELURAHAN (DI ISI)'!AI11+'KELURAHAN (DI ISI)'!AI13+'KELURAHAN (DI ISI)'!AI14+'KELURAHAN (DI ISI)'!AI15+'KELURAHAN (DI ISI)'!AI16+'KELURAHAN (DI ISI)'!AI17+'KELURAHAN (DI ISI)'!AI18+'KELURAHAN (DI ISI)'!AI21+'KELURAHAN (DI ISI)'!AI22</f>
        <v>23</v>
      </c>
      <c r="AR8" s="491">
        <f>'KELURAHAN (DI ISI)'!AJ11+'KELURAHAN (DI ISI)'!AJ13+'KELURAHAN (DI ISI)'!AJ14+'KELURAHAN (DI ISI)'!AJ15+'KELURAHAN (DI ISI)'!AJ16+'KELURAHAN (DI ISI)'!AJ17+'KELURAHAN (DI ISI)'!AJ18+'KELURAHAN (DI ISI)'!AJ21+'KELURAHAN (DI ISI)'!AJ22</f>
        <v>66</v>
      </c>
      <c r="AS8" s="491">
        <f>'KELURAHAN (DI ISI)'!AK11+'KELURAHAN (DI ISI)'!AK13+'KELURAHAN (DI ISI)'!AK14+'KELURAHAN (DI ISI)'!AK15+'KELURAHAN (DI ISI)'!AK16+'KELURAHAN (DI ISI)'!AK17+'KELURAHAN (DI ISI)'!AK18+'KELURAHAN (DI ISI)'!AK21+'KELURAHAN (DI ISI)'!AK22</f>
        <v>11</v>
      </c>
      <c r="AT8" s="491">
        <f>'KELURAHAN (DI ISI)'!AL11+'KELURAHAN (DI ISI)'!AL13+'KELURAHAN (DI ISI)'!AL14+'KELURAHAN (DI ISI)'!AL15+'KELURAHAN (DI ISI)'!AL16+'KELURAHAN (DI ISI)'!AL17+'KELURAHAN (DI ISI)'!AL18+'KELURAHAN (DI ISI)'!AL21+'KELURAHAN (DI ISI)'!AL22</f>
        <v>10</v>
      </c>
      <c r="AU8" s="491">
        <f>'KELURAHAN (DI ISI)'!AM11+'KELURAHAN (DI ISI)'!AM13+'KELURAHAN (DI ISI)'!AM14+'KELURAHAN (DI ISI)'!AM15+'KELURAHAN (DI ISI)'!AM16+'KELURAHAN (DI ISI)'!AM17+'KELURAHAN (DI ISI)'!AM18+'KELURAHAN (DI ISI)'!AM21+'KELURAHAN (DI ISI)'!AM22</f>
        <v>83</v>
      </c>
      <c r="AV8" s="491">
        <f>'KELURAHAN (DI ISI)'!AN11+'KELURAHAN (DI ISI)'!AN13+'KELURAHAN (DI ISI)'!AN14+'KELURAHAN (DI ISI)'!AN15+'KELURAHAN (DI ISI)'!AN16+'KELURAHAN (DI ISI)'!AN17+'KELURAHAN (DI ISI)'!AN18+'KELURAHAN (DI ISI)'!AN21+'KELURAHAN (DI ISI)'!AN22</f>
        <v>86</v>
      </c>
      <c r="AW8" s="491">
        <f t="shared" ref="AW8:AW45" si="9">SUM(AY8:BA8)</f>
        <v>31</v>
      </c>
      <c r="AX8" s="491">
        <f t="shared" ref="AX8:AX45" si="10">BB8</f>
        <v>55</v>
      </c>
      <c r="AY8" s="491">
        <f>'KELURAHAN (DI ISI)'!AO11+'KELURAHAN (DI ISI)'!AO13+'KELURAHAN (DI ISI)'!AO14+'KELURAHAN (DI ISI)'!AO15+'KELURAHAN (DI ISI)'!AO16+'KELURAHAN (DI ISI)'!AO17+'KELURAHAN (DI ISI)'!AO18+'KELURAHAN (DI ISI)'!AO21+'KELURAHAN (DI ISI)'!AO22</f>
        <v>3</v>
      </c>
      <c r="AZ8" s="491">
        <f>'KELURAHAN (DI ISI)'!AP11+'KELURAHAN (DI ISI)'!AP13+'KELURAHAN (DI ISI)'!AP14+'KELURAHAN (DI ISI)'!AP15+'KELURAHAN (DI ISI)'!AP16+'KELURAHAN (DI ISI)'!AP17+'KELURAHAN (DI ISI)'!AP18+'KELURAHAN (DI ISI)'!AP21+'KELURAHAN (DI ISI)'!AP22</f>
        <v>9</v>
      </c>
      <c r="BA8" s="491">
        <f>'KELURAHAN (DI ISI)'!AQ11+'KELURAHAN (DI ISI)'!AQ13+'KELURAHAN (DI ISI)'!AQ14+'KELURAHAN (DI ISI)'!AQ15+'KELURAHAN (DI ISI)'!AQ16+'KELURAHAN (DI ISI)'!AQ17+'KELURAHAN (DI ISI)'!AQ18+'KELURAHAN (DI ISI)'!AQ21+'KELURAHAN (DI ISI)'!AQ22</f>
        <v>19</v>
      </c>
      <c r="BB8" s="491">
        <f>'KELURAHAN (DI ISI)'!AR11+'KELURAHAN (DI ISI)'!AR13+'KELURAHAN (DI ISI)'!AR14+'KELURAHAN (DI ISI)'!AR15+'KELURAHAN (DI ISI)'!AR16+'KELURAHAN (DI ISI)'!AR17+'KELURAHAN (DI ISI)'!AR18+'KELURAHAN (DI ISI)'!AR21+'KELURAHAN (DI ISI)'!AR22</f>
        <v>55</v>
      </c>
      <c r="BC8" s="491">
        <f>'KELURAHAN (DI ISI)'!AS11+'KELURAHAN (DI ISI)'!AS13+'KELURAHAN (DI ISI)'!AS14+'KELURAHAN (DI ISI)'!AS15+'KELURAHAN (DI ISI)'!AS16+'KELURAHAN (DI ISI)'!AS17+'KELURAHAN (DI ISI)'!AS18+'KELURAHAN (DI ISI)'!AS21+'KELURAHAN (DI ISI)'!AS22</f>
        <v>0</v>
      </c>
      <c r="BD8" s="491">
        <f>'KELURAHAN (DI ISI)'!AT11+'KELURAHAN (DI ISI)'!AT13+'KELURAHAN (DI ISI)'!AT14+'KELURAHAN (DI ISI)'!AT15+'KELURAHAN (DI ISI)'!AT16+'KELURAHAN (DI ISI)'!AT17+'KELURAHAN (DI ISI)'!AT18+'KELURAHAN (DI ISI)'!AT21+'KELURAHAN (DI ISI)'!AT22</f>
        <v>18</v>
      </c>
      <c r="BE8" s="491">
        <f>'KELURAHAN (DI ISI)'!AU11+'KELURAHAN (DI ISI)'!AU13+'KELURAHAN (DI ISI)'!AU14+'KELURAHAN (DI ISI)'!AU15+'KELURAHAN (DI ISI)'!AU16+'KELURAHAN (DI ISI)'!AU17+'KELURAHAN (DI ISI)'!AU18+'KELURAHAN (DI ISI)'!AU21+'KELURAHAN (DI ISI)'!AU22</f>
        <v>68</v>
      </c>
      <c r="BF8" s="491">
        <f>'KELURAHAN (DI ISI)'!AV11+'KELURAHAN (DI ISI)'!AV13+'KELURAHAN (DI ISI)'!AV14+'KELURAHAN (DI ISI)'!AV15+'KELURAHAN (DI ISI)'!AV16+'KELURAHAN (DI ISI)'!AV17+'KELURAHAN (DI ISI)'!AV18+'KELURAHAN (DI ISI)'!AV21+'KELURAHAN (DI ISI)'!AV22</f>
        <v>1124</v>
      </c>
      <c r="BG8" s="491">
        <f>'KELURAHAN (DI ISI)'!AW11+'KELURAHAN (DI ISI)'!AW13+'KELURAHAN (DI ISI)'!AW14+'KELURAHAN (DI ISI)'!AW15+'KELURAHAN (DI ISI)'!AW16+'KELURAHAN (DI ISI)'!AW17+'KELURAHAN (DI ISI)'!AW18+'KELURAHAN (DI ISI)'!AW21+'KELURAHAN (DI ISI)'!AW22</f>
        <v>84</v>
      </c>
      <c r="BH8" s="491">
        <f t="shared" ref="BH8:BH45" si="11">SUM(BJ8:BL8)</f>
        <v>27</v>
      </c>
      <c r="BI8" s="495">
        <f t="shared" ref="BI8:BI45" si="12">BM8</f>
        <v>50</v>
      </c>
      <c r="BJ8" s="491">
        <f>'KELURAHAN (DI ISI)'!AX11+'KELURAHAN (DI ISI)'!AX13+'KELURAHAN (DI ISI)'!AX14+'KELURAHAN (DI ISI)'!AX15+'KELURAHAN (DI ISI)'!AX16+'KELURAHAN (DI ISI)'!AX17+'KELURAHAN (DI ISI)'!AX18+'KELURAHAN (DI ISI)'!AX21+'KELURAHAN (DI ISI)'!AX22</f>
        <v>2</v>
      </c>
      <c r="BK8" s="491">
        <f>'KELURAHAN (DI ISI)'!AY11+'KELURAHAN (DI ISI)'!AY13+'KELURAHAN (DI ISI)'!AY14+'KELURAHAN (DI ISI)'!AY15+'KELURAHAN (DI ISI)'!AY16+'KELURAHAN (DI ISI)'!AY17+'KELURAHAN (DI ISI)'!AY18+'KELURAHAN (DI ISI)'!AY21+'KELURAHAN (DI ISI)'!AY22</f>
        <v>6</v>
      </c>
      <c r="BL8" s="491">
        <f>'KELURAHAN (DI ISI)'!AZ11+'KELURAHAN (DI ISI)'!AZ13+'KELURAHAN (DI ISI)'!AZ14+'KELURAHAN (DI ISI)'!AZ15+'KELURAHAN (DI ISI)'!AZ16+'KELURAHAN (DI ISI)'!AZ17+'KELURAHAN (DI ISI)'!AZ18+'KELURAHAN (DI ISI)'!AZ21+'KELURAHAN (DI ISI)'!AZ22</f>
        <v>19</v>
      </c>
      <c r="BM8" s="491">
        <f>'KELURAHAN (DI ISI)'!BA11+'KELURAHAN (DI ISI)'!BA13+'KELURAHAN (DI ISI)'!BA14+'KELURAHAN (DI ISI)'!BA15+'KELURAHAN (DI ISI)'!BA16+'KELURAHAN (DI ISI)'!BA17+'KELURAHAN (DI ISI)'!BA18+'KELURAHAN (DI ISI)'!BA21+'KELURAHAN (DI ISI)'!BA22</f>
        <v>50</v>
      </c>
      <c r="BN8" s="491">
        <f>'KELURAHAN (DI ISI)'!BB11+'KELURAHAN (DI ISI)'!BB13+'KELURAHAN (DI ISI)'!BB14+'KELURAHAN (DI ISI)'!BB15+'KELURAHAN (DI ISI)'!BB16+'KELURAHAN (DI ISI)'!BB17+'KELURAHAN (DI ISI)'!BB18+'KELURAHAN (DI ISI)'!BB21+'KELURAHAN (DI ISI)'!BB22</f>
        <v>1</v>
      </c>
      <c r="BO8" s="491">
        <f>'KELURAHAN (DI ISI)'!BC11+'KELURAHAN (DI ISI)'!BC13+'KELURAHAN (DI ISI)'!BC14+'KELURAHAN (DI ISI)'!BC15+'KELURAHAN (DI ISI)'!BC16+'KELURAHAN (DI ISI)'!BC17+'KELURAHAN (DI ISI)'!BC18+'KELURAHAN (DI ISI)'!BC21+'KELURAHAN (DI ISI)'!BC22</f>
        <v>2</v>
      </c>
      <c r="BP8" s="491">
        <f>'KELURAHAN (DI ISI)'!BD11+'KELURAHAN (DI ISI)'!BD13+'KELURAHAN (DI ISI)'!BD14+'KELURAHAN (DI ISI)'!BD15+'KELURAHAN (DI ISI)'!BD16+'KELURAHAN (DI ISI)'!BD17+'KELURAHAN (DI ISI)'!BD18+'KELURAHAN (DI ISI)'!BD21+'KELURAHAN (DI ISI)'!BD22</f>
        <v>3</v>
      </c>
      <c r="BQ8" s="491">
        <f>'KELURAHAN (DI ISI)'!BE11+'KELURAHAN (DI ISI)'!BE13+'KELURAHAN (DI ISI)'!BE14+'KELURAHAN (DI ISI)'!BE15+'KELURAHAN (DI ISI)'!BE16+'KELURAHAN (DI ISI)'!BE17+'KELURAHAN (DI ISI)'!BE18+'KELURAHAN (DI ISI)'!BE21+'KELURAHAN (DI ISI)'!BE22</f>
        <v>1</v>
      </c>
      <c r="BR8" s="491">
        <f>'KELURAHAN (DI ISI)'!BF11+'KELURAHAN (DI ISI)'!BF13+'KELURAHAN (DI ISI)'!BF14+'KELURAHAN (DI ISI)'!BF15+'KELURAHAN (DI ISI)'!BF16+'KELURAHAN (DI ISI)'!BF17+'KELURAHAN (DI ISI)'!BF18+'KELURAHAN (DI ISI)'!BF21+'KELURAHAN (DI ISI)'!BF22</f>
        <v>1</v>
      </c>
      <c r="BS8" s="491">
        <f>'KELURAHAN (DI ISI)'!BG11+'KELURAHAN (DI ISI)'!BG13+'KELURAHAN (DI ISI)'!BG14+'KELURAHAN (DI ISI)'!BG15+'KELURAHAN (DI ISI)'!BG16+'KELURAHAN (DI ISI)'!BG17+'KELURAHAN (DI ISI)'!BG18+'KELURAHAN (DI ISI)'!BG21+'KELURAHAN (DI ISI)'!BG22</f>
        <v>0</v>
      </c>
      <c r="BT8" s="491">
        <f>'KELURAHAN (DI ISI)'!BH11+'KELURAHAN (DI ISI)'!BH13+'KELURAHAN (DI ISI)'!BH14+'KELURAHAN (DI ISI)'!BH15+'KELURAHAN (DI ISI)'!BH16+'KELURAHAN (DI ISI)'!BH17+'KELURAHAN (DI ISI)'!BH18+'KELURAHAN (DI ISI)'!BH21+'KELURAHAN (DI ISI)'!BH22</f>
        <v>1</v>
      </c>
      <c r="BU8" s="491">
        <f>'KELURAHAN (DI ISI)'!BI11+'KELURAHAN (DI ISI)'!BI13+'KELURAHAN (DI ISI)'!BI14+'KELURAHAN (DI ISI)'!BI15+'KELURAHAN (DI ISI)'!BI16+'KELURAHAN (DI ISI)'!BI17+'KELURAHAN (DI ISI)'!BI18+'KELURAHAN (DI ISI)'!BI21+'KELURAHAN (DI ISI)'!BI22</f>
        <v>5</v>
      </c>
      <c r="BV8" s="491">
        <f>'KELURAHAN (DI ISI)'!BJ11+'KELURAHAN (DI ISI)'!BJ13+'KELURAHAN (DI ISI)'!BJ14+'KELURAHAN (DI ISI)'!BJ15+'KELURAHAN (DI ISI)'!BJ16+'KELURAHAN (DI ISI)'!BJ17+'KELURAHAN (DI ISI)'!BJ18+'KELURAHAN (DI ISI)'!BJ21+'KELURAHAN (DI ISI)'!BJ22</f>
        <v>0</v>
      </c>
      <c r="BW8" s="491">
        <f>'KELURAHAN (DI ISI)'!BK11+'KELURAHAN (DI ISI)'!BK13+'KELURAHAN (DI ISI)'!BK14+'KELURAHAN (DI ISI)'!BK15+'KELURAHAN (DI ISI)'!BK16+'KELURAHAN (DI ISI)'!BK17+'KELURAHAN (DI ISI)'!BK18+'KELURAHAN (DI ISI)'!BK21+'KELURAHAN (DI ISI)'!BK22</f>
        <v>0</v>
      </c>
      <c r="BX8" s="491">
        <f>'KELURAHAN (DI ISI)'!BL11+'KELURAHAN (DI ISI)'!BL13+'KELURAHAN (DI ISI)'!BL14+'KELURAHAN (DI ISI)'!BL15+'KELURAHAN (DI ISI)'!BL16+'KELURAHAN (DI ISI)'!BL17+'KELURAHAN (DI ISI)'!BL18+'KELURAHAN (DI ISI)'!BL21+'KELURAHAN (DI ISI)'!BL22</f>
        <v>0</v>
      </c>
      <c r="BY8" s="491">
        <f>'KELURAHAN (DI ISI)'!BM11+'KELURAHAN (DI ISI)'!BM13+'KELURAHAN (DI ISI)'!BM14+'KELURAHAN (DI ISI)'!BM15+'KELURAHAN (DI ISI)'!BM16+'KELURAHAN (DI ISI)'!BM17+'KELURAHAN (DI ISI)'!BM18+'KELURAHAN (DI ISI)'!BM21+'KELURAHAN (DI ISI)'!BM22</f>
        <v>0</v>
      </c>
      <c r="BZ8" s="491">
        <f>'KELURAHAN (DI ISI)'!BN11+'KELURAHAN (DI ISI)'!BN13+'KELURAHAN (DI ISI)'!BN14+'KELURAHAN (DI ISI)'!BN15+'KELURAHAN (DI ISI)'!BN16+'KELURAHAN (DI ISI)'!BN17+'KELURAHAN (DI ISI)'!BN18+'KELURAHAN (DI ISI)'!BN21+'KELURAHAN (DI ISI)'!BN22</f>
        <v>1</v>
      </c>
      <c r="CA8" s="491">
        <f>'KELURAHAN (DI ISI)'!BO11+'KELURAHAN (DI ISI)'!BO13+'KELURAHAN (DI ISI)'!BO14+'KELURAHAN (DI ISI)'!BO15+'KELURAHAN (DI ISI)'!BO16+'KELURAHAN (DI ISI)'!BO17+'KELURAHAN (DI ISI)'!BO18+'KELURAHAN (DI ISI)'!BO21+'KELURAHAN (DI ISI)'!BO22</f>
        <v>0</v>
      </c>
      <c r="CB8" s="491">
        <f>'KELURAHAN (DI ISI)'!BP11+'KELURAHAN (DI ISI)'!BP13+'KELURAHAN (DI ISI)'!BP14+'KELURAHAN (DI ISI)'!BP15+'KELURAHAN (DI ISI)'!BP16+'KELURAHAN (DI ISI)'!BP17+'KELURAHAN (DI ISI)'!BP18+'KELURAHAN (DI ISI)'!BP21+'KELURAHAN (DI ISI)'!BP22</f>
        <v>8</v>
      </c>
      <c r="CC8" s="491">
        <f>'KELURAHAN (DI ISI)'!BQ11+'KELURAHAN (DI ISI)'!BQ13+'KELURAHAN (DI ISI)'!BQ14+'KELURAHAN (DI ISI)'!BQ15+'KELURAHAN (DI ISI)'!BQ16+'KELURAHAN (DI ISI)'!BQ17+'KELURAHAN (DI ISI)'!BQ18+'KELURAHAN (DI ISI)'!BQ21+'KELURAHAN (DI ISI)'!BQ22</f>
        <v>1088</v>
      </c>
      <c r="CD8" s="491">
        <f>'KELURAHAN (DI ISI)'!BR11+'KELURAHAN (DI ISI)'!BR13+'KELURAHAN (DI ISI)'!BR14+'KELURAHAN (DI ISI)'!BR15+'KELURAHAN (DI ISI)'!BR16+'KELURAHAN (DI ISI)'!BR17+'KELURAHAN (DI ISI)'!BR18+'KELURAHAN (DI ISI)'!BR21+'KELURAHAN (DI ISI)'!BR22</f>
        <v>63</v>
      </c>
      <c r="CE8" s="491">
        <f t="shared" ref="CE8:CE45" si="13">SUM(CG8:CI8)</f>
        <v>21</v>
      </c>
      <c r="CF8" s="491">
        <f t="shared" ref="CF8:CF45" si="14">CJ8</f>
        <v>39</v>
      </c>
      <c r="CG8" s="491">
        <f>'KELURAHAN (DI ISI)'!BS11+'KELURAHAN (DI ISI)'!BS13+'KELURAHAN (DI ISI)'!BS14+'KELURAHAN (DI ISI)'!BS15+'KELURAHAN (DI ISI)'!BS16+'KELURAHAN (DI ISI)'!BS17+'KELURAHAN (DI ISI)'!BS18+'KELURAHAN (DI ISI)'!BS21+'KELURAHAN (DI ISI)'!BS22</f>
        <v>2</v>
      </c>
      <c r="CH8" s="491">
        <f>'KELURAHAN (DI ISI)'!BT11+'KELURAHAN (DI ISI)'!BT13+'KELURAHAN (DI ISI)'!BT14+'KELURAHAN (DI ISI)'!BT15+'KELURAHAN (DI ISI)'!BT16+'KELURAHAN (DI ISI)'!BT17+'KELURAHAN (DI ISI)'!BT18+'KELURAHAN (DI ISI)'!BT21+'KELURAHAN (DI ISI)'!BT22</f>
        <v>7</v>
      </c>
      <c r="CI8" s="491">
        <f>'KELURAHAN (DI ISI)'!BU11+'KELURAHAN (DI ISI)'!BU13+'KELURAHAN (DI ISI)'!BU14+'KELURAHAN (DI ISI)'!BU15+'KELURAHAN (DI ISI)'!BU16+'KELURAHAN (DI ISI)'!BU17+'KELURAHAN (DI ISI)'!BU18+'KELURAHAN (DI ISI)'!BU21+'KELURAHAN (DI ISI)'!BU22</f>
        <v>12</v>
      </c>
      <c r="CJ8" s="491">
        <f>'KELURAHAN (DI ISI)'!BV11+'KELURAHAN (DI ISI)'!BV13+'KELURAHAN (DI ISI)'!BV14+'KELURAHAN (DI ISI)'!BV15+'KELURAHAN (DI ISI)'!BV16+'KELURAHAN (DI ISI)'!BV17+'KELURAHAN (DI ISI)'!BV18+'KELURAHAN (DI ISI)'!BV21+'KELURAHAN (DI ISI)'!BV22</f>
        <v>39</v>
      </c>
      <c r="CK8" s="491">
        <f>'KELURAHAN (DI ISI)'!BW11+'KELURAHAN (DI ISI)'!BW13+'KELURAHAN (DI ISI)'!BW14+'KELURAHAN (DI ISI)'!BW15+'KELURAHAN (DI ISI)'!BW16+'KELURAHAN (DI ISI)'!BW17+'KELURAHAN (DI ISI)'!BW18+'KELURAHAN (DI ISI)'!BW21+'KELURAHAN (DI ISI)'!BW22</f>
        <v>2</v>
      </c>
      <c r="CL8" s="491">
        <f>'KELURAHAN (DI ISI)'!BX11+'KELURAHAN (DI ISI)'!BX13+'KELURAHAN (DI ISI)'!BX14+'KELURAHAN (DI ISI)'!BX15+'KELURAHAN (DI ISI)'!BX16+'KELURAHAN (DI ISI)'!BX17+'KELURAHAN (DI ISI)'!BX18+'KELURAHAN (DI ISI)'!BX21+'KELURAHAN (DI ISI)'!BX22</f>
        <v>0</v>
      </c>
      <c r="CM8" s="491">
        <f>'KELURAHAN (DI ISI)'!BY11+'KELURAHAN (DI ISI)'!BY13+'KELURAHAN (DI ISI)'!BY14+'KELURAHAN (DI ISI)'!BY15+'KELURAHAN (DI ISI)'!BY16+'KELURAHAN (DI ISI)'!BY17+'KELURAHAN (DI ISI)'!BY18+'KELURAHAN (DI ISI)'!BY21+'KELURAHAN (DI ISI)'!BY22</f>
        <v>1</v>
      </c>
      <c r="CN8" s="491">
        <f>'KELURAHAN (DI ISI)'!BZ11+'KELURAHAN (DI ISI)'!BZ13+'KELURAHAN (DI ISI)'!BZ14+'KELURAHAN (DI ISI)'!BZ15+'KELURAHAN (DI ISI)'!BZ16+'KELURAHAN (DI ISI)'!BZ17+'KELURAHAN (DI ISI)'!BZ18+'KELURAHAN (DI ISI)'!BZ21+'KELURAHAN (DI ISI)'!BZ22</f>
        <v>0</v>
      </c>
      <c r="CO8" s="491">
        <f>'KELURAHAN (DI ISI)'!CA11+'KELURAHAN (DI ISI)'!CA13+'KELURAHAN (DI ISI)'!CA14+'KELURAHAN (DI ISI)'!CA15+'KELURAHAN (DI ISI)'!CA16+'KELURAHAN (DI ISI)'!CA17+'KELURAHAN (DI ISI)'!CA18+'KELURAHAN (DI ISI)'!CA21+'KELURAHAN (DI ISI)'!CA22</f>
        <v>0</v>
      </c>
      <c r="CP8" s="491">
        <f>'KELURAHAN (DI ISI)'!CB11+'KELURAHAN (DI ISI)'!CB13+'KELURAHAN (DI ISI)'!CB14+'KELURAHAN (DI ISI)'!CB15+'KELURAHAN (DI ISI)'!CB16+'KELURAHAN (DI ISI)'!CB17+'KELURAHAN (DI ISI)'!CB18+'KELURAHAN (DI ISI)'!CB21+'KELURAHAN (DI ISI)'!CB22</f>
        <v>2</v>
      </c>
      <c r="CQ8" s="491">
        <f>'KELURAHAN (DI ISI)'!CC11+'KELURAHAN (DI ISI)'!CC13+'KELURAHAN (DI ISI)'!CC14+'KELURAHAN (DI ISI)'!CC15+'KELURAHAN (DI ISI)'!CC16+'KELURAHAN (DI ISI)'!CC17+'KELURAHAN (DI ISI)'!CC18+'KELURAHAN (DI ISI)'!CC21+'KELURAHAN (DI ISI)'!CC22</f>
        <v>9</v>
      </c>
      <c r="CR8" s="491">
        <f>'KELURAHAN (DI ISI)'!CD11+'KELURAHAN (DI ISI)'!CD13+'KELURAHAN (DI ISI)'!CD14+'KELURAHAN (DI ISI)'!CD15+'KELURAHAN (DI ISI)'!CD16+'KELURAHAN (DI ISI)'!CD17+'KELURAHAN (DI ISI)'!CD18+'KELURAHAN (DI ISI)'!CD21+'KELURAHAN (DI ISI)'!CD22</f>
        <v>11</v>
      </c>
      <c r="CS8" s="491">
        <f>'KELURAHAN (DI ISI)'!CE11+'KELURAHAN (DI ISI)'!CE13+'KELURAHAN (DI ISI)'!CE14+'KELURAHAN (DI ISI)'!CE15+'KELURAHAN (DI ISI)'!CE16+'KELURAHAN (DI ISI)'!CE17+'KELURAHAN (DI ISI)'!CE18+'KELURAHAN (DI ISI)'!CE21+'KELURAHAN (DI ISI)'!CE22</f>
        <v>0</v>
      </c>
      <c r="CT8" s="491">
        <f>'KELURAHAN (DI ISI)'!CF11+'KELURAHAN (DI ISI)'!CF13+'KELURAHAN (DI ISI)'!CF14+'KELURAHAN (DI ISI)'!CF15+'KELURAHAN (DI ISI)'!CF16+'KELURAHAN (DI ISI)'!CF17+'KELURAHAN (DI ISI)'!CF18+'KELURAHAN (DI ISI)'!CF21+'KELURAHAN (DI ISI)'!CF22</f>
        <v>0</v>
      </c>
      <c r="CU8" s="491">
        <f>'KELURAHAN (DI ISI)'!CG11+'KELURAHAN (DI ISI)'!CG13+'KELURAHAN (DI ISI)'!CG14+'KELURAHAN (DI ISI)'!CG15+'KELURAHAN (DI ISI)'!CG16+'KELURAHAN (DI ISI)'!CG17+'KELURAHAN (DI ISI)'!CG18+'KELURAHAN (DI ISI)'!CG21+'KELURAHAN (DI ISI)'!CG22</f>
        <v>0</v>
      </c>
      <c r="CV8" s="491">
        <f>'KELURAHAN (DI ISI)'!CH11+'KELURAHAN (DI ISI)'!CH13+'KELURAHAN (DI ISI)'!CH14+'KELURAHAN (DI ISI)'!CH15+'KELURAHAN (DI ISI)'!CH16+'KELURAHAN (DI ISI)'!CH17+'KELURAHAN (DI ISI)'!CH18+'KELURAHAN (DI ISI)'!CH21+'KELURAHAN (DI ISI)'!CH22</f>
        <v>0</v>
      </c>
      <c r="CW8" s="491">
        <f>'KELURAHAN (DI ISI)'!CI11+'KELURAHAN (DI ISI)'!CI13+'KELURAHAN (DI ISI)'!CI14+'KELURAHAN (DI ISI)'!CI15+'KELURAHAN (DI ISI)'!CI16+'KELURAHAN (DI ISI)'!CI17+'KELURAHAN (DI ISI)'!CI18+'KELURAHAN (DI ISI)'!CI21+'KELURAHAN (DI ISI)'!CI22</f>
        <v>3</v>
      </c>
      <c r="CX8" s="491">
        <f>'KELURAHAN (DI ISI)'!CJ11+'KELURAHAN (DI ISI)'!CJ13+'KELURAHAN (DI ISI)'!CJ14+'KELURAHAN (DI ISI)'!CJ15+'KELURAHAN (DI ISI)'!CJ16+'KELURAHAN (DI ISI)'!CJ17+'KELURAHAN (DI ISI)'!CJ18+'KELURAHAN (DI ISI)'!CJ21+'KELURAHAN (DI ISI)'!CJ22</f>
        <v>0</v>
      </c>
      <c r="CY8" s="491">
        <f>'KELURAHAN (DI ISI)'!CK11+'KELURAHAN (DI ISI)'!CK13+'KELURAHAN (DI ISI)'!CK14+'KELURAHAN (DI ISI)'!CK15+'KELURAHAN (DI ISI)'!CK16+'KELURAHAN (DI ISI)'!CK17+'KELURAHAN (DI ISI)'!CK18+'KELURAHAN (DI ISI)'!CK21+'KELURAHAN (DI ISI)'!CK22</f>
        <v>25</v>
      </c>
      <c r="CZ8" s="491">
        <f>'KELURAHAN (DI ISI)'!CL11+'KELURAHAN (DI ISI)'!CL13+'KELURAHAN (DI ISI)'!CL14+'KELURAHAN (DI ISI)'!CL15+'KELURAHAN (DI ISI)'!CL16+'KELURAHAN (DI ISI)'!CL17+'KELURAHAN (DI ISI)'!CL18+'KELURAHAN (DI ISI)'!CL21+'KELURAHAN (DI ISI)'!CL22</f>
        <v>1061</v>
      </c>
      <c r="DA8" s="491">
        <f>'KELURAHAN (DI ISI)'!CM11+'KELURAHAN (DI ISI)'!CM13+'KELURAHAN (DI ISI)'!CM14+'KELURAHAN (DI ISI)'!CM15+'KELURAHAN (DI ISI)'!CM16+'KELURAHAN (DI ISI)'!CM17+'KELURAHAN (DI ISI)'!CM18+'KELURAHAN (DI ISI)'!CM21+'KELURAHAN (DI ISI)'!CM22</f>
        <v>463</v>
      </c>
      <c r="DB8" s="491">
        <f>'KELURAHAN (DI ISI)'!CN11+'KELURAHAN (DI ISI)'!CN13+'KELURAHAN (DI ISI)'!CN14+'KELURAHAN (DI ISI)'!CN15+'KELURAHAN (DI ISI)'!CN16+'KELURAHAN (DI ISI)'!CN17+'KELURAHAN (DI ISI)'!CN18+'KELURAHAN (DI ISI)'!CN21+'KELURAHAN (DI ISI)'!CN22</f>
        <v>75</v>
      </c>
      <c r="DC8" s="491">
        <f t="shared" ref="DC8:DC45" si="15">SUM(DE8:DG8)</f>
        <v>18</v>
      </c>
      <c r="DD8" s="491">
        <f t="shared" ref="DD8:DD45" si="16">DH8</f>
        <v>36</v>
      </c>
      <c r="DE8" s="491">
        <f>'KELURAHAN (DI ISI)'!CO11+'KELURAHAN (DI ISI)'!CO13+'KELURAHAN (DI ISI)'!CO14+'KELURAHAN (DI ISI)'!CO15+'KELURAHAN (DI ISI)'!CO16+'KELURAHAN (DI ISI)'!CO17+'KELURAHAN (DI ISI)'!CO18+'KELURAHAN (DI ISI)'!CO21+'KELURAHAN (DI ISI)'!CO22</f>
        <v>3</v>
      </c>
      <c r="DF8" s="491">
        <f>'KELURAHAN (DI ISI)'!CP11+'KELURAHAN (DI ISI)'!CP13+'KELURAHAN (DI ISI)'!CP14+'KELURAHAN (DI ISI)'!CP15+'KELURAHAN (DI ISI)'!CP16+'KELURAHAN (DI ISI)'!CP17+'KELURAHAN (DI ISI)'!CP18+'KELURAHAN (DI ISI)'!CP21+'KELURAHAN (DI ISI)'!CP22</f>
        <v>5</v>
      </c>
      <c r="DG8" s="491">
        <f>'KELURAHAN (DI ISI)'!CQ11+'KELURAHAN (DI ISI)'!CQ13+'KELURAHAN (DI ISI)'!CQ14+'KELURAHAN (DI ISI)'!CQ15+'KELURAHAN (DI ISI)'!CQ16+'KELURAHAN (DI ISI)'!CQ17+'KELURAHAN (DI ISI)'!CQ18+'KELURAHAN (DI ISI)'!CQ21+'KELURAHAN (DI ISI)'!CQ22</f>
        <v>10</v>
      </c>
      <c r="DH8" s="491">
        <f>'KELURAHAN (DI ISI)'!CR11+'KELURAHAN (DI ISI)'!CR13+'KELURAHAN (DI ISI)'!CR14+'KELURAHAN (DI ISI)'!CR15+'KELURAHAN (DI ISI)'!CR16+'KELURAHAN (DI ISI)'!CR17+'KELURAHAN (DI ISI)'!CR18+'KELURAHAN (DI ISI)'!CR21+'KELURAHAN (DI ISI)'!CR22</f>
        <v>36</v>
      </c>
      <c r="DI8" s="491">
        <f>'KELURAHAN (DI ISI)'!CS11+'KELURAHAN (DI ISI)'!CS13+'KELURAHAN (DI ISI)'!CS14+'KELURAHAN (DI ISI)'!CS15+'KELURAHAN (DI ISI)'!CS16+'KELURAHAN (DI ISI)'!CS17+'KELURAHAN (DI ISI)'!CS18+'KELURAHAN (DI ISI)'!CS21+'KELURAHAN (DI ISI)'!CS22</f>
        <v>1</v>
      </c>
      <c r="DJ8" s="491">
        <f>'KELURAHAN (DI ISI)'!CT11+'KELURAHAN (DI ISI)'!CT13+'KELURAHAN (DI ISI)'!CT14+'KELURAHAN (DI ISI)'!CT15+'KELURAHAN (DI ISI)'!CT16+'KELURAHAN (DI ISI)'!CT17+'KELURAHAN (DI ISI)'!CT18+'KELURAHAN (DI ISI)'!CT21+'KELURAHAN (DI ISI)'!CT22</f>
        <v>5</v>
      </c>
      <c r="DK8" s="491">
        <f>'KELURAHAN (DI ISI)'!CU11+'KELURAHAN (DI ISI)'!CU13+'KELURAHAN (DI ISI)'!CU14+'KELURAHAN (DI ISI)'!CU15+'KELURAHAN (DI ISI)'!CU16+'KELURAHAN (DI ISI)'!CU17+'KELURAHAN (DI ISI)'!CU18+'KELURAHAN (DI ISI)'!CU21+'KELURAHAN (DI ISI)'!CU22</f>
        <v>5</v>
      </c>
      <c r="DL8" s="491">
        <f>'KELURAHAN (DI ISI)'!CV11+'KELURAHAN (DI ISI)'!CV13+'KELURAHAN (DI ISI)'!CV14+'KELURAHAN (DI ISI)'!CV15+'KELURAHAN (DI ISI)'!CV16+'KELURAHAN (DI ISI)'!CV17+'KELURAHAN (DI ISI)'!CV18+'KELURAHAN (DI ISI)'!CV21+'KELURAHAN (DI ISI)'!CV22</f>
        <v>10</v>
      </c>
      <c r="DM8" s="491">
        <f>'KELURAHAN (DI ISI)'!CW11+'KELURAHAN (DI ISI)'!CW13+'KELURAHAN (DI ISI)'!CW14+'KELURAHAN (DI ISI)'!CW15+'KELURAHAN (DI ISI)'!CW16+'KELURAHAN (DI ISI)'!CW17+'KELURAHAN (DI ISI)'!CW18+'KELURAHAN (DI ISI)'!CW21+'KELURAHAN (DI ISI)'!CW22</f>
        <v>0</v>
      </c>
      <c r="DN8" s="491">
        <f>'KELURAHAN (DI ISI)'!CX11+'KELURAHAN (DI ISI)'!CX13+'KELURAHAN (DI ISI)'!CX14+'KELURAHAN (DI ISI)'!CX15+'KELURAHAN (DI ISI)'!CX16+'KELURAHAN (DI ISI)'!CX17+'KELURAHAN (DI ISI)'!CX18+'KELURAHAN (DI ISI)'!CX21+'KELURAHAN (DI ISI)'!CX22</f>
        <v>0</v>
      </c>
      <c r="DO8" s="491">
        <f>'KELURAHAN (DI ISI)'!CY11+'KELURAHAN (DI ISI)'!CY13+'KELURAHAN (DI ISI)'!CY14+'KELURAHAN (DI ISI)'!CY15+'KELURAHAN (DI ISI)'!CY16+'KELURAHAN (DI ISI)'!CY17+'KELURAHAN (DI ISI)'!CY18+'KELURAHAN (DI ISI)'!CY21+'KELURAHAN (DI ISI)'!CY22</f>
        <v>4</v>
      </c>
      <c r="DP8" s="491">
        <f>'KELURAHAN (DI ISI)'!CZ11+'KELURAHAN (DI ISI)'!CZ13+'KELURAHAN (DI ISI)'!CZ14+'KELURAHAN (DI ISI)'!CZ15+'KELURAHAN (DI ISI)'!CZ16+'KELURAHAN (DI ISI)'!CZ17+'KELURAHAN (DI ISI)'!CZ18+'KELURAHAN (DI ISI)'!CZ21+'KELURAHAN (DI ISI)'!CZ22</f>
        <v>4</v>
      </c>
      <c r="DQ8" s="491">
        <f>'KELURAHAN (DI ISI)'!DA11+'KELURAHAN (DI ISI)'!DA13+'KELURAHAN (DI ISI)'!DA14+'KELURAHAN (DI ISI)'!DA15+'KELURAHAN (DI ISI)'!DA16+'KELURAHAN (DI ISI)'!DA17+'KELURAHAN (DI ISI)'!DA18+'KELURAHAN (DI ISI)'!DA21+'KELURAHAN (DI ISI)'!DA22</f>
        <v>0</v>
      </c>
      <c r="DR8" s="491">
        <f>'KELURAHAN (DI ISI)'!DB11+'KELURAHAN (DI ISI)'!DB13+'KELURAHAN (DI ISI)'!DB14+'KELURAHAN (DI ISI)'!DB15+'KELURAHAN (DI ISI)'!DB16+'KELURAHAN (DI ISI)'!DB17+'KELURAHAN (DI ISI)'!DB18+'KELURAHAN (DI ISI)'!DB21+'KELURAHAN (DI ISI)'!DB22</f>
        <v>0</v>
      </c>
      <c r="DS8" s="491">
        <f>'KELURAHAN (DI ISI)'!DC11+'KELURAHAN (DI ISI)'!DC13+'KELURAHAN (DI ISI)'!DC14+'KELURAHAN (DI ISI)'!DC15+'KELURAHAN (DI ISI)'!DC16+'KELURAHAN (DI ISI)'!DC17+'KELURAHAN (DI ISI)'!DC18+'KELURAHAN (DI ISI)'!DC21+'KELURAHAN (DI ISI)'!DC22</f>
        <v>0</v>
      </c>
      <c r="DT8" s="491">
        <f>'KELURAHAN (DI ISI)'!DD11+'KELURAHAN (DI ISI)'!DD13+'KELURAHAN (DI ISI)'!DD14+'KELURAHAN (DI ISI)'!DD15+'KELURAHAN (DI ISI)'!DD16+'KELURAHAN (DI ISI)'!DD17+'KELURAHAN (DI ISI)'!DD18+'KELURAHAN (DI ISI)'!DD21+'KELURAHAN (DI ISI)'!DD22</f>
        <v>0</v>
      </c>
      <c r="DU8" s="491">
        <f>'KELURAHAN (DI ISI)'!DE11+'KELURAHAN (DI ISI)'!DE13+'KELURAHAN (DI ISI)'!DE14+'KELURAHAN (DI ISI)'!DE15+'KELURAHAN (DI ISI)'!DE16+'KELURAHAN (DI ISI)'!DE17+'KELURAHAN (DI ISI)'!DE18+'KELURAHAN (DI ISI)'!DE21+'KELURAHAN (DI ISI)'!DE22</f>
        <v>1</v>
      </c>
      <c r="DV8" s="491">
        <f>'KELURAHAN (DI ISI)'!DF11+'KELURAHAN (DI ISI)'!DF13+'KELURAHAN (DI ISI)'!DF14+'KELURAHAN (DI ISI)'!DF15+'KELURAHAN (DI ISI)'!DF16+'KELURAHAN (DI ISI)'!DF17+'KELURAHAN (DI ISI)'!DF18+'KELURAHAN (DI ISI)'!DF21+'KELURAHAN (DI ISI)'!DF22</f>
        <v>0</v>
      </c>
      <c r="DW8" s="491">
        <f>'KELURAHAN (DI ISI)'!DG11+'KELURAHAN (DI ISI)'!DG13+'KELURAHAN (DI ISI)'!DG14+'KELURAHAN (DI ISI)'!DG15+'KELURAHAN (DI ISI)'!DG16+'KELURAHAN (DI ISI)'!DG17+'KELURAHAN (DI ISI)'!DG18+'KELURAHAN (DI ISI)'!DG21+'KELURAHAN (DI ISI)'!DG22</f>
        <v>9</v>
      </c>
      <c r="DX8" s="491">
        <f>'KELURAHAN (DI ISI)'!DH11+'KELURAHAN (DI ISI)'!DH13+'KELURAHAN (DI ISI)'!DH14+'KELURAHAN (DI ISI)'!DH15+'KELURAHAN (DI ISI)'!DH16+'KELURAHAN (DI ISI)'!DH17+'KELURAHAN (DI ISI)'!DH18+'KELURAHAN (DI ISI)'!DH21+'KELURAHAN (DI ISI)'!DH22</f>
        <v>1044</v>
      </c>
      <c r="DY8" s="491">
        <f>'KELURAHAN (DI ISI)'!DI11+'KELURAHAN (DI ISI)'!DI13+'KELURAHAN (DI ISI)'!DI14+'KELURAHAN (DI ISI)'!DI15+'KELURAHAN (DI ISI)'!DI16+'KELURAHAN (DI ISI)'!DI17+'KELURAHAN (DI ISI)'!DI18+'KELURAHAN (DI ISI)'!DI21+'KELURAHAN (DI ISI)'!DI22</f>
        <v>409</v>
      </c>
      <c r="DZ8" s="491">
        <f>'KELURAHAN (DI ISI)'!DJ11+'KELURAHAN (DI ISI)'!DJ13+'KELURAHAN (DI ISI)'!DJ14+'KELURAHAN (DI ISI)'!DJ15+'KELURAHAN (DI ISI)'!DJ16+'KELURAHAN (DI ISI)'!DJ17+'KELURAHAN (DI ISI)'!DJ18+'KELURAHAN (DI ISI)'!DJ21+'KELURAHAN (DI ISI)'!DJ22</f>
        <v>1023</v>
      </c>
      <c r="EA8" s="491">
        <f>'KELURAHAN (DI ISI)'!DK11+'KELURAHAN (DI ISI)'!DK13+'KELURAHAN (DI ISI)'!DK14+'KELURAHAN (DI ISI)'!DK15+'KELURAHAN (DI ISI)'!DK16+'KELURAHAN (DI ISI)'!DK17+'KELURAHAN (DI ISI)'!DK18+'KELURAHAN (DI ISI)'!DK21+'KELURAHAN (DI ISI)'!DK22</f>
        <v>394</v>
      </c>
      <c r="EB8" s="491">
        <f>'KELURAHAN (DI ISI)'!DL11+'KELURAHAN (DI ISI)'!DL13+'KELURAHAN (DI ISI)'!DL14+'KELURAHAN (DI ISI)'!DL15+'KELURAHAN (DI ISI)'!DL16+'KELURAHAN (DI ISI)'!DL17+'KELURAHAN (DI ISI)'!DL18+'KELURAHAN (DI ISI)'!DL21+'KELURAHAN (DI ISI)'!DL22</f>
        <v>76</v>
      </c>
      <c r="EC8" s="491">
        <f>'KELURAHAN (DI ISI)'!DM11+'KELURAHAN (DI ISI)'!DM13+'KELURAHAN (DI ISI)'!DM14+'KELURAHAN (DI ISI)'!DM15+'KELURAHAN (DI ISI)'!DM16+'KELURAHAN (DI ISI)'!DM17+'KELURAHAN (DI ISI)'!DM18+'KELURAHAN (DI ISI)'!DM21+'KELURAHAN (DI ISI)'!DM22</f>
        <v>24</v>
      </c>
      <c r="ED8" s="491">
        <f t="shared" ref="ED8:ED44" si="17">EH8+EL8</f>
        <v>52</v>
      </c>
      <c r="EE8" s="491">
        <f>'KELURAHAN (DI ISI)'!DO11+'KELURAHAN (DI ISI)'!DO13+'KELURAHAN (DI ISI)'!DO14+'KELURAHAN (DI ISI)'!DO15+'KELURAHAN (DI ISI)'!DO16+'KELURAHAN (DI ISI)'!DO17+'KELURAHAN (DI ISI)'!DO18+'KELURAHAN (DI ISI)'!DO21+'KELURAHAN (DI ISI)'!DO22</f>
        <v>0</v>
      </c>
      <c r="EF8" s="491">
        <f>'KELURAHAN (DI ISI)'!DP11+'KELURAHAN (DI ISI)'!DP13+'KELURAHAN (DI ISI)'!DP14+'KELURAHAN (DI ISI)'!DP15+'KELURAHAN (DI ISI)'!DP16+'KELURAHAN (DI ISI)'!DP17+'KELURAHAN (DI ISI)'!DP18+'KELURAHAN (DI ISI)'!DP21+'KELURAHAN (DI ISI)'!DP22</f>
        <v>0</v>
      </c>
      <c r="EG8" s="491">
        <f>'KELURAHAN (DI ISI)'!DQ11+'KELURAHAN (DI ISI)'!DQ13+'KELURAHAN (DI ISI)'!DQ14+'KELURAHAN (DI ISI)'!DQ15+'KELURAHAN (DI ISI)'!DQ16+'KELURAHAN (DI ISI)'!DQ17+'KELURAHAN (DI ISI)'!DQ18+'KELURAHAN (DI ISI)'!DQ21+'KELURAHAN (DI ISI)'!DQ22</f>
        <v>7</v>
      </c>
      <c r="EH8" s="491">
        <f>'KELURAHAN (DI ISI)'!DR11+'KELURAHAN (DI ISI)'!DR13+'KELURAHAN (DI ISI)'!DR14+'KELURAHAN (DI ISI)'!DR15+'KELURAHAN (DI ISI)'!DR16+'KELURAHAN (DI ISI)'!DR17+'KELURAHAN (DI ISI)'!DR18+'KELURAHAN (DI ISI)'!DR21+'KELURAHAN (DI ISI)'!DR22</f>
        <v>21</v>
      </c>
      <c r="EI8" s="491">
        <f>'KELURAHAN (DI ISI)'!DS11+'KELURAHAN (DI ISI)'!DS13+'KELURAHAN (DI ISI)'!DS14+'KELURAHAN (DI ISI)'!DS15+'KELURAHAN (DI ISI)'!DS16+'KELURAHAN (DI ISI)'!DS17+'KELURAHAN (DI ISI)'!DS18+'KELURAHAN (DI ISI)'!DS21+'KELURAHAN (DI ISI)'!DS22</f>
        <v>2</v>
      </c>
      <c r="EJ8" s="491">
        <f>'KELURAHAN (DI ISI)'!DT11+'KELURAHAN (DI ISI)'!DT13+'KELURAHAN (DI ISI)'!DT14+'KELURAHAN (DI ISI)'!DT15+'KELURAHAN (DI ISI)'!DT16+'KELURAHAN (DI ISI)'!DT17+'KELURAHAN (DI ISI)'!DT18+'KELURAHAN (DI ISI)'!DT21+'KELURAHAN (DI ISI)'!DT22</f>
        <v>1</v>
      </c>
      <c r="EK8" s="491">
        <f>'KELURAHAN (DI ISI)'!DU11+'KELURAHAN (DI ISI)'!DU13+'KELURAHAN (DI ISI)'!DU14+'KELURAHAN (DI ISI)'!DU15+'KELURAHAN (DI ISI)'!DU16+'KELURAHAN (DI ISI)'!DU17+'KELURAHAN (DI ISI)'!DU18+'KELURAHAN (DI ISI)'!DU21+'KELURAHAN (DI ISI)'!DU22</f>
        <v>14</v>
      </c>
      <c r="EL8" s="491">
        <f>'KELURAHAN (DI ISI)'!DV11+'KELURAHAN (DI ISI)'!DV13+'KELURAHAN (DI ISI)'!DV14+'KELURAHAN (DI ISI)'!DV15+'KELURAHAN (DI ISI)'!DV16+'KELURAHAN (DI ISI)'!DV17+'KELURAHAN (DI ISI)'!DV18+'KELURAHAN (DI ISI)'!DV21+'KELURAHAN (DI ISI)'!DV22</f>
        <v>31</v>
      </c>
      <c r="EM8" s="491">
        <f>'KELURAHAN (DI ISI)'!DW11+'KELURAHAN (DI ISI)'!DW13+'KELURAHAN (DI ISI)'!DW14+'KELURAHAN (DI ISI)'!DW15+'KELURAHAN (DI ISI)'!DW16+'KELURAHAN (DI ISI)'!DW17+'KELURAHAN (DI ISI)'!DW18+'KELURAHAN (DI ISI)'!DW21+'KELURAHAN (DI ISI)'!DW22</f>
        <v>4</v>
      </c>
      <c r="EN8" s="491">
        <f>'KELURAHAN (DI ISI)'!DX11+'KELURAHAN (DI ISI)'!DX13+'KELURAHAN (DI ISI)'!DX14+'KELURAHAN (DI ISI)'!DX15+'KELURAHAN (DI ISI)'!DX16+'KELURAHAN (DI ISI)'!DX17+'KELURAHAN (DI ISI)'!DX18+'KELURAHAN (DI ISI)'!DX21+'KELURAHAN (DI ISI)'!DX22</f>
        <v>10</v>
      </c>
      <c r="EO8" s="491">
        <f>'KELURAHAN (DI ISI)'!DY11+'KELURAHAN (DI ISI)'!DY13+'KELURAHAN (DI ISI)'!DY14+'KELURAHAN (DI ISI)'!DY15+'KELURAHAN (DI ISI)'!DY16+'KELURAHAN (DI ISI)'!DY17+'KELURAHAN (DI ISI)'!DY18+'KELURAHAN (DI ISI)'!DY21+'KELURAHAN (DI ISI)'!DY22</f>
        <v>7</v>
      </c>
      <c r="EP8" s="491">
        <f>'KELURAHAN (DI ISI)'!DZ11+'KELURAHAN (DI ISI)'!DZ13+'KELURAHAN (DI ISI)'!DZ14+'KELURAHAN (DI ISI)'!DZ15+'KELURAHAN (DI ISI)'!DZ16+'KELURAHAN (DI ISI)'!DZ17+'KELURAHAN (DI ISI)'!DZ18+'KELURAHAN (DI ISI)'!DZ21+'KELURAHAN (DI ISI)'!DZ22</f>
        <v>25</v>
      </c>
      <c r="EQ8" s="491">
        <f>'KELURAHAN (DI ISI)'!EA11+'KELURAHAN (DI ISI)'!EA13+'KELURAHAN (DI ISI)'!EA14+'KELURAHAN (DI ISI)'!EA15+'KELURAHAN (DI ISI)'!EA16+'KELURAHAN (DI ISI)'!EA17+'KELURAHAN (DI ISI)'!EA18+'KELURAHAN (DI ISI)'!EA21+'KELURAHAN (DI ISI)'!EA22</f>
        <v>0</v>
      </c>
      <c r="ER8" s="491">
        <f>'KELURAHAN (DI ISI)'!EB11+'KELURAHAN (DI ISI)'!EB13+'KELURAHAN (DI ISI)'!EB14+'KELURAHAN (DI ISI)'!EB15+'KELURAHAN (DI ISI)'!EB16+'KELURAHAN (DI ISI)'!EB17+'KELURAHAN (DI ISI)'!EB18+'KELURAHAN (DI ISI)'!EB21+'KELURAHAN (DI ISI)'!EB22</f>
        <v>0</v>
      </c>
      <c r="ES8" s="491">
        <f>'KELURAHAN (DI ISI)'!EC11+'KELURAHAN (DI ISI)'!EC13+'KELURAHAN (DI ISI)'!EC14+'KELURAHAN (DI ISI)'!EC15+'KELURAHAN (DI ISI)'!EC16+'KELURAHAN (DI ISI)'!EC17+'KELURAHAN (DI ISI)'!EC18+'KELURAHAN (DI ISI)'!EC21+'KELURAHAN (DI ISI)'!EC22</f>
        <v>0</v>
      </c>
      <c r="ET8" s="491">
        <f>'KELURAHAN (DI ISI)'!ED11+'KELURAHAN (DI ISI)'!ED13+'KELURAHAN (DI ISI)'!ED14+'KELURAHAN (DI ISI)'!ED15+'KELURAHAN (DI ISI)'!ED16+'KELURAHAN (DI ISI)'!ED17+'KELURAHAN (DI ISI)'!ED18+'KELURAHAN (DI ISI)'!ED21+'KELURAHAN (DI ISI)'!ED22</f>
        <v>1</v>
      </c>
      <c r="EU8" s="491">
        <f>'KELURAHAN (DI ISI)'!EE11+'KELURAHAN (DI ISI)'!EE13+'KELURAHAN (DI ISI)'!EE14+'KELURAHAN (DI ISI)'!EE15+'KELURAHAN (DI ISI)'!EE16+'KELURAHAN (DI ISI)'!EE17+'KELURAHAN (DI ISI)'!EE18+'KELURAHAN (DI ISI)'!EE21+'KELURAHAN (DI ISI)'!EE22</f>
        <v>0</v>
      </c>
      <c r="EV8" s="491">
        <f>'KELURAHAN (DI ISI)'!EF11+'KELURAHAN (DI ISI)'!EF13+'KELURAHAN (DI ISI)'!EF14+'KELURAHAN (DI ISI)'!EF15+'KELURAHAN (DI ISI)'!EF16+'KELURAHAN (DI ISI)'!EF17+'KELURAHAN (DI ISI)'!EF18+'KELURAHAN (DI ISI)'!EF21+'KELURAHAN (DI ISI)'!EF22</f>
        <v>0</v>
      </c>
      <c r="EW8" s="491">
        <f>'KELURAHAN (DI ISI)'!EG11+'KELURAHAN (DI ISI)'!EG13+'KELURAHAN (DI ISI)'!EG14+'KELURAHAN (DI ISI)'!EG15+'KELURAHAN (DI ISI)'!EG16+'KELURAHAN (DI ISI)'!EG17+'KELURAHAN (DI ISI)'!EG18+'KELURAHAN (DI ISI)'!EG21+'KELURAHAN (DI ISI)'!EG22</f>
        <v>47</v>
      </c>
      <c r="EX8" s="491">
        <f>'KELURAHAN (DI ISI)'!EH11+'KELURAHAN (DI ISI)'!EH13+'KELURAHAN (DI ISI)'!EH14+'KELURAHAN (DI ISI)'!EH15+'KELURAHAN (DI ISI)'!EH16+'KELURAHAN (DI ISI)'!EH17+'KELURAHAN (DI ISI)'!EH18+'KELURAHAN (DI ISI)'!EH21+'KELURAHAN (DI ISI)'!EH22</f>
        <v>21</v>
      </c>
      <c r="EY8" s="491">
        <f>'KELURAHAN (DI ISI)'!EI11+'KELURAHAN (DI ISI)'!EI13+'KELURAHAN (DI ISI)'!EI14+'KELURAHAN (DI ISI)'!EI15+'KELURAHAN (DI ISI)'!EI16+'KELURAHAN (DI ISI)'!EI17+'KELURAHAN (DI ISI)'!EI18+'KELURAHAN (DI ISI)'!EI21+'KELURAHAN (DI ISI)'!EI22</f>
        <v>1031</v>
      </c>
      <c r="EZ8" s="491">
        <f>'KELURAHAN (DI ISI)'!EJ11+'KELURAHAN (DI ISI)'!EJ13+'KELURAHAN (DI ISI)'!EJ14+'KELURAHAN (DI ISI)'!EJ15+'KELURAHAN (DI ISI)'!EJ16+'KELURAHAN (DI ISI)'!EJ17+'KELURAHAN (DI ISI)'!EJ18+'KELURAHAN (DI ISI)'!EJ21+'KELURAHAN (DI ISI)'!EJ22</f>
        <v>401</v>
      </c>
      <c r="FA8" s="491">
        <f>'KELURAHAN (DI ISI)'!EK11+'KELURAHAN (DI ISI)'!EK13+'KELURAHAN (DI ISI)'!EK14+'KELURAHAN (DI ISI)'!EK15+'KELURAHAN (DI ISI)'!EK16+'KELURAHAN (DI ISI)'!EK17+'KELURAHAN (DI ISI)'!EK18+'KELURAHAN (DI ISI)'!EK21+'KELURAHAN (DI ISI)'!EK22</f>
        <v>1006</v>
      </c>
      <c r="FB8" s="491">
        <f>'KELURAHAN (DI ISI)'!EL11+'KELURAHAN (DI ISI)'!EL13+'KELURAHAN (DI ISI)'!EL14+'KELURAHAN (DI ISI)'!EL15+'KELURAHAN (DI ISI)'!EL16+'KELURAHAN (DI ISI)'!EL17+'KELURAHAN (DI ISI)'!EL18+'KELURAHAN (DI ISI)'!EL21+'KELURAHAN (DI ISI)'!EL22</f>
        <v>380</v>
      </c>
      <c r="FC8" s="491">
        <f>'KELURAHAN (DI ISI)'!EM11+'KELURAHAN (DI ISI)'!EM13+'KELURAHAN (DI ISI)'!EM14+'KELURAHAN (DI ISI)'!EM15+'KELURAHAN (DI ISI)'!EM16+'KELURAHAN (DI ISI)'!EM17+'KELURAHAN (DI ISI)'!EM18+'KELURAHAN (DI ISI)'!EM21+'KELURAHAN (DI ISI)'!EM22</f>
        <v>54</v>
      </c>
      <c r="FD8" s="491">
        <f>'KELURAHAN (DI ISI)'!EN11+'KELURAHAN (DI ISI)'!EN13+'KELURAHAN (DI ISI)'!EN14+'KELURAHAN (DI ISI)'!EN15+'KELURAHAN (DI ISI)'!EN16+'KELURAHAN (DI ISI)'!EN17+'KELURAHAN (DI ISI)'!EN18+'KELURAHAN (DI ISI)'!EN21+'KELURAHAN (DI ISI)'!EN22</f>
        <v>17</v>
      </c>
      <c r="FE8" s="491">
        <f t="shared" ref="FE8:FE44" si="18">FI8+FM8</f>
        <v>37</v>
      </c>
      <c r="FF8" s="491">
        <f>'KELURAHAN (DI ISI)'!EP11+'KELURAHAN (DI ISI)'!EP13+'KELURAHAN (DI ISI)'!EP14+'KELURAHAN (DI ISI)'!EP15+'KELURAHAN (DI ISI)'!EP16+'KELURAHAN (DI ISI)'!EP17+'KELURAHAN (DI ISI)'!EP18+'KELURAHAN (DI ISI)'!EP21+'KELURAHAN (DI ISI)'!EP22</f>
        <v>0</v>
      </c>
      <c r="FG8" s="491">
        <f>'KELURAHAN (DI ISI)'!EQ11+'KELURAHAN (DI ISI)'!EQ13+'KELURAHAN (DI ISI)'!EQ14+'KELURAHAN (DI ISI)'!EQ15+'KELURAHAN (DI ISI)'!EQ16+'KELURAHAN (DI ISI)'!EQ17+'KELURAHAN (DI ISI)'!EQ18+'KELURAHAN (DI ISI)'!EQ21+'KELURAHAN (DI ISI)'!EQ22</f>
        <v>0</v>
      </c>
      <c r="FH8" s="491">
        <f>'KELURAHAN (DI ISI)'!ER11+'KELURAHAN (DI ISI)'!ER13+'KELURAHAN (DI ISI)'!ER14+'KELURAHAN (DI ISI)'!ER15+'KELURAHAN (DI ISI)'!ER16+'KELURAHAN (DI ISI)'!ER17+'KELURAHAN (DI ISI)'!ER18+'KELURAHAN (DI ISI)'!ER21+'KELURAHAN (DI ISI)'!ER22</f>
        <v>14</v>
      </c>
      <c r="FI8" s="491">
        <f>'KELURAHAN (DI ISI)'!ES11+'KELURAHAN (DI ISI)'!ES13+'KELURAHAN (DI ISI)'!ES14+'KELURAHAN (DI ISI)'!ES15+'KELURAHAN (DI ISI)'!ES16+'KELURAHAN (DI ISI)'!ES17+'KELURAHAN (DI ISI)'!ES18+'KELURAHAN (DI ISI)'!ES21+'KELURAHAN (DI ISI)'!ES22</f>
        <v>35</v>
      </c>
      <c r="FJ8" s="491">
        <f>'KELURAHAN (DI ISI)'!ET11+'KELURAHAN (DI ISI)'!ET13+'KELURAHAN (DI ISI)'!ET14+'KELURAHAN (DI ISI)'!ET15+'KELURAHAN (DI ISI)'!ET16+'KELURAHAN (DI ISI)'!ET17+'KELURAHAN (DI ISI)'!ET18+'KELURAHAN (DI ISI)'!ET21+'KELURAHAN (DI ISI)'!ET22</f>
        <v>1</v>
      </c>
      <c r="FK8" s="491">
        <f>'KELURAHAN (DI ISI)'!EU11+'KELURAHAN (DI ISI)'!EU13+'KELURAHAN (DI ISI)'!EU14+'KELURAHAN (DI ISI)'!EU15+'KELURAHAN (DI ISI)'!EU16+'KELURAHAN (DI ISI)'!EU17+'KELURAHAN (DI ISI)'!EU18+'KELURAHAN (DI ISI)'!EU21+'KELURAHAN (DI ISI)'!EU22</f>
        <v>0</v>
      </c>
      <c r="FL8" s="491">
        <f>'KELURAHAN (DI ISI)'!EV11+'KELURAHAN (DI ISI)'!EV13+'KELURAHAN (DI ISI)'!EV14+'KELURAHAN (DI ISI)'!EV15+'KELURAHAN (DI ISI)'!EV16+'KELURAHAN (DI ISI)'!EV17+'KELURAHAN (DI ISI)'!EV18+'KELURAHAN (DI ISI)'!EV21+'KELURAHAN (DI ISI)'!EV22</f>
        <v>2</v>
      </c>
      <c r="FM8" s="491">
        <f>'KELURAHAN (DI ISI)'!EW11+'KELURAHAN (DI ISI)'!EW13+'KELURAHAN (DI ISI)'!EW14+'KELURAHAN (DI ISI)'!EW15+'KELURAHAN (DI ISI)'!EW16+'KELURAHAN (DI ISI)'!EW17+'KELURAHAN (DI ISI)'!EW18+'KELURAHAN (DI ISI)'!EW21+'KELURAHAN (DI ISI)'!EW22</f>
        <v>2</v>
      </c>
      <c r="FN8" s="491">
        <f>'KELURAHAN (DI ISI)'!EX11+'KELURAHAN (DI ISI)'!EX13+'KELURAHAN (DI ISI)'!EX14+'KELURAHAN (DI ISI)'!EX15+'KELURAHAN (DI ISI)'!EX16+'KELURAHAN (DI ISI)'!EX17+'KELURAHAN (DI ISI)'!EX18+'KELURAHAN (DI ISI)'!EX21+'KELURAHAN (DI ISI)'!EX22</f>
        <v>1</v>
      </c>
      <c r="FO8" s="491">
        <f>'KELURAHAN (DI ISI)'!EY11+'KELURAHAN (DI ISI)'!EY13+'KELURAHAN (DI ISI)'!EY14+'KELURAHAN (DI ISI)'!EY15+'KELURAHAN (DI ISI)'!EY16+'KELURAHAN (DI ISI)'!EY17+'KELURAHAN (DI ISI)'!EY18+'KELURAHAN (DI ISI)'!EY21+'KELURAHAN (DI ISI)'!EY22</f>
        <v>1</v>
      </c>
      <c r="FP8" s="491">
        <f>'KELURAHAN (DI ISI)'!EZ11+'KELURAHAN (DI ISI)'!EZ13+'KELURAHAN (DI ISI)'!EZ14+'KELURAHAN (DI ISI)'!EZ15+'KELURAHAN (DI ISI)'!EZ16+'KELURAHAN (DI ISI)'!EZ17+'KELURAHAN (DI ISI)'!EZ18+'KELURAHAN (DI ISI)'!EZ21+'KELURAHAN (DI ISI)'!EZ22</f>
        <v>3</v>
      </c>
      <c r="FQ8" s="491">
        <f>'KELURAHAN (DI ISI)'!FA11+'KELURAHAN (DI ISI)'!FA13+'KELURAHAN (DI ISI)'!FA14+'KELURAHAN (DI ISI)'!FA15+'KELURAHAN (DI ISI)'!FA16+'KELURAHAN (DI ISI)'!FA17+'KELURAHAN (DI ISI)'!FA18+'KELURAHAN (DI ISI)'!FA21+'KELURAHAN (DI ISI)'!FA22</f>
        <v>20</v>
      </c>
      <c r="FR8" s="491">
        <f>'KELURAHAN (DI ISI)'!FB11+'KELURAHAN (DI ISI)'!FB13+'KELURAHAN (DI ISI)'!FB14+'KELURAHAN (DI ISI)'!FB15+'KELURAHAN (DI ISI)'!FB16+'KELURAHAN (DI ISI)'!FB17+'KELURAHAN (DI ISI)'!FB18+'KELURAHAN (DI ISI)'!FB21+'KELURAHAN (DI ISI)'!FB22</f>
        <v>0</v>
      </c>
      <c r="FS8" s="491">
        <f>'KELURAHAN (DI ISI)'!FC11+'KELURAHAN (DI ISI)'!FC13+'KELURAHAN (DI ISI)'!FC14+'KELURAHAN (DI ISI)'!FC15+'KELURAHAN (DI ISI)'!FC16+'KELURAHAN (DI ISI)'!FC17+'KELURAHAN (DI ISI)'!FC18+'KELURAHAN (DI ISI)'!FC21+'KELURAHAN (DI ISI)'!FC22</f>
        <v>0</v>
      </c>
      <c r="FT8" s="491">
        <f>'KELURAHAN (DI ISI)'!FD11+'KELURAHAN (DI ISI)'!FD13+'KELURAHAN (DI ISI)'!FD14+'KELURAHAN (DI ISI)'!FD15+'KELURAHAN (DI ISI)'!FD16+'KELURAHAN (DI ISI)'!FD17+'KELURAHAN (DI ISI)'!FD18+'KELURAHAN (DI ISI)'!FD21+'KELURAHAN (DI ISI)'!FD22</f>
        <v>0</v>
      </c>
      <c r="FU8" s="491">
        <f>'KELURAHAN (DI ISI)'!FE11+'KELURAHAN (DI ISI)'!FE13+'KELURAHAN (DI ISI)'!FE14+'KELURAHAN (DI ISI)'!FE15+'KELURAHAN (DI ISI)'!FE16+'KELURAHAN (DI ISI)'!FE17+'KELURAHAN (DI ISI)'!FE18+'KELURAHAN (DI ISI)'!FE21+'KELURAHAN (DI ISI)'!FE22</f>
        <v>0</v>
      </c>
      <c r="FV8" s="491">
        <f>'KELURAHAN (DI ISI)'!FF11+'KELURAHAN (DI ISI)'!FF13+'KELURAHAN (DI ISI)'!FF14+'KELURAHAN (DI ISI)'!FF15+'KELURAHAN (DI ISI)'!FF16+'KELURAHAN (DI ISI)'!FF17+'KELURAHAN (DI ISI)'!FF18+'KELURAHAN (DI ISI)'!FF21+'KELURAHAN (DI ISI)'!FF22</f>
        <v>2</v>
      </c>
      <c r="FW8" s="491">
        <f>'KELURAHAN (DI ISI)'!FG11+'KELURAHAN (DI ISI)'!FG13+'KELURAHAN (DI ISI)'!FG14+'KELURAHAN (DI ISI)'!FG15+'KELURAHAN (DI ISI)'!FG16+'KELURAHAN (DI ISI)'!FG17+'KELURAHAN (DI ISI)'!FG18+'KELURAHAN (DI ISI)'!FG21+'KELURAHAN (DI ISI)'!FG22</f>
        <v>0</v>
      </c>
      <c r="FX8" s="491">
        <f>'KELURAHAN (DI ISI)'!FH11+'KELURAHAN (DI ISI)'!FH13+'KELURAHAN (DI ISI)'!FH14+'KELURAHAN (DI ISI)'!FH15+'KELURAHAN (DI ISI)'!FH16+'KELURAHAN (DI ISI)'!FH17+'KELURAHAN (DI ISI)'!FH18+'KELURAHAN (DI ISI)'!FH21+'KELURAHAN (DI ISI)'!FH22</f>
        <v>27</v>
      </c>
      <c r="FY8" s="491">
        <f>'KELURAHAN (DI ISI)'!FI11+'KELURAHAN (DI ISI)'!FI13+'KELURAHAN (DI ISI)'!FI14+'KELURAHAN (DI ISI)'!FI15+'KELURAHAN (DI ISI)'!FI16+'KELURAHAN (DI ISI)'!FI17+'KELURAHAN (DI ISI)'!FI18+'KELURAHAN (DI ISI)'!FI21+'KELURAHAN (DI ISI)'!FI22</f>
        <v>5</v>
      </c>
      <c r="FZ8" s="491">
        <f>'KELURAHAN (DI ISI)'!FJ11+'KELURAHAN (DI ISI)'!FJ13+'KELURAHAN (DI ISI)'!FJ14+'KELURAHAN (DI ISI)'!FJ15+'KELURAHAN (DI ISI)'!FJ16+'KELURAHAN (DI ISI)'!FJ17+'KELURAHAN (DI ISI)'!FJ18+'KELURAHAN (DI ISI)'!FJ21+'KELURAHAN (DI ISI)'!FJ22</f>
        <v>1040</v>
      </c>
      <c r="GA8" s="491">
        <f>'KELURAHAN (DI ISI)'!FK11+'KELURAHAN (DI ISI)'!FK13+'KELURAHAN (DI ISI)'!FK14+'KELURAHAN (DI ISI)'!FK15+'KELURAHAN (DI ISI)'!FK16+'KELURAHAN (DI ISI)'!FK17+'KELURAHAN (DI ISI)'!FK18+'KELURAHAN (DI ISI)'!FK21+'KELURAHAN (DI ISI)'!FK22</f>
        <v>269</v>
      </c>
      <c r="GB8" s="491">
        <f>'KELURAHAN (DI ISI)'!FL11+'KELURAHAN (DI ISI)'!FL13+'KELURAHAN (DI ISI)'!FL14+'KELURAHAN (DI ISI)'!FL15+'KELURAHAN (DI ISI)'!FL16+'KELURAHAN (DI ISI)'!FL17+'KELURAHAN (DI ISI)'!FL18+'KELURAHAN (DI ISI)'!FL21+'KELURAHAN (DI ISI)'!FL22</f>
        <v>1015</v>
      </c>
      <c r="GC8" s="491">
        <f>'KELURAHAN (DI ISI)'!FM11+'KELURAHAN (DI ISI)'!FM13+'KELURAHAN (DI ISI)'!FM14+'KELURAHAN (DI ISI)'!FM15+'KELURAHAN (DI ISI)'!FM16+'KELURAHAN (DI ISI)'!FM17+'KELURAHAN (DI ISI)'!FM18+'KELURAHAN (DI ISI)'!FM21+'KELURAHAN (DI ISI)'!FM22</f>
        <v>262</v>
      </c>
      <c r="GD8" s="570">
        <v>1015.0</v>
      </c>
      <c r="GE8" s="571">
        <f>'KELURAHAN (DI ISI)'!FO11+'KELURAHAN (DI ISI)'!FO13+'KELURAHAN (DI ISI)'!FO14+'KELURAHAN (DI ISI)'!FO15+'KELURAHAN (DI ISI)'!FO16+'KELURAHAN (DI ISI)'!FO17+'KELURAHAN (DI ISI)'!FO18+'KELURAHAN (DI ISI)'!FO21+'KELURAHAN (DI ISI)'!FO22</f>
        <v>52</v>
      </c>
      <c r="GF8" s="571">
        <f>'KELURAHAN (DI ISI)'!FP11+'KELURAHAN (DI ISI)'!FP13+'KELURAHAN (DI ISI)'!FP14+'KELURAHAN (DI ISI)'!FP15+'KELURAHAN (DI ISI)'!FP16+'KELURAHAN (DI ISI)'!FP17+'KELURAHAN (DI ISI)'!FP18+'KELURAHAN (DI ISI)'!FP21+'KELURAHAN (DI ISI)'!FP22</f>
        <v>52</v>
      </c>
      <c r="GG8" s="571">
        <f>'KELURAHAN (DI ISI)'!FP11+'KELURAHAN (DI ISI)'!FP13+'KELURAHAN (DI ISI)'!FP14+'KELURAHAN (DI ISI)'!FP15+'KELURAHAN (DI ISI)'!FP16+'KELURAHAN (DI ISI)'!FP17+'KELURAHAN (DI ISI)'!FP18+'KELURAHAN (DI ISI)'!FP21+'KELURAHAN (DI ISI)'!FP22</f>
        <v>52</v>
      </c>
      <c r="GH8" s="571">
        <f>'KELURAHAN (DI ISI)'!FQ11+'KELURAHAN (DI ISI)'!FQ13+'KELURAHAN (DI ISI)'!FQ14+'KELURAHAN (DI ISI)'!FQ15+'KELURAHAN (DI ISI)'!FQ16+'KELURAHAN (DI ISI)'!FQ17+'KELURAHAN (DI ISI)'!FQ18+'KELURAHAN (DI ISI)'!FQ21+'KELURAHAN (DI ISI)'!FQ22</f>
        <v>16</v>
      </c>
      <c r="GI8" s="571">
        <f t="shared" ref="GI8:GI44" si="19">GM8+GQ8</f>
        <v>36</v>
      </c>
      <c r="GJ8" s="491">
        <f>'KELURAHAN (DI ISI)'!FS11+'KELURAHAN (DI ISI)'!FS13+'KELURAHAN (DI ISI)'!FS14+'KELURAHAN (DI ISI)'!FS15+'KELURAHAN (DI ISI)'!FS16+'KELURAHAN (DI ISI)'!FS17+'KELURAHAN (DI ISI)'!FS18+'KELURAHAN (DI ISI)'!FS21+'KELURAHAN (DI ISI)'!FS22</f>
        <v>0</v>
      </c>
      <c r="GK8" s="491">
        <f>'KELURAHAN (DI ISI)'!FT11+'KELURAHAN (DI ISI)'!FT13+'KELURAHAN (DI ISI)'!FT14+'KELURAHAN (DI ISI)'!FT15+'KELURAHAN (DI ISI)'!FT16+'KELURAHAN (DI ISI)'!FT17+'KELURAHAN (DI ISI)'!FT18+'KELURAHAN (DI ISI)'!FT21+'KELURAHAN (DI ISI)'!FT22</f>
        <v>0</v>
      </c>
      <c r="GL8" s="491">
        <f>'KELURAHAN (DI ISI)'!FU11+'KELURAHAN (DI ISI)'!FU13+'KELURAHAN (DI ISI)'!FU14+'KELURAHAN (DI ISI)'!FU15+'KELURAHAN (DI ISI)'!FU16+'KELURAHAN (DI ISI)'!FU17+'KELURAHAN (DI ISI)'!FU18+'KELURAHAN (DI ISI)'!FU21+'KELURAHAN (DI ISI)'!FU22</f>
        <v>12</v>
      </c>
      <c r="GM8" s="491">
        <f>'KELURAHAN (DI ISI)'!FV11+'KELURAHAN (DI ISI)'!FV13+'KELURAHAN (DI ISI)'!FV14+'KELURAHAN (DI ISI)'!FV15+'KELURAHAN (DI ISI)'!FV16+'KELURAHAN (DI ISI)'!FV17+'KELURAHAN (DI ISI)'!FV18+'KELURAHAN (DI ISI)'!FV21+'KELURAHAN (DI ISI)'!FV22</f>
        <v>31</v>
      </c>
      <c r="GN8" s="491">
        <f>'KELURAHAN (DI ISI)'!FW11+'KELURAHAN (DI ISI)'!FW13+'KELURAHAN (DI ISI)'!FW14+'KELURAHAN (DI ISI)'!FW15+'KELURAHAN (DI ISI)'!FW16+'KELURAHAN (DI ISI)'!FW17+'KELURAHAN (DI ISI)'!FW18+'KELURAHAN (DI ISI)'!FW21+'KELURAHAN (DI ISI)'!FW22</f>
        <v>0</v>
      </c>
      <c r="GO8" s="491">
        <f>'KELURAHAN (DI ISI)'!FX11+'KELURAHAN (DI ISI)'!FX13+'KELURAHAN (DI ISI)'!FX14+'KELURAHAN (DI ISI)'!FX15+'KELURAHAN (DI ISI)'!FX16+'KELURAHAN (DI ISI)'!FX17+'KELURAHAN (DI ISI)'!FX18+'KELURAHAN (DI ISI)'!FX21+'KELURAHAN (DI ISI)'!FX22</f>
        <v>1</v>
      </c>
      <c r="GP8" s="491">
        <f>'KELURAHAN (DI ISI)'!FY11+'KELURAHAN (DI ISI)'!FY13+'KELURAHAN (DI ISI)'!FY14+'KELURAHAN (DI ISI)'!FY15+'KELURAHAN (DI ISI)'!FY16+'KELURAHAN (DI ISI)'!FY17+'KELURAHAN (DI ISI)'!FY18+'KELURAHAN (DI ISI)'!FY21+'KELURAHAN (DI ISI)'!FY22</f>
        <v>3</v>
      </c>
      <c r="GQ8" s="491">
        <f>'KELURAHAN (DI ISI)'!FZ11+'KELURAHAN (DI ISI)'!FZ13+'KELURAHAN (DI ISI)'!FZ14+'KELURAHAN (DI ISI)'!FZ15+'KELURAHAN (DI ISI)'!FZ16+'KELURAHAN (DI ISI)'!FZ17+'KELURAHAN (DI ISI)'!FZ18+'KELURAHAN (DI ISI)'!FZ21+'KELURAHAN (DI ISI)'!FZ22</f>
        <v>5</v>
      </c>
      <c r="GR8" s="491">
        <f>'KELURAHAN (DI ISI)'!GA11+'KELURAHAN (DI ISI)'!GA13+'KELURAHAN (DI ISI)'!GA14+'KELURAHAN (DI ISI)'!GA15+'KELURAHAN (DI ISI)'!GA16+'KELURAHAN (DI ISI)'!GA17+'KELURAHAN (DI ISI)'!GA18+'KELURAHAN (DI ISI)'!GA21+'KELURAHAN (DI ISI)'!GA22</f>
        <v>0</v>
      </c>
      <c r="GS8" s="491">
        <f>'KELURAHAN (DI ISI)'!GB11+'KELURAHAN (DI ISI)'!GB13+'KELURAHAN (DI ISI)'!GB14+'KELURAHAN (DI ISI)'!GB15+'KELURAHAN (DI ISI)'!GB16+'KELURAHAN (DI ISI)'!GB17+'KELURAHAN (DI ISI)'!GB18+'KELURAHAN (DI ISI)'!GB21+'KELURAHAN (DI ISI)'!GB22</f>
        <v>3</v>
      </c>
      <c r="GT8" s="491">
        <f>'KELURAHAN (DI ISI)'!GC11+'KELURAHAN (DI ISI)'!GC13+'KELURAHAN (DI ISI)'!GC14+'KELURAHAN (DI ISI)'!GC15+'KELURAHAN (DI ISI)'!GC16+'KELURAHAN (DI ISI)'!GC17+'KELURAHAN (DI ISI)'!GC18+'KELURAHAN (DI ISI)'!GC21+'KELURAHAN (DI ISI)'!GC22</f>
        <v>2</v>
      </c>
      <c r="GU8" s="491">
        <f>'KELURAHAN (DI ISI)'!GD11+'KELURAHAN (DI ISI)'!GD13+'KELURAHAN (DI ISI)'!GD14+'KELURAHAN (DI ISI)'!GD15+'KELURAHAN (DI ISI)'!GD16+'KELURAHAN (DI ISI)'!GD17+'KELURAHAN (DI ISI)'!GD18+'KELURAHAN (DI ISI)'!GD21+'KELURAHAN (DI ISI)'!GD22</f>
        <v>12</v>
      </c>
      <c r="GV8" s="491">
        <f>'KELURAHAN (DI ISI)'!GE11+'KELURAHAN (DI ISI)'!GE13+'KELURAHAN (DI ISI)'!GE14+'KELURAHAN (DI ISI)'!GE15+'KELURAHAN (DI ISI)'!GE16+'KELURAHAN (DI ISI)'!GE17+'KELURAHAN (DI ISI)'!GE18+'KELURAHAN (DI ISI)'!GE21+'KELURAHAN (DI ISI)'!GE22</f>
        <v>0</v>
      </c>
      <c r="GW8" s="491">
        <f>'KELURAHAN (DI ISI)'!GF11+'KELURAHAN (DI ISI)'!GF13+'KELURAHAN (DI ISI)'!GF14+'KELURAHAN (DI ISI)'!GF15+'KELURAHAN (DI ISI)'!GF16+'KELURAHAN (DI ISI)'!GF17+'KELURAHAN (DI ISI)'!GF18+'KELURAHAN (DI ISI)'!GF21+'KELURAHAN (DI ISI)'!GF22</f>
        <v>0</v>
      </c>
      <c r="GX8" s="491">
        <f>'KELURAHAN (DI ISI)'!GG11+'KELURAHAN (DI ISI)'!GG13+'KELURAHAN (DI ISI)'!GG14+'KELURAHAN (DI ISI)'!GG15+'KELURAHAN (DI ISI)'!GG16+'KELURAHAN (DI ISI)'!GG17+'KELURAHAN (DI ISI)'!GG18+'KELURAHAN (DI ISI)'!GG21+'KELURAHAN (DI ISI)'!GG22</f>
        <v>0</v>
      </c>
      <c r="GY8" s="491">
        <f>'KELURAHAN (DI ISI)'!GH11+'KELURAHAN (DI ISI)'!GH13+'KELURAHAN (DI ISI)'!GH14+'KELURAHAN (DI ISI)'!GH15+'KELURAHAN (DI ISI)'!GH16+'KELURAHAN (DI ISI)'!GH17+'KELURAHAN (DI ISI)'!GH18+'KELURAHAN (DI ISI)'!GH21+'KELURAHAN (DI ISI)'!GH22</f>
        <v>0</v>
      </c>
      <c r="GZ8" s="491">
        <f>'KELURAHAN (DI ISI)'!GI11+'KELURAHAN (DI ISI)'!GI13+'KELURAHAN (DI ISI)'!GI14+'KELURAHAN (DI ISI)'!GI15+'KELURAHAN (DI ISI)'!GI16+'KELURAHAN (DI ISI)'!GI17+'KELURAHAN (DI ISI)'!GI18+'KELURAHAN (DI ISI)'!GI21+'KELURAHAN (DI ISI)'!GI22</f>
        <v>0</v>
      </c>
      <c r="HA8" s="491">
        <f>'KELURAHAN (DI ISI)'!GJ11+'KELURAHAN (DI ISI)'!GJ13+'KELURAHAN (DI ISI)'!GJ14+'KELURAHAN (DI ISI)'!GJ15+'KELURAHAN (DI ISI)'!GJ16+'KELURAHAN (DI ISI)'!GJ17+'KELURAHAN (DI ISI)'!GJ18+'KELURAHAN (DI ISI)'!GJ21+'KELURAHAN (DI ISI)'!GJ22</f>
        <v>0</v>
      </c>
      <c r="HB8" s="572">
        <f>'KELURAHAN (DI ISI)'!GK11+'KELURAHAN (DI ISI)'!GK13+'KELURAHAN (DI ISI)'!GK14+'KELURAHAN (DI ISI)'!GK15+'KELURAHAN (DI ISI)'!GK16+'KELURAHAN (DI ISI)'!GK17+'KELURAHAN (DI ISI)'!GK18+'KELURAHAN (DI ISI)'!GK21+'KELURAHAN (DI ISI)'!GK22</f>
        <v>17</v>
      </c>
      <c r="HC8" s="572">
        <f>'KELURAHAN (DI ISI)'!GL11+'KELURAHAN (DI ISI)'!GL13+'KELURAHAN (DI ISI)'!GL14+'KELURAHAN (DI ISI)'!GL15+'KELURAHAN (DI ISI)'!GL16+'KELURAHAN (DI ISI)'!GL17+'KELURAHAN (DI ISI)'!GL18+'KELURAHAN (DI ISI)'!GL21+'KELURAHAN (DI ISI)'!GL22</f>
        <v>5</v>
      </c>
      <c r="HD8" s="491">
        <f>'KELURAHAN (DI ISI)'!GM11+'KELURAHAN (DI ISI)'!GM13+'KELURAHAN (DI ISI)'!GM14+'KELURAHAN (DI ISI)'!GM15+'KELURAHAN (DI ISI)'!GM16+'KELURAHAN (DI ISI)'!GM17+'KELURAHAN (DI ISI)'!GM18+'KELURAHAN (DI ISI)'!GM21+'KELURAHAN (DI ISI)'!GM22</f>
        <v>1140</v>
      </c>
      <c r="HE8" s="491">
        <f>'KELURAHAN (DI ISI)'!GN11+'KELURAHAN (DI ISI)'!GN13+'KELURAHAN (DI ISI)'!GN14+'KELURAHAN (DI ISI)'!GN15+'KELURAHAN (DI ISI)'!GN16+'KELURAHAN (DI ISI)'!GN17+'KELURAHAN (DI ISI)'!GN18+'KELURAHAN (DI ISI)'!GN21+'KELURAHAN (DI ISI)'!GN22</f>
        <v>329</v>
      </c>
      <c r="HF8" s="491">
        <f>'KELURAHAN (DI ISI)'!GO11+'KELURAHAN (DI ISI)'!GO13+'KELURAHAN (DI ISI)'!GO14+'KELURAHAN (DI ISI)'!GO15+'KELURAHAN (DI ISI)'!GO16+'KELURAHAN (DI ISI)'!GO17+'KELURAHAN (DI ISI)'!GO18+'KELURAHAN (DI ISI)'!GO21+'KELURAHAN (DI ISI)'!GO22</f>
        <v>1098</v>
      </c>
      <c r="HG8" s="491">
        <f>'KELURAHAN (DI ISI)'!GP11+'KELURAHAN (DI ISI)'!GP13+'KELURAHAN (DI ISI)'!GP14+'KELURAHAN (DI ISI)'!GP15+'KELURAHAN (DI ISI)'!GP16+'KELURAHAN (DI ISI)'!GP17+'KELURAHAN (DI ISI)'!GP18+'KELURAHAN (DI ISI)'!GP21+'KELURAHAN (DI ISI)'!GP22</f>
        <v>315</v>
      </c>
      <c r="HH8" s="570">
        <v>1015.0</v>
      </c>
      <c r="HI8" s="225">
        <f>'KELURAHAN (DI ISI)'!GR11+'KELURAHAN (DI ISI)'!GR13+'KELURAHAN (DI ISI)'!GR14+'KELURAHAN (DI ISI)'!GR15+'KELURAHAN (DI ISI)'!GR16+'KELURAHAN (DI ISI)'!GR17+'KELURAHAN (DI ISI)'!GR18+'KELURAHAN (DI ISI)'!GR21+'KELURAHAN (DI ISI)'!GR22</f>
        <v>58</v>
      </c>
      <c r="HJ8" s="225">
        <f>'KELURAHAN (DI ISI)'!GS11+'KELURAHAN (DI ISI)'!GS13+'KELURAHAN (DI ISI)'!GS14+'KELURAHAN (DI ISI)'!GS15+'KELURAHAN (DI ISI)'!GS16+'KELURAHAN (DI ISI)'!GS17+'KELURAHAN (DI ISI)'!GS18+'KELURAHAN (DI ISI)'!GS21+'KELURAHAN (DI ISI)'!GS22</f>
        <v>14</v>
      </c>
      <c r="HK8" s="573">
        <f>'KELURAHAN (DI ISI)'!GT11+'KELURAHAN (DI ISI)'!GT13+'KELURAHAN (DI ISI)'!GT14+'KELURAHAN (DI ISI)'!GT15+'KELURAHAN (DI ISI)'!GT16+'KELURAHAN (DI ISI)'!GT17+'KELURAHAN (DI ISI)'!GT18+'KELURAHAN (DI ISI)'!GT21+'KELURAHAN (DI ISI)'!GT22</f>
        <v>58</v>
      </c>
      <c r="HL8" s="573">
        <f>'KELURAHAN (DI ISI)'!GU11+'KELURAHAN (DI ISI)'!GU13+'KELURAHAN (DI ISI)'!GU14+'KELURAHAN (DI ISI)'!GU15+'KELURAHAN (DI ISI)'!GU16+'KELURAHAN (DI ISI)'!GU17+'KELURAHAN (DI ISI)'!GU18+'KELURAHAN (DI ISI)'!GU21+'KELURAHAN (DI ISI)'!GU22</f>
        <v>14</v>
      </c>
      <c r="HM8" s="573">
        <f t="shared" ref="HM8:HM44" si="20">HQ8+HU8</f>
        <v>44</v>
      </c>
      <c r="HN8" s="491">
        <f>'KELURAHAN (DI ISI)'!GW11+'KELURAHAN (DI ISI)'!GW13+'KELURAHAN (DI ISI)'!GW14+'KELURAHAN (DI ISI)'!GW15+'KELURAHAN (DI ISI)'!GW16+'KELURAHAN (DI ISI)'!GW17+'KELURAHAN (DI ISI)'!GW18+'KELURAHAN (DI ISI)'!GW21+'KELURAHAN (DI ISI)'!GW22</f>
        <v>0</v>
      </c>
      <c r="HO8" s="491">
        <f>'KELURAHAN (DI ISI)'!GX11+'KELURAHAN (DI ISI)'!GX13+'KELURAHAN (DI ISI)'!GX14+'KELURAHAN (DI ISI)'!GX15+'KELURAHAN (DI ISI)'!GX16+'KELURAHAN (DI ISI)'!GX17+'KELURAHAN (DI ISI)'!GX18+'KELURAHAN (DI ISI)'!GX21+'KELURAHAN (DI ISI)'!GX22</f>
        <v>0</v>
      </c>
      <c r="HP8" s="491">
        <f>'KELURAHAN (DI ISI)'!GY11+'KELURAHAN (DI ISI)'!GY13+'KELURAHAN (DI ISI)'!GY14+'KELURAHAN (DI ISI)'!GY15+'KELURAHAN (DI ISI)'!GY16+'KELURAHAN (DI ISI)'!GY17+'KELURAHAN (DI ISI)'!GY18+'KELURAHAN (DI ISI)'!GY21+'KELURAHAN (DI ISI)'!GY22</f>
        <v>11</v>
      </c>
      <c r="HQ8" s="491">
        <f>'KELURAHAN (DI ISI)'!GZ11+'KELURAHAN (DI ISI)'!GZ13+'KELURAHAN (DI ISI)'!GZ14+'KELURAHAN (DI ISI)'!GZ15+'KELURAHAN (DI ISI)'!GZ16+'KELURAHAN (DI ISI)'!GZ17+'KELURAHAN (DI ISI)'!GZ18+'KELURAHAN (DI ISI)'!GZ21+'KELURAHAN (DI ISI)'!GZ22</f>
        <v>37</v>
      </c>
      <c r="HR8" s="491">
        <f>'KELURAHAN (DI ISI)'!HA11+'KELURAHAN (DI ISI)'!HA13+'KELURAHAN (DI ISI)'!HA14+'KELURAHAN (DI ISI)'!HA15+'KELURAHAN (DI ISI)'!HA16+'KELURAHAN (DI ISI)'!HA17+'KELURAHAN (DI ISI)'!HA18+'KELURAHAN (DI ISI)'!HA21+'KELURAHAN (DI ISI)'!HA22</f>
        <v>0</v>
      </c>
      <c r="HS8" s="491">
        <f>'KELURAHAN (DI ISI)'!HB11+'KELURAHAN (DI ISI)'!HB13+'KELURAHAN (DI ISI)'!HB14+'KELURAHAN (DI ISI)'!HB15+'KELURAHAN (DI ISI)'!HB16+'KELURAHAN (DI ISI)'!HB17+'KELURAHAN (DI ISI)'!HB18+'KELURAHAN (DI ISI)'!HB21+'KELURAHAN (DI ISI)'!HB22</f>
        <v>0</v>
      </c>
      <c r="HT8" s="491">
        <f>'KELURAHAN (DI ISI)'!HC11+'KELURAHAN (DI ISI)'!HC13+'KELURAHAN (DI ISI)'!HC14+'KELURAHAN (DI ISI)'!HC15+'KELURAHAN (DI ISI)'!HC16+'KELURAHAN (DI ISI)'!HC17+'KELURAHAN (DI ISI)'!HC18+'KELURAHAN (DI ISI)'!HC21+'KELURAHAN (DI ISI)'!HC22</f>
        <v>3</v>
      </c>
      <c r="HU8" s="491">
        <f>'KELURAHAN (DI ISI)'!HD11+'KELURAHAN (DI ISI)'!HD13+'KELURAHAN (DI ISI)'!HD14+'KELURAHAN (DI ISI)'!HD15+'KELURAHAN (DI ISI)'!HD16+'KELURAHAN (DI ISI)'!HD17+'KELURAHAN (DI ISI)'!HD18+'KELURAHAN (DI ISI)'!HD21+'KELURAHAN (DI ISI)'!HD22</f>
        <v>7</v>
      </c>
      <c r="HV8" s="491">
        <f>'KELURAHAN (DI ISI)'!HE11+'KELURAHAN (DI ISI)'!HE13+'KELURAHAN (DI ISI)'!HE14+'KELURAHAN (DI ISI)'!HE15+'KELURAHAN (DI ISI)'!HE16+'KELURAHAN (DI ISI)'!HE17+'KELURAHAN (DI ISI)'!HE18+'KELURAHAN (DI ISI)'!HE21+'KELURAHAN (DI ISI)'!HE22</f>
        <v>0</v>
      </c>
      <c r="HW8" s="491">
        <f>'KELURAHAN (DI ISI)'!HF11+'KELURAHAN (DI ISI)'!HF13+'KELURAHAN (DI ISI)'!HF14+'KELURAHAN (DI ISI)'!HF15+'KELURAHAN (DI ISI)'!HF16+'KELURAHAN (DI ISI)'!HF17+'KELURAHAN (DI ISI)'!HF18+'KELURAHAN (DI ISI)'!HF21+'KELURAHAN (DI ISI)'!HF22</f>
        <v>0</v>
      </c>
      <c r="HX8" s="491">
        <f>'KELURAHAN (DI ISI)'!HG11+'KELURAHAN (DI ISI)'!HG13+'KELURAHAN (DI ISI)'!HG14+'KELURAHAN (DI ISI)'!HG15+'KELURAHAN (DI ISI)'!HG16+'KELURAHAN (DI ISI)'!HG17+'KELURAHAN (DI ISI)'!HG18+'KELURAHAN (DI ISI)'!HG21+'KELURAHAN (DI ISI)'!HG22</f>
        <v>3</v>
      </c>
      <c r="HY8" s="491">
        <f>'KELURAHAN (DI ISI)'!HH11+'KELURAHAN (DI ISI)'!HH13+'KELURAHAN (DI ISI)'!HH14+'KELURAHAN (DI ISI)'!HH15+'KELURAHAN (DI ISI)'!HH16+'KELURAHAN (DI ISI)'!HH17+'KELURAHAN (DI ISI)'!HH18+'KELURAHAN (DI ISI)'!HH21+'KELURAHAN (DI ISI)'!HH22</f>
        <v>3</v>
      </c>
      <c r="HZ8" s="491">
        <f>'KELURAHAN (DI ISI)'!HI11+'KELURAHAN (DI ISI)'!HI13+'KELURAHAN (DI ISI)'!HI14+'KELURAHAN (DI ISI)'!HI15+'KELURAHAN (DI ISI)'!HI16+'KELURAHAN (DI ISI)'!HI17+'KELURAHAN (DI ISI)'!HI18+'KELURAHAN (DI ISI)'!HI21+'KELURAHAN (DI ISI)'!HI22</f>
        <v>0</v>
      </c>
      <c r="IA8" s="491">
        <f>'KELURAHAN (DI ISI)'!HJ11+'KELURAHAN (DI ISI)'!HJ13+'KELURAHAN (DI ISI)'!HJ14+'KELURAHAN (DI ISI)'!HJ15+'KELURAHAN (DI ISI)'!HJ16+'KELURAHAN (DI ISI)'!HJ17+'KELURAHAN (DI ISI)'!HJ18+'KELURAHAN (DI ISI)'!HJ21+'KELURAHAN (DI ISI)'!HJ22</f>
        <v>0</v>
      </c>
      <c r="IB8" s="491">
        <f>'KELURAHAN (DI ISI)'!HK11+'KELURAHAN (DI ISI)'!HK13+'KELURAHAN (DI ISI)'!HK14+'KELURAHAN (DI ISI)'!HK15+'KELURAHAN (DI ISI)'!HK16+'KELURAHAN (DI ISI)'!HK17+'KELURAHAN (DI ISI)'!HK18+'KELURAHAN (DI ISI)'!HK21+'KELURAHAN (DI ISI)'!HK22</f>
        <v>0</v>
      </c>
      <c r="IC8" s="491">
        <f>'KELURAHAN (DI ISI)'!HL11+'KELURAHAN (DI ISI)'!HL13+'KELURAHAN (DI ISI)'!HL14+'KELURAHAN (DI ISI)'!HL15+'KELURAHAN (DI ISI)'!HL16+'KELURAHAN (DI ISI)'!HL17+'KELURAHAN (DI ISI)'!HL18+'KELURAHAN (DI ISI)'!HL21+'KELURAHAN (DI ISI)'!HL22</f>
        <v>0</v>
      </c>
      <c r="ID8" s="491">
        <f>'KELURAHAN (DI ISI)'!HM11+'KELURAHAN (DI ISI)'!HM13+'KELURAHAN (DI ISI)'!HM14+'KELURAHAN (DI ISI)'!HM15+'KELURAHAN (DI ISI)'!HM16+'KELURAHAN (DI ISI)'!HM17+'KELURAHAN (DI ISI)'!HM18+'KELURAHAN (DI ISI)'!HM21+'KELURAHAN (DI ISI)'!HM22</f>
        <v>1</v>
      </c>
      <c r="IE8" s="491">
        <f>'KELURAHAN (DI ISI)'!HN11+'KELURAHAN (DI ISI)'!HN13+'KELURAHAN (DI ISI)'!HN14+'KELURAHAN (DI ISI)'!HN15+'KELURAHAN (DI ISI)'!HN16+'KELURAHAN (DI ISI)'!HN17+'KELURAHAN (DI ISI)'!HN18+'KELURAHAN (DI ISI)'!HN21+'KELURAHAN (DI ISI)'!HN22</f>
        <v>0</v>
      </c>
      <c r="IF8" s="573">
        <f>'KELURAHAN (DI ISI)'!HO11+'KELURAHAN (DI ISI)'!HO13+'KELURAHAN (DI ISI)'!HO14+'KELURAHAN (DI ISI)'!HO15+'KELURAHAN (DI ISI)'!HO16+'KELURAHAN (DI ISI)'!HO17+'KELURAHAN (DI ISI)'!HO18+'KELURAHAN (DI ISI)'!HO21+'KELURAHAN (DI ISI)'!HO22</f>
        <v>0</v>
      </c>
      <c r="IG8" s="573">
        <f>'KELURAHAN (DI ISI)'!HP11+'KELURAHAN (DI ISI)'!HP13+'KELURAHAN (DI ISI)'!HP14+'KELURAHAN (DI ISI)'!HP15+'KELURAHAN (DI ISI)'!HP16+'KELURAHAN (DI ISI)'!HP17+'KELURAHAN (DI ISI)'!HP18+'KELURAHAN (DI ISI)'!HP21+'KELURAHAN (DI ISI)'!HP22</f>
        <v>0</v>
      </c>
      <c r="IK8" s="198">
        <f t="shared" ref="IK8:IK45" si="21">H8</f>
        <v>66</v>
      </c>
      <c r="IL8" s="198">
        <f t="shared" ref="IL8:IL45" si="22">R8</f>
        <v>105</v>
      </c>
      <c r="IM8" s="198">
        <f t="shared" ref="IM8:IM45" si="23">AB8</f>
        <v>102</v>
      </c>
      <c r="IN8" s="198">
        <f t="shared" ref="IN8:IN45" si="24">AL8</f>
        <v>104</v>
      </c>
      <c r="IO8" s="198">
        <f t="shared" ref="IO8:IO45" si="25">AV8</f>
        <v>86</v>
      </c>
      <c r="IP8" s="198">
        <f t="shared" ref="IP8:IP45" si="26">BG8</f>
        <v>84</v>
      </c>
      <c r="IQ8" s="574">
        <f t="shared" ref="IQ8:IQ45" si="27">CD8</f>
        <v>63</v>
      </c>
      <c r="IR8" s="574">
        <f t="shared" ref="IR8:IR45" si="28">DB8</f>
        <v>75</v>
      </c>
      <c r="IS8" s="574">
        <f t="shared" ref="IS8:IS45" si="29">EB8</f>
        <v>76</v>
      </c>
      <c r="IT8" s="574">
        <f t="shared" ref="IT8:IT45" si="30">FC8</f>
        <v>54</v>
      </c>
      <c r="IU8" s="574">
        <f t="shared" ref="IU8:IU45" si="31">GG8</f>
        <v>52</v>
      </c>
      <c r="IV8" s="575">
        <f t="shared" ref="IV8:IV45" si="32">HK8</f>
        <v>58</v>
      </c>
      <c r="IW8" s="469"/>
      <c r="IX8" s="576">
        <f t="shared" ref="IX8:IX44" si="33">IW8-IV8</f>
        <v>-58</v>
      </c>
      <c r="IZ8" s="577"/>
      <c r="JA8" s="162">
        <f t="shared" ref="JA8:JA45" si="34">IZ8-HD8</f>
        <v>-1140</v>
      </c>
      <c r="JB8" s="578"/>
      <c r="JC8" s="579">
        <f t="shared" ref="JC8:JC45" si="35">JB8-HE8</f>
        <v>-329</v>
      </c>
      <c r="JD8" s="580"/>
      <c r="JE8" s="581"/>
      <c r="JF8" s="577"/>
      <c r="JG8" s="234">
        <f t="shared" ref="JG8:JG45" si="36">JF8-HF8</f>
        <v>-1098</v>
      </c>
      <c r="JH8" s="578"/>
      <c r="JI8" s="579">
        <f t="shared" ref="JI8:JI45" si="37">JH8-HG8</f>
        <v>-315</v>
      </c>
      <c r="JJ8" s="582"/>
    </row>
    <row r="9" ht="14.25" customHeight="1">
      <c r="A9" s="158">
        <v>2.0</v>
      </c>
      <c r="B9" s="157" t="s">
        <v>76</v>
      </c>
      <c r="C9" s="253">
        <v>3374130.0</v>
      </c>
      <c r="D9" s="569" t="s">
        <v>78</v>
      </c>
      <c r="E9" s="253"/>
      <c r="F9" s="259">
        <f>'KELURAHAN (DI ISI)'!F8+'KELURAHAN (DI ISI)'!F9+'KELURAHAN (DI ISI)'!F10+'KELURAHAN (DI ISI)'!F12+'KELURAHAN (DI ISI)'!F19+'KELURAHAN (DI ISI)'!F20</f>
        <v>26</v>
      </c>
      <c r="G9" s="259">
        <f>'KELURAHAN (DI ISI)'!G8+'KELURAHAN (DI ISI)'!G9+'KELURAHAN (DI ISI)'!G10+'KELURAHAN (DI ISI)'!G12+'KELURAHAN (DI ISI)'!G19+'KELURAHAN (DI ISI)'!G20</f>
        <v>1273</v>
      </c>
      <c r="H9" s="259">
        <f>'KELURAHAN (DI ISI)'!H8+'KELURAHAN (DI ISI)'!H9+'KELURAHAN (DI ISI)'!H10+'KELURAHAN (DI ISI)'!H12+'KELURAHAN (DI ISI)'!H19+'KELURAHAN (DI ISI)'!H20</f>
        <v>15</v>
      </c>
      <c r="I9" s="491">
        <f t="shared" si="1"/>
        <v>1</v>
      </c>
      <c r="J9" s="491">
        <f t="shared" si="2"/>
        <v>14</v>
      </c>
      <c r="K9" s="491">
        <f>'KELURAHAN (DI ISI)'!I8+'KELURAHAN (DI ISI)'!I9+'KELURAHAN (DI ISI)'!I10+'KELURAHAN (DI ISI)'!I12+'KELURAHAN (DI ISI)'!I19+'KELURAHAN (DI ISI)'!I20</f>
        <v>0</v>
      </c>
      <c r="L9" s="491">
        <f>'KELURAHAN (DI ISI)'!J8+'KELURAHAN (DI ISI)'!J9+'KELURAHAN (DI ISI)'!J10+'KELURAHAN (DI ISI)'!J12+'KELURAHAN (DI ISI)'!J19+'KELURAHAN (DI ISI)'!J20</f>
        <v>0</v>
      </c>
      <c r="M9" s="491">
        <f>'KELURAHAN (DI ISI)'!K8+'KELURAHAN (DI ISI)'!K9+'KELURAHAN (DI ISI)'!K10+'KELURAHAN (DI ISI)'!K12+'KELURAHAN (DI ISI)'!K19+'KELURAHAN (DI ISI)'!K20</f>
        <v>1</v>
      </c>
      <c r="N9" s="491">
        <f>'KELURAHAN (DI ISI)'!L8+'KELURAHAN (DI ISI)'!L9+'KELURAHAN (DI ISI)'!L10+'KELURAHAN (DI ISI)'!L12+'KELURAHAN (DI ISI)'!L19+'KELURAHAN (DI ISI)'!L20</f>
        <v>14</v>
      </c>
      <c r="O9" s="491">
        <f>'KELURAHAN (DI ISI)'!M8+'KELURAHAN (DI ISI)'!M9+'KELURAHAN (DI ISI)'!M10+'KELURAHAN (DI ISI)'!M12+'KELURAHAN (DI ISI)'!M19+'KELURAHAN (DI ISI)'!M20</f>
        <v>0</v>
      </c>
      <c r="P9" s="491">
        <f>'KELURAHAN (DI ISI)'!N8+'KELURAHAN (DI ISI)'!N9+'KELURAHAN (DI ISI)'!N10+'KELURAHAN (DI ISI)'!N12+'KELURAHAN (DI ISI)'!N19+'KELURAHAN (DI ISI)'!N20</f>
        <v>0</v>
      </c>
      <c r="Q9" s="491">
        <f>'KELURAHAN (DI ISI)'!O8+'KELURAHAN (DI ISI)'!O9+'KELURAHAN (DI ISI)'!O10+'KELURAHAN (DI ISI)'!O12+'KELURAHAN (DI ISI)'!O19+'KELURAHAN (DI ISI)'!O20</f>
        <v>15</v>
      </c>
      <c r="R9" s="491">
        <f>'KELURAHAN (DI ISI)'!P8+'KELURAHAN (DI ISI)'!P9+'KELURAHAN (DI ISI)'!P10+'KELURAHAN (DI ISI)'!P12+'KELURAHAN (DI ISI)'!P19+'KELURAHAN (DI ISI)'!P20</f>
        <v>17</v>
      </c>
      <c r="S9" s="491">
        <f t="shared" si="3"/>
        <v>8</v>
      </c>
      <c r="T9" s="491">
        <f t="shared" si="4"/>
        <v>9</v>
      </c>
      <c r="U9" s="491">
        <f>'KELURAHAN (DI ISI)'!Q8+'KELURAHAN (DI ISI)'!Q9+'KELURAHAN (DI ISI)'!Q10+'KELURAHAN (DI ISI)'!Q12+'KELURAHAN (DI ISI)'!Q19+'KELURAHAN (DI ISI)'!Q20</f>
        <v>0</v>
      </c>
      <c r="V9" s="491">
        <f>'KELURAHAN (DI ISI)'!R8+'KELURAHAN (DI ISI)'!R9+'KELURAHAN (DI ISI)'!R10+'KELURAHAN (DI ISI)'!R12+'KELURAHAN (DI ISI)'!R19+'KELURAHAN (DI ISI)'!R20</f>
        <v>0</v>
      </c>
      <c r="W9" s="491">
        <f>'KELURAHAN (DI ISI)'!S8+'KELURAHAN (DI ISI)'!S9+'KELURAHAN (DI ISI)'!S10+'KELURAHAN (DI ISI)'!S12+'KELURAHAN (DI ISI)'!S19+'KELURAHAN (DI ISI)'!S20</f>
        <v>8</v>
      </c>
      <c r="X9" s="491">
        <f>'KELURAHAN (DI ISI)'!T8+'KELURAHAN (DI ISI)'!T9+'KELURAHAN (DI ISI)'!T10+'KELURAHAN (DI ISI)'!T12+'KELURAHAN (DI ISI)'!T19+'KELURAHAN (DI ISI)'!T20</f>
        <v>9</v>
      </c>
      <c r="Y9" s="491">
        <f>'KELURAHAN (DI ISI)'!U8+'KELURAHAN (DI ISI)'!U9+'KELURAHAN (DI ISI)'!U10+'KELURAHAN (DI ISI)'!U12+'KELURAHAN (DI ISI)'!U19+'KELURAHAN (DI ISI)'!U20</f>
        <v>2</v>
      </c>
      <c r="Z9" s="491">
        <f>'KELURAHAN (DI ISI)'!V8+'KELURAHAN (DI ISI)'!V9+'KELURAHAN (DI ISI)'!V10+'KELURAHAN (DI ISI)'!V12+'KELURAHAN (DI ISI)'!V19+'KELURAHAN (DI ISI)'!V20</f>
        <v>9</v>
      </c>
      <c r="AA9" s="491">
        <f>'KELURAHAN (DI ISI)'!W8+'KELURAHAN (DI ISI)'!W9+'KELURAHAN (DI ISI)'!W10+'KELURAHAN (DI ISI)'!W12+'KELURAHAN (DI ISI)'!W19+'KELURAHAN (DI ISI)'!W20</f>
        <v>6</v>
      </c>
      <c r="AB9" s="491">
        <f>'KELURAHAN (DI ISI)'!X8+'KELURAHAN (DI ISI)'!X9+'KELURAHAN (DI ISI)'!X10+'KELURAHAN (DI ISI)'!X12+'KELURAHAN (DI ISI)'!X19+'KELURAHAN (DI ISI)'!X20</f>
        <v>15</v>
      </c>
      <c r="AC9" s="491">
        <f t="shared" si="5"/>
        <v>5</v>
      </c>
      <c r="AD9" s="491">
        <f t="shared" si="6"/>
        <v>10</v>
      </c>
      <c r="AE9" s="491">
        <f>'KELURAHAN (DI ISI)'!Y8+'KELURAHAN (DI ISI)'!Y9+'KELURAHAN (DI ISI)'!Y10+'KELURAHAN (DI ISI)'!Y12+'KELURAHAN (DI ISI)'!Y19+'KELURAHAN (DI ISI)'!Y20</f>
        <v>0</v>
      </c>
      <c r="AF9" s="491">
        <f>'KELURAHAN (DI ISI)'!Z8+'KELURAHAN (DI ISI)'!Z9+'KELURAHAN (DI ISI)'!Z10+'KELURAHAN (DI ISI)'!Z12+'KELURAHAN (DI ISI)'!Z19+'KELURAHAN (DI ISI)'!Z20</f>
        <v>0</v>
      </c>
      <c r="AG9" s="491">
        <f>'KELURAHAN (DI ISI)'!AA8+'KELURAHAN (DI ISI)'!AA9+'KELURAHAN (DI ISI)'!AA10+'KELURAHAN (DI ISI)'!AA12+'KELURAHAN (DI ISI)'!AA19+'KELURAHAN (DI ISI)'!AA20</f>
        <v>5</v>
      </c>
      <c r="AH9" s="491">
        <f>'KELURAHAN (DI ISI)'!AB8+'KELURAHAN (DI ISI)'!AB9+'KELURAHAN (DI ISI)'!AB10+'KELURAHAN (DI ISI)'!AB12+'KELURAHAN (DI ISI)'!AB19+'KELURAHAN (DI ISI)'!AB20</f>
        <v>10</v>
      </c>
      <c r="AI9" s="491">
        <f>'KELURAHAN (DI ISI)'!AC8+'KELURAHAN (DI ISI)'!AC9+'KELURAHAN (DI ISI)'!AC10+'KELURAHAN (DI ISI)'!AC12+'KELURAHAN (DI ISI)'!AC19+'KELURAHAN (DI ISI)'!AC20</f>
        <v>0</v>
      </c>
      <c r="AJ9" s="491">
        <f>'KELURAHAN (DI ISI)'!AD8+'KELURAHAN (DI ISI)'!AD9+'KELURAHAN (DI ISI)'!AD10+'KELURAHAN (DI ISI)'!AD12+'KELURAHAN (DI ISI)'!AD19+'KELURAHAN (DI ISI)'!AD20</f>
        <v>2</v>
      </c>
      <c r="AK9" s="491">
        <f>'KELURAHAN (DI ISI)'!AE8+'KELURAHAN (DI ISI)'!AE9+'KELURAHAN (DI ISI)'!AE10+'KELURAHAN (DI ISI)'!AE12+'KELURAHAN (DI ISI)'!AE19+'KELURAHAN (DI ISI)'!AE20</f>
        <v>13</v>
      </c>
      <c r="AL9" s="491">
        <f>'KELURAHAN (DI ISI)'!AF8+'KELURAHAN (DI ISI)'!AF9+'KELURAHAN (DI ISI)'!AF10+'KELURAHAN (DI ISI)'!AF12+'KELURAHAN (DI ISI)'!AF19+'KELURAHAN (DI ISI)'!AF20</f>
        <v>12</v>
      </c>
      <c r="AM9" s="491">
        <f t="shared" si="7"/>
        <v>2</v>
      </c>
      <c r="AN9" s="491">
        <f t="shared" si="8"/>
        <v>10</v>
      </c>
      <c r="AO9" s="491">
        <f>'KELURAHAN (DI ISI)'!AG8+'KELURAHAN (DI ISI)'!AG9+'KELURAHAN (DI ISI)'!AG10+'KELURAHAN (DI ISI)'!AG12+'KELURAHAN (DI ISI)'!AG19+'KELURAHAN (DI ISI)'!AG20</f>
        <v>0</v>
      </c>
      <c r="AP9" s="491">
        <f>'KELURAHAN (DI ISI)'!AH8+'KELURAHAN (DI ISI)'!AH9+'KELURAHAN (DI ISI)'!AH10+'KELURAHAN (DI ISI)'!AH12+'KELURAHAN (DI ISI)'!AH19+'KELURAHAN (DI ISI)'!AH20</f>
        <v>0</v>
      </c>
      <c r="AQ9" s="491">
        <f>'KELURAHAN (DI ISI)'!AI8+'KELURAHAN (DI ISI)'!AI9+'KELURAHAN (DI ISI)'!AI10+'KELURAHAN (DI ISI)'!AI12+'KELURAHAN (DI ISI)'!AI19+'KELURAHAN (DI ISI)'!AI20</f>
        <v>2</v>
      </c>
      <c r="AR9" s="491">
        <f>'KELURAHAN (DI ISI)'!AJ8+'KELURAHAN (DI ISI)'!AJ9+'KELURAHAN (DI ISI)'!AJ10+'KELURAHAN (DI ISI)'!AJ12+'KELURAHAN (DI ISI)'!AJ19+'KELURAHAN (DI ISI)'!AJ20</f>
        <v>10</v>
      </c>
      <c r="AS9" s="491">
        <f>'KELURAHAN (DI ISI)'!AK8+'KELURAHAN (DI ISI)'!AK9+'KELURAHAN (DI ISI)'!AK10+'KELURAHAN (DI ISI)'!AK12+'KELURAHAN (DI ISI)'!AK19+'KELURAHAN (DI ISI)'!AK20</f>
        <v>0</v>
      </c>
      <c r="AT9" s="491">
        <f>'KELURAHAN (DI ISI)'!AL8+'KELURAHAN (DI ISI)'!AL9+'KELURAHAN (DI ISI)'!AL10+'KELURAHAN (DI ISI)'!AL12+'KELURAHAN (DI ISI)'!AL19+'KELURAHAN (DI ISI)'!AL20</f>
        <v>2</v>
      </c>
      <c r="AU9" s="491">
        <f>'KELURAHAN (DI ISI)'!AM8+'KELURAHAN (DI ISI)'!AM9+'KELURAHAN (DI ISI)'!AM10+'KELURAHAN (DI ISI)'!AM12+'KELURAHAN (DI ISI)'!AM19+'KELURAHAN (DI ISI)'!AM20</f>
        <v>10</v>
      </c>
      <c r="AV9" s="491">
        <f>'KELURAHAN (DI ISI)'!AN8+'KELURAHAN (DI ISI)'!AN9+'KELURAHAN (DI ISI)'!AN10+'KELURAHAN (DI ISI)'!AN12+'KELURAHAN (DI ISI)'!AN19+'KELURAHAN (DI ISI)'!AN20</f>
        <v>13</v>
      </c>
      <c r="AW9" s="491">
        <f t="shared" si="9"/>
        <v>4</v>
      </c>
      <c r="AX9" s="491">
        <f t="shared" si="10"/>
        <v>9</v>
      </c>
      <c r="AY9" s="491">
        <f>'KELURAHAN (DI ISI)'!AO8+'KELURAHAN (DI ISI)'!AO9+'KELURAHAN (DI ISI)'!AO10+'KELURAHAN (DI ISI)'!AO12+'KELURAHAN (DI ISI)'!AO19+'KELURAHAN (DI ISI)'!AO20</f>
        <v>1</v>
      </c>
      <c r="AZ9" s="491">
        <f>'KELURAHAN (DI ISI)'!AP8+'KELURAHAN (DI ISI)'!AP9+'KELURAHAN (DI ISI)'!AP10+'KELURAHAN (DI ISI)'!AP12+'KELURAHAN (DI ISI)'!AP19+'KELURAHAN (DI ISI)'!AP20</f>
        <v>0</v>
      </c>
      <c r="BA9" s="491">
        <f>'KELURAHAN (DI ISI)'!AQ8+'KELURAHAN (DI ISI)'!AQ9+'KELURAHAN (DI ISI)'!AQ10+'KELURAHAN (DI ISI)'!AQ12+'KELURAHAN (DI ISI)'!AQ19+'KELURAHAN (DI ISI)'!AQ20</f>
        <v>3</v>
      </c>
      <c r="BB9" s="491">
        <f>'KELURAHAN (DI ISI)'!AR8+'KELURAHAN (DI ISI)'!AR9+'KELURAHAN (DI ISI)'!AR10+'KELURAHAN (DI ISI)'!AR12+'KELURAHAN (DI ISI)'!AR19+'KELURAHAN (DI ISI)'!AR20</f>
        <v>9</v>
      </c>
      <c r="BC9" s="491">
        <f>'KELURAHAN (DI ISI)'!AS8+'KELURAHAN (DI ISI)'!AS9+'KELURAHAN (DI ISI)'!AS10+'KELURAHAN (DI ISI)'!AS12+'KELURAHAN (DI ISI)'!AS19+'KELURAHAN (DI ISI)'!AS20</f>
        <v>1</v>
      </c>
      <c r="BD9" s="491">
        <f>'KELURAHAN (DI ISI)'!AT8+'KELURAHAN (DI ISI)'!AT9+'KELURAHAN (DI ISI)'!AT10+'KELURAHAN (DI ISI)'!AT12+'KELURAHAN (DI ISI)'!AT19+'KELURAHAN (DI ISI)'!AT20</f>
        <v>0</v>
      </c>
      <c r="BE9" s="491">
        <f>'KELURAHAN (DI ISI)'!AU8+'KELURAHAN (DI ISI)'!AU9+'KELURAHAN (DI ISI)'!AU10+'KELURAHAN (DI ISI)'!AU12+'KELURAHAN (DI ISI)'!AU19+'KELURAHAN (DI ISI)'!AU20</f>
        <v>12</v>
      </c>
      <c r="BF9" s="491">
        <f>'KELURAHAN (DI ISI)'!AV8+'KELURAHAN (DI ISI)'!AV9+'KELURAHAN (DI ISI)'!AV10+'KELURAHAN (DI ISI)'!AV12+'KELURAHAN (DI ISI)'!AV19+'KELURAHAN (DI ISI)'!AV20</f>
        <v>1102</v>
      </c>
      <c r="BG9" s="491">
        <f>'KELURAHAN (DI ISI)'!AW8+'KELURAHAN (DI ISI)'!AW9+'KELURAHAN (DI ISI)'!AW10+'KELURAHAN (DI ISI)'!AW12+'KELURAHAN (DI ISI)'!AW19+'KELURAHAN (DI ISI)'!AW20</f>
        <v>16</v>
      </c>
      <c r="BH9" s="491">
        <f t="shared" si="11"/>
        <v>5</v>
      </c>
      <c r="BI9" s="495">
        <f t="shared" si="12"/>
        <v>8</v>
      </c>
      <c r="BJ9" s="491">
        <f>'KELURAHAN (DI ISI)'!AX8+'KELURAHAN (DI ISI)'!AX9+'KELURAHAN (DI ISI)'!AX10+'KELURAHAN (DI ISI)'!AX12+'KELURAHAN (DI ISI)'!AX19+'KELURAHAN (DI ISI)'!AX20</f>
        <v>1</v>
      </c>
      <c r="BK9" s="491">
        <f>'KELURAHAN (DI ISI)'!AY8+'KELURAHAN (DI ISI)'!AY9+'KELURAHAN (DI ISI)'!AY10+'KELURAHAN (DI ISI)'!AY12+'KELURAHAN (DI ISI)'!AY19+'KELURAHAN (DI ISI)'!AY20</f>
        <v>0</v>
      </c>
      <c r="BL9" s="491">
        <f>'KELURAHAN (DI ISI)'!AZ8+'KELURAHAN (DI ISI)'!AZ9+'KELURAHAN (DI ISI)'!AZ10+'KELURAHAN (DI ISI)'!AZ12+'KELURAHAN (DI ISI)'!AZ19+'KELURAHAN (DI ISI)'!AZ20</f>
        <v>4</v>
      </c>
      <c r="BM9" s="491">
        <f>'KELURAHAN (DI ISI)'!BA8+'KELURAHAN (DI ISI)'!BA9+'KELURAHAN (DI ISI)'!BA10+'KELURAHAN (DI ISI)'!BA12+'KELURAHAN (DI ISI)'!BA19+'KELURAHAN (DI ISI)'!BA20</f>
        <v>8</v>
      </c>
      <c r="BN9" s="491">
        <f>'KELURAHAN (DI ISI)'!BB8+'KELURAHAN (DI ISI)'!BB9+'KELURAHAN (DI ISI)'!BB10+'KELURAHAN (DI ISI)'!BB12+'KELURAHAN (DI ISI)'!BB19+'KELURAHAN (DI ISI)'!BB20</f>
        <v>0</v>
      </c>
      <c r="BO9" s="491">
        <f>'KELURAHAN (DI ISI)'!BC8+'KELURAHAN (DI ISI)'!BC9+'KELURAHAN (DI ISI)'!BC10+'KELURAHAN (DI ISI)'!BC12+'KELURAHAN (DI ISI)'!BC19+'KELURAHAN (DI ISI)'!BC20</f>
        <v>0</v>
      </c>
      <c r="BP9" s="491">
        <f>'KELURAHAN (DI ISI)'!BD8+'KELURAHAN (DI ISI)'!BD9+'KELURAHAN (DI ISI)'!BD10+'KELURAHAN (DI ISI)'!BD12+'KELURAHAN (DI ISI)'!BD19+'KELURAHAN (DI ISI)'!BD20</f>
        <v>3</v>
      </c>
      <c r="BQ9" s="491">
        <f>'KELURAHAN (DI ISI)'!BE8+'KELURAHAN (DI ISI)'!BE9+'KELURAHAN (DI ISI)'!BE10+'KELURAHAN (DI ISI)'!BE12+'KELURAHAN (DI ISI)'!BE19+'KELURAHAN (DI ISI)'!BE20</f>
        <v>0</v>
      </c>
      <c r="BR9" s="491">
        <f>'KELURAHAN (DI ISI)'!BF8+'KELURAHAN (DI ISI)'!BF9+'KELURAHAN (DI ISI)'!BF10+'KELURAHAN (DI ISI)'!BF12+'KELURAHAN (DI ISI)'!BF19+'KELURAHAN (DI ISI)'!BF20</f>
        <v>0</v>
      </c>
      <c r="BS9" s="491">
        <f>'KELURAHAN (DI ISI)'!BG8+'KELURAHAN (DI ISI)'!BG9+'KELURAHAN (DI ISI)'!BG10+'KELURAHAN (DI ISI)'!BG12+'KELURAHAN (DI ISI)'!BG19+'KELURAHAN (DI ISI)'!BG20</f>
        <v>0</v>
      </c>
      <c r="BT9" s="491">
        <f>'KELURAHAN (DI ISI)'!BH8+'KELURAHAN (DI ISI)'!BH9+'KELURAHAN (DI ISI)'!BH10+'KELURAHAN (DI ISI)'!BH12+'KELURAHAN (DI ISI)'!BH19+'KELURAHAN (DI ISI)'!BH20</f>
        <v>0</v>
      </c>
      <c r="BU9" s="491">
        <f>'KELURAHAN (DI ISI)'!BI8+'KELURAHAN (DI ISI)'!BI9+'KELURAHAN (DI ISI)'!BI10+'KELURAHAN (DI ISI)'!BI12+'KELURAHAN (DI ISI)'!BI19+'KELURAHAN (DI ISI)'!BI20</f>
        <v>2</v>
      </c>
      <c r="BV9" s="491">
        <f>'KELURAHAN (DI ISI)'!BJ8+'KELURAHAN (DI ISI)'!BJ9+'KELURAHAN (DI ISI)'!BJ10+'KELURAHAN (DI ISI)'!BJ12+'KELURAHAN (DI ISI)'!BJ19+'KELURAHAN (DI ISI)'!BJ20</f>
        <v>0</v>
      </c>
      <c r="BW9" s="491">
        <f>'KELURAHAN (DI ISI)'!BK8+'KELURAHAN (DI ISI)'!BK9+'KELURAHAN (DI ISI)'!BK10+'KELURAHAN (DI ISI)'!BK12+'KELURAHAN (DI ISI)'!BK19+'KELURAHAN (DI ISI)'!BK20</f>
        <v>0</v>
      </c>
      <c r="BX9" s="491">
        <f>'KELURAHAN (DI ISI)'!BL8+'KELURAHAN (DI ISI)'!BL9+'KELURAHAN (DI ISI)'!BL10+'KELURAHAN (DI ISI)'!BL12+'KELURAHAN (DI ISI)'!BL19+'KELURAHAN (DI ISI)'!BL20</f>
        <v>0</v>
      </c>
      <c r="BY9" s="491">
        <f>'KELURAHAN (DI ISI)'!BM8+'KELURAHAN (DI ISI)'!BM9+'KELURAHAN (DI ISI)'!BM10+'KELURAHAN (DI ISI)'!BM12+'KELURAHAN (DI ISI)'!BM19+'KELURAHAN (DI ISI)'!BM20</f>
        <v>0</v>
      </c>
      <c r="BZ9" s="491">
        <f>'KELURAHAN (DI ISI)'!BN8+'KELURAHAN (DI ISI)'!BN9+'KELURAHAN (DI ISI)'!BN10+'KELURAHAN (DI ISI)'!BN12+'KELURAHAN (DI ISI)'!BN19+'KELURAHAN (DI ISI)'!BN20</f>
        <v>1</v>
      </c>
      <c r="CA9" s="491">
        <f>'KELURAHAN (DI ISI)'!BO8+'KELURAHAN (DI ISI)'!BO9+'KELURAHAN (DI ISI)'!BO10+'KELURAHAN (DI ISI)'!BO12+'KELURAHAN (DI ISI)'!BO19+'KELURAHAN (DI ISI)'!BO20</f>
        <v>0</v>
      </c>
      <c r="CB9" s="491">
        <f>'KELURAHAN (DI ISI)'!BP8+'KELURAHAN (DI ISI)'!BP9+'KELURAHAN (DI ISI)'!BP10+'KELURAHAN (DI ISI)'!BP12+'KELURAHAN (DI ISI)'!BP19+'KELURAHAN (DI ISI)'!BP20</f>
        <v>3</v>
      </c>
      <c r="CC9" s="491">
        <f>'KELURAHAN (DI ISI)'!BQ8+'KELURAHAN (DI ISI)'!BQ9+'KELURAHAN (DI ISI)'!BQ10+'KELURAHAN (DI ISI)'!BQ12+'KELURAHAN (DI ISI)'!BQ19+'KELURAHAN (DI ISI)'!BQ20</f>
        <v>1100</v>
      </c>
      <c r="CD9" s="491">
        <f>'KELURAHAN (DI ISI)'!BR8+'KELURAHAN (DI ISI)'!BR9+'KELURAHAN (DI ISI)'!BR10+'KELURAHAN (DI ISI)'!BR12+'KELURAHAN (DI ISI)'!BR19+'KELURAHAN (DI ISI)'!BR20</f>
        <v>14</v>
      </c>
      <c r="CE9" s="491">
        <f t="shared" si="13"/>
        <v>5</v>
      </c>
      <c r="CF9" s="491">
        <f t="shared" si="14"/>
        <v>9</v>
      </c>
      <c r="CG9" s="491">
        <f>'KELURAHAN (DI ISI)'!BS8+'KELURAHAN (DI ISI)'!BS9+'KELURAHAN (DI ISI)'!BS10+'KELURAHAN (DI ISI)'!BS12+'KELURAHAN (DI ISI)'!BS19+'KELURAHAN (DI ISI)'!BS20</f>
        <v>1</v>
      </c>
      <c r="CH9" s="491">
        <f>'KELURAHAN (DI ISI)'!BT8+'KELURAHAN (DI ISI)'!BT9+'KELURAHAN (DI ISI)'!BT10+'KELURAHAN (DI ISI)'!BT12+'KELURAHAN (DI ISI)'!BT19+'KELURAHAN (DI ISI)'!BT20</f>
        <v>0</v>
      </c>
      <c r="CI9" s="491">
        <f>'KELURAHAN (DI ISI)'!BU8+'KELURAHAN (DI ISI)'!BU9+'KELURAHAN (DI ISI)'!BU10+'KELURAHAN (DI ISI)'!BU12+'KELURAHAN (DI ISI)'!BU19+'KELURAHAN (DI ISI)'!BU20</f>
        <v>4</v>
      </c>
      <c r="CJ9" s="491">
        <f>'KELURAHAN (DI ISI)'!BV8+'KELURAHAN (DI ISI)'!BV9+'KELURAHAN (DI ISI)'!BV10+'KELURAHAN (DI ISI)'!BV12+'KELURAHAN (DI ISI)'!BV19+'KELURAHAN (DI ISI)'!BV20</f>
        <v>9</v>
      </c>
      <c r="CK9" s="491">
        <f>'KELURAHAN (DI ISI)'!BW8+'KELURAHAN (DI ISI)'!BW9+'KELURAHAN (DI ISI)'!BW10+'KELURAHAN (DI ISI)'!BW12+'KELURAHAN (DI ISI)'!BW19+'KELURAHAN (DI ISI)'!BW20</f>
        <v>0</v>
      </c>
      <c r="CL9" s="491">
        <f>'KELURAHAN (DI ISI)'!BX8+'KELURAHAN (DI ISI)'!BX9+'KELURAHAN (DI ISI)'!BX10+'KELURAHAN (DI ISI)'!BX12+'KELURAHAN (DI ISI)'!BX19+'KELURAHAN (DI ISI)'!BX20</f>
        <v>0</v>
      </c>
      <c r="CM9" s="491">
        <f>'KELURAHAN (DI ISI)'!BY8+'KELURAHAN (DI ISI)'!BY9+'KELURAHAN (DI ISI)'!BY10+'KELURAHAN (DI ISI)'!BY12+'KELURAHAN (DI ISI)'!BY19+'KELURAHAN (DI ISI)'!BY20</f>
        <v>0</v>
      </c>
      <c r="CN9" s="491">
        <f>'KELURAHAN (DI ISI)'!BZ8+'KELURAHAN (DI ISI)'!BZ9+'KELURAHAN (DI ISI)'!BZ10+'KELURAHAN (DI ISI)'!BZ12+'KELURAHAN (DI ISI)'!BZ19+'KELURAHAN (DI ISI)'!BZ20</f>
        <v>0</v>
      </c>
      <c r="CO9" s="491">
        <f>'KELURAHAN (DI ISI)'!CA8+'KELURAHAN (DI ISI)'!CA9+'KELURAHAN (DI ISI)'!CA10+'KELURAHAN (DI ISI)'!CA12+'KELURAHAN (DI ISI)'!CA19+'KELURAHAN (DI ISI)'!CA20</f>
        <v>0</v>
      </c>
      <c r="CP9" s="491">
        <f>'KELURAHAN (DI ISI)'!CB8+'KELURAHAN (DI ISI)'!CB9+'KELURAHAN (DI ISI)'!CB10+'KELURAHAN (DI ISI)'!CB12+'KELURAHAN (DI ISI)'!CB19+'KELURAHAN (DI ISI)'!CB20</f>
        <v>0</v>
      </c>
      <c r="CQ9" s="491">
        <f>'KELURAHAN (DI ISI)'!CC8+'KELURAHAN (DI ISI)'!CC9+'KELURAHAN (DI ISI)'!CC10+'KELURAHAN (DI ISI)'!CC12+'KELURAHAN (DI ISI)'!CC19+'KELURAHAN (DI ISI)'!CC20</f>
        <v>0</v>
      </c>
      <c r="CR9" s="491">
        <f>'KELURAHAN (DI ISI)'!CD8+'KELURAHAN (DI ISI)'!CD9+'KELURAHAN (DI ISI)'!CD10+'KELURAHAN (DI ISI)'!CD12+'KELURAHAN (DI ISI)'!CD19+'KELURAHAN (DI ISI)'!CD20</f>
        <v>2</v>
      </c>
      <c r="CS9" s="491">
        <f>'KELURAHAN (DI ISI)'!CE8+'KELURAHAN (DI ISI)'!CE9+'KELURAHAN (DI ISI)'!CE10+'KELURAHAN (DI ISI)'!CE12+'KELURAHAN (DI ISI)'!CE19+'KELURAHAN (DI ISI)'!CE20</f>
        <v>0</v>
      </c>
      <c r="CT9" s="491">
        <f>'KELURAHAN (DI ISI)'!CF8+'KELURAHAN (DI ISI)'!CF9+'KELURAHAN (DI ISI)'!CF10+'KELURAHAN (DI ISI)'!CF12+'KELURAHAN (DI ISI)'!CF19+'KELURAHAN (DI ISI)'!CF20</f>
        <v>0</v>
      </c>
      <c r="CU9" s="491">
        <f>'KELURAHAN (DI ISI)'!CG8+'KELURAHAN (DI ISI)'!CG9+'KELURAHAN (DI ISI)'!CG10+'KELURAHAN (DI ISI)'!CG12+'KELURAHAN (DI ISI)'!CG19+'KELURAHAN (DI ISI)'!CG20</f>
        <v>0</v>
      </c>
      <c r="CV9" s="491">
        <f>'KELURAHAN (DI ISI)'!CH8+'KELURAHAN (DI ISI)'!CH9+'KELURAHAN (DI ISI)'!CH10+'KELURAHAN (DI ISI)'!CH12+'KELURAHAN (DI ISI)'!CH19+'KELURAHAN (DI ISI)'!CH20</f>
        <v>0</v>
      </c>
      <c r="CW9" s="491">
        <f>'KELURAHAN (DI ISI)'!CI8+'KELURAHAN (DI ISI)'!CI9+'KELURAHAN (DI ISI)'!CI10+'KELURAHAN (DI ISI)'!CI12+'KELURAHAN (DI ISI)'!CI19+'KELURAHAN (DI ISI)'!CI20</f>
        <v>0</v>
      </c>
      <c r="CX9" s="491">
        <f>'KELURAHAN (DI ISI)'!CJ8+'KELURAHAN (DI ISI)'!CJ9+'KELURAHAN (DI ISI)'!CJ10+'KELURAHAN (DI ISI)'!CJ12+'KELURAHAN (DI ISI)'!CJ19+'KELURAHAN (DI ISI)'!CJ20</f>
        <v>0</v>
      </c>
      <c r="CY9" s="491">
        <f>'KELURAHAN (DI ISI)'!CK8+'KELURAHAN (DI ISI)'!CK9+'KELURAHAN (DI ISI)'!CK10+'KELURAHAN (DI ISI)'!CK12+'KELURAHAN (DI ISI)'!CK19+'KELURAHAN (DI ISI)'!CK20</f>
        <v>2</v>
      </c>
      <c r="CZ9" s="491">
        <f>'KELURAHAN (DI ISI)'!CL8+'KELURAHAN (DI ISI)'!CL9+'KELURAHAN (DI ISI)'!CL10+'KELURAHAN (DI ISI)'!CL12+'KELURAHAN (DI ISI)'!CL19+'KELURAHAN (DI ISI)'!CL20</f>
        <v>1091</v>
      </c>
      <c r="DA9" s="491">
        <f>'KELURAHAN (DI ISI)'!CM8+'KELURAHAN (DI ISI)'!CM9+'KELURAHAN (DI ISI)'!CM10+'KELURAHAN (DI ISI)'!CM12+'KELURAHAN (DI ISI)'!CM19+'KELURAHAN (DI ISI)'!CM20</f>
        <v>351</v>
      </c>
      <c r="DB9" s="491">
        <f>'KELURAHAN (DI ISI)'!CN8+'KELURAHAN (DI ISI)'!CN9+'KELURAHAN (DI ISI)'!CN10+'KELURAHAN (DI ISI)'!CN12+'KELURAHAN (DI ISI)'!CN19+'KELURAHAN (DI ISI)'!CN20</f>
        <v>19</v>
      </c>
      <c r="DC9" s="491">
        <f t="shared" si="15"/>
        <v>4</v>
      </c>
      <c r="DD9" s="491">
        <f t="shared" si="16"/>
        <v>10</v>
      </c>
      <c r="DE9" s="491">
        <f>'KELURAHAN (DI ISI)'!CO8+'KELURAHAN (DI ISI)'!CO9+'KELURAHAN (DI ISI)'!CO10+'KELURAHAN (DI ISI)'!CO12+'KELURAHAN (DI ISI)'!CO19+'KELURAHAN (DI ISI)'!CO20</f>
        <v>1</v>
      </c>
      <c r="DF9" s="491">
        <f>'KELURAHAN (DI ISI)'!CP8+'KELURAHAN (DI ISI)'!CP9+'KELURAHAN (DI ISI)'!CP10+'KELURAHAN (DI ISI)'!CP12+'KELURAHAN (DI ISI)'!CP19+'KELURAHAN (DI ISI)'!CP20</f>
        <v>0</v>
      </c>
      <c r="DG9" s="491">
        <f>'KELURAHAN (DI ISI)'!CQ8+'KELURAHAN (DI ISI)'!CQ9+'KELURAHAN (DI ISI)'!CQ10+'KELURAHAN (DI ISI)'!CQ12+'KELURAHAN (DI ISI)'!CQ19+'KELURAHAN (DI ISI)'!CQ20</f>
        <v>3</v>
      </c>
      <c r="DH9" s="491">
        <f>'KELURAHAN (DI ISI)'!CR8+'KELURAHAN (DI ISI)'!CR9+'KELURAHAN (DI ISI)'!CR10+'KELURAHAN (DI ISI)'!CR12+'KELURAHAN (DI ISI)'!CR19+'KELURAHAN (DI ISI)'!CR20</f>
        <v>10</v>
      </c>
      <c r="DI9" s="491">
        <f>'KELURAHAN (DI ISI)'!CS8+'KELURAHAN (DI ISI)'!CS9+'KELURAHAN (DI ISI)'!CS10+'KELURAHAN (DI ISI)'!CS12+'KELURAHAN (DI ISI)'!CS19+'KELURAHAN (DI ISI)'!CS20</f>
        <v>0</v>
      </c>
      <c r="DJ9" s="491">
        <f>'KELURAHAN (DI ISI)'!CT8+'KELURAHAN (DI ISI)'!CT9+'KELURAHAN (DI ISI)'!CT10+'KELURAHAN (DI ISI)'!CT12+'KELURAHAN (DI ISI)'!CT19+'KELURAHAN (DI ISI)'!CT20</f>
        <v>1</v>
      </c>
      <c r="DK9" s="491">
        <f>'KELURAHAN (DI ISI)'!CU8+'KELURAHAN (DI ISI)'!CU9+'KELURAHAN (DI ISI)'!CU10+'KELURAHAN (DI ISI)'!CU12+'KELURAHAN (DI ISI)'!CU19+'KELURAHAN (DI ISI)'!CU20</f>
        <v>1</v>
      </c>
      <c r="DL9" s="491">
        <f>'KELURAHAN (DI ISI)'!CV8+'KELURAHAN (DI ISI)'!CV9+'KELURAHAN (DI ISI)'!CV10+'KELURAHAN (DI ISI)'!CV12+'KELURAHAN (DI ISI)'!CV19+'KELURAHAN (DI ISI)'!CV20</f>
        <v>3</v>
      </c>
      <c r="DM9" s="491">
        <f>'KELURAHAN (DI ISI)'!CW8+'KELURAHAN (DI ISI)'!CW9+'KELURAHAN (DI ISI)'!CW10+'KELURAHAN (DI ISI)'!CW12+'KELURAHAN (DI ISI)'!CW19+'KELURAHAN (DI ISI)'!CW20</f>
        <v>0</v>
      </c>
      <c r="DN9" s="491">
        <f>'KELURAHAN (DI ISI)'!CX8+'KELURAHAN (DI ISI)'!CX9+'KELURAHAN (DI ISI)'!CX10+'KELURAHAN (DI ISI)'!CX12+'KELURAHAN (DI ISI)'!CX19+'KELURAHAN (DI ISI)'!CX20</f>
        <v>0</v>
      </c>
      <c r="DO9" s="491">
        <f>'KELURAHAN (DI ISI)'!CY8+'KELURAHAN (DI ISI)'!CY9+'KELURAHAN (DI ISI)'!CY10+'KELURAHAN (DI ISI)'!CY12+'KELURAHAN (DI ISI)'!CY19+'KELURAHAN (DI ISI)'!CY20</f>
        <v>0</v>
      </c>
      <c r="DP9" s="491">
        <f>'KELURAHAN (DI ISI)'!CZ8+'KELURAHAN (DI ISI)'!CZ9+'KELURAHAN (DI ISI)'!CZ10+'KELURAHAN (DI ISI)'!CZ12+'KELURAHAN (DI ISI)'!CZ19+'KELURAHAN (DI ISI)'!CZ20</f>
        <v>1</v>
      </c>
      <c r="DQ9" s="491">
        <f>'KELURAHAN (DI ISI)'!DA8+'KELURAHAN (DI ISI)'!DA9+'KELURAHAN (DI ISI)'!DA10+'KELURAHAN (DI ISI)'!DA12+'KELURAHAN (DI ISI)'!DA19+'KELURAHAN (DI ISI)'!DA20</f>
        <v>0</v>
      </c>
      <c r="DR9" s="491">
        <f>'KELURAHAN (DI ISI)'!DB8+'KELURAHAN (DI ISI)'!DB9+'KELURAHAN (DI ISI)'!DB10+'KELURAHAN (DI ISI)'!DB12+'KELURAHAN (DI ISI)'!DB19+'KELURAHAN (DI ISI)'!DB20</f>
        <v>0</v>
      </c>
      <c r="DS9" s="491">
        <f>'KELURAHAN (DI ISI)'!DC8+'KELURAHAN (DI ISI)'!DC9+'KELURAHAN (DI ISI)'!DC10+'KELURAHAN (DI ISI)'!DC12+'KELURAHAN (DI ISI)'!DC19+'KELURAHAN (DI ISI)'!DC20</f>
        <v>0</v>
      </c>
      <c r="DT9" s="491">
        <f>'KELURAHAN (DI ISI)'!DD8+'KELURAHAN (DI ISI)'!DD9+'KELURAHAN (DI ISI)'!DD10+'KELURAHAN (DI ISI)'!DD12+'KELURAHAN (DI ISI)'!DD19+'KELURAHAN (DI ISI)'!DD20</f>
        <v>0</v>
      </c>
      <c r="DU9" s="491">
        <f>'KELURAHAN (DI ISI)'!DE8+'KELURAHAN (DI ISI)'!DE9+'KELURAHAN (DI ISI)'!DE10+'KELURAHAN (DI ISI)'!DE12+'KELURAHAN (DI ISI)'!DE19+'KELURAHAN (DI ISI)'!DE20</f>
        <v>0</v>
      </c>
      <c r="DV9" s="491">
        <f>'KELURAHAN (DI ISI)'!DF8+'KELURAHAN (DI ISI)'!DF9+'KELURAHAN (DI ISI)'!DF10+'KELURAHAN (DI ISI)'!DF12+'KELURAHAN (DI ISI)'!DF19+'KELURAHAN (DI ISI)'!DF20</f>
        <v>0</v>
      </c>
      <c r="DW9" s="491">
        <f>'KELURAHAN (DI ISI)'!DG8+'KELURAHAN (DI ISI)'!DG9+'KELURAHAN (DI ISI)'!DG10+'KELURAHAN (DI ISI)'!DG12+'KELURAHAN (DI ISI)'!DG19+'KELURAHAN (DI ISI)'!DG20</f>
        <v>1</v>
      </c>
      <c r="DX9" s="491">
        <f>'KELURAHAN (DI ISI)'!DH8+'KELURAHAN (DI ISI)'!DH9+'KELURAHAN (DI ISI)'!DH10+'KELURAHAN (DI ISI)'!DH12+'KELURAHAN (DI ISI)'!DH19+'KELURAHAN (DI ISI)'!DH20</f>
        <v>863</v>
      </c>
      <c r="DY9" s="491">
        <f>'KELURAHAN (DI ISI)'!DI8+'KELURAHAN (DI ISI)'!DI9+'KELURAHAN (DI ISI)'!DI10+'KELURAHAN (DI ISI)'!DI12+'KELURAHAN (DI ISI)'!DI19+'KELURAHAN (DI ISI)'!DI20</f>
        <v>295</v>
      </c>
      <c r="DZ9" s="491">
        <f>'KELURAHAN (DI ISI)'!DJ8+'KELURAHAN (DI ISI)'!DJ9+'KELURAHAN (DI ISI)'!DJ10+'KELURAHAN (DI ISI)'!DJ12+'KELURAHAN (DI ISI)'!DJ19+'KELURAHAN (DI ISI)'!DJ20</f>
        <v>863</v>
      </c>
      <c r="EA9" s="491">
        <f>'KELURAHAN (DI ISI)'!DK8+'KELURAHAN (DI ISI)'!DK9+'KELURAHAN (DI ISI)'!DK10+'KELURAHAN (DI ISI)'!DK12+'KELURAHAN (DI ISI)'!DK19+'KELURAHAN (DI ISI)'!DK20</f>
        <v>295</v>
      </c>
      <c r="EB9" s="491">
        <f>'KELURAHAN (DI ISI)'!DL8+'KELURAHAN (DI ISI)'!DL9+'KELURAHAN (DI ISI)'!DL10+'KELURAHAN (DI ISI)'!DL12+'KELURAHAN (DI ISI)'!DL19+'KELURAHAN (DI ISI)'!DL20</f>
        <v>16</v>
      </c>
      <c r="EC9" s="491">
        <f>'KELURAHAN (DI ISI)'!DM8+'KELURAHAN (DI ISI)'!DM9+'KELURAHAN (DI ISI)'!DM10+'KELURAHAN (DI ISI)'!DM12+'KELURAHAN (DI ISI)'!DM19+'KELURAHAN (DI ISI)'!DM20</f>
        <v>4</v>
      </c>
      <c r="ED9" s="491">
        <f t="shared" si="17"/>
        <v>12</v>
      </c>
      <c r="EE9" s="491">
        <f>'KELURAHAN (DI ISI)'!DO8+'KELURAHAN (DI ISI)'!DO9+'KELURAHAN (DI ISI)'!DO10+'KELURAHAN (DI ISI)'!DO12+'KELURAHAN (DI ISI)'!DO19+'KELURAHAN (DI ISI)'!DO20</f>
        <v>1</v>
      </c>
      <c r="EF9" s="491">
        <f>'KELURAHAN (DI ISI)'!DP8+'KELURAHAN (DI ISI)'!DP9+'KELURAHAN (DI ISI)'!DP10+'KELURAHAN (DI ISI)'!DP12+'KELURAHAN (DI ISI)'!DP19+'KELURAHAN (DI ISI)'!DP20</f>
        <v>0</v>
      </c>
      <c r="EG9" s="491">
        <f>'KELURAHAN (DI ISI)'!DQ8+'KELURAHAN (DI ISI)'!DQ9+'KELURAHAN (DI ISI)'!DQ10+'KELURAHAN (DI ISI)'!DQ12+'KELURAHAN (DI ISI)'!DQ19+'KELURAHAN (DI ISI)'!DQ20</f>
        <v>2</v>
      </c>
      <c r="EH9" s="491">
        <f>'KELURAHAN (DI ISI)'!DR8+'KELURAHAN (DI ISI)'!DR9+'KELURAHAN (DI ISI)'!DR10+'KELURAHAN (DI ISI)'!DR12+'KELURAHAN (DI ISI)'!DR19+'KELURAHAN (DI ISI)'!DR20</f>
        <v>12</v>
      </c>
      <c r="EI9" s="491">
        <f>'KELURAHAN (DI ISI)'!DS8+'KELURAHAN (DI ISI)'!DS9+'KELURAHAN (DI ISI)'!DS10+'KELURAHAN (DI ISI)'!DS12+'KELURAHAN (DI ISI)'!DS19+'KELURAHAN (DI ISI)'!DS20</f>
        <v>0</v>
      </c>
      <c r="EJ9" s="491">
        <f>'KELURAHAN (DI ISI)'!DT8+'KELURAHAN (DI ISI)'!DT9+'KELURAHAN (DI ISI)'!DT10+'KELURAHAN (DI ISI)'!DT12+'KELURAHAN (DI ISI)'!DT19+'KELURAHAN (DI ISI)'!DT20</f>
        <v>0</v>
      </c>
      <c r="EK9" s="491">
        <f>'KELURAHAN (DI ISI)'!DU8+'KELURAHAN (DI ISI)'!DU9+'KELURAHAN (DI ISI)'!DU10+'KELURAHAN (DI ISI)'!DU12+'KELURAHAN (DI ISI)'!DU19+'KELURAHAN (DI ISI)'!DU20</f>
        <v>1</v>
      </c>
      <c r="EL9" s="491">
        <f>'KELURAHAN (DI ISI)'!DV8+'KELURAHAN (DI ISI)'!DV9+'KELURAHAN (DI ISI)'!DV10+'KELURAHAN (DI ISI)'!DV12+'KELURAHAN (DI ISI)'!DV19+'KELURAHAN (DI ISI)'!DV20</f>
        <v>0</v>
      </c>
      <c r="EM9" s="491">
        <f>'KELURAHAN (DI ISI)'!DW8+'KELURAHAN (DI ISI)'!DW9+'KELURAHAN (DI ISI)'!DW10+'KELURAHAN (DI ISI)'!DW12+'KELURAHAN (DI ISI)'!DW19+'KELURAHAN (DI ISI)'!DW20</f>
        <v>0</v>
      </c>
      <c r="EN9" s="491">
        <f>'KELURAHAN (DI ISI)'!DX8+'KELURAHAN (DI ISI)'!DX9+'KELURAHAN (DI ISI)'!DX10+'KELURAHAN (DI ISI)'!DX12+'KELURAHAN (DI ISI)'!DX19+'KELURAHAN (DI ISI)'!DX20</f>
        <v>2</v>
      </c>
      <c r="EO9" s="491">
        <f>'KELURAHAN (DI ISI)'!DY8+'KELURAHAN (DI ISI)'!DY9+'KELURAHAN (DI ISI)'!DY10+'KELURAHAN (DI ISI)'!DY12+'KELURAHAN (DI ISI)'!DY19+'KELURAHAN (DI ISI)'!DY20</f>
        <v>2</v>
      </c>
      <c r="EP9" s="491">
        <f>'KELURAHAN (DI ISI)'!DZ8+'KELURAHAN (DI ISI)'!DZ9+'KELURAHAN (DI ISI)'!DZ10+'KELURAHAN (DI ISI)'!DZ12+'KELURAHAN (DI ISI)'!DZ19+'KELURAHAN (DI ISI)'!DZ20</f>
        <v>2</v>
      </c>
      <c r="EQ9" s="491">
        <f>'KELURAHAN (DI ISI)'!EA8+'KELURAHAN (DI ISI)'!EA9+'KELURAHAN (DI ISI)'!EA10+'KELURAHAN (DI ISI)'!EA12+'KELURAHAN (DI ISI)'!EA19+'KELURAHAN (DI ISI)'!EA20</f>
        <v>0</v>
      </c>
      <c r="ER9" s="491">
        <f>'KELURAHAN (DI ISI)'!EB8+'KELURAHAN (DI ISI)'!EB9+'KELURAHAN (DI ISI)'!EB10+'KELURAHAN (DI ISI)'!EB12+'KELURAHAN (DI ISI)'!EB19+'KELURAHAN (DI ISI)'!EB20</f>
        <v>0</v>
      </c>
      <c r="ES9" s="491">
        <f>'KELURAHAN (DI ISI)'!EC8+'KELURAHAN (DI ISI)'!EC9+'KELURAHAN (DI ISI)'!EC10+'KELURAHAN (DI ISI)'!EC12+'KELURAHAN (DI ISI)'!EC19+'KELURAHAN (DI ISI)'!EC20</f>
        <v>0</v>
      </c>
      <c r="ET9" s="491">
        <f>'KELURAHAN (DI ISI)'!ED8+'KELURAHAN (DI ISI)'!ED9+'KELURAHAN (DI ISI)'!ED10+'KELURAHAN (DI ISI)'!ED12+'KELURAHAN (DI ISI)'!ED19+'KELURAHAN (DI ISI)'!ED20</f>
        <v>0</v>
      </c>
      <c r="EU9" s="491">
        <f>'KELURAHAN (DI ISI)'!EE8+'KELURAHAN (DI ISI)'!EE9+'KELURAHAN (DI ISI)'!EE10+'KELURAHAN (DI ISI)'!EE12+'KELURAHAN (DI ISI)'!EE19+'KELURAHAN (DI ISI)'!EE20</f>
        <v>0</v>
      </c>
      <c r="EV9" s="491">
        <f>'KELURAHAN (DI ISI)'!EF8+'KELURAHAN (DI ISI)'!EF9+'KELURAHAN (DI ISI)'!EF10+'KELURAHAN (DI ISI)'!EF12+'KELURAHAN (DI ISI)'!EF19+'KELURAHAN (DI ISI)'!EF20</f>
        <v>0</v>
      </c>
      <c r="EW9" s="491">
        <f>'KELURAHAN (DI ISI)'!EG8+'KELURAHAN (DI ISI)'!EG9+'KELURAHAN (DI ISI)'!EG10+'KELURAHAN (DI ISI)'!EG12+'KELURAHAN (DI ISI)'!EG19+'KELURAHAN (DI ISI)'!EG20</f>
        <v>6</v>
      </c>
      <c r="EX9" s="491">
        <f>'KELURAHAN (DI ISI)'!EH8+'KELURAHAN (DI ISI)'!EH9+'KELURAHAN (DI ISI)'!EH10+'KELURAHAN (DI ISI)'!EH12+'KELURAHAN (DI ISI)'!EH19+'KELURAHAN (DI ISI)'!EH20</f>
        <v>4</v>
      </c>
      <c r="EY9" s="491">
        <f>'KELURAHAN (DI ISI)'!EI8+'KELURAHAN (DI ISI)'!EI9+'KELURAHAN (DI ISI)'!EI10+'KELURAHAN (DI ISI)'!EI12+'KELURAHAN (DI ISI)'!EI19+'KELURAHAN (DI ISI)'!EI20</f>
        <v>860</v>
      </c>
      <c r="EZ9" s="491">
        <f>'KELURAHAN (DI ISI)'!EJ8+'KELURAHAN (DI ISI)'!EJ9+'KELURAHAN (DI ISI)'!EJ10+'KELURAHAN (DI ISI)'!EJ12+'KELURAHAN (DI ISI)'!EJ19+'KELURAHAN (DI ISI)'!EJ20</f>
        <v>295</v>
      </c>
      <c r="FA9" s="491">
        <f>'KELURAHAN (DI ISI)'!EK8+'KELURAHAN (DI ISI)'!EK9+'KELURAHAN (DI ISI)'!EK10+'KELURAHAN (DI ISI)'!EK12+'KELURAHAN (DI ISI)'!EK19+'KELURAHAN (DI ISI)'!EK20</f>
        <v>860</v>
      </c>
      <c r="FB9" s="491">
        <f>'KELURAHAN (DI ISI)'!EL8+'KELURAHAN (DI ISI)'!EL9+'KELURAHAN (DI ISI)'!EL10+'KELURAHAN (DI ISI)'!EL12+'KELURAHAN (DI ISI)'!EL19+'KELURAHAN (DI ISI)'!EL20</f>
        <v>295</v>
      </c>
      <c r="FC9" s="491">
        <f>'KELURAHAN (DI ISI)'!EM8+'KELURAHAN (DI ISI)'!EM9+'KELURAHAN (DI ISI)'!EM10+'KELURAHAN (DI ISI)'!EM12+'KELURAHAN (DI ISI)'!EM19+'KELURAHAN (DI ISI)'!EM20</f>
        <v>15</v>
      </c>
      <c r="FD9" s="491">
        <f>'KELURAHAN (DI ISI)'!EN8+'KELURAHAN (DI ISI)'!EN9+'KELURAHAN (DI ISI)'!EN10+'KELURAHAN (DI ISI)'!EN12+'KELURAHAN (DI ISI)'!EN19+'KELURAHAN (DI ISI)'!EN20</f>
        <v>4</v>
      </c>
      <c r="FE9" s="491">
        <f t="shared" si="18"/>
        <v>11</v>
      </c>
      <c r="FF9" s="491">
        <f>'KELURAHAN (DI ISI)'!EP8+'KELURAHAN (DI ISI)'!EP9+'KELURAHAN (DI ISI)'!EP10+'KELURAHAN (DI ISI)'!EP12+'KELURAHAN (DI ISI)'!EP19+'KELURAHAN (DI ISI)'!EP20</f>
        <v>1</v>
      </c>
      <c r="FG9" s="491">
        <f>'KELURAHAN (DI ISI)'!EQ8+'KELURAHAN (DI ISI)'!EQ9+'KELURAHAN (DI ISI)'!EQ10+'KELURAHAN (DI ISI)'!EQ12+'KELURAHAN (DI ISI)'!EQ19+'KELURAHAN (DI ISI)'!EQ20</f>
        <v>0</v>
      </c>
      <c r="FH9" s="491">
        <f>'KELURAHAN (DI ISI)'!ER8+'KELURAHAN (DI ISI)'!ER9+'KELURAHAN (DI ISI)'!ER10+'KELURAHAN (DI ISI)'!ER12+'KELURAHAN (DI ISI)'!ER19+'KELURAHAN (DI ISI)'!ER20</f>
        <v>3</v>
      </c>
      <c r="FI9" s="491">
        <f>'KELURAHAN (DI ISI)'!ES8+'KELURAHAN (DI ISI)'!ES9+'KELURAHAN (DI ISI)'!ES10+'KELURAHAN (DI ISI)'!ES12+'KELURAHAN (DI ISI)'!ES19+'KELURAHAN (DI ISI)'!ES20</f>
        <v>11</v>
      </c>
      <c r="FJ9" s="491">
        <f>'KELURAHAN (DI ISI)'!ET8+'KELURAHAN (DI ISI)'!ET9+'KELURAHAN (DI ISI)'!ET10+'KELURAHAN (DI ISI)'!ET12+'KELURAHAN (DI ISI)'!ET19+'KELURAHAN (DI ISI)'!ET20</f>
        <v>0</v>
      </c>
      <c r="FK9" s="491">
        <f>'KELURAHAN (DI ISI)'!EU8+'KELURAHAN (DI ISI)'!EU9+'KELURAHAN (DI ISI)'!EU10+'KELURAHAN (DI ISI)'!EU12+'KELURAHAN (DI ISI)'!EU19+'KELURAHAN (DI ISI)'!EU20</f>
        <v>0</v>
      </c>
      <c r="FL9" s="491">
        <f>'KELURAHAN (DI ISI)'!EV8+'KELURAHAN (DI ISI)'!EV9+'KELURAHAN (DI ISI)'!EV10+'KELURAHAN (DI ISI)'!EV12+'KELURAHAN (DI ISI)'!EV19+'KELURAHAN (DI ISI)'!EV20</f>
        <v>0</v>
      </c>
      <c r="FM9" s="491">
        <f>'KELURAHAN (DI ISI)'!EW8+'KELURAHAN (DI ISI)'!EW9+'KELURAHAN (DI ISI)'!EW10+'KELURAHAN (DI ISI)'!EW12+'KELURAHAN (DI ISI)'!EW19+'KELURAHAN (DI ISI)'!EW20</f>
        <v>0</v>
      </c>
      <c r="FN9" s="491">
        <f>'KELURAHAN (DI ISI)'!EX8+'KELURAHAN (DI ISI)'!EX9+'KELURAHAN (DI ISI)'!EX10+'KELURAHAN (DI ISI)'!EX12+'KELURAHAN (DI ISI)'!EX19+'KELURAHAN (DI ISI)'!EX20</f>
        <v>0</v>
      </c>
      <c r="FO9" s="491">
        <f>'KELURAHAN (DI ISI)'!EY8+'KELURAHAN (DI ISI)'!EY9+'KELURAHAN (DI ISI)'!EY10+'KELURAHAN (DI ISI)'!EY12+'KELURAHAN (DI ISI)'!EY19+'KELURAHAN (DI ISI)'!EY20</f>
        <v>0</v>
      </c>
      <c r="FP9" s="491">
        <f>'KELURAHAN (DI ISI)'!EZ8+'KELURAHAN (DI ISI)'!EZ9+'KELURAHAN (DI ISI)'!EZ10+'KELURAHAN (DI ISI)'!EZ12+'KELURAHAN (DI ISI)'!EZ19+'KELURAHAN (DI ISI)'!EZ20</f>
        <v>0</v>
      </c>
      <c r="FQ9" s="491">
        <f>'KELURAHAN (DI ISI)'!FA8+'KELURAHAN (DI ISI)'!FA9+'KELURAHAN (DI ISI)'!FA10+'KELURAHAN (DI ISI)'!FA12+'KELURAHAN (DI ISI)'!FA19+'KELURAHAN (DI ISI)'!FA20</f>
        <v>1</v>
      </c>
      <c r="FR9" s="491">
        <f>'KELURAHAN (DI ISI)'!FB8+'KELURAHAN (DI ISI)'!FB9+'KELURAHAN (DI ISI)'!FB10+'KELURAHAN (DI ISI)'!FB12+'KELURAHAN (DI ISI)'!FB19+'KELURAHAN (DI ISI)'!FB20</f>
        <v>0</v>
      </c>
      <c r="FS9" s="491">
        <f>'KELURAHAN (DI ISI)'!FC8+'KELURAHAN (DI ISI)'!FC9+'KELURAHAN (DI ISI)'!FC10+'KELURAHAN (DI ISI)'!FC12+'KELURAHAN (DI ISI)'!FC19+'KELURAHAN (DI ISI)'!FC20</f>
        <v>0</v>
      </c>
      <c r="FT9" s="491">
        <f>'KELURAHAN (DI ISI)'!FD8+'KELURAHAN (DI ISI)'!FD9+'KELURAHAN (DI ISI)'!FD10+'KELURAHAN (DI ISI)'!FD12+'KELURAHAN (DI ISI)'!FD19+'KELURAHAN (DI ISI)'!FD20</f>
        <v>0</v>
      </c>
      <c r="FU9" s="491">
        <f>'KELURAHAN (DI ISI)'!FE8+'KELURAHAN (DI ISI)'!FE9+'KELURAHAN (DI ISI)'!FE10+'KELURAHAN (DI ISI)'!FE12+'KELURAHAN (DI ISI)'!FE19+'KELURAHAN (DI ISI)'!FE20</f>
        <v>0</v>
      </c>
      <c r="FV9" s="491">
        <f>'KELURAHAN (DI ISI)'!FF8+'KELURAHAN (DI ISI)'!FF9+'KELURAHAN (DI ISI)'!FF10+'KELURAHAN (DI ISI)'!FF12+'KELURAHAN (DI ISI)'!FF19+'KELURAHAN (DI ISI)'!FF20</f>
        <v>0</v>
      </c>
      <c r="FW9" s="491">
        <f>'KELURAHAN (DI ISI)'!FG8+'KELURAHAN (DI ISI)'!FG9+'KELURAHAN (DI ISI)'!FG10+'KELURAHAN (DI ISI)'!FG12+'KELURAHAN (DI ISI)'!FG19+'KELURAHAN (DI ISI)'!FG20</f>
        <v>0</v>
      </c>
      <c r="FX9" s="491">
        <f>'KELURAHAN (DI ISI)'!FH8+'KELURAHAN (DI ISI)'!FH9+'KELURAHAN (DI ISI)'!FH10+'KELURAHAN (DI ISI)'!FH12+'KELURAHAN (DI ISI)'!FH19+'KELURAHAN (DI ISI)'!FH20</f>
        <v>1</v>
      </c>
      <c r="FY9" s="491">
        <f>'KELURAHAN (DI ISI)'!FI8+'KELURAHAN (DI ISI)'!FI9+'KELURAHAN (DI ISI)'!FI10+'KELURAHAN (DI ISI)'!FI12+'KELURAHAN (DI ISI)'!FI19+'KELURAHAN (DI ISI)'!FI20</f>
        <v>0</v>
      </c>
      <c r="FZ9" s="491">
        <f>'KELURAHAN (DI ISI)'!FJ8+'KELURAHAN (DI ISI)'!FJ9+'KELURAHAN (DI ISI)'!FJ10+'KELURAHAN (DI ISI)'!FJ12+'KELURAHAN (DI ISI)'!FJ19+'KELURAHAN (DI ISI)'!FJ20</f>
        <v>834</v>
      </c>
      <c r="GA9" s="491">
        <f>'KELURAHAN (DI ISI)'!FK8+'KELURAHAN (DI ISI)'!FK9+'KELURAHAN (DI ISI)'!FK10+'KELURAHAN (DI ISI)'!FK12+'KELURAHAN (DI ISI)'!FK19+'KELURAHAN (DI ISI)'!FK20</f>
        <v>274</v>
      </c>
      <c r="GB9" s="491">
        <f>'KELURAHAN (DI ISI)'!FL8+'KELURAHAN (DI ISI)'!FL9+'KELURAHAN (DI ISI)'!FL10+'KELURAHAN (DI ISI)'!FL12+'KELURAHAN (DI ISI)'!FL19+'KELURAHAN (DI ISI)'!FL20</f>
        <v>834</v>
      </c>
      <c r="GC9" s="491">
        <f>'KELURAHAN (DI ISI)'!FM8+'KELURAHAN (DI ISI)'!FM9+'KELURAHAN (DI ISI)'!FM10+'KELURAHAN (DI ISI)'!FM12+'KELURAHAN (DI ISI)'!FM19+'KELURAHAN (DI ISI)'!FM20</f>
        <v>274</v>
      </c>
      <c r="GD9" s="570">
        <v>834.0</v>
      </c>
      <c r="GE9" s="571">
        <f>'KELURAHAN (DI ISI)'!FO8+'KELURAHAN (DI ISI)'!FO9+'KELURAHAN (DI ISI)'!FO10+'KELURAHAN (DI ISI)'!FO12+'KELURAHAN (DI ISI)'!FO19+'KELURAHAN (DI ISI)'!FO20</f>
        <v>16</v>
      </c>
      <c r="GF9" s="571">
        <f>'KELURAHAN (DI ISI)'!FP8+'KELURAHAN (DI ISI)'!FP9+'KELURAHAN (DI ISI)'!FP10+'KELURAHAN (DI ISI)'!FP12+'KELURAHAN (DI ISI)'!FP19+'KELURAHAN (DI ISI)'!FP20</f>
        <v>16</v>
      </c>
      <c r="GG9" s="571">
        <f>'KELURAHAN (DI ISI)'!FP8+'KELURAHAN (DI ISI)'!FP9+'KELURAHAN (DI ISI)'!FP10+'KELURAHAN (DI ISI)'!FP12+'KELURAHAN (DI ISI)'!FP19+'KELURAHAN (DI ISI)'!FP20</f>
        <v>16</v>
      </c>
      <c r="GH9" s="571">
        <f>'KELURAHAN (DI ISI)'!FQ8+'KELURAHAN (DI ISI)'!FQ9+'KELURAHAN (DI ISI)'!FQ10+'KELURAHAN (DI ISI)'!FQ12+'KELURAHAN (DI ISI)'!FQ19+'KELURAHAN (DI ISI)'!FQ20</f>
        <v>3</v>
      </c>
      <c r="GI9" s="571">
        <f t="shared" si="19"/>
        <v>13</v>
      </c>
      <c r="GJ9" s="491">
        <f>'KELURAHAN (DI ISI)'!FS8+'KELURAHAN (DI ISI)'!FS9+'KELURAHAN (DI ISI)'!FS10+'KELURAHAN (DI ISI)'!FS12+'KELURAHAN (DI ISI)'!FS19+'KELURAHAN (DI ISI)'!FS20</f>
        <v>1</v>
      </c>
      <c r="GK9" s="491">
        <f>'KELURAHAN (DI ISI)'!FT8+'KELURAHAN (DI ISI)'!FT9+'KELURAHAN (DI ISI)'!FT10+'KELURAHAN (DI ISI)'!FT12+'KELURAHAN (DI ISI)'!FT19+'KELURAHAN (DI ISI)'!FT20</f>
        <v>0</v>
      </c>
      <c r="GL9" s="491">
        <f>'KELURAHAN (DI ISI)'!FU8+'KELURAHAN (DI ISI)'!FU9+'KELURAHAN (DI ISI)'!FU10+'KELURAHAN (DI ISI)'!FU12+'KELURAHAN (DI ISI)'!FU19+'KELURAHAN (DI ISI)'!FU20</f>
        <v>2</v>
      </c>
      <c r="GM9" s="491">
        <f>'KELURAHAN (DI ISI)'!FV8+'KELURAHAN (DI ISI)'!FV9+'KELURAHAN (DI ISI)'!FV10+'KELURAHAN (DI ISI)'!FV12+'KELURAHAN (DI ISI)'!FV19+'KELURAHAN (DI ISI)'!FV20</f>
        <v>13</v>
      </c>
      <c r="GN9" s="491">
        <f>'KELURAHAN (DI ISI)'!FW8+'KELURAHAN (DI ISI)'!FW9+'KELURAHAN (DI ISI)'!FW10+'KELURAHAN (DI ISI)'!FW12+'KELURAHAN (DI ISI)'!FW19+'KELURAHAN (DI ISI)'!FW20</f>
        <v>0</v>
      </c>
      <c r="GO9" s="491">
        <f>'KELURAHAN (DI ISI)'!FX8+'KELURAHAN (DI ISI)'!FX9+'KELURAHAN (DI ISI)'!FX10+'KELURAHAN (DI ISI)'!FX12+'KELURAHAN (DI ISI)'!FX19+'KELURAHAN (DI ISI)'!FX20</f>
        <v>0</v>
      </c>
      <c r="GP9" s="491">
        <f>'KELURAHAN (DI ISI)'!FY8+'KELURAHAN (DI ISI)'!FY9+'KELURAHAN (DI ISI)'!FY10+'KELURAHAN (DI ISI)'!FY12+'KELURAHAN (DI ISI)'!FY19+'KELURAHAN (DI ISI)'!FY20</f>
        <v>0</v>
      </c>
      <c r="GQ9" s="491">
        <f>'KELURAHAN (DI ISI)'!FZ8+'KELURAHAN (DI ISI)'!FZ9+'KELURAHAN (DI ISI)'!FZ10+'KELURAHAN (DI ISI)'!FZ12+'KELURAHAN (DI ISI)'!FZ19+'KELURAHAN (DI ISI)'!FZ20</f>
        <v>0</v>
      </c>
      <c r="GR9" s="491">
        <f>'KELURAHAN (DI ISI)'!GA8+'KELURAHAN (DI ISI)'!GA9+'KELURAHAN (DI ISI)'!GA10+'KELURAHAN (DI ISI)'!GA12+'KELURAHAN (DI ISI)'!GA19+'KELURAHAN (DI ISI)'!GA20</f>
        <v>0</v>
      </c>
      <c r="GS9" s="491">
        <f>'KELURAHAN (DI ISI)'!GB8+'KELURAHAN (DI ISI)'!GB9+'KELURAHAN (DI ISI)'!GB10+'KELURAHAN (DI ISI)'!GB12+'KELURAHAN (DI ISI)'!GB19+'KELURAHAN (DI ISI)'!GB20</f>
        <v>0</v>
      </c>
      <c r="GT9" s="491">
        <f>'KELURAHAN (DI ISI)'!GC8+'KELURAHAN (DI ISI)'!GC9+'KELURAHAN (DI ISI)'!GC10+'KELURAHAN (DI ISI)'!GC12+'KELURAHAN (DI ISI)'!GC19+'KELURAHAN (DI ISI)'!GC20</f>
        <v>0</v>
      </c>
      <c r="GU9" s="491">
        <f>'KELURAHAN (DI ISI)'!GD8+'KELURAHAN (DI ISI)'!GD9+'KELURAHAN (DI ISI)'!GD10+'KELURAHAN (DI ISI)'!GD12+'KELURAHAN (DI ISI)'!GD19+'KELURAHAN (DI ISI)'!GD20</f>
        <v>0</v>
      </c>
      <c r="GV9" s="491">
        <f>'KELURAHAN (DI ISI)'!GE8+'KELURAHAN (DI ISI)'!GE9+'KELURAHAN (DI ISI)'!GE10+'KELURAHAN (DI ISI)'!GE12+'KELURAHAN (DI ISI)'!GE19+'KELURAHAN (DI ISI)'!GE20</f>
        <v>0</v>
      </c>
      <c r="GW9" s="491">
        <f>'KELURAHAN (DI ISI)'!GF8+'KELURAHAN (DI ISI)'!GF9+'KELURAHAN (DI ISI)'!GF10+'KELURAHAN (DI ISI)'!GF12+'KELURAHAN (DI ISI)'!GF19+'KELURAHAN (DI ISI)'!GF20</f>
        <v>0</v>
      </c>
      <c r="GX9" s="491">
        <f>'KELURAHAN (DI ISI)'!GG8+'KELURAHAN (DI ISI)'!GG9+'KELURAHAN (DI ISI)'!GG10+'KELURAHAN (DI ISI)'!GG12+'KELURAHAN (DI ISI)'!GG19+'KELURAHAN (DI ISI)'!GG20</f>
        <v>0</v>
      </c>
      <c r="GY9" s="491">
        <f>'KELURAHAN (DI ISI)'!GH8+'KELURAHAN (DI ISI)'!GH9+'KELURAHAN (DI ISI)'!GH10+'KELURAHAN (DI ISI)'!GH12+'KELURAHAN (DI ISI)'!GH19+'KELURAHAN (DI ISI)'!GH20</f>
        <v>0</v>
      </c>
      <c r="GZ9" s="491">
        <f>'KELURAHAN (DI ISI)'!GI8+'KELURAHAN (DI ISI)'!GI9+'KELURAHAN (DI ISI)'!GI10+'KELURAHAN (DI ISI)'!GI12+'KELURAHAN (DI ISI)'!GI19+'KELURAHAN (DI ISI)'!GI20</f>
        <v>0</v>
      </c>
      <c r="HA9" s="491">
        <f>'KELURAHAN (DI ISI)'!GJ8+'KELURAHAN (DI ISI)'!GJ9+'KELURAHAN (DI ISI)'!GJ10+'KELURAHAN (DI ISI)'!GJ12+'KELURAHAN (DI ISI)'!GJ19+'KELURAHAN (DI ISI)'!GJ20</f>
        <v>0</v>
      </c>
      <c r="HB9" s="572">
        <f>'KELURAHAN (DI ISI)'!GK8+'KELURAHAN (DI ISI)'!GK9+'KELURAHAN (DI ISI)'!GK10+'KELURAHAN (DI ISI)'!GK12+'KELURAHAN (DI ISI)'!GK19+'KELURAHAN (DI ISI)'!GK20</f>
        <v>0</v>
      </c>
      <c r="HC9" s="572">
        <f>'KELURAHAN (DI ISI)'!GL8+'KELURAHAN (DI ISI)'!GL9+'KELURAHAN (DI ISI)'!GL10+'KELURAHAN (DI ISI)'!GL12+'KELURAHAN (DI ISI)'!GL19+'KELURAHAN (DI ISI)'!GL20</f>
        <v>0</v>
      </c>
      <c r="HD9" s="491">
        <f>'KELURAHAN (DI ISI)'!GM8+'KELURAHAN (DI ISI)'!GM9+'KELURAHAN (DI ISI)'!GM10+'KELURAHAN (DI ISI)'!GM12+'KELURAHAN (DI ISI)'!GM19+'KELURAHAN (DI ISI)'!GM20</f>
        <v>825</v>
      </c>
      <c r="HE9" s="491">
        <f>'KELURAHAN (DI ISI)'!GN8+'KELURAHAN (DI ISI)'!GN9+'KELURAHAN (DI ISI)'!GN10+'KELURAHAN (DI ISI)'!GN12+'KELURAHAN (DI ISI)'!GN19+'KELURAHAN (DI ISI)'!GN20</f>
        <v>266</v>
      </c>
      <c r="HF9" s="491">
        <f>'KELURAHAN (DI ISI)'!GO8+'KELURAHAN (DI ISI)'!GO9+'KELURAHAN (DI ISI)'!GO10+'KELURAHAN (DI ISI)'!GO12+'KELURAHAN (DI ISI)'!GO19+'KELURAHAN (DI ISI)'!GO20</f>
        <v>825</v>
      </c>
      <c r="HG9" s="491">
        <f>'KELURAHAN (DI ISI)'!GP8+'KELURAHAN (DI ISI)'!GP9+'KELURAHAN (DI ISI)'!GP10+'KELURAHAN (DI ISI)'!GP12+'KELURAHAN (DI ISI)'!GP19+'KELURAHAN (DI ISI)'!GP20</f>
        <v>263</v>
      </c>
      <c r="HH9" s="570">
        <v>834.0</v>
      </c>
      <c r="HI9" s="225">
        <f>'KELURAHAN (DI ISI)'!GR8+'KELURAHAN (DI ISI)'!GR9+'KELURAHAN (DI ISI)'!GR10+'KELURAHAN (DI ISI)'!GR12+'KELURAHAN (DI ISI)'!GR19+'KELURAHAN (DI ISI)'!GR20</f>
        <v>15</v>
      </c>
      <c r="HJ9" s="225">
        <f>'KELURAHAN (DI ISI)'!GS8+'KELURAHAN (DI ISI)'!GS9+'KELURAHAN (DI ISI)'!GS10+'KELURAHAN (DI ISI)'!GS12+'KELURAHAN (DI ISI)'!GS19+'KELURAHAN (DI ISI)'!GS20</f>
        <v>2</v>
      </c>
      <c r="HK9" s="573">
        <f>'KELURAHAN (DI ISI)'!GT8+'KELURAHAN (DI ISI)'!GT9+'KELURAHAN (DI ISI)'!GT10+'KELURAHAN (DI ISI)'!GT12+'KELURAHAN (DI ISI)'!GT19+'KELURAHAN (DI ISI)'!GT20</f>
        <v>15</v>
      </c>
      <c r="HL9" s="573">
        <f>'KELURAHAN (DI ISI)'!GU8+'KELURAHAN (DI ISI)'!GU9+'KELURAHAN (DI ISI)'!GU10+'KELURAHAN (DI ISI)'!GU12+'KELURAHAN (DI ISI)'!GU19+'KELURAHAN (DI ISI)'!GU20</f>
        <v>2</v>
      </c>
      <c r="HM9" s="573">
        <f t="shared" si="20"/>
        <v>13</v>
      </c>
      <c r="HN9" s="491">
        <f>'KELURAHAN (DI ISI)'!GW8+'KELURAHAN (DI ISI)'!GW9+'KELURAHAN (DI ISI)'!GW10+'KELURAHAN (DI ISI)'!GW12+'KELURAHAN (DI ISI)'!GW19+'KELURAHAN (DI ISI)'!GW20</f>
        <v>0</v>
      </c>
      <c r="HO9" s="491">
        <f>'KELURAHAN (DI ISI)'!GX8+'KELURAHAN (DI ISI)'!GX9+'KELURAHAN (DI ISI)'!GX10+'KELURAHAN (DI ISI)'!GX12+'KELURAHAN (DI ISI)'!GX19+'KELURAHAN (DI ISI)'!GX20</f>
        <v>0</v>
      </c>
      <c r="HP9" s="491">
        <f>'KELURAHAN (DI ISI)'!GY8+'KELURAHAN (DI ISI)'!GY9+'KELURAHAN (DI ISI)'!GY10+'KELURAHAN (DI ISI)'!GY12+'KELURAHAN (DI ISI)'!GY19+'KELURAHAN (DI ISI)'!GY20</f>
        <v>1</v>
      </c>
      <c r="HQ9" s="491">
        <f>'KELURAHAN (DI ISI)'!GZ8+'KELURAHAN (DI ISI)'!GZ9+'KELURAHAN (DI ISI)'!GZ10+'KELURAHAN (DI ISI)'!GZ12+'KELURAHAN (DI ISI)'!GZ19+'KELURAHAN (DI ISI)'!GZ20</f>
        <v>13</v>
      </c>
      <c r="HR9" s="491">
        <f>'KELURAHAN (DI ISI)'!HA8+'KELURAHAN (DI ISI)'!HA9+'KELURAHAN (DI ISI)'!HA10+'KELURAHAN (DI ISI)'!HA12+'KELURAHAN (DI ISI)'!HA19+'KELURAHAN (DI ISI)'!HA20</f>
        <v>1</v>
      </c>
      <c r="HS9" s="491">
        <f>'KELURAHAN (DI ISI)'!HB8+'KELURAHAN (DI ISI)'!HB9+'KELURAHAN (DI ISI)'!HB10+'KELURAHAN (DI ISI)'!HB12+'KELURAHAN (DI ISI)'!HB19+'KELURAHAN (DI ISI)'!HB20</f>
        <v>0</v>
      </c>
      <c r="HT9" s="491">
        <f>'KELURAHAN (DI ISI)'!HC8+'KELURAHAN (DI ISI)'!HC9+'KELURAHAN (DI ISI)'!HC10+'KELURAHAN (DI ISI)'!HC12+'KELURAHAN (DI ISI)'!HC19+'KELURAHAN (DI ISI)'!HC20</f>
        <v>0</v>
      </c>
      <c r="HU9" s="491">
        <f>'KELURAHAN (DI ISI)'!HD8+'KELURAHAN (DI ISI)'!HD9+'KELURAHAN (DI ISI)'!HD10+'KELURAHAN (DI ISI)'!HD12+'KELURAHAN (DI ISI)'!HD19+'KELURAHAN (DI ISI)'!HD20</f>
        <v>0</v>
      </c>
      <c r="HV9" s="491">
        <f>'KELURAHAN (DI ISI)'!HE8+'KELURAHAN (DI ISI)'!HE9+'KELURAHAN (DI ISI)'!HE10+'KELURAHAN (DI ISI)'!HE12+'KELURAHAN (DI ISI)'!HE19+'KELURAHAN (DI ISI)'!HE20</f>
        <v>0</v>
      </c>
      <c r="HW9" s="491">
        <f>'KELURAHAN (DI ISI)'!HF8+'KELURAHAN (DI ISI)'!HF9+'KELURAHAN (DI ISI)'!HF10+'KELURAHAN (DI ISI)'!HF12+'KELURAHAN (DI ISI)'!HF19+'KELURAHAN (DI ISI)'!HF20</f>
        <v>1</v>
      </c>
      <c r="HX9" s="491">
        <f>'KELURAHAN (DI ISI)'!HG8+'KELURAHAN (DI ISI)'!HG9+'KELURAHAN (DI ISI)'!HG10+'KELURAHAN (DI ISI)'!HG12+'KELURAHAN (DI ISI)'!HG19+'KELURAHAN (DI ISI)'!HG20</f>
        <v>1</v>
      </c>
      <c r="HY9" s="491">
        <f>'KELURAHAN (DI ISI)'!HH8+'KELURAHAN (DI ISI)'!HH9+'KELURAHAN (DI ISI)'!HH10+'KELURAHAN (DI ISI)'!HH12+'KELURAHAN (DI ISI)'!HH19+'KELURAHAN (DI ISI)'!HH20</f>
        <v>0</v>
      </c>
      <c r="HZ9" s="491">
        <f>'KELURAHAN (DI ISI)'!HI8+'KELURAHAN (DI ISI)'!HI9+'KELURAHAN (DI ISI)'!HI10+'KELURAHAN (DI ISI)'!HI12+'KELURAHAN (DI ISI)'!HI19+'KELURAHAN (DI ISI)'!HI20</f>
        <v>0</v>
      </c>
      <c r="IA9" s="491">
        <f>'KELURAHAN (DI ISI)'!HJ8+'KELURAHAN (DI ISI)'!HJ9+'KELURAHAN (DI ISI)'!HJ10+'KELURAHAN (DI ISI)'!HJ12+'KELURAHAN (DI ISI)'!HJ19+'KELURAHAN (DI ISI)'!HJ20</f>
        <v>0</v>
      </c>
      <c r="IB9" s="491">
        <f>'KELURAHAN (DI ISI)'!HK8+'KELURAHAN (DI ISI)'!HK9+'KELURAHAN (DI ISI)'!HK10+'KELURAHAN (DI ISI)'!HK12+'KELURAHAN (DI ISI)'!HK19+'KELURAHAN (DI ISI)'!HK20</f>
        <v>0</v>
      </c>
      <c r="IC9" s="491">
        <f>'KELURAHAN (DI ISI)'!HL8+'KELURAHAN (DI ISI)'!HL9+'KELURAHAN (DI ISI)'!HL10+'KELURAHAN (DI ISI)'!HL12+'KELURAHAN (DI ISI)'!HL19+'KELURAHAN (DI ISI)'!HL20</f>
        <v>0</v>
      </c>
      <c r="ID9" s="491">
        <f>'KELURAHAN (DI ISI)'!HM8+'KELURAHAN (DI ISI)'!HM9+'KELURAHAN (DI ISI)'!HM10+'KELURAHAN (DI ISI)'!HM12+'KELURAHAN (DI ISI)'!HM19+'KELURAHAN (DI ISI)'!HM20</f>
        <v>0</v>
      </c>
      <c r="IE9" s="491">
        <f>'KELURAHAN (DI ISI)'!HN8+'KELURAHAN (DI ISI)'!HN9+'KELURAHAN (DI ISI)'!HN10+'KELURAHAN (DI ISI)'!HN12+'KELURAHAN (DI ISI)'!HN19+'KELURAHAN (DI ISI)'!HN20</f>
        <v>0</v>
      </c>
      <c r="IF9" s="573">
        <f>'KELURAHAN (DI ISI)'!HO8+'KELURAHAN (DI ISI)'!HO9+'KELURAHAN (DI ISI)'!HO10+'KELURAHAN (DI ISI)'!HO12+'KELURAHAN (DI ISI)'!HO19+'KELURAHAN (DI ISI)'!HO20</f>
        <v>0</v>
      </c>
      <c r="IG9" s="573">
        <f>'KELURAHAN (DI ISI)'!HP8+'KELURAHAN (DI ISI)'!HP9+'KELURAHAN (DI ISI)'!HP10+'KELURAHAN (DI ISI)'!HP12+'KELURAHAN (DI ISI)'!HP19+'KELURAHAN (DI ISI)'!HP20</f>
        <v>2</v>
      </c>
      <c r="IK9" s="198">
        <f t="shared" si="21"/>
        <v>15</v>
      </c>
      <c r="IL9" s="198">
        <f t="shared" si="22"/>
        <v>17</v>
      </c>
      <c r="IM9" s="198">
        <f t="shared" si="23"/>
        <v>15</v>
      </c>
      <c r="IN9" s="198">
        <f t="shared" si="24"/>
        <v>12</v>
      </c>
      <c r="IO9" s="198">
        <f t="shared" si="25"/>
        <v>13</v>
      </c>
      <c r="IP9" s="198">
        <f t="shared" si="26"/>
        <v>16</v>
      </c>
      <c r="IQ9" s="574">
        <f t="shared" si="27"/>
        <v>14</v>
      </c>
      <c r="IR9" s="574">
        <f t="shared" si="28"/>
        <v>19</v>
      </c>
      <c r="IS9" s="574">
        <f t="shared" si="29"/>
        <v>16</v>
      </c>
      <c r="IT9" s="574">
        <f t="shared" si="30"/>
        <v>15</v>
      </c>
      <c r="IU9" s="574">
        <f t="shared" si="31"/>
        <v>16</v>
      </c>
      <c r="IV9" s="575">
        <f t="shared" si="32"/>
        <v>15</v>
      </c>
      <c r="IW9" s="583"/>
      <c r="IX9" s="576">
        <f t="shared" si="33"/>
        <v>-15</v>
      </c>
      <c r="IZ9" s="577"/>
      <c r="JA9" s="162">
        <f t="shared" si="34"/>
        <v>-825</v>
      </c>
      <c r="JB9" s="578"/>
      <c r="JC9" s="579">
        <f t="shared" si="35"/>
        <v>-266</v>
      </c>
      <c r="JD9" s="584"/>
      <c r="JE9" s="585"/>
      <c r="JF9" s="577"/>
      <c r="JG9" s="234">
        <f t="shared" si="36"/>
        <v>-825</v>
      </c>
      <c r="JH9" s="578"/>
      <c r="JI9" s="579">
        <f t="shared" si="37"/>
        <v>-263</v>
      </c>
      <c r="JJ9" s="247"/>
    </row>
    <row r="10" ht="14.25" customHeight="1">
      <c r="A10" s="158">
        <v>3.0</v>
      </c>
      <c r="B10" s="255" t="s">
        <v>94</v>
      </c>
      <c r="C10" s="253">
        <v>3374130.0</v>
      </c>
      <c r="D10" s="569" t="s">
        <v>96</v>
      </c>
      <c r="E10" s="253"/>
      <c r="F10" s="259">
        <f>'KELURAHAN (DI ISI)'!F23+'KELURAHAN (DI ISI)'!F27+'KELURAHAN (DI ISI)'!F30+'KELURAHAN (DI ISI)'!F31</f>
        <v>50</v>
      </c>
      <c r="G10" s="259">
        <f>'KELURAHAN (DI ISI)'!G23+'KELURAHAN (DI ISI)'!G27+'KELURAHAN (DI ISI)'!G30+'KELURAHAN (DI ISI)'!G31</f>
        <v>4639</v>
      </c>
      <c r="H10" s="259">
        <f>'KELURAHAN (DI ISI)'!H23+'KELURAHAN (DI ISI)'!H27+'KELURAHAN (DI ISI)'!H30+'KELURAHAN (DI ISI)'!H31</f>
        <v>256</v>
      </c>
      <c r="I10" s="491">
        <f t="shared" si="1"/>
        <v>27</v>
      </c>
      <c r="J10" s="491">
        <f t="shared" si="2"/>
        <v>229</v>
      </c>
      <c r="K10" s="491">
        <f>'KELURAHAN (DI ISI)'!I23+'KELURAHAN (DI ISI)'!I27+'KELURAHAN (DI ISI)'!I30+'KELURAHAN (DI ISI)'!I31</f>
        <v>0</v>
      </c>
      <c r="L10" s="491">
        <f>'KELURAHAN (DI ISI)'!J23+'KELURAHAN (DI ISI)'!J27+'KELURAHAN (DI ISI)'!J30+'KELURAHAN (DI ISI)'!J31</f>
        <v>0</v>
      </c>
      <c r="M10" s="491">
        <f>'KELURAHAN (DI ISI)'!K23+'KELURAHAN (DI ISI)'!K27+'KELURAHAN (DI ISI)'!K30+'KELURAHAN (DI ISI)'!K31</f>
        <v>27</v>
      </c>
      <c r="N10" s="491">
        <f>'KELURAHAN (DI ISI)'!L23+'KELURAHAN (DI ISI)'!L27+'KELURAHAN (DI ISI)'!L30+'KELURAHAN (DI ISI)'!L31</f>
        <v>229</v>
      </c>
      <c r="O10" s="491">
        <f>'KELURAHAN (DI ISI)'!M23+'KELURAHAN (DI ISI)'!M27+'KELURAHAN (DI ISI)'!M30+'KELURAHAN (DI ISI)'!M31</f>
        <v>10</v>
      </c>
      <c r="P10" s="491">
        <f>'KELURAHAN (DI ISI)'!N23+'KELURAHAN (DI ISI)'!N27+'KELURAHAN (DI ISI)'!N30+'KELURAHAN (DI ISI)'!N31</f>
        <v>2</v>
      </c>
      <c r="Q10" s="491">
        <f>'KELURAHAN (DI ISI)'!O23+'KELURAHAN (DI ISI)'!O27+'KELURAHAN (DI ISI)'!O30+'KELURAHAN (DI ISI)'!O31</f>
        <v>244</v>
      </c>
      <c r="R10" s="491">
        <f>'KELURAHAN (DI ISI)'!P23+'KELURAHAN (DI ISI)'!P27+'KELURAHAN (DI ISI)'!P30+'KELURAHAN (DI ISI)'!P31</f>
        <v>270</v>
      </c>
      <c r="S10" s="491">
        <f t="shared" si="3"/>
        <v>31</v>
      </c>
      <c r="T10" s="491">
        <f t="shared" si="4"/>
        <v>239</v>
      </c>
      <c r="U10" s="491">
        <f>'KELURAHAN (DI ISI)'!Q23+'KELURAHAN (DI ISI)'!Q27+'KELURAHAN (DI ISI)'!Q30+'KELURAHAN (DI ISI)'!Q31</f>
        <v>0</v>
      </c>
      <c r="V10" s="491">
        <f>'KELURAHAN (DI ISI)'!R23+'KELURAHAN (DI ISI)'!R27+'KELURAHAN (DI ISI)'!R30+'KELURAHAN (DI ISI)'!R31</f>
        <v>1</v>
      </c>
      <c r="W10" s="491">
        <f>'KELURAHAN (DI ISI)'!S23+'KELURAHAN (DI ISI)'!S27+'KELURAHAN (DI ISI)'!S30+'KELURAHAN (DI ISI)'!S31</f>
        <v>30</v>
      </c>
      <c r="X10" s="491">
        <f>'KELURAHAN (DI ISI)'!T23+'KELURAHAN (DI ISI)'!T27+'KELURAHAN (DI ISI)'!T30+'KELURAHAN (DI ISI)'!T31</f>
        <v>239</v>
      </c>
      <c r="Y10" s="491">
        <f>'KELURAHAN (DI ISI)'!U23+'KELURAHAN (DI ISI)'!U27+'KELURAHAN (DI ISI)'!U30+'KELURAHAN (DI ISI)'!U31</f>
        <v>21</v>
      </c>
      <c r="Z10" s="491">
        <f>'KELURAHAN (DI ISI)'!V23+'KELURAHAN (DI ISI)'!V27+'KELURAHAN (DI ISI)'!V30+'KELURAHAN (DI ISI)'!V31</f>
        <v>4</v>
      </c>
      <c r="AA10" s="491">
        <f>'KELURAHAN (DI ISI)'!W23+'KELURAHAN (DI ISI)'!W27+'KELURAHAN (DI ISI)'!W30+'KELURAHAN (DI ISI)'!W31</f>
        <v>245</v>
      </c>
      <c r="AB10" s="491">
        <f>'KELURAHAN (DI ISI)'!X23+'KELURAHAN (DI ISI)'!X27+'KELURAHAN (DI ISI)'!X30+'KELURAHAN (DI ISI)'!X31</f>
        <v>228</v>
      </c>
      <c r="AC10" s="491">
        <f t="shared" si="5"/>
        <v>17</v>
      </c>
      <c r="AD10" s="491">
        <f t="shared" si="6"/>
        <v>211</v>
      </c>
      <c r="AE10" s="491">
        <f>'KELURAHAN (DI ISI)'!Y23+'KELURAHAN (DI ISI)'!Y27+'KELURAHAN (DI ISI)'!Y30+'KELURAHAN (DI ISI)'!Y31</f>
        <v>0</v>
      </c>
      <c r="AF10" s="491">
        <f>'KELURAHAN (DI ISI)'!Z23+'KELURAHAN (DI ISI)'!Z27+'KELURAHAN (DI ISI)'!Z30+'KELURAHAN (DI ISI)'!Z31</f>
        <v>0</v>
      </c>
      <c r="AG10" s="491">
        <f>'KELURAHAN (DI ISI)'!AA23+'KELURAHAN (DI ISI)'!AA27+'KELURAHAN (DI ISI)'!AA30+'KELURAHAN (DI ISI)'!AA31</f>
        <v>17</v>
      </c>
      <c r="AH10" s="491">
        <f>'KELURAHAN (DI ISI)'!AB23+'KELURAHAN (DI ISI)'!AB27+'KELURAHAN (DI ISI)'!AB30+'KELURAHAN (DI ISI)'!AB31</f>
        <v>211</v>
      </c>
      <c r="AI10" s="491">
        <f>'KELURAHAN (DI ISI)'!AC23+'KELURAHAN (DI ISI)'!AC27+'KELURAHAN (DI ISI)'!AC30+'KELURAHAN (DI ISI)'!AC31</f>
        <v>2</v>
      </c>
      <c r="AJ10" s="491">
        <f>'KELURAHAN (DI ISI)'!AD23+'KELURAHAN (DI ISI)'!AD27+'KELURAHAN (DI ISI)'!AD30+'KELURAHAN (DI ISI)'!AD31</f>
        <v>44</v>
      </c>
      <c r="AK10" s="491">
        <f>'KELURAHAN (DI ISI)'!AE23+'KELURAHAN (DI ISI)'!AE27+'KELURAHAN (DI ISI)'!AE30+'KELURAHAN (DI ISI)'!AE31</f>
        <v>182</v>
      </c>
      <c r="AL10" s="491">
        <f>'KELURAHAN (DI ISI)'!AF23+'KELURAHAN (DI ISI)'!AF27+'KELURAHAN (DI ISI)'!AF30+'KELURAHAN (DI ISI)'!AF31</f>
        <v>220</v>
      </c>
      <c r="AM10" s="491">
        <f t="shared" si="7"/>
        <v>25</v>
      </c>
      <c r="AN10" s="491">
        <f t="shared" si="8"/>
        <v>195</v>
      </c>
      <c r="AO10" s="491">
        <f>'KELURAHAN (DI ISI)'!AG23+'KELURAHAN (DI ISI)'!AG27+'KELURAHAN (DI ISI)'!AG30+'KELURAHAN (DI ISI)'!AG31</f>
        <v>0</v>
      </c>
      <c r="AP10" s="491">
        <f>'KELURAHAN (DI ISI)'!AH23+'KELURAHAN (DI ISI)'!AH27+'KELURAHAN (DI ISI)'!AH30+'KELURAHAN (DI ISI)'!AH31</f>
        <v>1</v>
      </c>
      <c r="AQ10" s="491">
        <f>'KELURAHAN (DI ISI)'!AI23+'KELURAHAN (DI ISI)'!AI27+'KELURAHAN (DI ISI)'!AI30+'KELURAHAN (DI ISI)'!AI31</f>
        <v>24</v>
      </c>
      <c r="AR10" s="491">
        <f>'KELURAHAN (DI ISI)'!AJ23+'KELURAHAN (DI ISI)'!AJ27+'KELURAHAN (DI ISI)'!AJ30+'KELURAHAN (DI ISI)'!AJ31</f>
        <v>195</v>
      </c>
      <c r="AS10" s="491">
        <f>'KELURAHAN (DI ISI)'!AK23+'KELURAHAN (DI ISI)'!AK27+'KELURAHAN (DI ISI)'!AK30+'KELURAHAN (DI ISI)'!AK31</f>
        <v>33</v>
      </c>
      <c r="AT10" s="491">
        <f>'KELURAHAN (DI ISI)'!AL23+'KELURAHAN (DI ISI)'!AL27+'KELURAHAN (DI ISI)'!AL30+'KELURAHAN (DI ISI)'!AL31</f>
        <v>47</v>
      </c>
      <c r="AU10" s="491">
        <f>'KELURAHAN (DI ISI)'!AM23+'KELURAHAN (DI ISI)'!AM27+'KELURAHAN (DI ISI)'!AM30+'KELURAHAN (DI ISI)'!AM31</f>
        <v>140</v>
      </c>
      <c r="AV10" s="491">
        <f>'KELURAHAN (DI ISI)'!AN23+'KELURAHAN (DI ISI)'!AN27+'KELURAHAN (DI ISI)'!AN30+'KELURAHAN (DI ISI)'!AN31</f>
        <v>195</v>
      </c>
      <c r="AW10" s="491">
        <f t="shared" si="9"/>
        <v>18</v>
      </c>
      <c r="AX10" s="491">
        <f t="shared" si="10"/>
        <v>177</v>
      </c>
      <c r="AY10" s="491">
        <f>'KELURAHAN (DI ISI)'!AO23+'KELURAHAN (DI ISI)'!AO27+'KELURAHAN (DI ISI)'!AO30+'KELURAHAN (DI ISI)'!AO31</f>
        <v>0</v>
      </c>
      <c r="AZ10" s="491">
        <f>'KELURAHAN (DI ISI)'!AP23+'KELURAHAN (DI ISI)'!AP27+'KELURAHAN (DI ISI)'!AP30+'KELURAHAN (DI ISI)'!AP31</f>
        <v>0</v>
      </c>
      <c r="BA10" s="491">
        <f>'KELURAHAN (DI ISI)'!AQ23+'KELURAHAN (DI ISI)'!AQ27+'KELURAHAN (DI ISI)'!AQ30+'KELURAHAN (DI ISI)'!AQ31</f>
        <v>18</v>
      </c>
      <c r="BB10" s="491">
        <f>'KELURAHAN (DI ISI)'!AR23+'KELURAHAN (DI ISI)'!AR27+'KELURAHAN (DI ISI)'!AR30+'KELURAHAN (DI ISI)'!AR31</f>
        <v>177</v>
      </c>
      <c r="BC10" s="491">
        <f>'KELURAHAN (DI ISI)'!AS23+'KELURAHAN (DI ISI)'!AS27+'KELURAHAN (DI ISI)'!AS30+'KELURAHAN (DI ISI)'!AS31</f>
        <v>0</v>
      </c>
      <c r="BD10" s="491">
        <f>'KELURAHAN (DI ISI)'!AT23+'KELURAHAN (DI ISI)'!AT27+'KELURAHAN (DI ISI)'!AT30+'KELURAHAN (DI ISI)'!AT31</f>
        <v>14</v>
      </c>
      <c r="BE10" s="491">
        <f>'KELURAHAN (DI ISI)'!AU23+'KELURAHAN (DI ISI)'!AU27+'KELURAHAN (DI ISI)'!AU30+'KELURAHAN (DI ISI)'!AU31</f>
        <v>181</v>
      </c>
      <c r="BF10" s="491">
        <f>'KELURAHAN (DI ISI)'!AV23+'KELURAHAN (DI ISI)'!AV28+'KELURAHAN (DI ISI)'!AV30+'KELURAHAN (DI ISI)'!AV31</f>
        <v>4193</v>
      </c>
      <c r="BG10" s="491">
        <f>'KELURAHAN (DI ISI)'!AW23+'KELURAHAN (DI ISI)'!AW27+'KELURAHAN (DI ISI)'!AW30+'KELURAHAN (DI ISI)'!AW31</f>
        <v>185</v>
      </c>
      <c r="BH10" s="491">
        <f t="shared" si="11"/>
        <v>14</v>
      </c>
      <c r="BI10" s="495">
        <f t="shared" si="12"/>
        <v>168</v>
      </c>
      <c r="BJ10" s="491">
        <f>'KELURAHAN (DI ISI)'!AX23+'KELURAHAN (DI ISI)'!AX27+'KELURAHAN (DI ISI)'!AX30+'KELURAHAN (DI ISI)'!AX31</f>
        <v>0</v>
      </c>
      <c r="BK10" s="491">
        <f>'KELURAHAN (DI ISI)'!AY23+'KELURAHAN (DI ISI)'!AY27+'KELURAHAN (DI ISI)'!AY30+'KELURAHAN (DI ISI)'!AY31</f>
        <v>1</v>
      </c>
      <c r="BL10" s="491">
        <f>'KELURAHAN (DI ISI)'!AZ23+'KELURAHAN (DI ISI)'!AZ27+'KELURAHAN (DI ISI)'!AZ30+'KELURAHAN (DI ISI)'!AZ31</f>
        <v>13</v>
      </c>
      <c r="BM10" s="491">
        <f>'KELURAHAN (DI ISI)'!BA23+'KELURAHAN (DI ISI)'!BA27+'KELURAHAN (DI ISI)'!BA30+'KELURAHAN (DI ISI)'!BA31</f>
        <v>168</v>
      </c>
      <c r="BN10" s="491">
        <f>'KELURAHAN (DI ISI)'!BB23+'KELURAHAN (DI ISI)'!BB27+'KELURAHAN (DI ISI)'!BB30+'KELURAHAN (DI ISI)'!BB31</f>
        <v>0</v>
      </c>
      <c r="BO10" s="491">
        <f>'KELURAHAN (DI ISI)'!BC23+'KELURAHAN (DI ISI)'!BC27+'KELURAHAN (DI ISI)'!BC30+'KELURAHAN (DI ISI)'!BC31</f>
        <v>0</v>
      </c>
      <c r="BP10" s="491">
        <f>'KELURAHAN (DI ISI)'!BD23+'KELURAHAN (DI ISI)'!BD27+'KELURAHAN (DI ISI)'!BD30+'KELURAHAN (DI ISI)'!BD31</f>
        <v>0</v>
      </c>
      <c r="BQ10" s="491">
        <f>'KELURAHAN (DI ISI)'!BE23+'KELURAHAN (DI ISI)'!BE27+'KELURAHAN (DI ISI)'!BE30+'KELURAHAN (DI ISI)'!BE31</f>
        <v>3</v>
      </c>
      <c r="BR10" s="491">
        <f>'KELURAHAN (DI ISI)'!BF23+'KELURAHAN (DI ISI)'!BF27+'KELURAHAN (DI ISI)'!BF30+'KELURAHAN (DI ISI)'!BF31</f>
        <v>0</v>
      </c>
      <c r="BS10" s="491">
        <f>'KELURAHAN (DI ISI)'!BG23+'KELURAHAN (DI ISI)'!BG27+'KELURAHAN (DI ISI)'!BG30+'KELURAHAN (DI ISI)'!BG31</f>
        <v>0</v>
      </c>
      <c r="BT10" s="491">
        <f>'KELURAHAN (DI ISI)'!BH23+'KELURAHAN (DI ISI)'!BH27+'KELURAHAN (DI ISI)'!BH30+'KELURAHAN (DI ISI)'!BH31</f>
        <v>1</v>
      </c>
      <c r="BU10" s="491">
        <f>'KELURAHAN (DI ISI)'!BI23+'KELURAHAN (DI ISI)'!BI27+'KELURAHAN (DI ISI)'!BI30+'KELURAHAN (DI ISI)'!BI31</f>
        <v>11</v>
      </c>
      <c r="BV10" s="491">
        <f>'KELURAHAN (DI ISI)'!BJ23+'KELURAHAN (DI ISI)'!BJ27+'KELURAHAN (DI ISI)'!BJ30+'KELURAHAN (DI ISI)'!BJ31</f>
        <v>0</v>
      </c>
      <c r="BW10" s="491">
        <f>'KELURAHAN (DI ISI)'!BK23+'KELURAHAN (DI ISI)'!BK27+'KELURAHAN (DI ISI)'!BK30+'KELURAHAN (DI ISI)'!BK31</f>
        <v>0</v>
      </c>
      <c r="BX10" s="491">
        <f>'KELURAHAN (DI ISI)'!BL23+'KELURAHAN (DI ISI)'!BL27+'KELURAHAN (DI ISI)'!BL30+'KELURAHAN (DI ISI)'!BL31</f>
        <v>0</v>
      </c>
      <c r="BY10" s="491">
        <f>'KELURAHAN (DI ISI)'!BM23+'KELURAHAN (DI ISI)'!BM27+'KELURAHAN (DI ISI)'!BM30+'KELURAHAN (DI ISI)'!BM31</f>
        <v>0</v>
      </c>
      <c r="BZ10" s="491">
        <f>'KELURAHAN (DI ISI)'!BN23+'KELURAHAN (DI ISI)'!BN27+'KELURAHAN (DI ISI)'!BN30+'KELURAHAN (DI ISI)'!BN31</f>
        <v>1</v>
      </c>
      <c r="CA10" s="491">
        <f>'KELURAHAN (DI ISI)'!BO23+'KELURAHAN (DI ISI)'!BO27+'KELURAHAN (DI ISI)'!BO30+'KELURAHAN (DI ISI)'!BO31</f>
        <v>0</v>
      </c>
      <c r="CB10" s="491">
        <f>'KELURAHAN (DI ISI)'!BP23+'KELURAHAN (DI ISI)'!BP27+'KELURAHAN (DI ISI)'!BP30+'KELURAHAN (DI ISI)'!BP31</f>
        <v>13</v>
      </c>
      <c r="CC10" s="491">
        <f>'KELURAHAN (DI ISI)'!BQ23+'KELURAHAN (DI ISI)'!BQ27+'KELURAHAN (DI ISI)'!BQ30+'KELURAHAN (DI ISI)'!BQ31</f>
        <v>4587</v>
      </c>
      <c r="CD10" s="491">
        <f>'KELURAHAN (DI ISI)'!BR23+'KELURAHAN (DI ISI)'!BR27+'KELURAHAN (DI ISI)'!BR30+'KELURAHAN (DI ISI)'!BR31</f>
        <v>194</v>
      </c>
      <c r="CE10" s="491">
        <f t="shared" si="13"/>
        <v>9</v>
      </c>
      <c r="CF10" s="491">
        <f t="shared" si="14"/>
        <v>169</v>
      </c>
      <c r="CG10" s="491">
        <f>'KELURAHAN (DI ISI)'!BS23+'KELURAHAN (DI ISI)'!BS27+'KELURAHAN (DI ISI)'!BS30+'KELURAHAN (DI ISI)'!BS31</f>
        <v>0</v>
      </c>
      <c r="CH10" s="491">
        <f>'KELURAHAN (DI ISI)'!BT23+'KELURAHAN (DI ISI)'!BT27+'KELURAHAN (DI ISI)'!BT30+'KELURAHAN (DI ISI)'!BT31</f>
        <v>1</v>
      </c>
      <c r="CI10" s="491">
        <f>'KELURAHAN (DI ISI)'!BU23+'KELURAHAN (DI ISI)'!BU27+'KELURAHAN (DI ISI)'!BU30+'KELURAHAN (DI ISI)'!BU31</f>
        <v>8</v>
      </c>
      <c r="CJ10" s="491">
        <f>'KELURAHAN (DI ISI)'!BV23+'KELURAHAN (DI ISI)'!BV27+'KELURAHAN (DI ISI)'!BV30+'KELURAHAN (DI ISI)'!BV31</f>
        <v>169</v>
      </c>
      <c r="CK10" s="491">
        <f>'KELURAHAN (DI ISI)'!BW23+'KELURAHAN (DI ISI)'!BW27+'KELURAHAN (DI ISI)'!BW30+'KELURAHAN (DI ISI)'!BW31</f>
        <v>1</v>
      </c>
      <c r="CL10" s="491">
        <f>'KELURAHAN (DI ISI)'!BX23+'KELURAHAN (DI ISI)'!BX27+'KELURAHAN (DI ISI)'!BX30+'KELURAHAN (DI ISI)'!BX31</f>
        <v>2</v>
      </c>
      <c r="CM10" s="491">
        <f>'KELURAHAN (DI ISI)'!BY23+'KELURAHAN (DI ISI)'!BY27+'KELURAHAN (DI ISI)'!BY30+'KELURAHAN (DI ISI)'!BY31</f>
        <v>2</v>
      </c>
      <c r="CN10" s="491">
        <f>'KELURAHAN (DI ISI)'!BZ23+'KELURAHAN (DI ISI)'!BZ27+'KELURAHAN (DI ISI)'!BZ30+'KELURAHAN (DI ISI)'!BZ31</f>
        <v>11</v>
      </c>
      <c r="CO10" s="491">
        <f>'KELURAHAN (DI ISI)'!CA23+'KELURAHAN (DI ISI)'!CA27+'KELURAHAN (DI ISI)'!CA30+'KELURAHAN (DI ISI)'!CA31</f>
        <v>0</v>
      </c>
      <c r="CP10" s="491">
        <f>'KELURAHAN (DI ISI)'!CB23+'KELURAHAN (DI ISI)'!CB27+'KELURAHAN (DI ISI)'!CB30+'KELURAHAN (DI ISI)'!CB31</f>
        <v>0</v>
      </c>
      <c r="CQ10" s="491">
        <f>'KELURAHAN (DI ISI)'!CC23+'KELURAHAN (DI ISI)'!CC27+'KELURAHAN (DI ISI)'!CC30+'KELURAHAN (DI ISI)'!CC31</f>
        <v>0</v>
      </c>
      <c r="CR10" s="491">
        <f>'KELURAHAN (DI ISI)'!CD23+'KELURAHAN (DI ISI)'!CD27+'KELURAHAN (DI ISI)'!CD30+'KELURAHAN (DI ISI)'!CD31</f>
        <v>2</v>
      </c>
      <c r="CS10" s="491">
        <f>'KELURAHAN (DI ISI)'!CE23+'KELURAHAN (DI ISI)'!CE27+'KELURAHAN (DI ISI)'!CE30+'KELURAHAN (DI ISI)'!CE31</f>
        <v>0</v>
      </c>
      <c r="CT10" s="491">
        <f>'KELURAHAN (DI ISI)'!CF23+'KELURAHAN (DI ISI)'!CF27+'KELURAHAN (DI ISI)'!CF30+'KELURAHAN (DI ISI)'!CF31</f>
        <v>0</v>
      </c>
      <c r="CU10" s="491">
        <f>'KELURAHAN (DI ISI)'!CG23+'KELURAHAN (DI ISI)'!CG27+'KELURAHAN (DI ISI)'!CG30+'KELURAHAN (DI ISI)'!CG31</f>
        <v>0</v>
      </c>
      <c r="CV10" s="491">
        <f>'KELURAHAN (DI ISI)'!CH23+'KELURAHAN (DI ISI)'!CH27+'KELURAHAN (DI ISI)'!CH30+'KELURAHAN (DI ISI)'!CH31</f>
        <v>0</v>
      </c>
      <c r="CW10" s="491">
        <f>'KELURAHAN (DI ISI)'!CI23+'KELURAHAN (DI ISI)'!CI27+'KELURAHAN (DI ISI)'!CI30+'KELURAHAN (DI ISI)'!CI31</f>
        <v>3</v>
      </c>
      <c r="CX10" s="491">
        <f>'KELURAHAN (DI ISI)'!CJ23+'KELURAHAN (DI ISI)'!CJ27+'KELURAHAN (DI ISI)'!CJ30+'KELURAHAN (DI ISI)'!CJ31</f>
        <v>0</v>
      </c>
      <c r="CY10" s="491">
        <f>'KELURAHAN (DI ISI)'!CK23+'KELURAHAN (DI ISI)'!CK27+'KELURAHAN (DI ISI)'!CK30+'KELURAHAN (DI ISI)'!CK31</f>
        <v>5</v>
      </c>
      <c r="CZ10" s="491">
        <f>'KELURAHAN (DI ISI)'!CL23+'KELURAHAN (DI ISI)'!CL27+'KELURAHAN (DI ISI)'!CL30+'KELURAHAN (DI ISI)'!CL31</f>
        <v>4551</v>
      </c>
      <c r="DA10" s="491">
        <f>'KELURAHAN (DI ISI)'!CM23+'KELURAHAN (DI ISI)'!CM27+'KELURAHAN (DI ISI)'!CM30+'KELURAHAN (DI ISI)'!CM31</f>
        <v>1328</v>
      </c>
      <c r="DB10" s="491">
        <f>'KELURAHAN (DI ISI)'!CN23+'KELURAHAN (DI ISI)'!CN27+'KELURAHAN (DI ISI)'!CN30+'KELURAHAN (DI ISI)'!CN31</f>
        <v>219</v>
      </c>
      <c r="DC10" s="491">
        <f t="shared" si="15"/>
        <v>13</v>
      </c>
      <c r="DD10" s="491">
        <f t="shared" si="16"/>
        <v>172</v>
      </c>
      <c r="DE10" s="491">
        <f>'KELURAHAN (DI ISI)'!CO23+'KELURAHAN (DI ISI)'!CO27+'KELURAHAN (DI ISI)'!CO30+'KELURAHAN (DI ISI)'!CO31</f>
        <v>1</v>
      </c>
      <c r="DF10" s="491">
        <f>'KELURAHAN (DI ISI)'!CP23+'KELURAHAN (DI ISI)'!CP27+'KELURAHAN (DI ISI)'!CP30+'KELURAHAN (DI ISI)'!CP31</f>
        <v>2</v>
      </c>
      <c r="DG10" s="491">
        <f>'KELURAHAN (DI ISI)'!CQ23+'KELURAHAN (DI ISI)'!CQ27+'KELURAHAN (DI ISI)'!CQ30+'KELURAHAN (DI ISI)'!CQ31</f>
        <v>10</v>
      </c>
      <c r="DH10" s="491">
        <f>'KELURAHAN (DI ISI)'!CR23+'KELURAHAN (DI ISI)'!CR27+'KELURAHAN (DI ISI)'!CR30+'KELURAHAN (DI ISI)'!CR31</f>
        <v>172</v>
      </c>
      <c r="DI10" s="491">
        <f>'KELURAHAN (DI ISI)'!CS23+'KELURAHAN (DI ISI)'!CS27+'KELURAHAN (DI ISI)'!CS30+'KELURAHAN (DI ISI)'!CS31</f>
        <v>0</v>
      </c>
      <c r="DJ10" s="491">
        <f>'KELURAHAN (DI ISI)'!CT23+'KELURAHAN (DI ISI)'!CT27+'KELURAHAN (DI ISI)'!CT30+'KELURAHAN (DI ISI)'!CT31</f>
        <v>0</v>
      </c>
      <c r="DK10" s="491">
        <f>'KELURAHAN (DI ISI)'!CU23+'KELURAHAN (DI ISI)'!CU27+'KELURAHAN (DI ISI)'!CU30+'KELURAHAN (DI ISI)'!CU31</f>
        <v>6</v>
      </c>
      <c r="DL10" s="491">
        <f>'KELURAHAN (DI ISI)'!CV23+'KELURAHAN (DI ISI)'!CV27+'KELURAHAN (DI ISI)'!CV30+'KELURAHAN (DI ISI)'!CV31</f>
        <v>28</v>
      </c>
      <c r="DM10" s="491">
        <f>'KELURAHAN (DI ISI)'!CW23+'KELURAHAN (DI ISI)'!CW27+'KELURAHAN (DI ISI)'!CW30+'KELURAHAN (DI ISI)'!CW31</f>
        <v>0</v>
      </c>
      <c r="DN10" s="491">
        <f>'KELURAHAN (DI ISI)'!CX23+'KELURAHAN (DI ISI)'!CX27+'KELURAHAN (DI ISI)'!CX30+'KELURAHAN (DI ISI)'!CX31</f>
        <v>0</v>
      </c>
      <c r="DO10" s="491">
        <f>'KELURAHAN (DI ISI)'!CY23+'KELURAHAN (DI ISI)'!CY27+'KELURAHAN (DI ISI)'!CY30+'KELURAHAN (DI ISI)'!CY31</f>
        <v>0</v>
      </c>
      <c r="DP10" s="491">
        <f>'KELURAHAN (DI ISI)'!CZ23+'KELURAHAN (DI ISI)'!CZ27+'KELURAHAN (DI ISI)'!CZ30+'KELURAHAN (DI ISI)'!CZ31</f>
        <v>1</v>
      </c>
      <c r="DQ10" s="491">
        <f>'KELURAHAN (DI ISI)'!DA23+'KELURAHAN (DI ISI)'!DA27+'KELURAHAN (DI ISI)'!DA30+'KELURAHAN (DI ISI)'!DA31</f>
        <v>0</v>
      </c>
      <c r="DR10" s="491">
        <f>'KELURAHAN (DI ISI)'!DB23+'KELURAHAN (DI ISI)'!DB27+'KELURAHAN (DI ISI)'!DB30+'KELURAHAN (DI ISI)'!DB31</f>
        <v>0</v>
      </c>
      <c r="DS10" s="491">
        <f>'KELURAHAN (DI ISI)'!DC23+'KELURAHAN (DI ISI)'!DC27+'KELURAHAN (DI ISI)'!DC30+'KELURAHAN (DI ISI)'!DC31</f>
        <v>0</v>
      </c>
      <c r="DT10" s="491">
        <f>'KELURAHAN (DI ISI)'!DD23+'KELURAHAN (DI ISI)'!DD27+'KELURAHAN (DI ISI)'!DD30+'KELURAHAN (DI ISI)'!DD31</f>
        <v>3</v>
      </c>
      <c r="DU10" s="491">
        <f>'KELURAHAN (DI ISI)'!DE23+'KELURAHAN (DI ISI)'!DE27+'KELURAHAN (DI ISI)'!DE30+'KELURAHAN (DI ISI)'!DE31</f>
        <v>5</v>
      </c>
      <c r="DV10" s="491">
        <f>'KELURAHAN (DI ISI)'!DF23+'KELURAHAN (DI ISI)'!DF27+'KELURAHAN (DI ISI)'!DF30+'KELURAHAN (DI ISI)'!DF31</f>
        <v>0</v>
      </c>
      <c r="DW10" s="491">
        <f>'KELURAHAN (DI ISI)'!DG23+'KELURAHAN (DI ISI)'!DG27+'KELURAHAN (DI ISI)'!DG30+'KELURAHAN (DI ISI)'!DG31</f>
        <v>9</v>
      </c>
      <c r="DX10" s="491">
        <f>'KELURAHAN (DI ISI)'!DH23+'KELURAHAN (DI ISI)'!DH27+'KELURAHAN (DI ISI)'!DH30+'KELURAHAN (DI ISI)'!DH31</f>
        <v>3949</v>
      </c>
      <c r="DY10" s="491">
        <f>'KELURAHAN (DI ISI)'!DI23+'KELURAHAN (DI ISI)'!DI27+'KELURAHAN (DI ISI)'!DI30+'KELURAHAN (DI ISI)'!DI31</f>
        <v>1223</v>
      </c>
      <c r="DZ10" s="491">
        <f>'KELURAHAN (DI ISI)'!DJ23+'KELURAHAN (DI ISI)'!DJ27+'KELURAHAN (DI ISI)'!DJ30+'KELURAHAN (DI ISI)'!DJ31</f>
        <v>3645</v>
      </c>
      <c r="EA10" s="491">
        <f>'KELURAHAN (DI ISI)'!DK23+'KELURAHAN (DI ISI)'!DK27+'KELURAHAN (DI ISI)'!DK30+'KELURAHAN (DI ISI)'!DK31</f>
        <v>1061</v>
      </c>
      <c r="EB10" s="491">
        <f>'KELURAHAN (DI ISI)'!DL23+'KELURAHAN (DI ISI)'!DL27+'KELURAHAN (DI ISI)'!DL30+'KELURAHAN (DI ISI)'!DL31</f>
        <v>205</v>
      </c>
      <c r="EC10" s="491">
        <f>'KELURAHAN (DI ISI)'!DM23+'KELURAHAN (DI ISI)'!DM27+'KELURAHAN (DI ISI)'!DM30+'KELURAHAN (DI ISI)'!DM31</f>
        <v>17</v>
      </c>
      <c r="ED10" s="491">
        <f t="shared" si="17"/>
        <v>188</v>
      </c>
      <c r="EE10" s="491">
        <f>'KELURAHAN (DI ISI)'!DO23+'KELURAHAN (DI ISI)'!DO27+'KELURAHAN (DI ISI)'!DO30+'KELURAHAN (DI ISI)'!DO31</f>
        <v>1</v>
      </c>
      <c r="EF10" s="491">
        <f>'KELURAHAN (DI ISI)'!DP23+'KELURAHAN (DI ISI)'!DP27+'KELURAHAN (DI ISI)'!DP30+'KELURAHAN (DI ISI)'!DP31</f>
        <v>3</v>
      </c>
      <c r="EG10" s="491">
        <f>'KELURAHAN (DI ISI)'!DQ23+'KELURAHAN (DI ISI)'!DQ27+'KELURAHAN (DI ISI)'!DQ30+'KELURAHAN (DI ISI)'!DQ31</f>
        <v>11</v>
      </c>
      <c r="EH10" s="491">
        <f>'KELURAHAN (DI ISI)'!DR23+'KELURAHAN (DI ISI)'!DR27+'KELURAHAN (DI ISI)'!DR30+'KELURAHAN (DI ISI)'!DR31</f>
        <v>187</v>
      </c>
      <c r="EI10" s="491">
        <f>'KELURAHAN (DI ISI)'!DS23+'KELURAHAN (DI ISI)'!DS27+'KELURAHAN (DI ISI)'!DS30+'KELURAHAN (DI ISI)'!DS31</f>
        <v>0</v>
      </c>
      <c r="EJ10" s="491">
        <f>'KELURAHAN (DI ISI)'!DT23+'KELURAHAN (DI ISI)'!DT27+'KELURAHAN (DI ISI)'!DT30+'KELURAHAN (DI ISI)'!DT31</f>
        <v>0</v>
      </c>
      <c r="EK10" s="491">
        <f>'KELURAHAN (DI ISI)'!DU23+'KELURAHAN (DI ISI)'!DU27+'KELURAHAN (DI ISI)'!DU30+'KELURAHAN (DI ISI)'!DU31</f>
        <v>2</v>
      </c>
      <c r="EL10" s="491">
        <f>'KELURAHAN (DI ISI)'!DV23+'KELURAHAN (DI ISI)'!DV27+'KELURAHAN (DI ISI)'!DV30+'KELURAHAN (DI ISI)'!DV31</f>
        <v>1</v>
      </c>
      <c r="EM10" s="491">
        <f>'KELURAHAN (DI ISI)'!DW23+'KELURAHAN (DI ISI)'!DW27+'KELURAHAN (DI ISI)'!DW30+'KELURAHAN (DI ISI)'!DW31</f>
        <v>0</v>
      </c>
      <c r="EN10" s="491">
        <f>'KELURAHAN (DI ISI)'!DX23+'KELURAHAN (DI ISI)'!DX27+'KELURAHAN (DI ISI)'!DX30+'KELURAHAN (DI ISI)'!DX31</f>
        <v>0</v>
      </c>
      <c r="EO10" s="491">
        <f>'KELURAHAN (DI ISI)'!DY23+'KELURAHAN (DI ISI)'!DY27+'KELURAHAN (DI ISI)'!DY30+'KELURAHAN (DI ISI)'!DY31</f>
        <v>0</v>
      </c>
      <c r="EP10" s="491">
        <f>'KELURAHAN (DI ISI)'!DZ23+'KELURAHAN (DI ISI)'!DZ27+'KELURAHAN (DI ISI)'!DZ30+'KELURAHAN (DI ISI)'!DZ31</f>
        <v>4</v>
      </c>
      <c r="EQ10" s="491">
        <f>'KELURAHAN (DI ISI)'!EA23+'KELURAHAN (DI ISI)'!EA27+'KELURAHAN (DI ISI)'!EA30+'KELURAHAN (DI ISI)'!EA31</f>
        <v>0</v>
      </c>
      <c r="ER10" s="491">
        <f>'KELURAHAN (DI ISI)'!EB23+'KELURAHAN (DI ISI)'!EB27+'KELURAHAN (DI ISI)'!EB30+'KELURAHAN (DI ISI)'!EB31</f>
        <v>1</v>
      </c>
      <c r="ES10" s="491">
        <f>'KELURAHAN (DI ISI)'!EC23+'KELURAHAN (DI ISI)'!EC27+'KELURAHAN (DI ISI)'!EC30+'KELURAHAN (DI ISI)'!EC31</f>
        <v>0</v>
      </c>
      <c r="ET10" s="491">
        <f>'KELURAHAN (DI ISI)'!ED23+'KELURAHAN (DI ISI)'!ED27+'KELURAHAN (DI ISI)'!ED30+'KELURAHAN (DI ISI)'!ED31</f>
        <v>6</v>
      </c>
      <c r="EU10" s="491">
        <f>'KELURAHAN (DI ISI)'!EE23+'KELURAHAN (DI ISI)'!EE27+'KELURAHAN (DI ISI)'!EE30+'KELURAHAN (DI ISI)'!EE31</f>
        <v>5</v>
      </c>
      <c r="EV10" s="491">
        <f>'KELURAHAN (DI ISI)'!EF23+'KELURAHAN (DI ISI)'!EF27+'KELURAHAN (DI ISI)'!EF30+'KELURAHAN (DI ISI)'!EF31</f>
        <v>0</v>
      </c>
      <c r="EW10" s="491">
        <f>'KELURAHAN (DI ISI)'!EG23+'KELURAHAN (DI ISI)'!EG27+'KELURAHAN (DI ISI)'!EG30+'KELURAHAN (DI ISI)'!EG31</f>
        <v>16</v>
      </c>
      <c r="EX10" s="491">
        <f>'KELURAHAN (DI ISI)'!EH23+'KELURAHAN (DI ISI)'!EH27+'KELURAHAN (DI ISI)'!EH30+'KELURAHAN (DI ISI)'!EH31</f>
        <v>6</v>
      </c>
      <c r="EY10" s="491">
        <f>'KELURAHAN (DI ISI)'!EI23+'KELURAHAN (DI ISI)'!EI27+'KELURAHAN (DI ISI)'!EI30+'KELURAHAN (DI ISI)'!EI31</f>
        <v>3941</v>
      </c>
      <c r="EZ10" s="491">
        <f>'KELURAHAN (DI ISI)'!EJ23+'KELURAHAN (DI ISI)'!EJ27+'KELURAHAN (DI ISI)'!EJ30+'KELURAHAN (DI ISI)'!EJ31</f>
        <v>1213</v>
      </c>
      <c r="FA10" s="491">
        <f>'KELURAHAN (DI ISI)'!EK23+'KELURAHAN (DI ISI)'!EK27+'KELURAHAN (DI ISI)'!EK30+'KELURAHAN (DI ISI)'!EK31</f>
        <v>3580</v>
      </c>
      <c r="FB10" s="491">
        <f>'KELURAHAN (DI ISI)'!EL23+'KELURAHAN (DI ISI)'!EL27+'KELURAHAN (DI ISI)'!EL30+'KELURAHAN (DI ISI)'!EL31</f>
        <v>1059</v>
      </c>
      <c r="FC10" s="491">
        <f>'KELURAHAN (DI ISI)'!EM23+'KELURAHAN (DI ISI)'!EM27+'KELURAHAN (DI ISI)'!EM30+'KELURAHAN (DI ISI)'!EM31</f>
        <v>189</v>
      </c>
      <c r="FD10" s="491">
        <f>'KELURAHAN (DI ISI)'!EN23+'KELURAHAN (DI ISI)'!EN27+'KELURAHAN (DI ISI)'!EN30+'KELURAHAN (DI ISI)'!EN31</f>
        <v>17</v>
      </c>
      <c r="FE10" s="491">
        <f t="shared" si="18"/>
        <v>172</v>
      </c>
      <c r="FF10" s="491">
        <f>'KELURAHAN (DI ISI)'!EP23+'KELURAHAN (DI ISI)'!EP27+'KELURAHAN (DI ISI)'!EP30+'KELURAHAN (DI ISI)'!EP31</f>
        <v>0</v>
      </c>
      <c r="FG10" s="491">
        <f>'KELURAHAN (DI ISI)'!EQ23+'KELURAHAN (DI ISI)'!EQ27+'KELURAHAN (DI ISI)'!EQ30+'KELURAHAN (DI ISI)'!EQ31</f>
        <v>1</v>
      </c>
      <c r="FH10" s="491">
        <f>'KELURAHAN (DI ISI)'!ER23+'KELURAHAN (DI ISI)'!ER27+'KELURAHAN (DI ISI)'!ER30+'KELURAHAN (DI ISI)'!ER31</f>
        <v>14</v>
      </c>
      <c r="FI10" s="491">
        <f>'KELURAHAN (DI ISI)'!ES23+'KELURAHAN (DI ISI)'!ES27+'KELURAHAN (DI ISI)'!ES30+'KELURAHAN (DI ISI)'!ES31</f>
        <v>169</v>
      </c>
      <c r="FJ10" s="491">
        <f>'KELURAHAN (DI ISI)'!ET23+'KELURAHAN (DI ISI)'!ET27+'KELURAHAN (DI ISI)'!ET30+'KELURAHAN (DI ISI)'!ET31</f>
        <v>0</v>
      </c>
      <c r="FK10" s="491">
        <f>'KELURAHAN (DI ISI)'!EU23+'KELURAHAN (DI ISI)'!EU27+'KELURAHAN (DI ISI)'!EU30+'KELURAHAN (DI ISI)'!EU31</f>
        <v>0</v>
      </c>
      <c r="FL10" s="491">
        <f>'KELURAHAN (DI ISI)'!EV23+'KELURAHAN (DI ISI)'!EV27+'KELURAHAN (DI ISI)'!EV30+'KELURAHAN (DI ISI)'!EV31</f>
        <v>2</v>
      </c>
      <c r="FM10" s="491">
        <f>'KELURAHAN (DI ISI)'!EW23+'KELURAHAN (DI ISI)'!EW27+'KELURAHAN (DI ISI)'!EW30+'KELURAHAN (DI ISI)'!EW31</f>
        <v>3</v>
      </c>
      <c r="FN10" s="491">
        <f>'KELURAHAN (DI ISI)'!EX23+'KELURAHAN (DI ISI)'!EX27+'KELURAHAN (DI ISI)'!EX30+'KELURAHAN (DI ISI)'!EX31</f>
        <v>1</v>
      </c>
      <c r="FO10" s="491">
        <f>'KELURAHAN (DI ISI)'!EY23+'KELURAHAN (DI ISI)'!EY27+'KELURAHAN (DI ISI)'!EY30+'KELURAHAN (DI ISI)'!EY31</f>
        <v>0</v>
      </c>
      <c r="FP10" s="491">
        <f>'KELURAHAN (DI ISI)'!EZ23+'KELURAHAN (DI ISI)'!EZ27+'KELURAHAN (DI ISI)'!EZ30+'KELURAHAN (DI ISI)'!EZ31</f>
        <v>0</v>
      </c>
      <c r="FQ10" s="491">
        <f>'KELURAHAN (DI ISI)'!FA23+'KELURAHAN (DI ISI)'!FA27+'KELURAHAN (DI ISI)'!FA30+'KELURAHAN (DI ISI)'!FA31</f>
        <v>13</v>
      </c>
      <c r="FR10" s="491">
        <f>'KELURAHAN (DI ISI)'!FB23+'KELURAHAN (DI ISI)'!FB27+'KELURAHAN (DI ISI)'!FB30+'KELURAHAN (DI ISI)'!FB31</f>
        <v>0</v>
      </c>
      <c r="FS10" s="491">
        <f>'KELURAHAN (DI ISI)'!FC23+'KELURAHAN (DI ISI)'!FC27+'KELURAHAN (DI ISI)'!FC30+'KELURAHAN (DI ISI)'!FC31</f>
        <v>0</v>
      </c>
      <c r="FT10" s="491">
        <f>'KELURAHAN (DI ISI)'!FD23+'KELURAHAN (DI ISI)'!FD27+'KELURAHAN (DI ISI)'!FD30+'KELURAHAN (DI ISI)'!FD31</f>
        <v>0</v>
      </c>
      <c r="FU10" s="491">
        <f>'KELURAHAN (DI ISI)'!FE23+'KELURAHAN (DI ISI)'!FE27+'KELURAHAN (DI ISI)'!FE30+'KELURAHAN (DI ISI)'!FE31</f>
        <v>1</v>
      </c>
      <c r="FV10" s="491">
        <f>'KELURAHAN (DI ISI)'!FF23+'KELURAHAN (DI ISI)'!FF27+'KELURAHAN (DI ISI)'!FF30+'KELURAHAN (DI ISI)'!FF31</f>
        <v>5</v>
      </c>
      <c r="FW10" s="491">
        <f>'KELURAHAN (DI ISI)'!FG23+'KELURAHAN (DI ISI)'!FG27+'KELURAHAN (DI ISI)'!FG30+'KELURAHAN (DI ISI)'!FG31</f>
        <v>0</v>
      </c>
      <c r="FX10" s="491">
        <f>'KELURAHAN (DI ISI)'!FH23+'KELURAHAN (DI ISI)'!FH27+'KELURAHAN (DI ISI)'!FH30+'KELURAHAN (DI ISI)'!FH31</f>
        <v>20</v>
      </c>
      <c r="FY10" s="491">
        <f>'KELURAHAN (DI ISI)'!FI23+'KELURAHAN (DI ISI)'!FI27+'KELURAHAN (DI ISI)'!FI30+'KELURAHAN (DI ISI)'!FI31</f>
        <v>1</v>
      </c>
      <c r="FZ10" s="491">
        <f>'KELURAHAN (DI ISI)'!FJ23+'KELURAHAN (DI ISI)'!FJ27+'KELURAHAN (DI ISI)'!FJ30+'KELURAHAN (DI ISI)'!FJ31</f>
        <v>3936</v>
      </c>
      <c r="GA10" s="491">
        <f>'KELURAHAN (DI ISI)'!FK23+'KELURAHAN (DI ISI)'!FK27+'KELURAHAN (DI ISI)'!FK30+'KELURAHAN (DI ISI)'!FK31</f>
        <v>1238</v>
      </c>
      <c r="GB10" s="491">
        <f>'KELURAHAN (DI ISI)'!FL23+'KELURAHAN (DI ISI)'!FL27+'KELURAHAN (DI ISI)'!FL30+'KELURAHAN (DI ISI)'!FL31</f>
        <v>3567</v>
      </c>
      <c r="GC10" s="491">
        <f>'KELURAHAN (DI ISI)'!FM23+'KELURAHAN (DI ISI)'!FM27+'KELURAHAN (DI ISI)'!FM30+'KELURAHAN (DI ISI)'!FM31</f>
        <v>1000</v>
      </c>
      <c r="GD10" s="570">
        <v>3567.0</v>
      </c>
      <c r="GE10" s="571">
        <f>'KELURAHAN (DI ISI)'!FO23+'KELURAHAN (DI ISI)'!FO27+'KELURAHAN (DI ISI)'!FO30+'KELURAHAN (DI ISI)'!FO31</f>
        <v>193</v>
      </c>
      <c r="GF10" s="571">
        <f>'KELURAHAN (DI ISI)'!FP23+'KELURAHAN (DI ISI)'!FP27+'KELURAHAN (DI ISI)'!FP30+'KELURAHAN (DI ISI)'!FP31</f>
        <v>193</v>
      </c>
      <c r="GG10" s="571">
        <f>'KELURAHAN (DI ISI)'!FP23+'KELURAHAN (DI ISI)'!FP27+'KELURAHAN (DI ISI)'!FP30+'KELURAHAN (DI ISI)'!FP31</f>
        <v>193</v>
      </c>
      <c r="GH10" s="571">
        <f>'KELURAHAN (DI ISI)'!FQ23+'KELURAHAN (DI ISI)'!FQ27+'KELURAHAN (DI ISI)'!FQ30+'KELURAHAN (DI ISI)'!FQ31</f>
        <v>18</v>
      </c>
      <c r="GI10" s="571">
        <f t="shared" si="19"/>
        <v>175</v>
      </c>
      <c r="GJ10" s="491">
        <f>'KELURAHAN (DI ISI)'!FS23+'KELURAHAN (DI ISI)'!FS27+'KELURAHAN (DI ISI)'!FS30+'KELURAHAN (DI ISI)'!FS31</f>
        <v>0</v>
      </c>
      <c r="GK10" s="491">
        <f>'KELURAHAN (DI ISI)'!FT23+'KELURAHAN (DI ISI)'!FT27+'KELURAHAN (DI ISI)'!FT30+'KELURAHAN (DI ISI)'!FT31</f>
        <v>0</v>
      </c>
      <c r="GL10" s="491">
        <f>'KELURAHAN (DI ISI)'!FU23+'KELURAHAN (DI ISI)'!FU27+'KELURAHAN (DI ISI)'!FU30+'KELURAHAN (DI ISI)'!FU31</f>
        <v>11</v>
      </c>
      <c r="GM10" s="491">
        <f>'KELURAHAN (DI ISI)'!FV23+'KELURAHAN (DI ISI)'!FV27+'KELURAHAN (DI ISI)'!FV30+'KELURAHAN (DI ISI)'!FV31</f>
        <v>164</v>
      </c>
      <c r="GN10" s="491">
        <f>'KELURAHAN (DI ISI)'!FW23+'KELURAHAN (DI ISI)'!FW27+'KELURAHAN (DI ISI)'!FW30+'KELURAHAN (DI ISI)'!FW31</f>
        <v>1</v>
      </c>
      <c r="GO10" s="491">
        <f>'KELURAHAN (DI ISI)'!FX23+'KELURAHAN (DI ISI)'!FX27+'KELURAHAN (DI ISI)'!FX30+'KELURAHAN (DI ISI)'!FX31</f>
        <v>4</v>
      </c>
      <c r="GP10" s="491">
        <f>'KELURAHAN (DI ISI)'!FY23+'KELURAHAN (DI ISI)'!FY27+'KELURAHAN (DI ISI)'!FY30+'KELURAHAN (DI ISI)'!FY31</f>
        <v>2</v>
      </c>
      <c r="GQ10" s="491">
        <f>'KELURAHAN (DI ISI)'!FZ23+'KELURAHAN (DI ISI)'!FZ27+'KELURAHAN (DI ISI)'!FZ30+'KELURAHAN (DI ISI)'!FZ31</f>
        <v>11</v>
      </c>
      <c r="GR10" s="491">
        <f>'KELURAHAN (DI ISI)'!GA23+'KELURAHAN (DI ISI)'!GA27+'KELURAHAN (DI ISI)'!GA30+'KELURAHAN (DI ISI)'!GA31</f>
        <v>0</v>
      </c>
      <c r="GS10" s="491">
        <f>'KELURAHAN (DI ISI)'!GB23+'KELURAHAN (DI ISI)'!GB27+'KELURAHAN (DI ISI)'!GB30+'KELURAHAN (DI ISI)'!GB31</f>
        <v>1</v>
      </c>
      <c r="GT10" s="491">
        <f>'KELURAHAN (DI ISI)'!GC23+'KELURAHAN (DI ISI)'!GC27+'KELURAHAN (DI ISI)'!GC30+'KELURAHAN (DI ISI)'!GC31</f>
        <v>2</v>
      </c>
      <c r="GU10" s="491">
        <f>'KELURAHAN (DI ISI)'!GD23+'KELURAHAN (DI ISI)'!GD27+'KELURAHAN (DI ISI)'!GD30+'KELURAHAN (DI ISI)'!GD31</f>
        <v>5</v>
      </c>
      <c r="GV10" s="491">
        <f>'KELURAHAN (DI ISI)'!GE23+'KELURAHAN (DI ISI)'!GE27+'KELURAHAN (DI ISI)'!GE30+'KELURAHAN (DI ISI)'!GE31</f>
        <v>0</v>
      </c>
      <c r="GW10" s="491">
        <f>'KELURAHAN (DI ISI)'!GF23+'KELURAHAN (DI ISI)'!GF27+'KELURAHAN (DI ISI)'!GF30+'KELURAHAN (DI ISI)'!GF31</f>
        <v>0</v>
      </c>
      <c r="GX10" s="491">
        <f>'KELURAHAN (DI ISI)'!GG23+'KELURAHAN (DI ISI)'!GG27+'KELURAHAN (DI ISI)'!GG30+'KELURAHAN (DI ISI)'!GG31</f>
        <v>0</v>
      </c>
      <c r="GY10" s="491">
        <f>'KELURAHAN (DI ISI)'!GH23+'KELURAHAN (DI ISI)'!GH27+'KELURAHAN (DI ISI)'!GH30+'KELURAHAN (DI ISI)'!GH31</f>
        <v>1</v>
      </c>
      <c r="GZ10" s="491">
        <f>'KELURAHAN (DI ISI)'!GI23+'KELURAHAN (DI ISI)'!GI27+'KELURAHAN (DI ISI)'!GI30+'KELURAHAN (DI ISI)'!GI31</f>
        <v>5</v>
      </c>
      <c r="HA10" s="491">
        <f>'KELURAHAN (DI ISI)'!GJ23+'KELURAHAN (DI ISI)'!GJ27+'KELURAHAN (DI ISI)'!GJ30+'KELURAHAN (DI ISI)'!GJ31</f>
        <v>0</v>
      </c>
      <c r="HB10" s="572">
        <f>'KELURAHAN (DI ISI)'!GK23+'KELURAHAN (DI ISI)'!GK27+'KELURAHAN (DI ISI)'!GK30+'KELURAHAN (DI ISI)'!GK31</f>
        <v>14</v>
      </c>
      <c r="HC10" s="572">
        <f>'KELURAHAN (DI ISI)'!GL23+'KELURAHAN (DI ISI)'!GL27+'KELURAHAN (DI ISI)'!GL30+'KELURAHAN (DI ISI)'!GL31</f>
        <v>3</v>
      </c>
      <c r="HD10" s="491">
        <f>'KELURAHAN (DI ISI)'!GM23+'KELURAHAN (DI ISI)'!GM27+'KELURAHAN (DI ISI)'!GM30+'KELURAHAN (DI ISI)'!GM31</f>
        <v>3939</v>
      </c>
      <c r="HE10" s="491">
        <f>'KELURAHAN (DI ISI)'!GN23+'KELURAHAN (DI ISI)'!GN27+'KELURAHAN (DI ISI)'!GN30+'KELURAHAN (DI ISI)'!GN31</f>
        <v>1254</v>
      </c>
      <c r="HF10" s="491">
        <f>'KELURAHAN (DI ISI)'!GO23+'KELURAHAN (DI ISI)'!GO27+'KELURAHAN (DI ISI)'!GO30+'KELURAHAN (DI ISI)'!GO31</f>
        <v>3557</v>
      </c>
      <c r="HG10" s="491">
        <f>'KELURAHAN (DI ISI)'!GP23+'KELURAHAN (DI ISI)'!GP27+'KELURAHAN (DI ISI)'!GP30+'KELURAHAN (DI ISI)'!GP31</f>
        <v>945</v>
      </c>
      <c r="HH10" s="570">
        <v>3567.0</v>
      </c>
      <c r="HI10" s="225">
        <f>'KELURAHAN (DI ISI)'!GR23+'KELURAHAN (DI ISI)'!GR27+'KELURAHAN (DI ISI)'!GR30+'KELURAHAN (DI ISI)'!GR31</f>
        <v>191</v>
      </c>
      <c r="HJ10" s="225">
        <f>'KELURAHAN (DI ISI)'!GS23+'KELURAHAN (DI ISI)'!GS27+'KELURAHAN (DI ISI)'!GS30+'KELURAHAN (DI ISI)'!GS31</f>
        <v>24</v>
      </c>
      <c r="HK10" s="573">
        <f>'KELURAHAN (DI ISI)'!GT23+'KELURAHAN (DI ISI)'!GT27+'KELURAHAN (DI ISI)'!GT30+'KELURAHAN (DI ISI)'!GT31</f>
        <v>191</v>
      </c>
      <c r="HL10" s="573">
        <f>'KELURAHAN (DI ISI)'!GU23+'KELURAHAN (DI ISI)'!GU27+'KELURAHAN (DI ISI)'!GU30+'KELURAHAN (DI ISI)'!GU31</f>
        <v>24</v>
      </c>
      <c r="HM10" s="573">
        <f t="shared" si="20"/>
        <v>167</v>
      </c>
      <c r="HN10" s="491">
        <f>'KELURAHAN (DI ISI)'!GW23+'KELURAHAN (DI ISI)'!GW27+'KELURAHAN (DI ISI)'!GW30+'KELURAHAN (DI ISI)'!GW31</f>
        <v>0</v>
      </c>
      <c r="HO10" s="491">
        <f>'KELURAHAN (DI ISI)'!GX23+'KELURAHAN (DI ISI)'!GX27+'KELURAHAN (DI ISI)'!GX30+'KELURAHAN (DI ISI)'!GX31</f>
        <v>2</v>
      </c>
      <c r="HP10" s="491">
        <f>'KELURAHAN (DI ISI)'!GY23+'KELURAHAN (DI ISI)'!GY27+'KELURAHAN (DI ISI)'!GY30+'KELURAHAN (DI ISI)'!GY31</f>
        <v>11</v>
      </c>
      <c r="HQ10" s="491">
        <f>'KELURAHAN (DI ISI)'!GZ23+'KELURAHAN (DI ISI)'!GZ27+'KELURAHAN (DI ISI)'!GZ30+'KELURAHAN (DI ISI)'!GZ31</f>
        <v>158</v>
      </c>
      <c r="HR10" s="491">
        <f>'KELURAHAN (DI ISI)'!HA23+'KELURAHAN (DI ISI)'!HA27+'KELURAHAN (DI ISI)'!HA30+'KELURAHAN (DI ISI)'!HA31</f>
        <v>0</v>
      </c>
      <c r="HS10" s="491">
        <f>'KELURAHAN (DI ISI)'!HB23+'KELURAHAN (DI ISI)'!HB27+'KELURAHAN (DI ISI)'!HB30+'KELURAHAN (DI ISI)'!HB31</f>
        <v>2</v>
      </c>
      <c r="HT10" s="491">
        <f>'KELURAHAN (DI ISI)'!HC23+'KELURAHAN (DI ISI)'!HC27+'KELURAHAN (DI ISI)'!HC30+'KELURAHAN (DI ISI)'!HC31</f>
        <v>9</v>
      </c>
      <c r="HU10" s="491">
        <f>'KELURAHAN (DI ISI)'!HD23+'KELURAHAN (DI ISI)'!HD27+'KELURAHAN (DI ISI)'!HD30+'KELURAHAN (DI ISI)'!HD31</f>
        <v>9</v>
      </c>
      <c r="HV10" s="491">
        <f>'KELURAHAN (DI ISI)'!HE23+'KELURAHAN (DI ISI)'!HE27+'KELURAHAN (DI ISI)'!HE30+'KELURAHAN (DI ISI)'!HE31</f>
        <v>0</v>
      </c>
      <c r="HW10" s="491">
        <f>'KELURAHAN (DI ISI)'!HF23+'KELURAHAN (DI ISI)'!HF27+'KELURAHAN (DI ISI)'!HF30+'KELURAHAN (DI ISI)'!HF31</f>
        <v>1</v>
      </c>
      <c r="HX10" s="491">
        <f>'KELURAHAN (DI ISI)'!HG23+'KELURAHAN (DI ISI)'!HG27+'KELURAHAN (DI ISI)'!HG30+'KELURAHAN (DI ISI)'!HG31</f>
        <v>2</v>
      </c>
      <c r="HY10" s="491">
        <f>'KELURAHAN (DI ISI)'!HH23+'KELURAHAN (DI ISI)'!HH27+'KELURAHAN (DI ISI)'!HH30+'KELURAHAN (DI ISI)'!HH31</f>
        <v>12</v>
      </c>
      <c r="HZ10" s="491">
        <f>'KELURAHAN (DI ISI)'!HI23+'KELURAHAN (DI ISI)'!HI27+'KELURAHAN (DI ISI)'!HI30+'KELURAHAN (DI ISI)'!HI31</f>
        <v>0</v>
      </c>
      <c r="IA10" s="491">
        <f>'KELURAHAN (DI ISI)'!HJ23+'KELURAHAN (DI ISI)'!HJ27+'KELURAHAN (DI ISI)'!HJ30+'KELURAHAN (DI ISI)'!HJ31</f>
        <v>0</v>
      </c>
      <c r="IB10" s="491">
        <f>'KELURAHAN (DI ISI)'!HK23+'KELURAHAN (DI ISI)'!HK27+'KELURAHAN (DI ISI)'!HK30+'KELURAHAN (DI ISI)'!HK31</f>
        <v>0</v>
      </c>
      <c r="IC10" s="491">
        <f>'KELURAHAN (DI ISI)'!HL23+'KELURAHAN (DI ISI)'!HL27+'KELURAHAN (DI ISI)'!HL30+'KELURAHAN (DI ISI)'!HL31</f>
        <v>1</v>
      </c>
      <c r="ID10" s="491">
        <f>'KELURAHAN (DI ISI)'!HM23+'KELURAHAN (DI ISI)'!HM27+'KELURAHAN (DI ISI)'!HM30+'KELURAHAN (DI ISI)'!HM31</f>
        <v>5</v>
      </c>
      <c r="IE10" s="491">
        <f>'KELURAHAN (DI ISI)'!HN23+'KELURAHAN (DI ISI)'!HN27+'KELURAHAN (DI ISI)'!HN30+'KELURAHAN (DI ISI)'!HN31</f>
        <v>0</v>
      </c>
      <c r="IF10" s="573">
        <f>'KELURAHAN (DI ISI)'!HO23+'KELURAHAN (DI ISI)'!HO27+'KELURAHAN (DI ISI)'!HO30+'KELURAHAN (DI ISI)'!HO31</f>
        <v>21</v>
      </c>
      <c r="IG10" s="573">
        <f>'KELURAHAN (DI ISI)'!HP23+'KELURAHAN (DI ISI)'!HP27+'KELURAHAN (DI ISI)'!HP30+'KELURAHAN (DI ISI)'!HP31</f>
        <v>3</v>
      </c>
      <c r="IK10" s="198">
        <f t="shared" si="21"/>
        <v>256</v>
      </c>
      <c r="IL10" s="198">
        <f t="shared" si="22"/>
        <v>270</v>
      </c>
      <c r="IM10" s="198">
        <f t="shared" si="23"/>
        <v>228</v>
      </c>
      <c r="IN10" s="198">
        <f t="shared" si="24"/>
        <v>220</v>
      </c>
      <c r="IO10" s="198">
        <f t="shared" si="25"/>
        <v>195</v>
      </c>
      <c r="IP10" s="198">
        <f t="shared" si="26"/>
        <v>185</v>
      </c>
      <c r="IQ10" s="574">
        <f t="shared" si="27"/>
        <v>194</v>
      </c>
      <c r="IR10" s="574">
        <f t="shared" si="28"/>
        <v>219</v>
      </c>
      <c r="IS10" s="574">
        <f t="shared" si="29"/>
        <v>205</v>
      </c>
      <c r="IT10" s="574">
        <f t="shared" si="30"/>
        <v>189</v>
      </c>
      <c r="IU10" s="574">
        <f t="shared" si="31"/>
        <v>193</v>
      </c>
      <c r="IV10" s="575">
        <f t="shared" si="32"/>
        <v>191</v>
      </c>
      <c r="IW10" s="583"/>
      <c r="IX10" s="576">
        <f t="shared" si="33"/>
        <v>-191</v>
      </c>
      <c r="IY10" s="582"/>
      <c r="IZ10" s="577"/>
      <c r="JA10" s="162">
        <f t="shared" si="34"/>
        <v>-3939</v>
      </c>
      <c r="JB10" s="578"/>
      <c r="JC10" s="579">
        <f t="shared" si="35"/>
        <v>-1254</v>
      </c>
      <c r="JD10" s="586"/>
      <c r="JE10" s="585"/>
      <c r="JF10" s="577"/>
      <c r="JG10" s="234">
        <f t="shared" si="36"/>
        <v>-3557</v>
      </c>
      <c r="JH10" s="578"/>
      <c r="JI10" s="579">
        <f t="shared" si="37"/>
        <v>-945</v>
      </c>
      <c r="JJ10" s="582"/>
    </row>
    <row r="11" ht="14.25" customHeight="1">
      <c r="A11" s="158">
        <v>4.0</v>
      </c>
      <c r="B11" s="157" t="s">
        <v>94</v>
      </c>
      <c r="C11" s="253">
        <v>3374130.0</v>
      </c>
      <c r="D11" s="569" t="s">
        <v>98</v>
      </c>
      <c r="E11" s="253"/>
      <c r="F11" s="252">
        <f>'KELURAHAN (DI ISI)'!F24+'KELURAHAN (DI ISI)'!F25+'KELURAHAN (DI ISI)'!F26+'KELURAHAN (DI ISI)'!F28+'KELURAHAN (DI ISI)'!F29</f>
        <v>45</v>
      </c>
      <c r="G11" s="252">
        <v>2240.0</v>
      </c>
      <c r="H11" s="252">
        <f>'KELURAHAN (DI ISI)'!H24+'KELURAHAN (DI ISI)'!H25+'KELURAHAN (DI ISI)'!H26+'KELURAHAN (DI ISI)'!H28+'KELURAHAN (DI ISI)'!H29</f>
        <v>18</v>
      </c>
      <c r="I11" s="491">
        <f t="shared" si="1"/>
        <v>10</v>
      </c>
      <c r="J11" s="491">
        <f t="shared" si="2"/>
        <v>8</v>
      </c>
      <c r="K11" s="248">
        <f>'KELURAHAN (DI ISI)'!I24+'KELURAHAN (DI ISI)'!I25+'KELURAHAN (DI ISI)'!I26+'KELURAHAN (DI ISI)'!I28+'KELURAHAN (DI ISI)'!I29</f>
        <v>0</v>
      </c>
      <c r="L11" s="248">
        <f>'KELURAHAN (DI ISI)'!J24+'KELURAHAN (DI ISI)'!J25+'KELURAHAN (DI ISI)'!J26+'KELURAHAN (DI ISI)'!J28+'KELURAHAN (DI ISI)'!J29</f>
        <v>5</v>
      </c>
      <c r="M11" s="248">
        <f>'KELURAHAN (DI ISI)'!K24+'KELURAHAN (DI ISI)'!K25+'KELURAHAN (DI ISI)'!K26+'KELURAHAN (DI ISI)'!K28+'KELURAHAN (DI ISI)'!K29</f>
        <v>5</v>
      </c>
      <c r="N11" s="248">
        <f>'KELURAHAN (DI ISI)'!L24+'KELURAHAN (DI ISI)'!L25+'KELURAHAN (DI ISI)'!L26+'KELURAHAN (DI ISI)'!L28+'KELURAHAN (DI ISI)'!L29</f>
        <v>8</v>
      </c>
      <c r="O11" s="248">
        <f>'KELURAHAN (DI ISI)'!M24+'KELURAHAN (DI ISI)'!M25+'KELURAHAN (DI ISI)'!M26+'KELURAHAN (DI ISI)'!M28+'KELURAHAN (DI ISI)'!M29</f>
        <v>0</v>
      </c>
      <c r="P11" s="248">
        <f>'KELURAHAN (DI ISI)'!N24+'KELURAHAN (DI ISI)'!N25+'KELURAHAN (DI ISI)'!N26+'KELURAHAN (DI ISI)'!N28+'KELURAHAN (DI ISI)'!N29</f>
        <v>0</v>
      </c>
      <c r="Q11" s="248">
        <f>'KELURAHAN (DI ISI)'!O24+'KELURAHAN (DI ISI)'!O25+'KELURAHAN (DI ISI)'!O26+'KELURAHAN (DI ISI)'!O28+'KELURAHAN (DI ISI)'!O29</f>
        <v>18</v>
      </c>
      <c r="R11" s="248">
        <f>'KELURAHAN (DI ISI)'!P24+'KELURAHAN (DI ISI)'!P25+'KELURAHAN (DI ISI)'!P26+'KELURAHAN (DI ISI)'!P28+'KELURAHAN (DI ISI)'!P29</f>
        <v>18</v>
      </c>
      <c r="S11" s="491">
        <f t="shared" si="3"/>
        <v>10</v>
      </c>
      <c r="T11" s="491">
        <f t="shared" si="4"/>
        <v>8</v>
      </c>
      <c r="U11" s="248">
        <f>'KELURAHAN (DI ISI)'!Q24+'KELURAHAN (DI ISI)'!Q25+'KELURAHAN (DI ISI)'!Q26+'KELURAHAN (DI ISI)'!Q28+'KELURAHAN (DI ISI)'!Q29</f>
        <v>0</v>
      </c>
      <c r="V11" s="248">
        <f>'KELURAHAN (DI ISI)'!R24+'KELURAHAN (DI ISI)'!R25+'KELURAHAN (DI ISI)'!R26+'KELURAHAN (DI ISI)'!R28+'KELURAHAN (DI ISI)'!R29</f>
        <v>5</v>
      </c>
      <c r="W11" s="248">
        <f>'KELURAHAN (DI ISI)'!S24+'KELURAHAN (DI ISI)'!S25+'KELURAHAN (DI ISI)'!S26+'KELURAHAN (DI ISI)'!S28+'KELURAHAN (DI ISI)'!S29</f>
        <v>5</v>
      </c>
      <c r="X11" s="248">
        <f>'KELURAHAN (DI ISI)'!T24+'KELURAHAN (DI ISI)'!T25+'KELURAHAN (DI ISI)'!T26+'KELURAHAN (DI ISI)'!T28+'KELURAHAN (DI ISI)'!T29</f>
        <v>8</v>
      </c>
      <c r="Y11" s="248">
        <f>'KELURAHAN (DI ISI)'!U24+'KELURAHAN (DI ISI)'!U25+'KELURAHAN (DI ISI)'!U26+'KELURAHAN (DI ISI)'!U28+'KELURAHAN (DI ISI)'!U29</f>
        <v>1</v>
      </c>
      <c r="Z11" s="248">
        <f>'KELURAHAN (DI ISI)'!V24+'KELURAHAN (DI ISI)'!V25+'KELURAHAN (DI ISI)'!V26+'KELURAHAN (DI ISI)'!V28+'KELURAHAN (DI ISI)'!V29</f>
        <v>0</v>
      </c>
      <c r="AA11" s="248">
        <f>'KELURAHAN (DI ISI)'!W24+'KELURAHAN (DI ISI)'!W25+'KELURAHAN (DI ISI)'!W26+'KELURAHAN (DI ISI)'!W28+'KELURAHAN (DI ISI)'!W29</f>
        <v>17</v>
      </c>
      <c r="AB11" s="248">
        <f>'KELURAHAN (DI ISI)'!X24+'KELURAHAN (DI ISI)'!X25+'KELURAHAN (DI ISI)'!X26+'KELURAHAN (DI ISI)'!X28+'KELURAHAN (DI ISI)'!X29</f>
        <v>17</v>
      </c>
      <c r="AC11" s="491">
        <f t="shared" si="5"/>
        <v>8</v>
      </c>
      <c r="AD11" s="491">
        <f t="shared" si="6"/>
        <v>9</v>
      </c>
      <c r="AE11" s="248">
        <f>'KELURAHAN (DI ISI)'!Y24+'KELURAHAN (DI ISI)'!Y25+'KELURAHAN (DI ISI)'!Y26+'KELURAHAN (DI ISI)'!Y28+'KELURAHAN (DI ISI)'!Y29</f>
        <v>0</v>
      </c>
      <c r="AF11" s="248">
        <f>'KELURAHAN (DI ISI)'!Z24+'KELURAHAN (DI ISI)'!Z25+'KELURAHAN (DI ISI)'!Z26+'KELURAHAN (DI ISI)'!Z28+'KELURAHAN (DI ISI)'!Z29</f>
        <v>2</v>
      </c>
      <c r="AG11" s="248">
        <f>'KELURAHAN (DI ISI)'!AA24+'KELURAHAN (DI ISI)'!AA25+'KELURAHAN (DI ISI)'!AA26+'KELURAHAN (DI ISI)'!AA28+'KELURAHAN (DI ISI)'!AA29</f>
        <v>6</v>
      </c>
      <c r="AH11" s="248">
        <f>'KELURAHAN (DI ISI)'!AB24+'KELURAHAN (DI ISI)'!AB25+'KELURAHAN (DI ISI)'!AB26+'KELURAHAN (DI ISI)'!AB28+'KELURAHAN (DI ISI)'!AB29</f>
        <v>9</v>
      </c>
      <c r="AI11" s="248">
        <f>'KELURAHAN (DI ISI)'!AC24+'KELURAHAN (DI ISI)'!AC25+'KELURAHAN (DI ISI)'!AC26+'KELURAHAN (DI ISI)'!AC28+'KELURAHAN (DI ISI)'!AC29</f>
        <v>0</v>
      </c>
      <c r="AJ11" s="248">
        <f>'KELURAHAN (DI ISI)'!AD24+'KELURAHAN (DI ISI)'!AD25+'KELURAHAN (DI ISI)'!AD26+'KELURAHAN (DI ISI)'!AD28+'KELURAHAN (DI ISI)'!AD29</f>
        <v>2</v>
      </c>
      <c r="AK11" s="248">
        <f>'KELURAHAN (DI ISI)'!AE24+'KELURAHAN (DI ISI)'!AE25+'KELURAHAN (DI ISI)'!AE26+'KELURAHAN (DI ISI)'!AE28+'KELURAHAN (DI ISI)'!AE29</f>
        <v>15</v>
      </c>
      <c r="AL11" s="248">
        <f>'KELURAHAN (DI ISI)'!AF24+'KELURAHAN (DI ISI)'!AF25+'KELURAHAN (DI ISI)'!AF26+'KELURAHAN (DI ISI)'!AF28+'KELURAHAN (DI ISI)'!AF29</f>
        <v>16</v>
      </c>
      <c r="AM11" s="491">
        <f t="shared" si="7"/>
        <v>8</v>
      </c>
      <c r="AN11" s="491">
        <f t="shared" si="8"/>
        <v>7</v>
      </c>
      <c r="AO11" s="248">
        <f>'KELURAHAN (DI ISI)'!AG24+'KELURAHAN (DI ISI)'!AG25+'KELURAHAN (DI ISI)'!AG26+'KELURAHAN (DI ISI)'!AG28+'KELURAHAN (DI ISI)'!AG29</f>
        <v>0</v>
      </c>
      <c r="AP11" s="248">
        <f>'KELURAHAN (DI ISI)'!AH24+'KELURAHAN (DI ISI)'!AH25+'KELURAHAN (DI ISI)'!AH26+'KELURAHAN (DI ISI)'!AH28+'KELURAHAN (DI ISI)'!AH29</f>
        <v>2</v>
      </c>
      <c r="AQ11" s="248">
        <f>'KELURAHAN (DI ISI)'!AI24+'KELURAHAN (DI ISI)'!AI25+'KELURAHAN (DI ISI)'!AI26+'KELURAHAN (DI ISI)'!AI28+'KELURAHAN (DI ISI)'!AI29</f>
        <v>6</v>
      </c>
      <c r="AR11" s="248">
        <f>'KELURAHAN (DI ISI)'!AJ24+'KELURAHAN (DI ISI)'!AJ25+'KELURAHAN (DI ISI)'!AJ26+'KELURAHAN (DI ISI)'!AJ28+'KELURAHAN (DI ISI)'!AJ29</f>
        <v>7</v>
      </c>
      <c r="AS11" s="248">
        <f>'KELURAHAN (DI ISI)'!AK24+'KELURAHAN (DI ISI)'!AK25+'KELURAHAN (DI ISI)'!AK26+'KELURAHAN (DI ISI)'!AK28+'KELURAHAN (DI ISI)'!AK29</f>
        <v>0</v>
      </c>
      <c r="AT11" s="248">
        <f>'KELURAHAN (DI ISI)'!AL24+'KELURAHAN (DI ISI)'!AL25+'KELURAHAN (DI ISI)'!AL26+'KELURAHAN (DI ISI)'!AL28+'KELURAHAN (DI ISI)'!AL29</f>
        <v>2</v>
      </c>
      <c r="AU11" s="248">
        <f>'KELURAHAN (DI ISI)'!AM24+'KELURAHAN (DI ISI)'!AM25+'KELURAHAN (DI ISI)'!AM26+'KELURAHAN (DI ISI)'!AM28+'KELURAHAN (DI ISI)'!AM29</f>
        <v>13</v>
      </c>
      <c r="AV11" s="248">
        <f>'KELURAHAN (DI ISI)'!AN24+'KELURAHAN (DI ISI)'!AN25+'KELURAHAN (DI ISI)'!AN26+'KELURAHAN (DI ISI)'!AN28+'KELURAHAN (DI ISI)'!AN29</f>
        <v>12</v>
      </c>
      <c r="AW11" s="491">
        <f t="shared" si="9"/>
        <v>4</v>
      </c>
      <c r="AX11" s="491">
        <f t="shared" si="10"/>
        <v>8</v>
      </c>
      <c r="AY11" s="248">
        <f>'KELURAHAN (DI ISI)'!AO24+'KELURAHAN (DI ISI)'!AO25+'KELURAHAN (DI ISI)'!AO26+'KELURAHAN (DI ISI)'!AO28+'KELURAHAN (DI ISI)'!AO29</f>
        <v>0</v>
      </c>
      <c r="AZ11" s="248">
        <f>'KELURAHAN (DI ISI)'!AP24+'KELURAHAN (DI ISI)'!AP25+'KELURAHAN (DI ISI)'!AP26+'KELURAHAN (DI ISI)'!AP28+'KELURAHAN (DI ISI)'!AP29</f>
        <v>2</v>
      </c>
      <c r="BA11" s="248">
        <f>'KELURAHAN (DI ISI)'!AQ24+'KELURAHAN (DI ISI)'!AQ25+'KELURAHAN (DI ISI)'!AQ26+'KELURAHAN (DI ISI)'!AQ28+'KELURAHAN (DI ISI)'!AQ29</f>
        <v>2</v>
      </c>
      <c r="BB11" s="248">
        <f>'KELURAHAN (DI ISI)'!AR24+'KELURAHAN (DI ISI)'!AR25+'KELURAHAN (DI ISI)'!AR26+'KELURAHAN (DI ISI)'!AR28+'KELURAHAN (DI ISI)'!AR29</f>
        <v>8</v>
      </c>
      <c r="BC11" s="248">
        <f>'KELURAHAN (DI ISI)'!AS24+'KELURAHAN (DI ISI)'!AS25+'KELURAHAN (DI ISI)'!AS26+'KELURAHAN (DI ISI)'!AS28+'KELURAHAN (DI ISI)'!AS29</f>
        <v>0</v>
      </c>
      <c r="BD11" s="248">
        <f>'KELURAHAN (DI ISI)'!AT24+'KELURAHAN (DI ISI)'!AT25+'KELURAHAN (DI ISI)'!AT26+'KELURAHAN (DI ISI)'!AT28+'KELURAHAN (DI ISI)'!AT29</f>
        <v>0</v>
      </c>
      <c r="BE11" s="248">
        <f>'KELURAHAN (DI ISI)'!AU24+'KELURAHAN (DI ISI)'!AU25+'KELURAHAN (DI ISI)'!AU26+'KELURAHAN (DI ISI)'!AU28+'KELURAHAN (DI ISI)'!AU29</f>
        <v>12</v>
      </c>
      <c r="BF11" s="248">
        <f>'KELURAHAN (DI ISI)'!AV24+'KELURAHAN (DI ISI)'!AV25+'KELURAHAN (DI ISI)'!AV26+'KELURAHAN (DI ISI)'!AV28+'KELURAHAN (DI ISI)'!AV29</f>
        <v>2240</v>
      </c>
      <c r="BG11" s="248">
        <f>'KELURAHAN (DI ISI)'!AW24+'KELURAHAN (DI ISI)'!AW25+'KELURAHAN (DI ISI)'!AW26+'KELURAHAN (DI ISI)'!AW28+'KELURAHAN (DI ISI)'!AW29</f>
        <v>9</v>
      </c>
      <c r="BH11" s="491">
        <f t="shared" si="11"/>
        <v>2</v>
      </c>
      <c r="BI11" s="495">
        <f t="shared" si="12"/>
        <v>7</v>
      </c>
      <c r="BJ11" s="248">
        <f>'KELURAHAN (DI ISI)'!AX24+'KELURAHAN (DI ISI)'!AX25+'KELURAHAN (DI ISI)'!AX26+'KELURAHAN (DI ISI)'!AX28+'KELURAHAN (DI ISI)'!AX29</f>
        <v>0</v>
      </c>
      <c r="BK11" s="248">
        <f>'KELURAHAN (DI ISI)'!AY24+'KELURAHAN (DI ISI)'!AY25+'KELURAHAN (DI ISI)'!AY26+'KELURAHAN (DI ISI)'!AY28+'KELURAHAN (DI ISI)'!AY29</f>
        <v>0</v>
      </c>
      <c r="BL11" s="248">
        <f>'KELURAHAN (DI ISI)'!AZ24+'KELURAHAN (DI ISI)'!AZ25+'KELURAHAN (DI ISI)'!AZ26+'KELURAHAN (DI ISI)'!AZ28+'KELURAHAN (DI ISI)'!AZ29</f>
        <v>2</v>
      </c>
      <c r="BM11" s="248">
        <f>'KELURAHAN (DI ISI)'!BA24+'KELURAHAN (DI ISI)'!BA25+'KELURAHAN (DI ISI)'!BA26+'KELURAHAN (DI ISI)'!BA28+'KELURAHAN (DI ISI)'!BA29</f>
        <v>7</v>
      </c>
      <c r="BN11" s="248">
        <f>'KELURAHAN (DI ISI)'!BB24+'KELURAHAN (DI ISI)'!BB25+'KELURAHAN (DI ISI)'!BB26+'KELURAHAN (DI ISI)'!BB28+'KELURAHAN (DI ISI)'!BB29</f>
        <v>0</v>
      </c>
      <c r="BO11" s="248">
        <f>'KELURAHAN (DI ISI)'!BC24+'KELURAHAN (DI ISI)'!BC25+'KELURAHAN (DI ISI)'!BC26+'KELURAHAN (DI ISI)'!BC28+'KELURAHAN (DI ISI)'!BC29</f>
        <v>0</v>
      </c>
      <c r="BP11" s="248">
        <f>'KELURAHAN (DI ISI)'!BD24+'KELURAHAN (DI ISI)'!BD25+'KELURAHAN (DI ISI)'!BD26+'KELURAHAN (DI ISI)'!BD28+'KELURAHAN (DI ISI)'!BD29</f>
        <v>0</v>
      </c>
      <c r="BQ11" s="248">
        <f>'KELURAHAN (DI ISI)'!BE24+'KELURAHAN (DI ISI)'!BE25+'KELURAHAN (DI ISI)'!BE26+'KELURAHAN (DI ISI)'!BE28+'KELURAHAN (DI ISI)'!BE29</f>
        <v>0</v>
      </c>
      <c r="BR11" s="248">
        <f>'KELURAHAN (DI ISI)'!BF24+'KELURAHAN (DI ISI)'!BF25+'KELURAHAN (DI ISI)'!BF26+'KELURAHAN (DI ISI)'!BF28+'KELURAHAN (DI ISI)'!BF29</f>
        <v>0</v>
      </c>
      <c r="BS11" s="248">
        <f>'KELURAHAN (DI ISI)'!BG24+'KELURAHAN (DI ISI)'!BG25+'KELURAHAN (DI ISI)'!BG26+'KELURAHAN (DI ISI)'!BG28+'KELURAHAN (DI ISI)'!BG29</f>
        <v>1</v>
      </c>
      <c r="BT11" s="248">
        <f>'KELURAHAN (DI ISI)'!BH24+'KELURAHAN (DI ISI)'!BH25+'KELURAHAN (DI ISI)'!BH26+'KELURAHAN (DI ISI)'!BH28+'KELURAHAN (DI ISI)'!BH29</f>
        <v>0</v>
      </c>
      <c r="BU11" s="248">
        <f>'KELURAHAN (DI ISI)'!BI24+'KELURAHAN (DI ISI)'!BI25+'KELURAHAN (DI ISI)'!BI26+'KELURAHAN (DI ISI)'!BI28+'KELURAHAN (DI ISI)'!BI29</f>
        <v>1</v>
      </c>
      <c r="BV11" s="248">
        <f>'KELURAHAN (DI ISI)'!BJ24+'KELURAHAN (DI ISI)'!BJ25+'KELURAHAN (DI ISI)'!BJ26+'KELURAHAN (DI ISI)'!BJ28+'KELURAHAN (DI ISI)'!BJ29</f>
        <v>0</v>
      </c>
      <c r="BW11" s="248">
        <f>'KELURAHAN (DI ISI)'!BK24+'KELURAHAN (DI ISI)'!BK25+'KELURAHAN (DI ISI)'!BK26+'KELURAHAN (DI ISI)'!BK28+'KELURAHAN (DI ISI)'!BK29</f>
        <v>0</v>
      </c>
      <c r="BX11" s="248">
        <f>'KELURAHAN (DI ISI)'!BL24+'KELURAHAN (DI ISI)'!BL25+'KELURAHAN (DI ISI)'!BL26+'KELURAHAN (DI ISI)'!BL28+'KELURAHAN (DI ISI)'!BL29</f>
        <v>0</v>
      </c>
      <c r="BY11" s="248">
        <f>'KELURAHAN (DI ISI)'!BM24+'KELURAHAN (DI ISI)'!BM25+'KELURAHAN (DI ISI)'!BM26+'KELURAHAN (DI ISI)'!BM28+'KELURAHAN (DI ISI)'!BM29</f>
        <v>0</v>
      </c>
      <c r="BZ11" s="248">
        <f>'KELURAHAN (DI ISI)'!BN24+'KELURAHAN (DI ISI)'!BN25+'KELURAHAN (DI ISI)'!BN26+'KELURAHAN (DI ISI)'!BN28+'KELURAHAN (DI ISI)'!BN29</f>
        <v>0</v>
      </c>
      <c r="CA11" s="248">
        <f>'KELURAHAN (DI ISI)'!BO24+'KELURAHAN (DI ISI)'!BO25+'KELURAHAN (DI ISI)'!BO26+'KELURAHAN (DI ISI)'!BO28+'KELURAHAN (DI ISI)'!BO29</f>
        <v>0</v>
      </c>
      <c r="CB11" s="248">
        <f>'KELURAHAN (DI ISI)'!BP24+'KELURAHAN (DI ISI)'!BP25+'KELURAHAN (DI ISI)'!BP26+'KELURAHAN (DI ISI)'!BP28+'KELURAHAN (DI ISI)'!BP29</f>
        <v>2</v>
      </c>
      <c r="CC11" s="248">
        <f>'KELURAHAN (DI ISI)'!BQ24+'KELURAHAN (DI ISI)'!BQ25+'KELURAHAN (DI ISI)'!BQ26+'KELURAHAN (DI ISI)'!BQ28+'KELURAHAN (DI ISI)'!BQ29</f>
        <v>2288</v>
      </c>
      <c r="CD11" s="248">
        <f>'KELURAHAN (DI ISI)'!BR24+'KELURAHAN (DI ISI)'!BR25+'KELURAHAN (DI ISI)'!BR26+'KELURAHAN (DI ISI)'!BR28+'KELURAHAN (DI ISI)'!BR29</f>
        <v>12</v>
      </c>
      <c r="CE11" s="491">
        <f t="shared" si="13"/>
        <v>3</v>
      </c>
      <c r="CF11" s="491">
        <f t="shared" si="14"/>
        <v>4</v>
      </c>
      <c r="CG11" s="248">
        <f>'KELURAHAN (DI ISI)'!BS24+'KELURAHAN (DI ISI)'!BS25+'KELURAHAN (DI ISI)'!BS26+'KELURAHAN (DI ISI)'!BS28+'KELURAHAN (DI ISI)'!BS29</f>
        <v>0</v>
      </c>
      <c r="CH11" s="248">
        <f>'KELURAHAN (DI ISI)'!BT24+'KELURAHAN (DI ISI)'!BT25+'KELURAHAN (DI ISI)'!BT26+'KELURAHAN (DI ISI)'!BT28+'KELURAHAN (DI ISI)'!BT29</f>
        <v>0</v>
      </c>
      <c r="CI11" s="248">
        <f>'KELURAHAN (DI ISI)'!BU24+'KELURAHAN (DI ISI)'!BU25+'KELURAHAN (DI ISI)'!BU26+'KELURAHAN (DI ISI)'!BU28+'KELURAHAN (DI ISI)'!BU29</f>
        <v>3</v>
      </c>
      <c r="CJ11" s="248">
        <f>'KELURAHAN (DI ISI)'!BV24+'KELURAHAN (DI ISI)'!BV25+'KELURAHAN (DI ISI)'!BV26+'KELURAHAN (DI ISI)'!BV28+'KELURAHAN (DI ISI)'!BV29</f>
        <v>4</v>
      </c>
      <c r="CK11" s="248">
        <f>'KELURAHAN (DI ISI)'!BW24+'KELURAHAN (DI ISI)'!BW25+'KELURAHAN (DI ISI)'!BW26+'KELURAHAN (DI ISI)'!BW28+'KELURAHAN (DI ISI)'!BW29</f>
        <v>1</v>
      </c>
      <c r="CL11" s="248">
        <f>'KELURAHAN (DI ISI)'!BX24+'KELURAHAN (DI ISI)'!BX25+'KELURAHAN (DI ISI)'!BX26+'KELURAHAN (DI ISI)'!BX28+'KELURAHAN (DI ISI)'!BX29</f>
        <v>1</v>
      </c>
      <c r="CM11" s="248">
        <f>'KELURAHAN (DI ISI)'!BY24+'KELURAHAN (DI ISI)'!BY25+'KELURAHAN (DI ISI)'!BY26+'KELURAHAN (DI ISI)'!BY28+'KELURAHAN (DI ISI)'!BY29</f>
        <v>3</v>
      </c>
      <c r="CN11" s="248">
        <f>'KELURAHAN (DI ISI)'!BZ24+'KELURAHAN (DI ISI)'!BZ25+'KELURAHAN (DI ISI)'!BZ26+'KELURAHAN (DI ISI)'!BZ28+'KELURAHAN (DI ISI)'!BZ29</f>
        <v>0</v>
      </c>
      <c r="CO11" s="248">
        <f>'KELURAHAN (DI ISI)'!CA24+'KELURAHAN (DI ISI)'!CA25+'KELURAHAN (DI ISI)'!CA26+'KELURAHAN (DI ISI)'!CA28+'KELURAHAN (DI ISI)'!CA29</f>
        <v>0</v>
      </c>
      <c r="CP11" s="248">
        <f>'KELURAHAN (DI ISI)'!CB24+'KELURAHAN (DI ISI)'!CB25+'KELURAHAN (DI ISI)'!CB26+'KELURAHAN (DI ISI)'!CB28+'KELURAHAN (DI ISI)'!CB29</f>
        <v>0</v>
      </c>
      <c r="CQ11" s="248">
        <f>'KELURAHAN (DI ISI)'!CC24+'KELURAHAN (DI ISI)'!CC25+'KELURAHAN (DI ISI)'!CC26+'KELURAHAN (DI ISI)'!CC28+'KELURAHAN (DI ISI)'!CC29</f>
        <v>0</v>
      </c>
      <c r="CR11" s="248">
        <f>'KELURAHAN (DI ISI)'!CD24+'KELURAHAN (DI ISI)'!CD25+'KELURAHAN (DI ISI)'!CD26+'KELURAHAN (DI ISI)'!CD28+'KELURAHAN (DI ISI)'!CD29</f>
        <v>0</v>
      </c>
      <c r="CS11" s="248">
        <f>'KELURAHAN (DI ISI)'!CE24+'KELURAHAN (DI ISI)'!CE25+'KELURAHAN (DI ISI)'!CE26+'KELURAHAN (DI ISI)'!CE28+'KELURAHAN (DI ISI)'!CE29</f>
        <v>0</v>
      </c>
      <c r="CT11" s="248">
        <f>'KELURAHAN (DI ISI)'!CF24+'KELURAHAN (DI ISI)'!CF25+'KELURAHAN (DI ISI)'!CF26+'KELURAHAN (DI ISI)'!CF28+'KELURAHAN (DI ISI)'!CF29</f>
        <v>0</v>
      </c>
      <c r="CU11" s="248">
        <f>'KELURAHAN (DI ISI)'!CG24+'KELURAHAN (DI ISI)'!CG25+'KELURAHAN (DI ISI)'!CG26+'KELURAHAN (DI ISI)'!CG28+'KELURAHAN (DI ISI)'!CG29</f>
        <v>0</v>
      </c>
      <c r="CV11" s="248">
        <f>'KELURAHAN (DI ISI)'!CH24+'KELURAHAN (DI ISI)'!CH25+'KELURAHAN (DI ISI)'!CH26+'KELURAHAN (DI ISI)'!CH28+'KELURAHAN (DI ISI)'!CH29</f>
        <v>0</v>
      </c>
      <c r="CW11" s="248">
        <f>'KELURAHAN (DI ISI)'!CI24+'KELURAHAN (DI ISI)'!CI25+'KELURAHAN (DI ISI)'!CI26+'KELURAHAN (DI ISI)'!CI28+'KELURAHAN (DI ISI)'!CI29</f>
        <v>2</v>
      </c>
      <c r="CX11" s="248">
        <f>'KELURAHAN (DI ISI)'!CJ24+'KELURAHAN (DI ISI)'!CJ25+'KELURAHAN (DI ISI)'!CJ26+'KELURAHAN (DI ISI)'!CJ28+'KELURAHAN (DI ISI)'!CJ29</f>
        <v>0</v>
      </c>
      <c r="CY11" s="248">
        <f>'KELURAHAN (DI ISI)'!CK24+'KELURAHAN (DI ISI)'!CK25+'KELURAHAN (DI ISI)'!CK26+'KELURAHAN (DI ISI)'!CK28+'KELURAHAN (DI ISI)'!CK29</f>
        <v>2</v>
      </c>
      <c r="CZ11" s="248">
        <f>'KELURAHAN (DI ISI)'!CL24+'KELURAHAN (DI ISI)'!CL25+'KELURAHAN (DI ISI)'!CL26+'KELURAHAN (DI ISI)'!CL28+'KELURAHAN (DI ISI)'!CL29</f>
        <v>2394</v>
      </c>
      <c r="DA11" s="248">
        <f>'KELURAHAN (DI ISI)'!CM24+'KELURAHAN (DI ISI)'!CM25+'KELURAHAN (DI ISI)'!CM26+'KELURAHAN (DI ISI)'!CM28+'KELURAHAN (DI ISI)'!CM29</f>
        <v>728</v>
      </c>
      <c r="DB11" s="248">
        <f>'KELURAHAN (DI ISI)'!CN24+'KELURAHAN (DI ISI)'!CN25+'KELURAHAN (DI ISI)'!CN26+'KELURAHAN (DI ISI)'!CN28+'KELURAHAN (DI ISI)'!CN29</f>
        <v>17</v>
      </c>
      <c r="DC11" s="491">
        <f t="shared" si="15"/>
        <v>8</v>
      </c>
      <c r="DD11" s="491">
        <f t="shared" si="16"/>
        <v>4</v>
      </c>
      <c r="DE11" s="248">
        <f>'KELURAHAN (DI ISI)'!CO24+'KELURAHAN (DI ISI)'!CO25+'KELURAHAN (DI ISI)'!CO26+'KELURAHAN (DI ISI)'!CO28+'KELURAHAN (DI ISI)'!CO29</f>
        <v>1</v>
      </c>
      <c r="DF11" s="248">
        <f>'KELURAHAN (DI ISI)'!CP24+'KELURAHAN (DI ISI)'!CP25+'KELURAHAN (DI ISI)'!CP26+'KELURAHAN (DI ISI)'!CP28+'KELURAHAN (DI ISI)'!CP29</f>
        <v>1</v>
      </c>
      <c r="DG11" s="248">
        <f>'KELURAHAN (DI ISI)'!CQ24+'KELURAHAN (DI ISI)'!CQ25+'KELURAHAN (DI ISI)'!CQ26+'KELURAHAN (DI ISI)'!CQ28+'KELURAHAN (DI ISI)'!CQ29</f>
        <v>6</v>
      </c>
      <c r="DH11" s="248">
        <f>'KELURAHAN (DI ISI)'!CR24+'KELURAHAN (DI ISI)'!CR25+'KELURAHAN (DI ISI)'!CR26+'KELURAHAN (DI ISI)'!CR28+'KELURAHAN (DI ISI)'!CR29</f>
        <v>4</v>
      </c>
      <c r="DI11" s="248">
        <f>'KELURAHAN (DI ISI)'!CS24+'KELURAHAN (DI ISI)'!CS25+'KELURAHAN (DI ISI)'!CS26+'KELURAHAN (DI ISI)'!CS28+'KELURAHAN (DI ISI)'!CS29</f>
        <v>0</v>
      </c>
      <c r="DJ11" s="248">
        <f>'KELURAHAN (DI ISI)'!CT24+'KELURAHAN (DI ISI)'!CT25+'KELURAHAN (DI ISI)'!CT26+'KELURAHAN (DI ISI)'!CT28+'KELURAHAN (DI ISI)'!CT29</f>
        <v>0</v>
      </c>
      <c r="DK11" s="248">
        <f>'KELURAHAN (DI ISI)'!CU24+'KELURAHAN (DI ISI)'!CU25+'KELURAHAN (DI ISI)'!CU26+'KELURAHAN (DI ISI)'!CU28+'KELURAHAN (DI ISI)'!CU29</f>
        <v>0</v>
      </c>
      <c r="DL11" s="248">
        <f>'KELURAHAN (DI ISI)'!CV24+'KELURAHAN (DI ISI)'!CV25+'KELURAHAN (DI ISI)'!CV26+'KELURAHAN (DI ISI)'!CV28+'KELURAHAN (DI ISI)'!CV29</f>
        <v>5</v>
      </c>
      <c r="DM11" s="248">
        <f>'KELURAHAN (DI ISI)'!CW24+'KELURAHAN (DI ISI)'!CW25+'KELURAHAN (DI ISI)'!CW26+'KELURAHAN (DI ISI)'!CW28+'KELURAHAN (DI ISI)'!CW29</f>
        <v>0</v>
      </c>
      <c r="DN11" s="248">
        <f>'KELURAHAN (DI ISI)'!CX24+'KELURAHAN (DI ISI)'!CX25+'KELURAHAN (DI ISI)'!CX26+'KELURAHAN (DI ISI)'!CX28+'KELURAHAN (DI ISI)'!CX29</f>
        <v>0</v>
      </c>
      <c r="DO11" s="248">
        <f>'KELURAHAN (DI ISI)'!CY24+'KELURAHAN (DI ISI)'!CY25+'KELURAHAN (DI ISI)'!CY26+'KELURAHAN (DI ISI)'!CY28+'KELURAHAN (DI ISI)'!CY29</f>
        <v>0</v>
      </c>
      <c r="DP11" s="248">
        <f>'KELURAHAN (DI ISI)'!CZ24+'KELURAHAN (DI ISI)'!CZ25+'KELURAHAN (DI ISI)'!CZ26+'KELURAHAN (DI ISI)'!CZ28+'KELURAHAN (DI ISI)'!CZ29</f>
        <v>0</v>
      </c>
      <c r="DQ11" s="248">
        <f>'KELURAHAN (DI ISI)'!DA24+'KELURAHAN (DI ISI)'!DA25+'KELURAHAN (DI ISI)'!DA26+'KELURAHAN (DI ISI)'!DA28+'KELURAHAN (DI ISI)'!DA29</f>
        <v>0</v>
      </c>
      <c r="DR11" s="248">
        <f>'KELURAHAN (DI ISI)'!DB24+'KELURAHAN (DI ISI)'!DB25+'KELURAHAN (DI ISI)'!DB26+'KELURAHAN (DI ISI)'!DB28+'KELURAHAN (DI ISI)'!DB29</f>
        <v>0</v>
      </c>
      <c r="DS11" s="248">
        <f>'KELURAHAN (DI ISI)'!DC24+'KELURAHAN (DI ISI)'!DC25+'KELURAHAN (DI ISI)'!DC26+'KELURAHAN (DI ISI)'!DC28+'KELURAHAN (DI ISI)'!DC29</f>
        <v>0</v>
      </c>
      <c r="DT11" s="248">
        <f>'KELURAHAN (DI ISI)'!DD24+'KELURAHAN (DI ISI)'!DD25+'KELURAHAN (DI ISI)'!DD26+'KELURAHAN (DI ISI)'!DD28+'KELURAHAN (DI ISI)'!DD29</f>
        <v>0</v>
      </c>
      <c r="DU11" s="248">
        <f>'KELURAHAN (DI ISI)'!DE24+'KELURAHAN (DI ISI)'!DE25+'KELURAHAN (DI ISI)'!DE26+'KELURAHAN (DI ISI)'!DE28+'KELURAHAN (DI ISI)'!DE29</f>
        <v>0</v>
      </c>
      <c r="DV11" s="248">
        <f>'KELURAHAN (DI ISI)'!DF24+'KELURAHAN (DI ISI)'!DF25+'KELURAHAN (DI ISI)'!DF26+'KELURAHAN (DI ISI)'!DF28+'KELURAHAN (DI ISI)'!DF29</f>
        <v>0</v>
      </c>
      <c r="DW11" s="248">
        <f>'KELURAHAN (DI ISI)'!DG24+'KELURAHAN (DI ISI)'!DG25+'KELURAHAN (DI ISI)'!DG26+'KELURAHAN (DI ISI)'!DG28+'KELURAHAN (DI ISI)'!DG29</f>
        <v>0</v>
      </c>
      <c r="DX11" s="248">
        <f>'KELURAHAN (DI ISI)'!DH24+'KELURAHAN (DI ISI)'!DH25+'KELURAHAN (DI ISI)'!DH26+'KELURAHAN (DI ISI)'!DH28+'KELURAHAN (DI ISI)'!DH29</f>
        <v>2338</v>
      </c>
      <c r="DY11" s="248">
        <f>'KELURAHAN (DI ISI)'!DI24+'KELURAHAN (DI ISI)'!DI25+'KELURAHAN (DI ISI)'!DI26+'KELURAHAN (DI ISI)'!DI28+'KELURAHAN (DI ISI)'!DI29</f>
        <v>706</v>
      </c>
      <c r="DZ11" s="248">
        <f>'KELURAHAN (DI ISI)'!DJ24+'KELURAHAN (DI ISI)'!DJ25+'KELURAHAN (DI ISI)'!DJ26+'KELURAHAN (DI ISI)'!DJ28+'KELURAHAN (DI ISI)'!DJ29</f>
        <v>2338</v>
      </c>
      <c r="EA11" s="248">
        <f>'KELURAHAN (DI ISI)'!DK24+'KELURAHAN (DI ISI)'!DK25+'KELURAHAN (DI ISI)'!DK26+'KELURAHAN (DI ISI)'!DK28+'KELURAHAN (DI ISI)'!DK29</f>
        <v>706</v>
      </c>
      <c r="EB11" s="248">
        <f>'KELURAHAN (DI ISI)'!DL24+'KELURAHAN (DI ISI)'!DL25+'KELURAHAN (DI ISI)'!DL26+'KELURAHAN (DI ISI)'!DL28+'KELURAHAN (DI ISI)'!DL29</f>
        <v>18</v>
      </c>
      <c r="EC11" s="248">
        <f>'KELURAHAN (DI ISI)'!DM24+'KELURAHAN (DI ISI)'!DM25+'KELURAHAN (DI ISI)'!DM26+'KELURAHAN (DI ISI)'!DM28+'KELURAHAN (DI ISI)'!DM29</f>
        <v>7</v>
      </c>
      <c r="ED11" s="491">
        <f t="shared" si="17"/>
        <v>11</v>
      </c>
      <c r="EE11" s="248">
        <f>'KELURAHAN (DI ISI)'!DO24+'KELURAHAN (DI ISI)'!DO25+'KELURAHAN (DI ISI)'!DO26+'KELURAHAN (DI ISI)'!DO28+'KELURAHAN (DI ISI)'!DO29</f>
        <v>0</v>
      </c>
      <c r="EF11" s="248">
        <f>'KELURAHAN (DI ISI)'!DP24+'KELURAHAN (DI ISI)'!DP25+'KELURAHAN (DI ISI)'!DP26+'KELURAHAN (DI ISI)'!DP28+'KELURAHAN (DI ISI)'!DP29</f>
        <v>0</v>
      </c>
      <c r="EG11" s="248">
        <f>'KELURAHAN (DI ISI)'!DQ24+'KELURAHAN (DI ISI)'!DQ25+'KELURAHAN (DI ISI)'!DQ26+'KELURAHAN (DI ISI)'!DQ28+'KELURAHAN (DI ISI)'!DQ29</f>
        <v>4</v>
      </c>
      <c r="EH11" s="248">
        <f>'KELURAHAN (DI ISI)'!DR24+'KELURAHAN (DI ISI)'!DR25+'KELURAHAN (DI ISI)'!DR26+'KELURAHAN (DI ISI)'!DR28+'KELURAHAN (DI ISI)'!DR29</f>
        <v>7</v>
      </c>
      <c r="EI11" s="248">
        <f>'KELURAHAN (DI ISI)'!DS24+'KELURAHAN (DI ISI)'!DS25+'KELURAHAN (DI ISI)'!DS26+'KELURAHAN (DI ISI)'!DS28+'KELURAHAN (DI ISI)'!DS29</f>
        <v>0</v>
      </c>
      <c r="EJ11" s="248">
        <f>'KELURAHAN (DI ISI)'!DT24+'KELURAHAN (DI ISI)'!DT25+'KELURAHAN (DI ISI)'!DT26+'KELURAHAN (DI ISI)'!DT28+'KELURAHAN (DI ISI)'!DT29</f>
        <v>1</v>
      </c>
      <c r="EK11" s="248">
        <f>'KELURAHAN (DI ISI)'!DU24+'KELURAHAN (DI ISI)'!DU25+'KELURAHAN (DI ISI)'!DU26+'KELURAHAN (DI ISI)'!DU28+'KELURAHAN (DI ISI)'!DU29</f>
        <v>2</v>
      </c>
      <c r="EL11" s="248">
        <f>'KELURAHAN (DI ISI)'!DV24+'KELURAHAN (DI ISI)'!DV25+'KELURAHAN (DI ISI)'!DV26+'KELURAHAN (DI ISI)'!DV28+'KELURAHAN (DI ISI)'!DV29</f>
        <v>4</v>
      </c>
      <c r="EM11" s="248">
        <f>'KELURAHAN (DI ISI)'!DW24+'KELURAHAN (DI ISI)'!DW25+'KELURAHAN (DI ISI)'!DW26+'KELURAHAN (DI ISI)'!DW28+'KELURAHAN (DI ISI)'!DW29</f>
        <v>1</v>
      </c>
      <c r="EN11" s="248">
        <f>'KELURAHAN (DI ISI)'!DX24+'KELURAHAN (DI ISI)'!DX25+'KELURAHAN (DI ISI)'!DX26+'KELURAHAN (DI ISI)'!DX28+'KELURAHAN (DI ISI)'!DX29</f>
        <v>1</v>
      </c>
      <c r="EO11" s="248">
        <f>'KELURAHAN (DI ISI)'!DY24+'KELURAHAN (DI ISI)'!DY25+'KELURAHAN (DI ISI)'!DY26+'KELURAHAN (DI ISI)'!DY28+'KELURAHAN (DI ISI)'!DY29</f>
        <v>1</v>
      </c>
      <c r="EP11" s="248">
        <f>'KELURAHAN (DI ISI)'!DZ24+'KELURAHAN (DI ISI)'!DZ25+'KELURAHAN (DI ISI)'!DZ26+'KELURAHAN (DI ISI)'!DZ28+'KELURAHAN (DI ISI)'!DZ29</f>
        <v>1</v>
      </c>
      <c r="EQ11" s="248">
        <f>'KELURAHAN (DI ISI)'!EA24+'KELURAHAN (DI ISI)'!EA25+'KELURAHAN (DI ISI)'!EA26+'KELURAHAN (DI ISI)'!EA28+'KELURAHAN (DI ISI)'!EA29</f>
        <v>0</v>
      </c>
      <c r="ER11" s="248">
        <f>'KELURAHAN (DI ISI)'!EB24+'KELURAHAN (DI ISI)'!EB25+'KELURAHAN (DI ISI)'!EB26+'KELURAHAN (DI ISI)'!EB28+'KELURAHAN (DI ISI)'!EB29</f>
        <v>0</v>
      </c>
      <c r="ES11" s="248">
        <f>'KELURAHAN (DI ISI)'!EC24+'KELURAHAN (DI ISI)'!EC25+'KELURAHAN (DI ISI)'!EC26+'KELURAHAN (DI ISI)'!EC28+'KELURAHAN (DI ISI)'!EC29</f>
        <v>0</v>
      </c>
      <c r="ET11" s="248">
        <f>'KELURAHAN (DI ISI)'!ED24+'KELURAHAN (DI ISI)'!ED25+'KELURAHAN (DI ISI)'!ED26+'KELURAHAN (DI ISI)'!ED28+'KELURAHAN (DI ISI)'!ED29</f>
        <v>0</v>
      </c>
      <c r="EU11" s="248">
        <f>'KELURAHAN (DI ISI)'!EE24+'KELURAHAN (DI ISI)'!EE25+'KELURAHAN (DI ISI)'!EE26+'KELURAHAN (DI ISI)'!EE28+'KELURAHAN (DI ISI)'!EE29</f>
        <v>0</v>
      </c>
      <c r="EV11" s="248">
        <f>'KELURAHAN (DI ISI)'!EF24+'KELURAHAN (DI ISI)'!EF25+'KELURAHAN (DI ISI)'!EF26+'KELURAHAN (DI ISI)'!EF28+'KELURAHAN (DI ISI)'!EF29</f>
        <v>0</v>
      </c>
      <c r="EW11" s="248">
        <f>'KELURAHAN (DI ISI)'!EG24+'KELURAHAN (DI ISI)'!EG25+'KELURAHAN (DI ISI)'!EG26+'KELURAHAN (DI ISI)'!EG28+'KELURAHAN (DI ISI)'!EG29</f>
        <v>4</v>
      </c>
      <c r="EX11" s="248">
        <f>'KELURAHAN (DI ISI)'!EH24+'KELURAHAN (DI ISI)'!EH25+'KELURAHAN (DI ISI)'!EH26+'KELURAHAN (DI ISI)'!EH28+'KELURAHAN (DI ISI)'!EH29</f>
        <v>3</v>
      </c>
      <c r="EY11" s="248">
        <f>'KELURAHAN (DI ISI)'!EI24+'KELURAHAN (DI ISI)'!EI25+'KELURAHAN (DI ISI)'!EI26+'KELURAHAN (DI ISI)'!EI28+'KELURAHAN (DI ISI)'!EI29</f>
        <v>2284</v>
      </c>
      <c r="EZ11" s="248">
        <f>'KELURAHAN (DI ISI)'!EJ24+'KELURAHAN (DI ISI)'!EJ25+'KELURAHAN (DI ISI)'!EJ26+'KELURAHAN (DI ISI)'!EJ28+'KELURAHAN (DI ISI)'!EJ29</f>
        <v>656</v>
      </c>
      <c r="FA11" s="248">
        <f>'KELURAHAN (DI ISI)'!EK24+'KELURAHAN (DI ISI)'!EK25+'KELURAHAN (DI ISI)'!EK26+'KELURAHAN (DI ISI)'!EK28+'KELURAHAN (DI ISI)'!EK29</f>
        <v>2104</v>
      </c>
      <c r="FB11" s="248">
        <f>'KELURAHAN (DI ISI)'!EL24+'KELURAHAN (DI ISI)'!EL25+'KELURAHAN (DI ISI)'!EL26+'KELURAHAN (DI ISI)'!EL28+'KELURAHAN (DI ISI)'!EL29</f>
        <v>656</v>
      </c>
      <c r="FC11" s="248">
        <f>'KELURAHAN (DI ISI)'!EM24+'KELURAHAN (DI ISI)'!EM25+'KELURAHAN (DI ISI)'!EM26+'KELURAHAN (DI ISI)'!EM28+'KELURAHAN (DI ISI)'!EM29</f>
        <v>16</v>
      </c>
      <c r="FD11" s="248">
        <f>'KELURAHAN (DI ISI)'!EN24+'KELURAHAN (DI ISI)'!EN25+'KELURAHAN (DI ISI)'!EN26+'KELURAHAN (DI ISI)'!EN28+'KELURAHAN (DI ISI)'!EN29</f>
        <v>5</v>
      </c>
      <c r="FE11" s="491">
        <f t="shared" si="18"/>
        <v>10</v>
      </c>
      <c r="FF11" s="248">
        <f>'KELURAHAN (DI ISI)'!EP24+'KELURAHAN (DI ISI)'!EP25+'KELURAHAN (DI ISI)'!EP26+'KELURAHAN (DI ISI)'!EP28+'KELURAHAN (DI ISI)'!EP29</f>
        <v>0</v>
      </c>
      <c r="FG11" s="248">
        <f>'KELURAHAN (DI ISI)'!EQ24+'KELURAHAN (DI ISI)'!EQ25+'KELURAHAN (DI ISI)'!EQ26+'KELURAHAN (DI ISI)'!EQ28+'KELURAHAN (DI ISI)'!EQ29</f>
        <v>0</v>
      </c>
      <c r="FH11" s="248">
        <f>'KELURAHAN (DI ISI)'!ER24+'KELURAHAN (DI ISI)'!ER25+'KELURAHAN (DI ISI)'!ER26+'KELURAHAN (DI ISI)'!ER28+'KELURAHAN (DI ISI)'!ER29</f>
        <v>6</v>
      </c>
      <c r="FI11" s="248">
        <f>'KELURAHAN (DI ISI)'!ES24+'KELURAHAN (DI ISI)'!ES25+'KELURAHAN (DI ISI)'!ES26+'KELURAHAN (DI ISI)'!ES28+'KELURAHAN (DI ISI)'!ES29</f>
        <v>9</v>
      </c>
      <c r="FJ11" s="248">
        <f>'KELURAHAN (DI ISI)'!ET24+'KELURAHAN (DI ISI)'!ET25+'KELURAHAN (DI ISI)'!ET26+'KELURAHAN (DI ISI)'!ET28+'KELURAHAN (DI ISI)'!ET29</f>
        <v>0</v>
      </c>
      <c r="FK11" s="248">
        <f>'KELURAHAN (DI ISI)'!EU24+'KELURAHAN (DI ISI)'!EU25+'KELURAHAN (DI ISI)'!EU26+'KELURAHAN (DI ISI)'!EU28+'KELURAHAN (DI ISI)'!EU29</f>
        <v>0</v>
      </c>
      <c r="FL11" s="248">
        <f>'KELURAHAN (DI ISI)'!EV24+'KELURAHAN (DI ISI)'!EV25+'KELURAHAN (DI ISI)'!EV26+'KELURAHAN (DI ISI)'!EV28+'KELURAHAN (DI ISI)'!EV29</f>
        <v>0</v>
      </c>
      <c r="FM11" s="248">
        <f>'KELURAHAN (DI ISI)'!EW24+'KELURAHAN (DI ISI)'!EW25+'KELURAHAN (DI ISI)'!EW26+'KELURAHAN (DI ISI)'!EW28+'KELURAHAN (DI ISI)'!EW29</f>
        <v>1</v>
      </c>
      <c r="FN11" s="248">
        <f>'KELURAHAN (DI ISI)'!EX24+'KELURAHAN (DI ISI)'!EX25+'KELURAHAN (DI ISI)'!EX26+'KELURAHAN (DI ISI)'!EX28+'KELURAHAN (DI ISI)'!EX29</f>
        <v>0</v>
      </c>
      <c r="FO11" s="248">
        <f>'KELURAHAN (DI ISI)'!EY24+'KELURAHAN (DI ISI)'!EY25+'KELURAHAN (DI ISI)'!EY26+'KELURAHAN (DI ISI)'!EY28+'KELURAHAN (DI ISI)'!EY29</f>
        <v>0</v>
      </c>
      <c r="FP11" s="248">
        <f>'KELURAHAN (DI ISI)'!EZ24+'KELURAHAN (DI ISI)'!EZ25+'KELURAHAN (DI ISI)'!EZ26+'KELURAHAN (DI ISI)'!EZ28+'KELURAHAN (DI ISI)'!EZ29</f>
        <v>0</v>
      </c>
      <c r="FQ11" s="248">
        <f>'KELURAHAN (DI ISI)'!FA24+'KELURAHAN (DI ISI)'!FA25+'KELURAHAN (DI ISI)'!FA26+'KELURAHAN (DI ISI)'!FA28+'KELURAHAN (DI ISI)'!FA29</f>
        <v>3</v>
      </c>
      <c r="FR11" s="248">
        <f>'KELURAHAN (DI ISI)'!FB24+'KELURAHAN (DI ISI)'!FB25+'KELURAHAN (DI ISI)'!FB26+'KELURAHAN (DI ISI)'!FB28+'KELURAHAN (DI ISI)'!FB29</f>
        <v>0</v>
      </c>
      <c r="FS11" s="248">
        <f>'KELURAHAN (DI ISI)'!FC24+'KELURAHAN (DI ISI)'!FC25+'KELURAHAN (DI ISI)'!FC26+'KELURAHAN (DI ISI)'!FC28+'KELURAHAN (DI ISI)'!FC29</f>
        <v>0</v>
      </c>
      <c r="FT11" s="248">
        <f>'KELURAHAN (DI ISI)'!FD24+'KELURAHAN (DI ISI)'!FD25+'KELURAHAN (DI ISI)'!FD26+'KELURAHAN (DI ISI)'!FD28+'KELURAHAN (DI ISI)'!FD29</f>
        <v>0</v>
      </c>
      <c r="FU11" s="248">
        <f>'KELURAHAN (DI ISI)'!FE24+'KELURAHAN (DI ISI)'!FE25+'KELURAHAN (DI ISI)'!FE26+'KELURAHAN (DI ISI)'!FE28+'KELURAHAN (DI ISI)'!FE29</f>
        <v>0</v>
      </c>
      <c r="FV11" s="248">
        <f>'KELURAHAN (DI ISI)'!FF24+'KELURAHAN (DI ISI)'!FF25+'KELURAHAN (DI ISI)'!FF26+'KELURAHAN (DI ISI)'!FF28+'KELURAHAN (DI ISI)'!FF29</f>
        <v>0</v>
      </c>
      <c r="FW11" s="248">
        <f>'KELURAHAN (DI ISI)'!FG24+'KELURAHAN (DI ISI)'!FG25+'KELURAHAN (DI ISI)'!FG26+'KELURAHAN (DI ISI)'!FG28+'KELURAHAN (DI ISI)'!FG29</f>
        <v>0</v>
      </c>
      <c r="FX11" s="248">
        <f>'KELURAHAN (DI ISI)'!FH24+'KELURAHAN (DI ISI)'!FH25+'KELURAHAN (DI ISI)'!FH26+'KELURAHAN (DI ISI)'!FH28+'KELURAHAN (DI ISI)'!FH29</f>
        <v>3</v>
      </c>
      <c r="FY11" s="248">
        <f>'KELURAHAN (DI ISI)'!FI24+'KELURAHAN (DI ISI)'!FI25+'KELURAHAN (DI ISI)'!FI26+'KELURAHAN (DI ISI)'!FI28+'KELURAHAN (DI ISI)'!FI29</f>
        <v>0</v>
      </c>
      <c r="FZ11" s="248">
        <f>'KELURAHAN (DI ISI)'!FJ24+'KELURAHAN (DI ISI)'!FJ25+'KELURAHAN (DI ISI)'!FJ26+'KELURAHAN (DI ISI)'!FJ28+'KELURAHAN (DI ISI)'!FJ29</f>
        <v>2277</v>
      </c>
      <c r="GA11" s="248">
        <f>'KELURAHAN (DI ISI)'!FK24+'KELURAHAN (DI ISI)'!FK25+'KELURAHAN (DI ISI)'!FK26+'KELURAHAN (DI ISI)'!FK28+'KELURAHAN (DI ISI)'!FK29</f>
        <v>666</v>
      </c>
      <c r="GB11" s="248">
        <f>'KELURAHAN (DI ISI)'!FL24+'KELURAHAN (DI ISI)'!FL25+'KELURAHAN (DI ISI)'!FL26+'KELURAHAN (DI ISI)'!FL28+'KELURAHAN (DI ISI)'!FL29</f>
        <v>2268</v>
      </c>
      <c r="GC11" s="248">
        <f>'KELURAHAN (DI ISI)'!FM24+'KELURAHAN (DI ISI)'!FM25+'KELURAHAN (DI ISI)'!FM26+'KELURAHAN (DI ISI)'!FM28+'KELURAHAN (DI ISI)'!FM29</f>
        <v>658</v>
      </c>
      <c r="GD11" s="587">
        <v>2268.0</v>
      </c>
      <c r="GE11" s="588">
        <f>'KELURAHAN (DI ISI)'!FO24+'KELURAHAN (DI ISI)'!FO25+'KELURAHAN (DI ISI)'!FO26+'KELURAHAN (DI ISI)'!FO28+'KELURAHAN (DI ISI)'!FO29</f>
        <v>16</v>
      </c>
      <c r="GF11" s="588">
        <f>'KELURAHAN (DI ISI)'!FP24+'KELURAHAN (DI ISI)'!FP25+'KELURAHAN (DI ISI)'!FP26+'KELURAHAN (DI ISI)'!FP28+'KELURAHAN (DI ISI)'!FP29</f>
        <v>16</v>
      </c>
      <c r="GG11" s="588">
        <f>'KELURAHAN (DI ISI)'!FP24+'KELURAHAN (DI ISI)'!FP25+'KELURAHAN (DI ISI)'!FP26+'KELURAHAN (DI ISI)'!FP28+'KELURAHAN (DI ISI)'!FP29</f>
        <v>16</v>
      </c>
      <c r="GH11" s="588">
        <f>'KELURAHAN (DI ISI)'!FQ24+'KELURAHAN (DI ISI)'!FQ25+'KELURAHAN (DI ISI)'!FQ26+'KELURAHAN (DI ISI)'!FQ28+'KELURAHAN (DI ISI)'!FQ29</f>
        <v>6</v>
      </c>
      <c r="GI11" s="571">
        <f t="shared" si="19"/>
        <v>10</v>
      </c>
      <c r="GJ11" s="248">
        <f>'KELURAHAN (DI ISI)'!FS24+'KELURAHAN (DI ISI)'!FS25+'KELURAHAN (DI ISI)'!FS26+'KELURAHAN (DI ISI)'!FS28+'KELURAHAN (DI ISI)'!FS29</f>
        <v>0</v>
      </c>
      <c r="GK11" s="248">
        <f>'KELURAHAN (DI ISI)'!FT24+'KELURAHAN (DI ISI)'!FT25+'KELURAHAN (DI ISI)'!FT26+'KELURAHAN (DI ISI)'!FT28+'KELURAHAN (DI ISI)'!FT29</f>
        <v>0</v>
      </c>
      <c r="GL11" s="248">
        <f>'KELURAHAN (DI ISI)'!FU24+'KELURAHAN (DI ISI)'!FU25+'KELURAHAN (DI ISI)'!FU26+'KELURAHAN (DI ISI)'!FU28+'KELURAHAN (DI ISI)'!FU29</f>
        <v>5</v>
      </c>
      <c r="GM11" s="248">
        <f>'KELURAHAN (DI ISI)'!FV24+'KELURAHAN (DI ISI)'!FV25+'KELURAHAN (DI ISI)'!FV26+'KELURAHAN (DI ISI)'!FV28+'KELURAHAN (DI ISI)'!FV29</f>
        <v>10</v>
      </c>
      <c r="GN11" s="248">
        <f>'KELURAHAN (DI ISI)'!FW24+'KELURAHAN (DI ISI)'!FW25+'KELURAHAN (DI ISI)'!FW26+'KELURAHAN (DI ISI)'!FW28+'KELURAHAN (DI ISI)'!FW29</f>
        <v>0</v>
      </c>
      <c r="GO11" s="248">
        <f>'KELURAHAN (DI ISI)'!FX24+'KELURAHAN (DI ISI)'!FX25+'KELURAHAN (DI ISI)'!FX26+'KELURAHAN (DI ISI)'!FX28+'KELURAHAN (DI ISI)'!FX29</f>
        <v>0</v>
      </c>
      <c r="GP11" s="248">
        <f>'KELURAHAN (DI ISI)'!FY24+'KELURAHAN (DI ISI)'!FY25+'KELURAHAN (DI ISI)'!FY26+'KELURAHAN (DI ISI)'!FY28+'KELURAHAN (DI ISI)'!FY29</f>
        <v>1</v>
      </c>
      <c r="GQ11" s="248">
        <f>'KELURAHAN (DI ISI)'!FZ24+'KELURAHAN (DI ISI)'!FZ25+'KELURAHAN (DI ISI)'!FZ26+'KELURAHAN (DI ISI)'!FZ28+'KELURAHAN (DI ISI)'!FZ29</f>
        <v>0</v>
      </c>
      <c r="GR11" s="248">
        <f>'KELURAHAN (DI ISI)'!GA24+'KELURAHAN (DI ISI)'!GA25+'KELURAHAN (DI ISI)'!GA26+'KELURAHAN (DI ISI)'!GA28+'KELURAHAN (DI ISI)'!GA29</f>
        <v>0</v>
      </c>
      <c r="GS11" s="248">
        <f>'KELURAHAN (DI ISI)'!GB24+'KELURAHAN (DI ISI)'!GB25+'KELURAHAN (DI ISI)'!GB26+'KELURAHAN (DI ISI)'!GB28+'KELURAHAN (DI ISI)'!GB29</f>
        <v>0</v>
      </c>
      <c r="GT11" s="248">
        <f>'KELURAHAN (DI ISI)'!GC24+'KELURAHAN (DI ISI)'!GC25+'KELURAHAN (DI ISI)'!GC26+'KELURAHAN (DI ISI)'!GC28+'KELURAHAN (DI ISI)'!GC29</f>
        <v>0</v>
      </c>
      <c r="GU11" s="248">
        <f>'KELURAHAN (DI ISI)'!GD24+'KELURAHAN (DI ISI)'!GD25+'KELURAHAN (DI ISI)'!GD26+'KELURAHAN (DI ISI)'!GD28+'KELURAHAN (DI ISI)'!GD29</f>
        <v>2</v>
      </c>
      <c r="GV11" s="248">
        <f>'KELURAHAN (DI ISI)'!GE24+'KELURAHAN (DI ISI)'!GE25+'KELURAHAN (DI ISI)'!GE26+'KELURAHAN (DI ISI)'!GE28+'KELURAHAN (DI ISI)'!GE29</f>
        <v>0</v>
      </c>
      <c r="GW11" s="248">
        <f>'KELURAHAN (DI ISI)'!GF24+'KELURAHAN (DI ISI)'!GF25+'KELURAHAN (DI ISI)'!GF26+'KELURAHAN (DI ISI)'!GF28+'KELURAHAN (DI ISI)'!GF29</f>
        <v>0</v>
      </c>
      <c r="GX11" s="248">
        <f>'KELURAHAN (DI ISI)'!GG24+'KELURAHAN (DI ISI)'!GG25+'KELURAHAN (DI ISI)'!GG26+'KELURAHAN (DI ISI)'!GG28+'KELURAHAN (DI ISI)'!GG29</f>
        <v>0</v>
      </c>
      <c r="GY11" s="248">
        <f>'KELURAHAN (DI ISI)'!GH24+'KELURAHAN (DI ISI)'!GH25+'KELURAHAN (DI ISI)'!GH26+'KELURAHAN (DI ISI)'!GH28+'KELURAHAN (DI ISI)'!GH29</f>
        <v>0</v>
      </c>
      <c r="GZ11" s="248">
        <f>'KELURAHAN (DI ISI)'!GI24+'KELURAHAN (DI ISI)'!GI25+'KELURAHAN (DI ISI)'!GI26+'KELURAHAN (DI ISI)'!GI28+'KELURAHAN (DI ISI)'!GI29</f>
        <v>0</v>
      </c>
      <c r="HA11" s="248">
        <f>'KELURAHAN (DI ISI)'!GJ24+'KELURAHAN (DI ISI)'!GJ25+'KELURAHAN (DI ISI)'!GJ26+'KELURAHAN (DI ISI)'!GJ28+'KELURAHAN (DI ISI)'!GJ29</f>
        <v>0</v>
      </c>
      <c r="HB11" s="589">
        <f>'KELURAHAN (DI ISI)'!GK24+'KELURAHAN (DI ISI)'!GK25+'KELURAHAN (DI ISI)'!GK26+'KELURAHAN (DI ISI)'!GK28+'KELURAHAN (DI ISI)'!GK29</f>
        <v>2</v>
      </c>
      <c r="HC11" s="589">
        <f>'KELURAHAN (DI ISI)'!GL24+'KELURAHAN (DI ISI)'!GL25+'KELURAHAN (DI ISI)'!GL26+'KELURAHAN (DI ISI)'!GL28+'KELURAHAN (DI ISI)'!GL29</f>
        <v>0</v>
      </c>
      <c r="HD11" s="248">
        <f>'KELURAHAN (DI ISI)'!GM24+'KELURAHAN (DI ISI)'!GM25+'KELURAHAN (DI ISI)'!GM26+'KELURAHAN (DI ISI)'!GM28+'KELURAHAN (DI ISI)'!GM29</f>
        <v>2226</v>
      </c>
      <c r="HE11" s="248">
        <f>'KELURAHAN (DI ISI)'!GN24+'KELURAHAN (DI ISI)'!GN25+'KELURAHAN (DI ISI)'!GN26+'KELURAHAN (DI ISI)'!GN28+'KELURAHAN (DI ISI)'!GN29</f>
        <v>634</v>
      </c>
      <c r="HF11" s="248">
        <f>'KELURAHAN (DI ISI)'!GO24+'KELURAHAN (DI ISI)'!GO25+'KELURAHAN (DI ISI)'!GO26+'KELURAHAN (DI ISI)'!GO28+'KELURAHAN (DI ISI)'!GO29</f>
        <v>2097</v>
      </c>
      <c r="HG11" s="248">
        <f>'KELURAHAN (DI ISI)'!GP24+'KELURAHAN (DI ISI)'!GP25+'KELURAHAN (DI ISI)'!GP26+'KELURAHAN (DI ISI)'!GP28+'KELURAHAN (DI ISI)'!GP29</f>
        <v>520</v>
      </c>
      <c r="HH11" s="587">
        <v>2268.0</v>
      </c>
      <c r="HI11" s="590">
        <f>'KELURAHAN (DI ISI)'!GR24+'KELURAHAN (DI ISI)'!GR25+'KELURAHAN (DI ISI)'!GR26+'KELURAHAN (DI ISI)'!GR28+'KELURAHAN (DI ISI)'!GR29</f>
        <v>15</v>
      </c>
      <c r="HJ11" s="590">
        <f>'KELURAHAN (DI ISI)'!GS24+'KELURAHAN (DI ISI)'!GS25+'KELURAHAN (DI ISI)'!GS26+'KELURAHAN (DI ISI)'!GS28+'KELURAHAN (DI ISI)'!GS29</f>
        <v>5</v>
      </c>
      <c r="HK11" s="591">
        <f>'KELURAHAN (DI ISI)'!GT24+'KELURAHAN (DI ISI)'!GT25+'KELURAHAN (DI ISI)'!GT26+'KELURAHAN (DI ISI)'!GT28+'KELURAHAN (DI ISI)'!GT29</f>
        <v>15</v>
      </c>
      <c r="HL11" s="591">
        <f>'KELURAHAN (DI ISI)'!GU24+'KELURAHAN (DI ISI)'!GU25+'KELURAHAN (DI ISI)'!GU26+'KELURAHAN (DI ISI)'!GU28+'KELURAHAN (DI ISI)'!GU29</f>
        <v>5</v>
      </c>
      <c r="HM11" s="573">
        <f t="shared" si="20"/>
        <v>10</v>
      </c>
      <c r="HN11" s="248">
        <f>'KELURAHAN (DI ISI)'!GW24+'KELURAHAN (DI ISI)'!GW25+'KELURAHAN (DI ISI)'!GW26+'KELURAHAN (DI ISI)'!GW28+'KELURAHAN (DI ISI)'!GW29</f>
        <v>0</v>
      </c>
      <c r="HO11" s="248">
        <f>'KELURAHAN (DI ISI)'!GX24+'KELURAHAN (DI ISI)'!GX25+'KELURAHAN (DI ISI)'!GX26+'KELURAHAN (DI ISI)'!GX28+'KELURAHAN (DI ISI)'!GX29</f>
        <v>0</v>
      </c>
      <c r="HP11" s="248">
        <f>'KELURAHAN (DI ISI)'!GY24+'KELURAHAN (DI ISI)'!GY25+'KELURAHAN (DI ISI)'!GY26+'KELURAHAN (DI ISI)'!GY28+'KELURAHAN (DI ISI)'!GY29</f>
        <v>4</v>
      </c>
      <c r="HQ11" s="248">
        <f>'KELURAHAN (DI ISI)'!GZ24+'KELURAHAN (DI ISI)'!GZ25+'KELURAHAN (DI ISI)'!GZ26+'KELURAHAN (DI ISI)'!GZ28+'KELURAHAN (DI ISI)'!GZ29</f>
        <v>8</v>
      </c>
      <c r="HR11" s="248">
        <f>'KELURAHAN (DI ISI)'!HA24+'KELURAHAN (DI ISI)'!HA25+'KELURAHAN (DI ISI)'!HA26+'KELURAHAN (DI ISI)'!HA28+'KELURAHAN (DI ISI)'!HA29</f>
        <v>0</v>
      </c>
      <c r="HS11" s="248">
        <f>'KELURAHAN (DI ISI)'!HB24+'KELURAHAN (DI ISI)'!HB25+'KELURAHAN (DI ISI)'!HB26+'KELURAHAN (DI ISI)'!HB28+'KELURAHAN (DI ISI)'!HB29</f>
        <v>0</v>
      </c>
      <c r="HT11" s="248">
        <f>'KELURAHAN (DI ISI)'!HC24+'KELURAHAN (DI ISI)'!HC25+'KELURAHAN (DI ISI)'!HC26+'KELURAHAN (DI ISI)'!HC28+'KELURAHAN (DI ISI)'!HC29</f>
        <v>1</v>
      </c>
      <c r="HU11" s="248">
        <f>'KELURAHAN (DI ISI)'!HD24+'KELURAHAN (DI ISI)'!HD25+'KELURAHAN (DI ISI)'!HD26+'KELURAHAN (DI ISI)'!HD28+'KELURAHAN (DI ISI)'!HD29</f>
        <v>2</v>
      </c>
      <c r="HV11" s="248">
        <f>'KELURAHAN (DI ISI)'!HE24+'KELURAHAN (DI ISI)'!HE25+'KELURAHAN (DI ISI)'!HE26+'KELURAHAN (DI ISI)'!HE28+'KELURAHAN (DI ISI)'!HE29</f>
        <v>0</v>
      </c>
      <c r="HW11" s="248">
        <f>'KELURAHAN (DI ISI)'!HF24+'KELURAHAN (DI ISI)'!HF25+'KELURAHAN (DI ISI)'!HF26+'KELURAHAN (DI ISI)'!HF28+'KELURAHAN (DI ISI)'!HF29</f>
        <v>0</v>
      </c>
      <c r="HX11" s="248">
        <f>'KELURAHAN (DI ISI)'!HG24+'KELURAHAN (DI ISI)'!HG25+'KELURAHAN (DI ISI)'!HG26+'KELURAHAN (DI ISI)'!HG28+'KELURAHAN (DI ISI)'!HG29</f>
        <v>0</v>
      </c>
      <c r="HY11" s="248">
        <f>'KELURAHAN (DI ISI)'!HH24+'KELURAHAN (DI ISI)'!HH25+'KELURAHAN (DI ISI)'!HH26+'KELURAHAN (DI ISI)'!HH28+'KELURAHAN (DI ISI)'!HH29</f>
        <v>1</v>
      </c>
      <c r="HZ11" s="248">
        <f>'KELURAHAN (DI ISI)'!HI24+'KELURAHAN (DI ISI)'!HI25+'KELURAHAN (DI ISI)'!HI26+'KELURAHAN (DI ISI)'!HI28+'KELURAHAN (DI ISI)'!HI29</f>
        <v>0</v>
      </c>
      <c r="IA11" s="248">
        <f>'KELURAHAN (DI ISI)'!HJ24+'KELURAHAN (DI ISI)'!HJ25+'KELURAHAN (DI ISI)'!HJ26+'KELURAHAN (DI ISI)'!HJ28+'KELURAHAN (DI ISI)'!HJ29</f>
        <v>0</v>
      </c>
      <c r="IB11" s="248">
        <f>'KELURAHAN (DI ISI)'!HK24+'KELURAHAN (DI ISI)'!HK25+'KELURAHAN (DI ISI)'!HK26+'KELURAHAN (DI ISI)'!HK28+'KELURAHAN (DI ISI)'!HK29</f>
        <v>0</v>
      </c>
      <c r="IC11" s="248">
        <f>'KELURAHAN (DI ISI)'!HL24+'KELURAHAN (DI ISI)'!HL25+'KELURAHAN (DI ISI)'!HL26+'KELURAHAN (DI ISI)'!HL28+'KELURAHAN (DI ISI)'!HL29</f>
        <v>0</v>
      </c>
      <c r="ID11" s="248">
        <f>'KELURAHAN (DI ISI)'!HM24+'KELURAHAN (DI ISI)'!HM25+'KELURAHAN (DI ISI)'!HM26+'KELURAHAN (DI ISI)'!HM28+'KELURAHAN (DI ISI)'!HM29</f>
        <v>0</v>
      </c>
      <c r="IE11" s="248">
        <f>'KELURAHAN (DI ISI)'!HN24+'KELURAHAN (DI ISI)'!HN25+'KELURAHAN (DI ISI)'!HN26+'KELURAHAN (DI ISI)'!HN28+'KELURAHAN (DI ISI)'!HN29</f>
        <v>0</v>
      </c>
      <c r="IF11" s="591">
        <f>'KELURAHAN (DI ISI)'!HO24+'KELURAHAN (DI ISI)'!HO25+'KELURAHAN (DI ISI)'!HO26+'KELURAHAN (DI ISI)'!HO28+'KELURAHAN (DI ISI)'!HO29</f>
        <v>1</v>
      </c>
      <c r="IG11" s="591">
        <f>'KELURAHAN (DI ISI)'!HP24+'KELURAHAN (DI ISI)'!HP25+'KELURAHAN (DI ISI)'!HP26+'KELURAHAN (DI ISI)'!HP28+'KELURAHAN (DI ISI)'!HP29</f>
        <v>0</v>
      </c>
      <c r="IK11" s="198">
        <f t="shared" si="21"/>
        <v>18</v>
      </c>
      <c r="IL11" s="198">
        <f t="shared" si="22"/>
        <v>18</v>
      </c>
      <c r="IM11" s="198">
        <f t="shared" si="23"/>
        <v>17</v>
      </c>
      <c r="IN11" s="198">
        <f t="shared" si="24"/>
        <v>16</v>
      </c>
      <c r="IO11" s="198">
        <f t="shared" si="25"/>
        <v>12</v>
      </c>
      <c r="IP11" s="198">
        <f t="shared" si="26"/>
        <v>9</v>
      </c>
      <c r="IQ11" s="574">
        <f t="shared" si="27"/>
        <v>12</v>
      </c>
      <c r="IR11" s="574">
        <f t="shared" si="28"/>
        <v>17</v>
      </c>
      <c r="IS11" s="574">
        <f t="shared" si="29"/>
        <v>18</v>
      </c>
      <c r="IT11" s="574">
        <f t="shared" si="30"/>
        <v>16</v>
      </c>
      <c r="IU11" s="574">
        <f t="shared" si="31"/>
        <v>16</v>
      </c>
      <c r="IV11" s="575">
        <f t="shared" si="32"/>
        <v>15</v>
      </c>
      <c r="IW11" s="583"/>
      <c r="IX11" s="576">
        <f t="shared" si="33"/>
        <v>-15</v>
      </c>
      <c r="IZ11" s="577"/>
      <c r="JA11" s="162">
        <f t="shared" si="34"/>
        <v>-2226</v>
      </c>
      <c r="JB11" s="578"/>
      <c r="JC11" s="579">
        <f t="shared" si="35"/>
        <v>-634</v>
      </c>
      <c r="JD11" s="592"/>
      <c r="JE11" s="585"/>
      <c r="JF11" s="577"/>
      <c r="JG11" s="234">
        <f t="shared" si="36"/>
        <v>-2097</v>
      </c>
      <c r="JH11" s="578"/>
      <c r="JI11" s="579">
        <f t="shared" si="37"/>
        <v>-520</v>
      </c>
      <c r="JJ11" s="247"/>
    </row>
    <row r="12" ht="14.25" customHeight="1">
      <c r="A12" s="158">
        <v>5.0</v>
      </c>
      <c r="B12" s="157" t="s">
        <v>106</v>
      </c>
      <c r="C12" s="253">
        <v>3374130.0</v>
      </c>
      <c r="D12" s="569" t="s">
        <v>323</v>
      </c>
      <c r="E12" s="253"/>
      <c r="F12" s="259">
        <f>'KELURAHAN (DI ISI)'!F38+'KELURAHAN (DI ISI)'!F39+'KELURAHAN (DI ISI)'!F40+'KELURAHAN (DI ISI)'!F41</f>
        <v>29</v>
      </c>
      <c r="G12" s="259">
        <f>'KELURAHAN (DI ISI)'!G38+'KELURAHAN (DI ISI)'!G39+'KELURAHAN (DI ISI)'!G40+'KELURAHAN (DI ISI)'!G41</f>
        <v>993</v>
      </c>
      <c r="H12" s="259">
        <f>'KELURAHAN (DI ISI)'!H38+'KELURAHAN (DI ISI)'!H39+'KELURAHAN (DI ISI)'!H40+'KELURAHAN (DI ISI)'!H41</f>
        <v>8</v>
      </c>
      <c r="I12" s="491">
        <f t="shared" si="1"/>
        <v>2</v>
      </c>
      <c r="J12" s="491">
        <f t="shared" si="2"/>
        <v>6</v>
      </c>
      <c r="K12" s="491">
        <f>'KELURAHAN (DI ISI)'!I38+'KELURAHAN (DI ISI)'!I39+'KELURAHAN (DI ISI)'!I40+'KELURAHAN (DI ISI)'!I41</f>
        <v>0</v>
      </c>
      <c r="L12" s="491">
        <f>'KELURAHAN (DI ISI)'!J38+'KELURAHAN (DI ISI)'!J39+'KELURAHAN (DI ISI)'!J40+'KELURAHAN (DI ISI)'!J41</f>
        <v>0</v>
      </c>
      <c r="M12" s="491">
        <f>'KELURAHAN (DI ISI)'!K38+'KELURAHAN (DI ISI)'!K39+'KELURAHAN (DI ISI)'!K40+'KELURAHAN (DI ISI)'!K41</f>
        <v>2</v>
      </c>
      <c r="N12" s="491">
        <f>'KELURAHAN (DI ISI)'!L38+'KELURAHAN (DI ISI)'!L39+'KELURAHAN (DI ISI)'!L40+'KELURAHAN (DI ISI)'!L41</f>
        <v>6</v>
      </c>
      <c r="O12" s="491">
        <f>'KELURAHAN (DI ISI)'!M38+'KELURAHAN (DI ISI)'!M39+'KELURAHAN (DI ISI)'!M40+'KELURAHAN (DI ISI)'!M41</f>
        <v>7</v>
      </c>
      <c r="P12" s="491">
        <f>'KELURAHAN (DI ISI)'!N38+'KELURAHAN (DI ISI)'!N39+'KELURAHAN (DI ISI)'!N40+'KELURAHAN (DI ISI)'!N41</f>
        <v>0</v>
      </c>
      <c r="Q12" s="491">
        <f>'KELURAHAN (DI ISI)'!O38+'KELURAHAN (DI ISI)'!O39+'KELURAHAN (DI ISI)'!O40+'KELURAHAN (DI ISI)'!O41</f>
        <v>1</v>
      </c>
      <c r="R12" s="491">
        <f>'KELURAHAN (DI ISI)'!P38+'KELURAHAN (DI ISI)'!P39+'KELURAHAN (DI ISI)'!P40+'KELURAHAN (DI ISI)'!P41</f>
        <v>12</v>
      </c>
      <c r="S12" s="491">
        <f t="shared" si="3"/>
        <v>3</v>
      </c>
      <c r="T12" s="491">
        <f t="shared" si="4"/>
        <v>9</v>
      </c>
      <c r="U12" s="491">
        <f>'KELURAHAN (DI ISI)'!Q38+'KELURAHAN (DI ISI)'!Q39+'KELURAHAN (DI ISI)'!Q40+'KELURAHAN (DI ISI)'!Q41</f>
        <v>0</v>
      </c>
      <c r="V12" s="491">
        <f>'KELURAHAN (DI ISI)'!R38+'KELURAHAN (DI ISI)'!R39+'KELURAHAN (DI ISI)'!R40+'KELURAHAN (DI ISI)'!R41</f>
        <v>0</v>
      </c>
      <c r="W12" s="491">
        <f>'KELURAHAN (DI ISI)'!S38+'KELURAHAN (DI ISI)'!S39+'KELURAHAN (DI ISI)'!S40+'KELURAHAN (DI ISI)'!S41</f>
        <v>3</v>
      </c>
      <c r="X12" s="491">
        <f>'KELURAHAN (DI ISI)'!T38+'KELURAHAN (DI ISI)'!T39+'KELURAHAN (DI ISI)'!T40+'KELURAHAN (DI ISI)'!T41</f>
        <v>9</v>
      </c>
      <c r="Y12" s="491">
        <f>'KELURAHAN (DI ISI)'!U38+'KELURAHAN (DI ISI)'!U39+'KELURAHAN (DI ISI)'!U40+'KELURAHAN (DI ISI)'!U41</f>
        <v>4</v>
      </c>
      <c r="Z12" s="491">
        <f>'KELURAHAN (DI ISI)'!V38+'KELURAHAN (DI ISI)'!V39+'KELURAHAN (DI ISI)'!V40+'KELURAHAN (DI ISI)'!V41</f>
        <v>0</v>
      </c>
      <c r="AA12" s="491">
        <f>'KELURAHAN (DI ISI)'!W38+'KELURAHAN (DI ISI)'!W39+'KELURAHAN (DI ISI)'!W40+'KELURAHAN (DI ISI)'!W41</f>
        <v>8</v>
      </c>
      <c r="AB12" s="491">
        <f>'KELURAHAN (DI ISI)'!X38+'KELURAHAN (DI ISI)'!X39+'KELURAHAN (DI ISI)'!X40+'KELURAHAN (DI ISI)'!X41</f>
        <v>12</v>
      </c>
      <c r="AC12" s="491">
        <f t="shared" si="5"/>
        <v>3</v>
      </c>
      <c r="AD12" s="491">
        <f t="shared" si="6"/>
        <v>9</v>
      </c>
      <c r="AE12" s="491">
        <f>'KELURAHAN (DI ISI)'!Y38+'KELURAHAN (DI ISI)'!Y39+'KELURAHAN (DI ISI)'!Y40+'KELURAHAN (DI ISI)'!Y41</f>
        <v>0</v>
      </c>
      <c r="AF12" s="491">
        <f>'KELURAHAN (DI ISI)'!Z38+'KELURAHAN (DI ISI)'!Z39+'KELURAHAN (DI ISI)'!Z40+'KELURAHAN (DI ISI)'!Z41</f>
        <v>0</v>
      </c>
      <c r="AG12" s="491">
        <f>'KELURAHAN (DI ISI)'!AA38+'KELURAHAN (DI ISI)'!AA39+'KELURAHAN (DI ISI)'!AA40+'KELURAHAN (DI ISI)'!AA41</f>
        <v>3</v>
      </c>
      <c r="AH12" s="491">
        <f>'KELURAHAN (DI ISI)'!AB38+'KELURAHAN (DI ISI)'!AB39+'KELURAHAN (DI ISI)'!AB40+'KELURAHAN (DI ISI)'!AB41</f>
        <v>9</v>
      </c>
      <c r="AI12" s="491">
        <f>'KELURAHAN (DI ISI)'!AC38+'KELURAHAN (DI ISI)'!AC39+'KELURAHAN (DI ISI)'!AC40+'KELURAHAN (DI ISI)'!AC41</f>
        <v>0</v>
      </c>
      <c r="AJ12" s="491">
        <f>'KELURAHAN (DI ISI)'!AD38+'KELURAHAN (DI ISI)'!AD39+'KELURAHAN (DI ISI)'!AD40+'KELURAHAN (DI ISI)'!AD41</f>
        <v>0</v>
      </c>
      <c r="AK12" s="491">
        <f>'KELURAHAN (DI ISI)'!AE38+'KELURAHAN (DI ISI)'!AE39+'KELURAHAN (DI ISI)'!AE40+'KELURAHAN (DI ISI)'!AE41</f>
        <v>12</v>
      </c>
      <c r="AL12" s="491">
        <f>'KELURAHAN (DI ISI)'!AF38+'KELURAHAN (DI ISI)'!AF39+'KELURAHAN (DI ISI)'!AF40+'KELURAHAN (DI ISI)'!AF41</f>
        <v>10</v>
      </c>
      <c r="AM12" s="491">
        <f t="shared" si="7"/>
        <v>3</v>
      </c>
      <c r="AN12" s="491">
        <f t="shared" si="8"/>
        <v>7</v>
      </c>
      <c r="AO12" s="491">
        <f>'KELURAHAN (DI ISI)'!AG38+'KELURAHAN (DI ISI)'!AG39+'KELURAHAN (DI ISI)'!AG40+'KELURAHAN (DI ISI)'!AG41</f>
        <v>0</v>
      </c>
      <c r="AP12" s="491">
        <f>'KELURAHAN (DI ISI)'!AH38+'KELURAHAN (DI ISI)'!AH39+'KELURAHAN (DI ISI)'!AH40+'KELURAHAN (DI ISI)'!AH41</f>
        <v>0</v>
      </c>
      <c r="AQ12" s="491">
        <f>'KELURAHAN (DI ISI)'!AI38+'KELURAHAN (DI ISI)'!AI39+'KELURAHAN (DI ISI)'!AI40+'KELURAHAN (DI ISI)'!AI41</f>
        <v>3</v>
      </c>
      <c r="AR12" s="491">
        <f>'KELURAHAN (DI ISI)'!AJ38+'KELURAHAN (DI ISI)'!AJ39+'KELURAHAN (DI ISI)'!AJ40+'KELURAHAN (DI ISI)'!AJ41</f>
        <v>7</v>
      </c>
      <c r="AS12" s="491">
        <f>'KELURAHAN (DI ISI)'!AK38+'KELURAHAN (DI ISI)'!AK39+'KELURAHAN (DI ISI)'!AK40+'KELURAHAN (DI ISI)'!AK41</f>
        <v>0</v>
      </c>
      <c r="AT12" s="491">
        <f>'KELURAHAN (DI ISI)'!AL38+'KELURAHAN (DI ISI)'!AL39+'KELURAHAN (DI ISI)'!AL40+'KELURAHAN (DI ISI)'!AL41</f>
        <v>2</v>
      </c>
      <c r="AU12" s="491">
        <f>'KELURAHAN (DI ISI)'!AM38+'KELURAHAN (DI ISI)'!AM39+'KELURAHAN (DI ISI)'!AM40+'KELURAHAN (DI ISI)'!AM41</f>
        <v>8</v>
      </c>
      <c r="AV12" s="491">
        <f>'KELURAHAN (DI ISI)'!AN38+'KELURAHAN (DI ISI)'!AN39+'KELURAHAN (DI ISI)'!AN40+'KELURAHAN (DI ISI)'!AN41</f>
        <v>35</v>
      </c>
      <c r="AW12" s="491">
        <f t="shared" si="9"/>
        <v>19</v>
      </c>
      <c r="AX12" s="491">
        <f t="shared" si="10"/>
        <v>16</v>
      </c>
      <c r="AY12" s="491">
        <f>'KELURAHAN (DI ISI)'!AO38+'KELURAHAN (DI ISI)'!AO39+'KELURAHAN (DI ISI)'!AO40+'KELURAHAN (DI ISI)'!AO41</f>
        <v>2</v>
      </c>
      <c r="AZ12" s="491">
        <f>'KELURAHAN (DI ISI)'!AP38+'KELURAHAN (DI ISI)'!AP39+'KELURAHAN (DI ISI)'!AP40+'KELURAHAN (DI ISI)'!AP41</f>
        <v>7</v>
      </c>
      <c r="BA12" s="491">
        <f>'KELURAHAN (DI ISI)'!AQ38+'KELURAHAN (DI ISI)'!AQ39+'KELURAHAN (DI ISI)'!AQ40+'KELURAHAN (DI ISI)'!AQ41</f>
        <v>10</v>
      </c>
      <c r="BB12" s="491">
        <f>'KELURAHAN (DI ISI)'!AR38+'KELURAHAN (DI ISI)'!AR39+'KELURAHAN (DI ISI)'!AR40+'KELURAHAN (DI ISI)'!AR41</f>
        <v>16</v>
      </c>
      <c r="BC12" s="491">
        <f>'KELURAHAN (DI ISI)'!AS38+'KELURAHAN (DI ISI)'!AS39+'KELURAHAN (DI ISI)'!AS40+'KELURAHAN (DI ISI)'!AS41</f>
        <v>27</v>
      </c>
      <c r="BD12" s="491">
        <f>'KELURAHAN (DI ISI)'!AT38+'KELURAHAN (DI ISI)'!AT39+'KELURAHAN (DI ISI)'!AT40+'KELURAHAN (DI ISI)'!AT41</f>
        <v>0</v>
      </c>
      <c r="BE12" s="491">
        <f>'KELURAHAN (DI ISI)'!AU38+'KELURAHAN (DI ISI)'!AU39+'KELURAHAN (DI ISI)'!AU40+'KELURAHAN (DI ISI)'!AU41</f>
        <v>8</v>
      </c>
      <c r="BF12" s="491">
        <f>'KELURAHAN (DI ISI)'!AV38+'KELURAHAN (DI ISI)'!AV39+'KELURAHAN (DI ISI)'!AV40+'KELURAHAN (DI ISI)'!AV41</f>
        <v>1176</v>
      </c>
      <c r="BG12" s="491">
        <f>'KELURAHAN (DI ISI)'!AW38+'KELURAHAN (DI ISI)'!AW39+'KELURAHAN (DI ISI)'!AW40+'KELURAHAN (DI ISI)'!AW41</f>
        <v>28</v>
      </c>
      <c r="BH12" s="491">
        <f t="shared" si="11"/>
        <v>7</v>
      </c>
      <c r="BI12" s="495">
        <f t="shared" si="12"/>
        <v>12</v>
      </c>
      <c r="BJ12" s="491">
        <f>'KELURAHAN (DI ISI)'!AX38+'KELURAHAN (DI ISI)'!AX39+'KELURAHAN (DI ISI)'!AX40+'KELURAHAN (DI ISI)'!AX41</f>
        <v>0</v>
      </c>
      <c r="BK12" s="491">
        <f>'KELURAHAN (DI ISI)'!AY38+'KELURAHAN (DI ISI)'!AY39+'KELURAHAN (DI ISI)'!AY40+'KELURAHAN (DI ISI)'!AY41</f>
        <v>1</v>
      </c>
      <c r="BL12" s="491">
        <f>'KELURAHAN (DI ISI)'!AZ38+'KELURAHAN (DI ISI)'!AZ39+'KELURAHAN (DI ISI)'!AZ40+'KELURAHAN (DI ISI)'!AZ41</f>
        <v>6</v>
      </c>
      <c r="BM12" s="491">
        <f>'KELURAHAN (DI ISI)'!BA38+'KELURAHAN (DI ISI)'!BA39+'KELURAHAN (DI ISI)'!BA40+'KELURAHAN (DI ISI)'!BA41</f>
        <v>12</v>
      </c>
      <c r="BN12" s="491">
        <f>'KELURAHAN (DI ISI)'!BB38+'KELURAHAN (DI ISI)'!BB39+'KELURAHAN (DI ISI)'!BB40+'KELURAHAN (DI ISI)'!BB41</f>
        <v>0</v>
      </c>
      <c r="BO12" s="491">
        <f>'KELURAHAN (DI ISI)'!BC38+'KELURAHAN (DI ISI)'!BC39+'KELURAHAN (DI ISI)'!BC40+'KELURAHAN (DI ISI)'!BC41</f>
        <v>0</v>
      </c>
      <c r="BP12" s="491">
        <f>'KELURAHAN (DI ISI)'!BD38+'KELURAHAN (DI ISI)'!BD39+'KELURAHAN (DI ISI)'!BD40+'KELURAHAN (DI ISI)'!BD41</f>
        <v>6</v>
      </c>
      <c r="BQ12" s="491">
        <f>'KELURAHAN (DI ISI)'!BE38+'KELURAHAN (DI ISI)'!BE39+'KELURAHAN (DI ISI)'!BE40+'KELURAHAN (DI ISI)'!BE41</f>
        <v>3</v>
      </c>
      <c r="BR12" s="491">
        <f>'KELURAHAN (DI ISI)'!BF38+'KELURAHAN (DI ISI)'!BF39+'KELURAHAN (DI ISI)'!BF40+'KELURAHAN (DI ISI)'!BF41</f>
        <v>1</v>
      </c>
      <c r="BS12" s="491">
        <f>'KELURAHAN (DI ISI)'!BG38+'KELURAHAN (DI ISI)'!BG39+'KELURAHAN (DI ISI)'!BG40+'KELURAHAN (DI ISI)'!BG41</f>
        <v>6</v>
      </c>
      <c r="BT12" s="491">
        <f>'KELURAHAN (DI ISI)'!BH38+'KELURAHAN (DI ISI)'!BH39+'KELURAHAN (DI ISI)'!BH40+'KELURAHAN (DI ISI)'!BH41</f>
        <v>1</v>
      </c>
      <c r="BU12" s="491">
        <f>'KELURAHAN (DI ISI)'!BI38+'KELURAHAN (DI ISI)'!BI39+'KELURAHAN (DI ISI)'!BI40+'KELURAHAN (DI ISI)'!BI41</f>
        <v>2</v>
      </c>
      <c r="BV12" s="491">
        <f>'KELURAHAN (DI ISI)'!BJ38+'KELURAHAN (DI ISI)'!BJ39+'KELURAHAN (DI ISI)'!BJ40+'KELURAHAN (DI ISI)'!BJ41</f>
        <v>0</v>
      </c>
      <c r="BW12" s="491">
        <f>'KELURAHAN (DI ISI)'!BK38+'KELURAHAN (DI ISI)'!BK39+'KELURAHAN (DI ISI)'!BK40+'KELURAHAN (DI ISI)'!BK41</f>
        <v>0</v>
      </c>
      <c r="BX12" s="491">
        <f>'KELURAHAN (DI ISI)'!BL38+'KELURAHAN (DI ISI)'!BL39+'KELURAHAN (DI ISI)'!BL40+'KELURAHAN (DI ISI)'!BL41</f>
        <v>0</v>
      </c>
      <c r="BY12" s="491">
        <f>'KELURAHAN (DI ISI)'!BM38+'KELURAHAN (DI ISI)'!BM39+'KELURAHAN (DI ISI)'!BM40+'KELURAHAN (DI ISI)'!BM41</f>
        <v>0</v>
      </c>
      <c r="BZ12" s="491">
        <f>'KELURAHAN (DI ISI)'!BN38+'KELURAHAN (DI ISI)'!BN39+'KELURAHAN (DI ISI)'!BN40+'KELURAHAN (DI ISI)'!BN41</f>
        <v>0</v>
      </c>
      <c r="CA12" s="491">
        <f>'KELURAHAN (DI ISI)'!BO38+'KELURAHAN (DI ISI)'!BO39+'KELURAHAN (DI ISI)'!BO40+'KELURAHAN (DI ISI)'!BO41</f>
        <v>0</v>
      </c>
      <c r="CB12" s="491">
        <f>'KELURAHAN (DI ISI)'!BP38+'KELURAHAN (DI ISI)'!BP39+'KELURAHAN (DI ISI)'!BP40+'KELURAHAN (DI ISI)'!BP41</f>
        <v>10</v>
      </c>
      <c r="CC12" s="491">
        <f>'KELURAHAN (DI ISI)'!BQ38+'KELURAHAN (DI ISI)'!BQ39+'KELURAHAN (DI ISI)'!BQ40+'KELURAHAN (DI ISI)'!BQ41</f>
        <v>1238</v>
      </c>
      <c r="CD12" s="491">
        <f>'KELURAHAN (DI ISI)'!BR38+'KELURAHAN (DI ISI)'!BR39+'KELURAHAN (DI ISI)'!BR40+'KELURAHAN (DI ISI)'!BR41</f>
        <v>16</v>
      </c>
      <c r="CE12" s="491">
        <f t="shared" si="13"/>
        <v>1</v>
      </c>
      <c r="CF12" s="491">
        <f t="shared" si="14"/>
        <v>9</v>
      </c>
      <c r="CG12" s="491">
        <f>'KELURAHAN (DI ISI)'!BS38+'KELURAHAN (DI ISI)'!BS39+'KELURAHAN (DI ISI)'!BS40+'KELURAHAN (DI ISI)'!BS41</f>
        <v>0</v>
      </c>
      <c r="CH12" s="491">
        <f>'KELURAHAN (DI ISI)'!BT38+'KELURAHAN (DI ISI)'!BT39+'KELURAHAN (DI ISI)'!BT40+'KELURAHAN (DI ISI)'!BT41</f>
        <v>0</v>
      </c>
      <c r="CI12" s="491">
        <f>'KELURAHAN (DI ISI)'!BU38+'KELURAHAN (DI ISI)'!BU39+'KELURAHAN (DI ISI)'!BU40+'KELURAHAN (DI ISI)'!BU41</f>
        <v>1</v>
      </c>
      <c r="CJ12" s="491">
        <f>'KELURAHAN (DI ISI)'!BV38+'KELURAHAN (DI ISI)'!BV39+'KELURAHAN (DI ISI)'!BV40+'KELURAHAN (DI ISI)'!BV41</f>
        <v>9</v>
      </c>
      <c r="CK12" s="491">
        <f>'KELURAHAN (DI ISI)'!BW38+'KELURAHAN (DI ISI)'!BW39+'KELURAHAN (DI ISI)'!BW40+'KELURAHAN (DI ISI)'!BW41</f>
        <v>0</v>
      </c>
      <c r="CL12" s="491">
        <f>'KELURAHAN (DI ISI)'!BX38+'KELURAHAN (DI ISI)'!BX39+'KELURAHAN (DI ISI)'!BX40+'KELURAHAN (DI ISI)'!BX41</f>
        <v>1</v>
      </c>
      <c r="CM12" s="491">
        <f>'KELURAHAN (DI ISI)'!BY38+'KELURAHAN (DI ISI)'!BY39+'KELURAHAN (DI ISI)'!BY40+'KELURAHAN (DI ISI)'!BY41</f>
        <v>0</v>
      </c>
      <c r="CN12" s="491">
        <f>'KELURAHAN (DI ISI)'!BZ38+'KELURAHAN (DI ISI)'!BZ39+'KELURAHAN (DI ISI)'!BZ40+'KELURAHAN (DI ISI)'!BZ41</f>
        <v>5</v>
      </c>
      <c r="CO12" s="491">
        <f>'KELURAHAN (DI ISI)'!CA38+'KELURAHAN (DI ISI)'!CA39+'KELURAHAN (DI ISI)'!CA40+'KELURAHAN (DI ISI)'!CA41</f>
        <v>0</v>
      </c>
      <c r="CP12" s="491">
        <f>'KELURAHAN (DI ISI)'!CB38+'KELURAHAN (DI ISI)'!CB39+'KELURAHAN (DI ISI)'!CB40+'KELURAHAN (DI ISI)'!CB41</f>
        <v>2</v>
      </c>
      <c r="CQ12" s="491">
        <f>'KELURAHAN (DI ISI)'!CC38+'KELURAHAN (DI ISI)'!CC39+'KELURAHAN (DI ISI)'!CC40+'KELURAHAN (DI ISI)'!CC41</f>
        <v>9</v>
      </c>
      <c r="CR12" s="491">
        <f>'KELURAHAN (DI ISI)'!CD38+'KELURAHAN (DI ISI)'!CD39+'KELURAHAN (DI ISI)'!CD40+'KELURAHAN (DI ISI)'!CD41</f>
        <v>7</v>
      </c>
      <c r="CS12" s="491">
        <f>'KELURAHAN (DI ISI)'!CE38+'KELURAHAN (DI ISI)'!CE39+'KELURAHAN (DI ISI)'!CE40+'KELURAHAN (DI ISI)'!CE41</f>
        <v>0</v>
      </c>
      <c r="CT12" s="491">
        <f>'KELURAHAN (DI ISI)'!CF38+'KELURAHAN (DI ISI)'!CF39+'KELURAHAN (DI ISI)'!CF40+'KELURAHAN (DI ISI)'!CF41</f>
        <v>0</v>
      </c>
      <c r="CU12" s="491">
        <f>'KELURAHAN (DI ISI)'!CG38+'KELURAHAN (DI ISI)'!CG39+'KELURAHAN (DI ISI)'!CG40+'KELURAHAN (DI ISI)'!CG41</f>
        <v>0</v>
      </c>
      <c r="CV12" s="491">
        <f>'KELURAHAN (DI ISI)'!CH38+'KELURAHAN (DI ISI)'!CH39+'KELURAHAN (DI ISI)'!CH40+'KELURAHAN (DI ISI)'!CH41</f>
        <v>0</v>
      </c>
      <c r="CW12" s="491">
        <f>'KELURAHAN (DI ISI)'!CI38+'KELURAHAN (DI ISI)'!CI39+'KELURAHAN (DI ISI)'!CI40+'KELURAHAN (DI ISI)'!CI41</f>
        <v>0</v>
      </c>
      <c r="CX12" s="491">
        <f>'KELURAHAN (DI ISI)'!CJ38+'KELURAHAN (DI ISI)'!CJ39+'KELURAHAN (DI ISI)'!CJ40+'KELURAHAN (DI ISI)'!CJ41</f>
        <v>0</v>
      </c>
      <c r="CY12" s="491">
        <f>'KELURAHAN (DI ISI)'!CK38+'KELURAHAN (DI ISI)'!CK39+'KELURAHAN (DI ISI)'!CK40+'KELURAHAN (DI ISI)'!CK41</f>
        <v>18</v>
      </c>
      <c r="CZ12" s="491">
        <f>'KELURAHAN (DI ISI)'!CL38+'KELURAHAN (DI ISI)'!CL39+'KELURAHAN (DI ISI)'!CL40+'KELURAHAN (DI ISI)'!CL41</f>
        <v>1133</v>
      </c>
      <c r="DA12" s="491">
        <f>'KELURAHAN (DI ISI)'!CM38+'KELURAHAN (DI ISI)'!CM39+'KELURAHAN (DI ISI)'!CM40+'KELURAHAN (DI ISI)'!CM41</f>
        <v>376</v>
      </c>
      <c r="DB12" s="491">
        <f>'KELURAHAN (DI ISI)'!CN38+'KELURAHAN (DI ISI)'!CN39+'KELURAHAN (DI ISI)'!CN40+'KELURAHAN (DI ISI)'!CN41</f>
        <v>24</v>
      </c>
      <c r="DC12" s="491">
        <f t="shared" si="15"/>
        <v>2</v>
      </c>
      <c r="DD12" s="491">
        <f t="shared" si="16"/>
        <v>12</v>
      </c>
      <c r="DE12" s="491">
        <f>'KELURAHAN (DI ISI)'!CO38+'KELURAHAN (DI ISI)'!CO39+'KELURAHAN (DI ISI)'!CO40+'KELURAHAN (DI ISI)'!CO41</f>
        <v>0</v>
      </c>
      <c r="DF12" s="491">
        <f>'KELURAHAN (DI ISI)'!CP38+'KELURAHAN (DI ISI)'!CP39+'KELURAHAN (DI ISI)'!CP40+'KELURAHAN (DI ISI)'!CP41</f>
        <v>1</v>
      </c>
      <c r="DG12" s="491">
        <f>'KELURAHAN (DI ISI)'!CQ38+'KELURAHAN (DI ISI)'!CQ39+'KELURAHAN (DI ISI)'!CQ40+'KELURAHAN (DI ISI)'!CQ41</f>
        <v>1</v>
      </c>
      <c r="DH12" s="491">
        <f>'KELURAHAN (DI ISI)'!CR38+'KELURAHAN (DI ISI)'!CR39+'KELURAHAN (DI ISI)'!CR40+'KELURAHAN (DI ISI)'!CR41</f>
        <v>12</v>
      </c>
      <c r="DI12" s="491">
        <f>'KELURAHAN (DI ISI)'!CS38+'KELURAHAN (DI ISI)'!CS39+'KELURAHAN (DI ISI)'!CS40+'KELURAHAN (DI ISI)'!CS41</f>
        <v>1</v>
      </c>
      <c r="DJ12" s="491">
        <f>'KELURAHAN (DI ISI)'!CT38+'KELURAHAN (DI ISI)'!CT39+'KELURAHAN (DI ISI)'!CT40+'KELURAHAN (DI ISI)'!CT41</f>
        <v>2</v>
      </c>
      <c r="DK12" s="491">
        <f>'KELURAHAN (DI ISI)'!CU38+'KELURAHAN (DI ISI)'!CU39+'KELURAHAN (DI ISI)'!CU40+'KELURAHAN (DI ISI)'!CU41</f>
        <v>1</v>
      </c>
      <c r="DL12" s="491">
        <f>'KELURAHAN (DI ISI)'!CV38+'KELURAHAN (DI ISI)'!CV39+'KELURAHAN (DI ISI)'!CV40+'KELURAHAN (DI ISI)'!CV41</f>
        <v>6</v>
      </c>
      <c r="DM12" s="491">
        <f>'KELURAHAN (DI ISI)'!CW38+'KELURAHAN (DI ISI)'!CW39+'KELURAHAN (DI ISI)'!CW40+'KELURAHAN (DI ISI)'!CW41</f>
        <v>0</v>
      </c>
      <c r="DN12" s="491">
        <f>'KELURAHAN (DI ISI)'!CX38+'KELURAHAN (DI ISI)'!CX39+'KELURAHAN (DI ISI)'!CX40+'KELURAHAN (DI ISI)'!CX41</f>
        <v>0</v>
      </c>
      <c r="DO12" s="491">
        <f>'KELURAHAN (DI ISI)'!CY38+'KELURAHAN (DI ISI)'!CY39+'KELURAHAN (DI ISI)'!CY40+'KELURAHAN (DI ISI)'!CY41</f>
        <v>0</v>
      </c>
      <c r="DP12" s="491">
        <f>'KELURAHAN (DI ISI)'!CZ38+'KELURAHAN (DI ISI)'!CZ39+'KELURAHAN (DI ISI)'!CZ40+'KELURAHAN (DI ISI)'!CZ41</f>
        <v>2</v>
      </c>
      <c r="DQ12" s="491">
        <f>'KELURAHAN (DI ISI)'!DA38+'KELURAHAN (DI ISI)'!DA39+'KELURAHAN (DI ISI)'!DA40+'KELURAHAN (DI ISI)'!DA41</f>
        <v>0</v>
      </c>
      <c r="DR12" s="491">
        <f>'KELURAHAN (DI ISI)'!DB38+'KELURAHAN (DI ISI)'!DB39+'KELURAHAN (DI ISI)'!DB40+'KELURAHAN (DI ISI)'!DB41</f>
        <v>0</v>
      </c>
      <c r="DS12" s="491">
        <f>'KELURAHAN (DI ISI)'!DC38+'KELURAHAN (DI ISI)'!DC39+'KELURAHAN (DI ISI)'!DC40+'KELURAHAN (DI ISI)'!DC41</f>
        <v>0</v>
      </c>
      <c r="DT12" s="491">
        <f>'KELURAHAN (DI ISI)'!DD38+'KELURAHAN (DI ISI)'!DD39+'KELURAHAN (DI ISI)'!DD40+'KELURAHAN (DI ISI)'!DD41</f>
        <v>0</v>
      </c>
      <c r="DU12" s="491">
        <f>'KELURAHAN (DI ISI)'!DE38+'KELURAHAN (DI ISI)'!DE39+'KELURAHAN (DI ISI)'!DE40+'KELURAHAN (DI ISI)'!DE41</f>
        <v>0</v>
      </c>
      <c r="DV12" s="491">
        <f>'KELURAHAN (DI ISI)'!DF38+'KELURAHAN (DI ISI)'!DF39+'KELURAHAN (DI ISI)'!DF40+'KELURAHAN (DI ISI)'!DF41</f>
        <v>0</v>
      </c>
      <c r="DW12" s="491">
        <f>'KELURAHAN (DI ISI)'!DG38+'KELURAHAN (DI ISI)'!DG39+'KELURAHAN (DI ISI)'!DG40+'KELURAHAN (DI ISI)'!DG41</f>
        <v>2</v>
      </c>
      <c r="DX12" s="491">
        <f>'KELURAHAN (DI ISI)'!DH38+'KELURAHAN (DI ISI)'!DH39+'KELURAHAN (DI ISI)'!DH40+'KELURAHAN (DI ISI)'!DH41</f>
        <v>1019</v>
      </c>
      <c r="DY12" s="491">
        <f>'KELURAHAN (DI ISI)'!DI38+'KELURAHAN (DI ISI)'!DI39+'KELURAHAN (DI ISI)'!DI40+'KELURAHAN (DI ISI)'!DI41</f>
        <v>355</v>
      </c>
      <c r="DZ12" s="491">
        <f>'KELURAHAN (DI ISI)'!DJ38+'KELURAHAN (DI ISI)'!DJ39+'KELURAHAN (DI ISI)'!DJ40+'KELURAHAN (DI ISI)'!DJ41</f>
        <v>1019</v>
      </c>
      <c r="EA12" s="491">
        <f>'KELURAHAN (DI ISI)'!DK38+'KELURAHAN (DI ISI)'!DK39+'KELURAHAN (DI ISI)'!DK40+'KELURAHAN (DI ISI)'!DK41</f>
        <v>355</v>
      </c>
      <c r="EB12" s="491">
        <f>'KELURAHAN (DI ISI)'!DL38+'KELURAHAN (DI ISI)'!DL39+'KELURAHAN (DI ISI)'!DL40+'KELURAHAN (DI ISI)'!DL41</f>
        <v>23</v>
      </c>
      <c r="EC12" s="491">
        <f>'KELURAHAN (DI ISI)'!DM38+'KELURAHAN (DI ISI)'!DM39+'KELURAHAN (DI ISI)'!DM40+'KELURAHAN (DI ISI)'!DM41</f>
        <v>4</v>
      </c>
      <c r="ED12" s="491">
        <f t="shared" si="17"/>
        <v>19</v>
      </c>
      <c r="EE12" s="491">
        <f>'KELURAHAN (DI ISI)'!DO38+'KELURAHAN (DI ISI)'!DO39+'KELURAHAN (DI ISI)'!DO40+'KELURAHAN (DI ISI)'!DO41</f>
        <v>0</v>
      </c>
      <c r="EF12" s="491">
        <f>'KELURAHAN (DI ISI)'!DP38+'KELURAHAN (DI ISI)'!DP39+'KELURAHAN (DI ISI)'!DP40+'KELURAHAN (DI ISI)'!DP41</f>
        <v>1</v>
      </c>
      <c r="EG12" s="491">
        <f>'KELURAHAN (DI ISI)'!DQ38+'KELURAHAN (DI ISI)'!DQ39+'KELURAHAN (DI ISI)'!DQ40+'KELURAHAN (DI ISI)'!DQ41</f>
        <v>2</v>
      </c>
      <c r="EH12" s="491">
        <f>'KELURAHAN (DI ISI)'!DR38+'KELURAHAN (DI ISI)'!DR39+'KELURAHAN (DI ISI)'!DR40+'KELURAHAN (DI ISI)'!DR41</f>
        <v>17</v>
      </c>
      <c r="EI12" s="491">
        <f>'KELURAHAN (DI ISI)'!DS38+'KELURAHAN (DI ISI)'!DS39+'KELURAHAN (DI ISI)'!DS40+'KELURAHAN (DI ISI)'!DS41</f>
        <v>1</v>
      </c>
      <c r="EJ12" s="491">
        <f>'KELURAHAN (DI ISI)'!DT38+'KELURAHAN (DI ISI)'!DT39+'KELURAHAN (DI ISI)'!DT40+'KELURAHAN (DI ISI)'!DT41</f>
        <v>0</v>
      </c>
      <c r="EK12" s="491">
        <f>'KELURAHAN (DI ISI)'!DU38+'KELURAHAN (DI ISI)'!DU39+'KELURAHAN (DI ISI)'!DU40+'KELURAHAN (DI ISI)'!DU41</f>
        <v>0</v>
      </c>
      <c r="EL12" s="491">
        <f>'KELURAHAN (DI ISI)'!DV38+'KELURAHAN (DI ISI)'!DV39+'KELURAHAN (DI ISI)'!DV40+'KELURAHAN (DI ISI)'!DV41</f>
        <v>2</v>
      </c>
      <c r="EM12" s="491">
        <f>'KELURAHAN (DI ISI)'!DW38+'KELURAHAN (DI ISI)'!DW39+'KELURAHAN (DI ISI)'!DW40+'KELURAHAN (DI ISI)'!DW41</f>
        <v>2</v>
      </c>
      <c r="EN12" s="491">
        <f>'KELURAHAN (DI ISI)'!DX38+'KELURAHAN (DI ISI)'!DX39+'KELURAHAN (DI ISI)'!DX40+'KELURAHAN (DI ISI)'!DX41</f>
        <v>1</v>
      </c>
      <c r="EO12" s="491">
        <f>'KELURAHAN (DI ISI)'!DY38+'KELURAHAN (DI ISI)'!DY39+'KELURAHAN (DI ISI)'!DY40+'KELURAHAN (DI ISI)'!DY41</f>
        <v>0</v>
      </c>
      <c r="EP12" s="491">
        <f>'KELURAHAN (DI ISI)'!DZ38+'KELURAHAN (DI ISI)'!DZ39+'KELURAHAN (DI ISI)'!DZ40+'KELURAHAN (DI ISI)'!DZ41</f>
        <v>1</v>
      </c>
      <c r="EQ12" s="491">
        <f>'KELURAHAN (DI ISI)'!EA38+'KELURAHAN (DI ISI)'!EA39+'KELURAHAN (DI ISI)'!EA40+'KELURAHAN (DI ISI)'!EA41</f>
        <v>0</v>
      </c>
      <c r="ER12" s="491">
        <f>'KELURAHAN (DI ISI)'!EB38+'KELURAHAN (DI ISI)'!EB39+'KELURAHAN (DI ISI)'!EB40+'KELURAHAN (DI ISI)'!EB41</f>
        <v>0</v>
      </c>
      <c r="ES12" s="491">
        <f>'KELURAHAN (DI ISI)'!EC38+'KELURAHAN (DI ISI)'!EC39+'KELURAHAN (DI ISI)'!EC40+'KELURAHAN (DI ISI)'!EC41</f>
        <v>0</v>
      </c>
      <c r="ET12" s="491">
        <f>'KELURAHAN (DI ISI)'!ED38+'KELURAHAN (DI ISI)'!ED39+'KELURAHAN (DI ISI)'!ED40+'KELURAHAN (DI ISI)'!ED41</f>
        <v>0</v>
      </c>
      <c r="EU12" s="491">
        <f>'KELURAHAN (DI ISI)'!EE38+'KELURAHAN (DI ISI)'!EE39+'KELURAHAN (DI ISI)'!EE40+'KELURAHAN (DI ISI)'!EE41</f>
        <v>0</v>
      </c>
      <c r="EV12" s="491">
        <f>'KELURAHAN (DI ISI)'!EF38+'KELURAHAN (DI ISI)'!EF39+'KELURAHAN (DI ISI)'!EF40+'KELURAHAN (DI ISI)'!EF41</f>
        <v>0</v>
      </c>
      <c r="EW12" s="491">
        <f>'KELURAHAN (DI ISI)'!EG38+'KELURAHAN (DI ISI)'!EG39+'KELURAHAN (DI ISI)'!EG40+'KELURAHAN (DI ISI)'!EG41</f>
        <v>4</v>
      </c>
      <c r="EX12" s="491">
        <f>'KELURAHAN (DI ISI)'!EH38+'KELURAHAN (DI ISI)'!EH39+'KELURAHAN (DI ISI)'!EH40+'KELURAHAN (DI ISI)'!EH41</f>
        <v>3</v>
      </c>
      <c r="EY12" s="491">
        <f>'KELURAHAN (DI ISI)'!EI38+'KELURAHAN (DI ISI)'!EI39+'KELURAHAN (DI ISI)'!EI40+'KELURAHAN (DI ISI)'!EI41</f>
        <v>993</v>
      </c>
      <c r="EZ12" s="491">
        <f>'KELURAHAN (DI ISI)'!EJ38+'KELURAHAN (DI ISI)'!EJ39+'KELURAHAN (DI ISI)'!EJ40+'KELURAHAN (DI ISI)'!EJ41</f>
        <v>363</v>
      </c>
      <c r="FA12" s="491">
        <f>'KELURAHAN (DI ISI)'!EK38+'KELURAHAN (DI ISI)'!EK39+'KELURAHAN (DI ISI)'!EK40+'KELURAHAN (DI ISI)'!EK41</f>
        <v>993</v>
      </c>
      <c r="FB12" s="491">
        <f>'KELURAHAN (DI ISI)'!EL38+'KELURAHAN (DI ISI)'!EL39+'KELURAHAN (DI ISI)'!EL40+'KELURAHAN (DI ISI)'!EL41</f>
        <v>363</v>
      </c>
      <c r="FC12" s="491">
        <f>'KELURAHAN (DI ISI)'!EM38+'KELURAHAN (DI ISI)'!EM39+'KELURAHAN (DI ISI)'!EM40+'KELURAHAN (DI ISI)'!EM41</f>
        <v>24</v>
      </c>
      <c r="FD12" s="491">
        <f>'KELURAHAN (DI ISI)'!EN38+'KELURAHAN (DI ISI)'!EN39+'KELURAHAN (DI ISI)'!EN40+'KELURAHAN (DI ISI)'!EN41</f>
        <v>3</v>
      </c>
      <c r="FE12" s="491">
        <f t="shared" si="18"/>
        <v>21</v>
      </c>
      <c r="FF12" s="491">
        <f>'KELURAHAN (DI ISI)'!EP38+'KELURAHAN (DI ISI)'!EP39+'KELURAHAN (DI ISI)'!EP40+'KELURAHAN (DI ISI)'!EP41</f>
        <v>0</v>
      </c>
      <c r="FG12" s="491">
        <f>'KELURAHAN (DI ISI)'!EQ38+'KELURAHAN (DI ISI)'!EQ39+'KELURAHAN (DI ISI)'!EQ40+'KELURAHAN (DI ISI)'!EQ41</f>
        <v>0</v>
      </c>
      <c r="FH12" s="491">
        <f>'KELURAHAN (DI ISI)'!ER38+'KELURAHAN (DI ISI)'!ER39+'KELURAHAN (DI ISI)'!ER40+'KELURAHAN (DI ISI)'!ER41</f>
        <v>3</v>
      </c>
      <c r="FI12" s="491">
        <f>'KELURAHAN (DI ISI)'!ES38+'KELURAHAN (DI ISI)'!ES39+'KELURAHAN (DI ISI)'!ES40+'KELURAHAN (DI ISI)'!ES41</f>
        <v>19</v>
      </c>
      <c r="FJ12" s="491">
        <f>'KELURAHAN (DI ISI)'!ET38+'KELURAHAN (DI ISI)'!ET39+'KELURAHAN (DI ISI)'!ET40+'KELURAHAN (DI ISI)'!ET41</f>
        <v>0</v>
      </c>
      <c r="FK12" s="491">
        <f>'KELURAHAN (DI ISI)'!EU38+'KELURAHAN (DI ISI)'!EU39+'KELURAHAN (DI ISI)'!EU40+'KELURAHAN (DI ISI)'!EU41</f>
        <v>0</v>
      </c>
      <c r="FL12" s="491">
        <f>'KELURAHAN (DI ISI)'!EV38+'KELURAHAN (DI ISI)'!EV39+'KELURAHAN (DI ISI)'!EV40+'KELURAHAN (DI ISI)'!EV41</f>
        <v>0</v>
      </c>
      <c r="FM12" s="491">
        <f>'KELURAHAN (DI ISI)'!EW38+'KELURAHAN (DI ISI)'!EW39+'KELURAHAN (DI ISI)'!EW40+'KELURAHAN (DI ISI)'!EW41</f>
        <v>2</v>
      </c>
      <c r="FN12" s="491">
        <f>'KELURAHAN (DI ISI)'!EX38+'KELURAHAN (DI ISI)'!EX39+'KELURAHAN (DI ISI)'!EX40+'KELURAHAN (DI ISI)'!EX41</f>
        <v>0</v>
      </c>
      <c r="FO12" s="491">
        <f>'KELURAHAN (DI ISI)'!EY38+'KELURAHAN (DI ISI)'!EY39+'KELURAHAN (DI ISI)'!EY40+'KELURAHAN (DI ISI)'!EY41</f>
        <v>0</v>
      </c>
      <c r="FP12" s="491">
        <f>'KELURAHAN (DI ISI)'!EZ38+'KELURAHAN (DI ISI)'!EZ39+'KELURAHAN (DI ISI)'!EZ40+'KELURAHAN (DI ISI)'!EZ41</f>
        <v>0</v>
      </c>
      <c r="FQ12" s="491">
        <f>'KELURAHAN (DI ISI)'!FA38+'KELURAHAN (DI ISI)'!FA39+'KELURAHAN (DI ISI)'!FA40+'KELURAHAN (DI ISI)'!FA41</f>
        <v>0</v>
      </c>
      <c r="FR12" s="491">
        <f>'KELURAHAN (DI ISI)'!FB38+'KELURAHAN (DI ISI)'!FB39+'KELURAHAN (DI ISI)'!FB40+'KELURAHAN (DI ISI)'!FB41</f>
        <v>0</v>
      </c>
      <c r="FS12" s="491">
        <f>'KELURAHAN (DI ISI)'!FC38+'KELURAHAN (DI ISI)'!FC39+'KELURAHAN (DI ISI)'!FC40+'KELURAHAN (DI ISI)'!FC41</f>
        <v>0</v>
      </c>
      <c r="FT12" s="491">
        <f>'KELURAHAN (DI ISI)'!FD38+'KELURAHAN (DI ISI)'!FD39+'KELURAHAN (DI ISI)'!FD40+'KELURAHAN (DI ISI)'!FD41</f>
        <v>0</v>
      </c>
      <c r="FU12" s="491">
        <f>'KELURAHAN (DI ISI)'!FE38+'KELURAHAN (DI ISI)'!FE39+'KELURAHAN (DI ISI)'!FE40+'KELURAHAN (DI ISI)'!FE41</f>
        <v>0</v>
      </c>
      <c r="FV12" s="491">
        <f>'KELURAHAN (DI ISI)'!FF38+'KELURAHAN (DI ISI)'!FF39+'KELURAHAN (DI ISI)'!FF40+'KELURAHAN (DI ISI)'!FF41</f>
        <v>0</v>
      </c>
      <c r="FW12" s="491">
        <f>'KELURAHAN (DI ISI)'!FG38+'KELURAHAN (DI ISI)'!FG39+'KELURAHAN (DI ISI)'!FG40+'KELURAHAN (DI ISI)'!FG41</f>
        <v>0</v>
      </c>
      <c r="FX12" s="491">
        <f>'KELURAHAN (DI ISI)'!FH38+'KELURAHAN (DI ISI)'!FH39+'KELURAHAN (DI ISI)'!FH40+'KELURAHAN (DI ISI)'!FH41</f>
        <v>0</v>
      </c>
      <c r="FY12" s="491">
        <f>'KELURAHAN (DI ISI)'!FI38+'KELURAHAN (DI ISI)'!FI39+'KELURAHAN (DI ISI)'!FI40+'KELURAHAN (DI ISI)'!FI41</f>
        <v>0</v>
      </c>
      <c r="FZ12" s="491">
        <f>'KELURAHAN (DI ISI)'!FJ38+'KELURAHAN (DI ISI)'!FJ39+'KELURAHAN (DI ISI)'!FJ40+'KELURAHAN (DI ISI)'!FJ41</f>
        <v>994</v>
      </c>
      <c r="GA12" s="491">
        <f>'KELURAHAN (DI ISI)'!FK38+'KELURAHAN (DI ISI)'!FK39+'KELURAHAN (DI ISI)'!FK40+'KELURAHAN (DI ISI)'!FK41</f>
        <v>368</v>
      </c>
      <c r="GB12" s="491">
        <f>'KELURAHAN (DI ISI)'!FL38+'KELURAHAN (DI ISI)'!FL39+'KELURAHAN (DI ISI)'!FL40+'KELURAHAN (DI ISI)'!FL41</f>
        <v>938</v>
      </c>
      <c r="GC12" s="491">
        <f>'KELURAHAN (DI ISI)'!FM38+'KELURAHAN (DI ISI)'!FM39+'KELURAHAN (DI ISI)'!FM40+'KELURAHAN (DI ISI)'!FM41</f>
        <v>342</v>
      </c>
      <c r="GD12" s="570">
        <v>938.0</v>
      </c>
      <c r="GE12" s="571">
        <f>'KELURAHAN (DI ISI)'!FO38+'KELURAHAN (DI ISI)'!FO39+'KELURAHAN (DI ISI)'!FO40+'KELURAHAN (DI ISI)'!FO41</f>
        <v>22</v>
      </c>
      <c r="GF12" s="571">
        <f>'KELURAHAN (DI ISI)'!FP38+'KELURAHAN (DI ISI)'!FP39+'KELURAHAN (DI ISI)'!FP40+'KELURAHAN (DI ISI)'!FP41</f>
        <v>22</v>
      </c>
      <c r="GG12" s="571">
        <f>'KELURAHAN (DI ISI)'!FP38+'KELURAHAN (DI ISI)'!FP39+'KELURAHAN (DI ISI)'!FP40+'KELURAHAN (DI ISI)'!FP41</f>
        <v>22</v>
      </c>
      <c r="GH12" s="571">
        <f>'KELURAHAN (DI ISI)'!FQ38+'KELURAHAN (DI ISI)'!FQ39+'KELURAHAN (DI ISI)'!FQ40+'KELURAHAN (DI ISI)'!FQ41</f>
        <v>3</v>
      </c>
      <c r="GI12" s="571">
        <f t="shared" si="19"/>
        <v>19</v>
      </c>
      <c r="GJ12" s="491">
        <f>'KELURAHAN (DI ISI)'!FS38+'KELURAHAN (DI ISI)'!FS39+'KELURAHAN (DI ISI)'!FS40+'KELURAHAN (DI ISI)'!FS41</f>
        <v>0</v>
      </c>
      <c r="GK12" s="491">
        <f>'KELURAHAN (DI ISI)'!FT38+'KELURAHAN (DI ISI)'!FT39+'KELURAHAN (DI ISI)'!FT40+'KELURAHAN (DI ISI)'!FT41</f>
        <v>0</v>
      </c>
      <c r="GL12" s="491">
        <f>'KELURAHAN (DI ISI)'!FU38+'KELURAHAN (DI ISI)'!FU39+'KELURAHAN (DI ISI)'!FU40+'KELURAHAN (DI ISI)'!FU41</f>
        <v>3</v>
      </c>
      <c r="GM12" s="491">
        <f>'KELURAHAN (DI ISI)'!FV38+'KELURAHAN (DI ISI)'!FV39+'KELURAHAN (DI ISI)'!FV40+'KELURAHAN (DI ISI)'!FV41</f>
        <v>18</v>
      </c>
      <c r="GN12" s="491">
        <f>'KELURAHAN (DI ISI)'!FW38+'KELURAHAN (DI ISI)'!FW39+'KELURAHAN (DI ISI)'!FW40+'KELURAHAN (DI ISI)'!FW41</f>
        <v>0</v>
      </c>
      <c r="GO12" s="491">
        <f>'KELURAHAN (DI ISI)'!FX38+'KELURAHAN (DI ISI)'!FX39+'KELURAHAN (DI ISI)'!FX40+'KELURAHAN (DI ISI)'!FX41</f>
        <v>0</v>
      </c>
      <c r="GP12" s="491">
        <f>'KELURAHAN (DI ISI)'!FY38+'KELURAHAN (DI ISI)'!FY39+'KELURAHAN (DI ISI)'!FY40+'KELURAHAN (DI ISI)'!FY41</f>
        <v>0</v>
      </c>
      <c r="GQ12" s="491">
        <f>'KELURAHAN (DI ISI)'!FZ38+'KELURAHAN (DI ISI)'!FZ39+'KELURAHAN (DI ISI)'!FZ40+'KELURAHAN (DI ISI)'!FZ41</f>
        <v>1</v>
      </c>
      <c r="GR12" s="491">
        <f>'KELURAHAN (DI ISI)'!GA38+'KELURAHAN (DI ISI)'!GA39+'KELURAHAN (DI ISI)'!GA40+'KELURAHAN (DI ISI)'!GA41</f>
        <v>0</v>
      </c>
      <c r="GS12" s="491">
        <f>'KELURAHAN (DI ISI)'!GB38+'KELURAHAN (DI ISI)'!GB39+'KELURAHAN (DI ISI)'!GB40+'KELURAHAN (DI ISI)'!GB41</f>
        <v>0</v>
      </c>
      <c r="GT12" s="491">
        <f>'KELURAHAN (DI ISI)'!GC38+'KELURAHAN (DI ISI)'!GC39+'KELURAHAN (DI ISI)'!GC40+'KELURAHAN (DI ISI)'!GC41</f>
        <v>0</v>
      </c>
      <c r="GU12" s="491">
        <f>'KELURAHAN (DI ISI)'!GD38+'KELURAHAN (DI ISI)'!GD39+'KELURAHAN (DI ISI)'!GD40+'KELURAHAN (DI ISI)'!GD41</f>
        <v>3</v>
      </c>
      <c r="GV12" s="491">
        <f>'KELURAHAN (DI ISI)'!GE38+'KELURAHAN (DI ISI)'!GE39+'KELURAHAN (DI ISI)'!GE40+'KELURAHAN (DI ISI)'!GE41</f>
        <v>0</v>
      </c>
      <c r="GW12" s="491">
        <f>'KELURAHAN (DI ISI)'!GF38+'KELURAHAN (DI ISI)'!GF39+'KELURAHAN (DI ISI)'!GF40+'KELURAHAN (DI ISI)'!GF41</f>
        <v>0</v>
      </c>
      <c r="GX12" s="491">
        <f>'KELURAHAN (DI ISI)'!GG38+'KELURAHAN (DI ISI)'!GG39+'KELURAHAN (DI ISI)'!GG40+'KELURAHAN (DI ISI)'!GG41</f>
        <v>0</v>
      </c>
      <c r="GY12" s="491">
        <f>'KELURAHAN (DI ISI)'!GH38+'KELURAHAN (DI ISI)'!GH39+'KELURAHAN (DI ISI)'!GH40+'KELURAHAN (DI ISI)'!GH41</f>
        <v>0</v>
      </c>
      <c r="GZ12" s="491">
        <f>'KELURAHAN (DI ISI)'!GI38+'KELURAHAN (DI ISI)'!GI39+'KELURAHAN (DI ISI)'!GI40+'KELURAHAN (DI ISI)'!GI41</f>
        <v>0</v>
      </c>
      <c r="HA12" s="491">
        <f>'KELURAHAN (DI ISI)'!GJ38+'KELURAHAN (DI ISI)'!GJ39+'KELURAHAN (DI ISI)'!GJ40+'KELURAHAN (DI ISI)'!GJ41</f>
        <v>0</v>
      </c>
      <c r="HB12" s="572">
        <f>'KELURAHAN (DI ISI)'!GK38+'KELURAHAN (DI ISI)'!GK39+'KELURAHAN (DI ISI)'!GK40+'KELURAHAN (DI ISI)'!GK41</f>
        <v>3</v>
      </c>
      <c r="HC12" s="572">
        <f>'KELURAHAN (DI ISI)'!GL38+'KELURAHAN (DI ISI)'!GL39+'KELURAHAN (DI ISI)'!GL40+'KELURAHAN (DI ISI)'!GL41</f>
        <v>0</v>
      </c>
      <c r="HD12" s="491">
        <f>'KELURAHAN (DI ISI)'!GM38+'KELURAHAN (DI ISI)'!GM39+'KELURAHAN (DI ISI)'!GM40+'KELURAHAN (DI ISI)'!GM41</f>
        <v>990</v>
      </c>
      <c r="HE12" s="491">
        <f>'KELURAHAN (DI ISI)'!GN38+'KELURAHAN (DI ISI)'!GN39+'KELURAHAN (DI ISI)'!GN40+'KELURAHAN (DI ISI)'!GN41</f>
        <v>365</v>
      </c>
      <c r="HF12" s="491">
        <f>'KELURAHAN (DI ISI)'!GO38+'KELURAHAN (DI ISI)'!GO39+'KELURAHAN (DI ISI)'!GO40+'KELURAHAN (DI ISI)'!GO41</f>
        <v>930</v>
      </c>
      <c r="HG12" s="491">
        <f>'KELURAHAN (DI ISI)'!GP38+'KELURAHAN (DI ISI)'!GP39+'KELURAHAN (DI ISI)'!GP40+'KELURAHAN (DI ISI)'!GP41</f>
        <v>338</v>
      </c>
      <c r="HH12" s="570">
        <v>938.0</v>
      </c>
      <c r="HI12" s="225">
        <f>'KELURAHAN (DI ISI)'!GR38+'KELURAHAN (DI ISI)'!GR39+'KELURAHAN (DI ISI)'!GR40+'KELURAHAN (DI ISI)'!GR41</f>
        <v>19</v>
      </c>
      <c r="HJ12" s="225">
        <f>'KELURAHAN (DI ISI)'!GS38+'KELURAHAN (DI ISI)'!GS39+'KELURAHAN (DI ISI)'!GS40+'KELURAHAN (DI ISI)'!GS41</f>
        <v>4</v>
      </c>
      <c r="HK12" s="573">
        <f>'KELURAHAN (DI ISI)'!GT38+'KELURAHAN (DI ISI)'!GT39+'KELURAHAN (DI ISI)'!GT40+'KELURAHAN (DI ISI)'!GT41</f>
        <v>19</v>
      </c>
      <c r="HL12" s="573">
        <f>'KELURAHAN (DI ISI)'!GU38+'KELURAHAN (DI ISI)'!GU39+'KELURAHAN (DI ISI)'!GU40+'KELURAHAN (DI ISI)'!GU41</f>
        <v>4</v>
      </c>
      <c r="HM12" s="573">
        <f t="shared" si="20"/>
        <v>15</v>
      </c>
      <c r="HN12" s="491">
        <f>'KELURAHAN (DI ISI)'!GW38+'KELURAHAN (DI ISI)'!GW39+'KELURAHAN (DI ISI)'!GW40+'KELURAHAN (DI ISI)'!GW41</f>
        <v>0</v>
      </c>
      <c r="HO12" s="491">
        <f>'KELURAHAN (DI ISI)'!GX38+'KELURAHAN (DI ISI)'!GX39+'KELURAHAN (DI ISI)'!GX40+'KELURAHAN (DI ISI)'!GX41</f>
        <v>0</v>
      </c>
      <c r="HP12" s="491">
        <f>'KELURAHAN (DI ISI)'!GY38+'KELURAHAN (DI ISI)'!GY39+'KELURAHAN (DI ISI)'!GY40+'KELURAHAN (DI ISI)'!GY41</f>
        <v>3</v>
      </c>
      <c r="HQ12" s="491">
        <f>'KELURAHAN (DI ISI)'!GZ38+'KELURAHAN (DI ISI)'!GZ39+'KELURAHAN (DI ISI)'!GZ40+'KELURAHAN (DI ISI)'!GZ41</f>
        <v>15</v>
      </c>
      <c r="HR12" s="491">
        <f>'KELURAHAN (DI ISI)'!HA38+'KELURAHAN (DI ISI)'!HA39+'KELURAHAN (DI ISI)'!HA40+'KELURAHAN (DI ISI)'!HA41</f>
        <v>0</v>
      </c>
      <c r="HS12" s="491">
        <f>'KELURAHAN (DI ISI)'!HB38+'KELURAHAN (DI ISI)'!HB39+'KELURAHAN (DI ISI)'!HB40+'KELURAHAN (DI ISI)'!HB41</f>
        <v>0</v>
      </c>
      <c r="HT12" s="491">
        <f>'KELURAHAN (DI ISI)'!HC38+'KELURAHAN (DI ISI)'!HC39+'KELURAHAN (DI ISI)'!HC40+'KELURAHAN (DI ISI)'!HC41</f>
        <v>1</v>
      </c>
      <c r="HU12" s="491">
        <f>'KELURAHAN (DI ISI)'!HD38+'KELURAHAN (DI ISI)'!HD39+'KELURAHAN (DI ISI)'!HD40+'KELURAHAN (DI ISI)'!HD41</f>
        <v>0</v>
      </c>
      <c r="HV12" s="491">
        <f>'KELURAHAN (DI ISI)'!HE38+'KELURAHAN (DI ISI)'!HE39+'KELURAHAN (DI ISI)'!HE40+'KELURAHAN (DI ISI)'!HE41</f>
        <v>0</v>
      </c>
      <c r="HW12" s="491">
        <f>'KELURAHAN (DI ISI)'!HF38+'KELURAHAN (DI ISI)'!HF39+'KELURAHAN (DI ISI)'!HF40+'KELURAHAN (DI ISI)'!HF41</f>
        <v>0</v>
      </c>
      <c r="HX12" s="491">
        <f>'KELURAHAN (DI ISI)'!HG38+'KELURAHAN (DI ISI)'!HG39+'KELURAHAN (DI ISI)'!HG40+'KELURAHAN (DI ISI)'!HG41</f>
        <v>0</v>
      </c>
      <c r="HY12" s="491">
        <f>'KELURAHAN (DI ISI)'!HH38+'KELURAHAN (DI ISI)'!HH39+'KELURAHAN (DI ISI)'!HH40+'KELURAHAN (DI ISI)'!HH41</f>
        <v>3</v>
      </c>
      <c r="HZ12" s="491">
        <f>'KELURAHAN (DI ISI)'!HI38+'KELURAHAN (DI ISI)'!HI39+'KELURAHAN (DI ISI)'!HI40+'KELURAHAN (DI ISI)'!HI41</f>
        <v>0</v>
      </c>
      <c r="IA12" s="491">
        <f>'KELURAHAN (DI ISI)'!HJ38+'KELURAHAN (DI ISI)'!HJ39+'KELURAHAN (DI ISI)'!HJ40+'KELURAHAN (DI ISI)'!HJ41</f>
        <v>0</v>
      </c>
      <c r="IB12" s="491">
        <f>'KELURAHAN (DI ISI)'!HK38+'KELURAHAN (DI ISI)'!HK39+'KELURAHAN (DI ISI)'!HK40+'KELURAHAN (DI ISI)'!HK41</f>
        <v>0</v>
      </c>
      <c r="IC12" s="491">
        <f>'KELURAHAN (DI ISI)'!HL38+'KELURAHAN (DI ISI)'!HL39+'KELURAHAN (DI ISI)'!HL40+'KELURAHAN (DI ISI)'!HL41</f>
        <v>1</v>
      </c>
      <c r="ID12" s="491">
        <f>'KELURAHAN (DI ISI)'!HM38+'KELURAHAN (DI ISI)'!HM39+'KELURAHAN (DI ISI)'!HM40+'KELURAHAN (DI ISI)'!HM41</f>
        <v>0</v>
      </c>
      <c r="IE12" s="491">
        <f>'KELURAHAN (DI ISI)'!HN38+'KELURAHAN (DI ISI)'!HN39+'KELURAHAN (DI ISI)'!HN40+'KELURAHAN (DI ISI)'!HN41</f>
        <v>0</v>
      </c>
      <c r="IF12" s="573">
        <f>'KELURAHAN (DI ISI)'!HO38+'KELURAHAN (DI ISI)'!HO39+'KELURAHAN (DI ISI)'!HO40+'KELURAHAN (DI ISI)'!HO41</f>
        <v>4</v>
      </c>
      <c r="IG12" s="573">
        <f>'KELURAHAN (DI ISI)'!HP38+'KELURAHAN (DI ISI)'!HP39+'KELURAHAN (DI ISI)'!HP40+'KELURAHAN (DI ISI)'!HP41</f>
        <v>0</v>
      </c>
      <c r="IK12" s="198">
        <f t="shared" si="21"/>
        <v>8</v>
      </c>
      <c r="IL12" s="198">
        <f t="shared" si="22"/>
        <v>12</v>
      </c>
      <c r="IM12" s="198">
        <f t="shared" si="23"/>
        <v>12</v>
      </c>
      <c r="IN12" s="198">
        <f t="shared" si="24"/>
        <v>10</v>
      </c>
      <c r="IO12" s="198">
        <f t="shared" si="25"/>
        <v>35</v>
      </c>
      <c r="IP12" s="198">
        <f t="shared" si="26"/>
        <v>28</v>
      </c>
      <c r="IQ12" s="574">
        <f t="shared" si="27"/>
        <v>16</v>
      </c>
      <c r="IR12" s="574">
        <f t="shared" si="28"/>
        <v>24</v>
      </c>
      <c r="IS12" s="574">
        <f t="shared" si="29"/>
        <v>23</v>
      </c>
      <c r="IT12" s="574">
        <f t="shared" si="30"/>
        <v>24</v>
      </c>
      <c r="IU12" s="574">
        <f t="shared" si="31"/>
        <v>22</v>
      </c>
      <c r="IV12" s="575">
        <f t="shared" si="32"/>
        <v>19</v>
      </c>
      <c r="IW12" s="583"/>
      <c r="IX12" s="576">
        <f t="shared" si="33"/>
        <v>-19</v>
      </c>
      <c r="IZ12" s="577"/>
      <c r="JA12" s="162">
        <f t="shared" si="34"/>
        <v>-990</v>
      </c>
      <c r="JB12" s="578"/>
      <c r="JC12" s="579">
        <f t="shared" si="35"/>
        <v>-365</v>
      </c>
      <c r="JD12" s="584"/>
      <c r="JE12" s="585"/>
      <c r="JF12" s="577"/>
      <c r="JG12" s="234">
        <f t="shared" si="36"/>
        <v>-930</v>
      </c>
      <c r="JH12" s="578"/>
      <c r="JI12" s="579">
        <f t="shared" si="37"/>
        <v>-338</v>
      </c>
      <c r="JJ12" s="247"/>
    </row>
    <row r="13" ht="14.25" customHeight="1">
      <c r="A13" s="158">
        <v>6.0</v>
      </c>
      <c r="B13" s="157" t="s">
        <v>106</v>
      </c>
      <c r="C13" s="158">
        <v>3374130.0</v>
      </c>
      <c r="D13" s="256" t="s">
        <v>114</v>
      </c>
      <c r="E13" s="158"/>
      <c r="F13" s="259">
        <f>'KELURAHAN (DI ISI)'!F35+'KELURAHAN (DI ISI)'!F36+'KELURAHAN (DI ISI)'!F37</f>
        <v>23</v>
      </c>
      <c r="G13" s="259">
        <f>'KELURAHAN (DI ISI)'!G35+'KELURAHAN (DI ISI)'!G36+'KELURAHAN (DI ISI)'!G37</f>
        <v>902</v>
      </c>
      <c r="H13" s="259">
        <f>'KELURAHAN (DI ISI)'!H35+'KELURAHAN (DI ISI)'!H36+'KELURAHAN (DI ISI)'!H37</f>
        <v>33</v>
      </c>
      <c r="I13" s="491">
        <f t="shared" si="1"/>
        <v>7</v>
      </c>
      <c r="J13" s="491">
        <f t="shared" si="2"/>
        <v>26</v>
      </c>
      <c r="K13" s="491">
        <f>'KELURAHAN (DI ISI)'!I35+'KELURAHAN (DI ISI)'!I36+'KELURAHAN (DI ISI)'!I37</f>
        <v>0</v>
      </c>
      <c r="L13" s="491">
        <f>'KELURAHAN (DI ISI)'!J35+'KELURAHAN (DI ISI)'!J36+'KELURAHAN (DI ISI)'!J37</f>
        <v>0</v>
      </c>
      <c r="M13" s="491">
        <f>'KELURAHAN (DI ISI)'!K35+'KELURAHAN (DI ISI)'!K36+'KELURAHAN (DI ISI)'!K37</f>
        <v>7</v>
      </c>
      <c r="N13" s="491">
        <f>'KELURAHAN (DI ISI)'!L35+'KELURAHAN (DI ISI)'!L36+'KELURAHAN (DI ISI)'!L37</f>
        <v>26</v>
      </c>
      <c r="O13" s="491">
        <f>'KELURAHAN (DI ISI)'!M35+'KELURAHAN (DI ISI)'!M36+'KELURAHAN (DI ISI)'!M37</f>
        <v>0</v>
      </c>
      <c r="P13" s="491">
        <f>'KELURAHAN (DI ISI)'!N35+'KELURAHAN (DI ISI)'!N36+'KELURAHAN (DI ISI)'!N37</f>
        <v>0</v>
      </c>
      <c r="Q13" s="491">
        <f>'KELURAHAN (DI ISI)'!O35+'KELURAHAN (DI ISI)'!O36+'KELURAHAN (DI ISI)'!O37</f>
        <v>33</v>
      </c>
      <c r="R13" s="491">
        <f>'KELURAHAN (DI ISI)'!P35+'KELURAHAN (DI ISI)'!P36+'KELURAHAN (DI ISI)'!P37</f>
        <v>33</v>
      </c>
      <c r="S13" s="491">
        <f t="shared" si="3"/>
        <v>7</v>
      </c>
      <c r="T13" s="491">
        <f t="shared" si="4"/>
        <v>26</v>
      </c>
      <c r="U13" s="491">
        <f>'KELURAHAN (DI ISI)'!Q35+'KELURAHAN (DI ISI)'!Q36+'KELURAHAN (DI ISI)'!Q37</f>
        <v>0</v>
      </c>
      <c r="V13" s="491">
        <f>'KELURAHAN (DI ISI)'!R35+'KELURAHAN (DI ISI)'!R36+'KELURAHAN (DI ISI)'!R37</f>
        <v>0</v>
      </c>
      <c r="W13" s="491">
        <f>'KELURAHAN (DI ISI)'!S35+'KELURAHAN (DI ISI)'!S36+'KELURAHAN (DI ISI)'!S37</f>
        <v>7</v>
      </c>
      <c r="X13" s="491">
        <f>'KELURAHAN (DI ISI)'!T35+'KELURAHAN (DI ISI)'!T36+'KELURAHAN (DI ISI)'!T37</f>
        <v>26</v>
      </c>
      <c r="Y13" s="491">
        <f>'KELURAHAN (DI ISI)'!U35+'KELURAHAN (DI ISI)'!U36+'KELURAHAN (DI ISI)'!U37</f>
        <v>0</v>
      </c>
      <c r="Z13" s="491">
        <f>'KELURAHAN (DI ISI)'!V35+'KELURAHAN (DI ISI)'!V36+'KELURAHAN (DI ISI)'!V37</f>
        <v>0</v>
      </c>
      <c r="AA13" s="491">
        <f>'KELURAHAN (DI ISI)'!W35+'KELURAHAN (DI ISI)'!W36+'KELURAHAN (DI ISI)'!W37</f>
        <v>33</v>
      </c>
      <c r="AB13" s="491">
        <f>'KELURAHAN (DI ISI)'!X35+'KELURAHAN (DI ISI)'!X36+'KELURAHAN (DI ISI)'!X37</f>
        <v>33</v>
      </c>
      <c r="AC13" s="491">
        <f t="shared" si="5"/>
        <v>7</v>
      </c>
      <c r="AD13" s="491">
        <f t="shared" si="6"/>
        <v>26</v>
      </c>
      <c r="AE13" s="491">
        <f>'KELURAHAN (DI ISI)'!Y35+'KELURAHAN (DI ISI)'!Y36+'KELURAHAN (DI ISI)'!Y37</f>
        <v>0</v>
      </c>
      <c r="AF13" s="491">
        <f>'KELURAHAN (DI ISI)'!Z35+'KELURAHAN (DI ISI)'!Z36+'KELURAHAN (DI ISI)'!Z37</f>
        <v>0</v>
      </c>
      <c r="AG13" s="491">
        <f>'KELURAHAN (DI ISI)'!AA35+'KELURAHAN (DI ISI)'!AA36+'KELURAHAN (DI ISI)'!AA37</f>
        <v>7</v>
      </c>
      <c r="AH13" s="491">
        <f>'KELURAHAN (DI ISI)'!AB35+'KELURAHAN (DI ISI)'!AB36+'KELURAHAN (DI ISI)'!AB37</f>
        <v>26</v>
      </c>
      <c r="AI13" s="491">
        <f>'KELURAHAN (DI ISI)'!AC35+'KELURAHAN (DI ISI)'!AC36+'KELURAHAN (DI ISI)'!AC37</f>
        <v>0</v>
      </c>
      <c r="AJ13" s="491">
        <f>'KELURAHAN (DI ISI)'!AD35+'KELURAHAN (DI ISI)'!AD36+'KELURAHAN (DI ISI)'!AD37</f>
        <v>0</v>
      </c>
      <c r="AK13" s="491">
        <f>'KELURAHAN (DI ISI)'!AE35+'KELURAHAN (DI ISI)'!AE36+'KELURAHAN (DI ISI)'!AE37</f>
        <v>33</v>
      </c>
      <c r="AL13" s="491">
        <f>'KELURAHAN (DI ISI)'!AF35+'KELURAHAN (DI ISI)'!AF36+'KELURAHAN (DI ISI)'!AF37</f>
        <v>24</v>
      </c>
      <c r="AM13" s="491">
        <f t="shared" si="7"/>
        <v>7</v>
      </c>
      <c r="AN13" s="491">
        <f t="shared" si="8"/>
        <v>17</v>
      </c>
      <c r="AO13" s="491">
        <f>'KELURAHAN (DI ISI)'!AG35+'KELURAHAN (DI ISI)'!AG36+'KELURAHAN (DI ISI)'!AG37</f>
        <v>0</v>
      </c>
      <c r="AP13" s="491">
        <f>'KELURAHAN (DI ISI)'!AH35+'KELURAHAN (DI ISI)'!AH36+'KELURAHAN (DI ISI)'!AH37</f>
        <v>0</v>
      </c>
      <c r="AQ13" s="491">
        <f>'KELURAHAN (DI ISI)'!AI35+'KELURAHAN (DI ISI)'!AI36+'KELURAHAN (DI ISI)'!AI37</f>
        <v>7</v>
      </c>
      <c r="AR13" s="491">
        <f>'KELURAHAN (DI ISI)'!AJ35+'KELURAHAN (DI ISI)'!AJ36+'KELURAHAN (DI ISI)'!AJ37</f>
        <v>17</v>
      </c>
      <c r="AS13" s="491">
        <f>'KELURAHAN (DI ISI)'!AK35+'KELURAHAN (DI ISI)'!AK36+'KELURAHAN (DI ISI)'!AK37</f>
        <v>0</v>
      </c>
      <c r="AT13" s="491">
        <f>'KELURAHAN (DI ISI)'!AL35+'KELURAHAN (DI ISI)'!AL36+'KELURAHAN (DI ISI)'!AL37</f>
        <v>9</v>
      </c>
      <c r="AU13" s="491">
        <f>'KELURAHAN (DI ISI)'!AM35+'KELURAHAN (DI ISI)'!AM36+'KELURAHAN (DI ISI)'!AM37</f>
        <v>15</v>
      </c>
      <c r="AV13" s="491">
        <f>'KELURAHAN (DI ISI)'!AN35+'KELURAHAN (DI ISI)'!AN36+'KELURAHAN (DI ISI)'!AN37</f>
        <v>20</v>
      </c>
      <c r="AW13" s="491">
        <f t="shared" si="9"/>
        <v>7</v>
      </c>
      <c r="AX13" s="491">
        <f t="shared" si="10"/>
        <v>13</v>
      </c>
      <c r="AY13" s="491">
        <f>'KELURAHAN (DI ISI)'!AO35+'KELURAHAN (DI ISI)'!AO36+'KELURAHAN (DI ISI)'!AO37</f>
        <v>0</v>
      </c>
      <c r="AZ13" s="491">
        <f>'KELURAHAN (DI ISI)'!AP35+'KELURAHAN (DI ISI)'!AP36+'KELURAHAN (DI ISI)'!AP37</f>
        <v>0</v>
      </c>
      <c r="BA13" s="491">
        <f>'KELURAHAN (DI ISI)'!AQ35+'KELURAHAN (DI ISI)'!AQ36+'KELURAHAN (DI ISI)'!AQ37</f>
        <v>7</v>
      </c>
      <c r="BB13" s="491">
        <f>'KELURAHAN (DI ISI)'!AR35+'KELURAHAN (DI ISI)'!AR36+'KELURAHAN (DI ISI)'!AR37</f>
        <v>13</v>
      </c>
      <c r="BC13" s="491">
        <f>'KELURAHAN (DI ISI)'!AS35+'KELURAHAN (DI ISI)'!AS36+'KELURAHAN (DI ISI)'!AS37</f>
        <v>0</v>
      </c>
      <c r="BD13" s="491">
        <f>'KELURAHAN (DI ISI)'!AT35+'KELURAHAN (DI ISI)'!AT36+'KELURAHAN (DI ISI)'!AT37</f>
        <v>13</v>
      </c>
      <c r="BE13" s="491">
        <f>'KELURAHAN (DI ISI)'!AU35+'KELURAHAN (DI ISI)'!AU36+'KELURAHAN (DI ISI)'!AU37</f>
        <v>7</v>
      </c>
      <c r="BF13" s="491">
        <f>'KELURAHAN (DI ISI)'!AV35+'KELURAHAN (DI ISI)'!AV36+'KELURAHAN (DI ISI)'!AV37</f>
        <v>906</v>
      </c>
      <c r="BG13" s="491">
        <f>'KELURAHAN (DI ISI)'!AW35+'KELURAHAN (DI ISI)'!AW36+'KELURAHAN (DI ISI)'!AW37</f>
        <v>6</v>
      </c>
      <c r="BH13" s="491">
        <f t="shared" si="11"/>
        <v>6</v>
      </c>
      <c r="BI13" s="495">
        <f t="shared" si="12"/>
        <v>0</v>
      </c>
      <c r="BJ13" s="491">
        <f>'KELURAHAN (DI ISI)'!AX35+'KELURAHAN (DI ISI)'!AX36+'KELURAHAN (DI ISI)'!AX37</f>
        <v>0</v>
      </c>
      <c r="BK13" s="491">
        <f>'KELURAHAN (DI ISI)'!AY35+'KELURAHAN (DI ISI)'!AY36+'KELURAHAN (DI ISI)'!AY37</f>
        <v>0</v>
      </c>
      <c r="BL13" s="491">
        <f>'KELURAHAN (DI ISI)'!AZ35+'KELURAHAN (DI ISI)'!AZ36+'KELURAHAN (DI ISI)'!AZ37</f>
        <v>6</v>
      </c>
      <c r="BM13" s="491">
        <f>'KELURAHAN (DI ISI)'!BA35+'KELURAHAN (DI ISI)'!BA36+'KELURAHAN (DI ISI)'!BA37</f>
        <v>0</v>
      </c>
      <c r="BN13" s="491">
        <f>'KELURAHAN (DI ISI)'!BB35+'KELURAHAN (DI ISI)'!BB36+'KELURAHAN (DI ISI)'!BB37</f>
        <v>0</v>
      </c>
      <c r="BO13" s="491">
        <f>'KELURAHAN (DI ISI)'!BC35+'KELURAHAN (DI ISI)'!BC36+'KELURAHAN (DI ISI)'!BC37</f>
        <v>0</v>
      </c>
      <c r="BP13" s="491">
        <f>'KELURAHAN (DI ISI)'!BD35+'KELURAHAN (DI ISI)'!BD36+'KELURAHAN (DI ISI)'!BD37</f>
        <v>0</v>
      </c>
      <c r="BQ13" s="491">
        <f>'KELURAHAN (DI ISI)'!BE35+'KELURAHAN (DI ISI)'!BE36+'KELURAHAN (DI ISI)'!BE37</f>
        <v>0</v>
      </c>
      <c r="BR13" s="491">
        <f>'KELURAHAN (DI ISI)'!BF35+'KELURAHAN (DI ISI)'!BF36+'KELURAHAN (DI ISI)'!BF37</f>
        <v>0</v>
      </c>
      <c r="BS13" s="491">
        <f>'KELURAHAN (DI ISI)'!BG35+'KELURAHAN (DI ISI)'!BG36+'KELURAHAN (DI ISI)'!BG37</f>
        <v>0</v>
      </c>
      <c r="BT13" s="491">
        <f>'KELURAHAN (DI ISI)'!BH35+'KELURAHAN (DI ISI)'!BH36+'KELURAHAN (DI ISI)'!BH37</f>
        <v>0</v>
      </c>
      <c r="BU13" s="491">
        <f>'KELURAHAN (DI ISI)'!BI35+'KELURAHAN (DI ISI)'!BI36+'KELURAHAN (DI ISI)'!BI37</f>
        <v>0</v>
      </c>
      <c r="BV13" s="491">
        <f>'KELURAHAN (DI ISI)'!BJ35+'KELURAHAN (DI ISI)'!BJ36+'KELURAHAN (DI ISI)'!BJ37</f>
        <v>0</v>
      </c>
      <c r="BW13" s="491">
        <f>'KELURAHAN (DI ISI)'!BK35+'KELURAHAN (DI ISI)'!BK36+'KELURAHAN (DI ISI)'!BK37</f>
        <v>0</v>
      </c>
      <c r="BX13" s="491">
        <f>'KELURAHAN (DI ISI)'!BL35+'KELURAHAN (DI ISI)'!BL36+'KELURAHAN (DI ISI)'!BL37</f>
        <v>0</v>
      </c>
      <c r="BY13" s="491">
        <f>'KELURAHAN (DI ISI)'!BM35+'KELURAHAN (DI ISI)'!BM36+'KELURAHAN (DI ISI)'!BM37</f>
        <v>0</v>
      </c>
      <c r="BZ13" s="491">
        <f>'KELURAHAN (DI ISI)'!BN35+'KELURAHAN (DI ISI)'!BN36+'KELURAHAN (DI ISI)'!BN37</f>
        <v>3</v>
      </c>
      <c r="CA13" s="491">
        <f>'KELURAHAN (DI ISI)'!BO35+'KELURAHAN (DI ISI)'!BO36+'KELURAHAN (DI ISI)'!BO37</f>
        <v>0</v>
      </c>
      <c r="CB13" s="491">
        <f>'KELURAHAN (DI ISI)'!BP35+'KELURAHAN (DI ISI)'!BP36+'KELURAHAN (DI ISI)'!BP37</f>
        <v>3</v>
      </c>
      <c r="CC13" s="491">
        <f>'KELURAHAN (DI ISI)'!BQ35+'KELURAHAN (DI ISI)'!BQ36+'KELURAHAN (DI ISI)'!BQ37</f>
        <v>908</v>
      </c>
      <c r="CD13" s="491">
        <f>'KELURAHAN (DI ISI)'!BR35+'KELURAHAN (DI ISI)'!BR36+'KELURAHAN (DI ISI)'!BR37</f>
        <v>7</v>
      </c>
      <c r="CE13" s="491">
        <f t="shared" si="13"/>
        <v>0</v>
      </c>
      <c r="CF13" s="491">
        <f t="shared" si="14"/>
        <v>6</v>
      </c>
      <c r="CG13" s="491">
        <f>'KELURAHAN (DI ISI)'!BS35+'KELURAHAN (DI ISI)'!BS36+'KELURAHAN (DI ISI)'!BS37</f>
        <v>0</v>
      </c>
      <c r="CH13" s="491">
        <f>'KELURAHAN (DI ISI)'!BT35+'KELURAHAN (DI ISI)'!BT36+'KELURAHAN (DI ISI)'!BT37</f>
        <v>0</v>
      </c>
      <c r="CI13" s="491">
        <f>'KELURAHAN (DI ISI)'!BU35+'KELURAHAN (DI ISI)'!BU36+'KELURAHAN (DI ISI)'!BU37</f>
        <v>0</v>
      </c>
      <c r="CJ13" s="491">
        <f>'KELURAHAN (DI ISI)'!BV35+'KELURAHAN (DI ISI)'!BV36+'KELURAHAN (DI ISI)'!BV37</f>
        <v>6</v>
      </c>
      <c r="CK13" s="491">
        <f>'KELURAHAN (DI ISI)'!BW35+'KELURAHAN (DI ISI)'!BW36+'KELURAHAN (DI ISI)'!BW37</f>
        <v>0</v>
      </c>
      <c r="CL13" s="491">
        <f>'KELURAHAN (DI ISI)'!BX35+'KELURAHAN (DI ISI)'!BX36+'KELURAHAN (DI ISI)'!BX37</f>
        <v>0</v>
      </c>
      <c r="CM13" s="491">
        <f>'KELURAHAN (DI ISI)'!BY35+'KELURAHAN (DI ISI)'!BY36+'KELURAHAN (DI ISI)'!BY37</f>
        <v>0</v>
      </c>
      <c r="CN13" s="491">
        <f>'KELURAHAN (DI ISI)'!BZ35+'KELURAHAN (DI ISI)'!BZ36+'KELURAHAN (DI ISI)'!BZ37</f>
        <v>1</v>
      </c>
      <c r="CO13" s="491">
        <f>'KELURAHAN (DI ISI)'!CA35+'KELURAHAN (DI ISI)'!CA36+'KELURAHAN (DI ISI)'!CA37</f>
        <v>0</v>
      </c>
      <c r="CP13" s="491">
        <f>'KELURAHAN (DI ISI)'!CB35+'KELURAHAN (DI ISI)'!CB36+'KELURAHAN (DI ISI)'!CB37</f>
        <v>0</v>
      </c>
      <c r="CQ13" s="491">
        <f>'KELURAHAN (DI ISI)'!CC35+'KELURAHAN (DI ISI)'!CC36+'KELURAHAN (DI ISI)'!CC37</f>
        <v>0</v>
      </c>
      <c r="CR13" s="491">
        <f>'KELURAHAN (DI ISI)'!CD35+'KELURAHAN (DI ISI)'!CD36+'KELURAHAN (DI ISI)'!CD37</f>
        <v>0</v>
      </c>
      <c r="CS13" s="491">
        <f>'KELURAHAN (DI ISI)'!CE35+'KELURAHAN (DI ISI)'!CE36+'KELURAHAN (DI ISI)'!CE37</f>
        <v>0</v>
      </c>
      <c r="CT13" s="491">
        <f>'KELURAHAN (DI ISI)'!CF35+'KELURAHAN (DI ISI)'!CF36+'KELURAHAN (DI ISI)'!CF37</f>
        <v>0</v>
      </c>
      <c r="CU13" s="491">
        <f>'KELURAHAN (DI ISI)'!CG35+'KELURAHAN (DI ISI)'!CG36+'KELURAHAN (DI ISI)'!CG37</f>
        <v>0</v>
      </c>
      <c r="CV13" s="491">
        <f>'KELURAHAN (DI ISI)'!CH35+'KELURAHAN (DI ISI)'!CH36+'KELURAHAN (DI ISI)'!CH37</f>
        <v>0</v>
      </c>
      <c r="CW13" s="491">
        <f>'KELURAHAN (DI ISI)'!CI35+'KELURAHAN (DI ISI)'!CI36+'KELURAHAN (DI ISI)'!CI37</f>
        <v>5</v>
      </c>
      <c r="CX13" s="491">
        <f>'KELURAHAN (DI ISI)'!CJ35+'KELURAHAN (DI ISI)'!CJ36+'KELURAHAN (DI ISI)'!CJ37</f>
        <v>0</v>
      </c>
      <c r="CY13" s="491">
        <f>'KELURAHAN (DI ISI)'!CK35+'KELURAHAN (DI ISI)'!CK36+'KELURAHAN (DI ISI)'!CK37</f>
        <v>5</v>
      </c>
      <c r="CZ13" s="491">
        <f>'KELURAHAN (DI ISI)'!CL35+'KELURAHAN (DI ISI)'!CL36+'KELURAHAN (DI ISI)'!CL37</f>
        <v>910</v>
      </c>
      <c r="DA13" s="491">
        <f>'KELURAHAN (DI ISI)'!CM35+'KELURAHAN (DI ISI)'!CM36+'KELURAHAN (DI ISI)'!CM37</f>
        <v>201</v>
      </c>
      <c r="DB13" s="491">
        <f>'KELURAHAN (DI ISI)'!CN35+'KELURAHAN (DI ISI)'!CN36+'KELURAHAN (DI ISI)'!CN37</f>
        <v>15</v>
      </c>
      <c r="DC13" s="491">
        <f t="shared" si="15"/>
        <v>3</v>
      </c>
      <c r="DD13" s="491">
        <f t="shared" si="16"/>
        <v>9</v>
      </c>
      <c r="DE13" s="491">
        <f>'KELURAHAN (DI ISI)'!CO35+'KELURAHAN (DI ISI)'!CO36+'KELURAHAN (DI ISI)'!CO37</f>
        <v>1</v>
      </c>
      <c r="DF13" s="491">
        <f>'KELURAHAN (DI ISI)'!CP35+'KELURAHAN (DI ISI)'!CP36+'KELURAHAN (DI ISI)'!CP37</f>
        <v>1</v>
      </c>
      <c r="DG13" s="491">
        <f>'KELURAHAN (DI ISI)'!CQ35+'KELURAHAN (DI ISI)'!CQ36+'KELURAHAN (DI ISI)'!CQ37</f>
        <v>1</v>
      </c>
      <c r="DH13" s="491">
        <f>'KELURAHAN (DI ISI)'!CR35+'KELURAHAN (DI ISI)'!CR36+'KELURAHAN (DI ISI)'!CR37</f>
        <v>9</v>
      </c>
      <c r="DI13" s="491">
        <f>'KELURAHAN (DI ISI)'!CS35+'KELURAHAN (DI ISI)'!CS36+'KELURAHAN (DI ISI)'!CS37</f>
        <v>0</v>
      </c>
      <c r="DJ13" s="491">
        <f>'KELURAHAN (DI ISI)'!CT35+'KELURAHAN (DI ISI)'!CT36+'KELURAHAN (DI ISI)'!CT37</f>
        <v>1</v>
      </c>
      <c r="DK13" s="491">
        <f>'KELURAHAN (DI ISI)'!CU35+'KELURAHAN (DI ISI)'!CU36+'KELURAHAN (DI ISI)'!CU37</f>
        <v>2</v>
      </c>
      <c r="DL13" s="491">
        <f>'KELURAHAN (DI ISI)'!CV35+'KELURAHAN (DI ISI)'!CV36+'KELURAHAN (DI ISI)'!CV37</f>
        <v>0</v>
      </c>
      <c r="DM13" s="491">
        <f>'KELURAHAN (DI ISI)'!CW35+'KELURAHAN (DI ISI)'!CW36+'KELURAHAN (DI ISI)'!CW37</f>
        <v>0</v>
      </c>
      <c r="DN13" s="491">
        <f>'KELURAHAN (DI ISI)'!CX35+'KELURAHAN (DI ISI)'!CX36+'KELURAHAN (DI ISI)'!CX37</f>
        <v>0</v>
      </c>
      <c r="DO13" s="491">
        <f>'KELURAHAN (DI ISI)'!CY35+'KELURAHAN (DI ISI)'!CY36+'KELURAHAN (DI ISI)'!CY37</f>
        <v>0</v>
      </c>
      <c r="DP13" s="491">
        <f>'KELURAHAN (DI ISI)'!CZ35+'KELURAHAN (DI ISI)'!CZ36+'KELURAHAN (DI ISI)'!CZ37</f>
        <v>0</v>
      </c>
      <c r="DQ13" s="491">
        <f>'KELURAHAN (DI ISI)'!DA35+'KELURAHAN (DI ISI)'!DA36+'KELURAHAN (DI ISI)'!DA37</f>
        <v>0</v>
      </c>
      <c r="DR13" s="491">
        <f>'KELURAHAN (DI ISI)'!DB35+'KELURAHAN (DI ISI)'!DB36+'KELURAHAN (DI ISI)'!DB37</f>
        <v>0</v>
      </c>
      <c r="DS13" s="491">
        <f>'KELURAHAN (DI ISI)'!DC35+'KELURAHAN (DI ISI)'!DC36+'KELURAHAN (DI ISI)'!DC37</f>
        <v>0</v>
      </c>
      <c r="DT13" s="491">
        <f>'KELURAHAN (DI ISI)'!DD35+'KELURAHAN (DI ISI)'!DD36+'KELURAHAN (DI ISI)'!DD37</f>
        <v>0</v>
      </c>
      <c r="DU13" s="491">
        <f>'KELURAHAN (DI ISI)'!DE35+'KELURAHAN (DI ISI)'!DE36+'KELURAHAN (DI ISI)'!DE37</f>
        <v>0</v>
      </c>
      <c r="DV13" s="491">
        <f>'KELURAHAN (DI ISI)'!DF35+'KELURAHAN (DI ISI)'!DF36+'KELURAHAN (DI ISI)'!DF37</f>
        <v>0</v>
      </c>
      <c r="DW13" s="491">
        <f>'KELURAHAN (DI ISI)'!DG35+'KELURAHAN (DI ISI)'!DG36+'KELURAHAN (DI ISI)'!DG37</f>
        <v>0</v>
      </c>
      <c r="DX13" s="491">
        <f>'KELURAHAN (DI ISI)'!DH35+'KELURAHAN (DI ISI)'!DH36+'KELURAHAN (DI ISI)'!DH37</f>
        <v>807</v>
      </c>
      <c r="DY13" s="491">
        <f>'KELURAHAN (DI ISI)'!DI35+'KELURAHAN (DI ISI)'!DI36+'KELURAHAN (DI ISI)'!DI37</f>
        <v>182</v>
      </c>
      <c r="DZ13" s="491">
        <f>'KELURAHAN (DI ISI)'!DJ35+'KELURAHAN (DI ISI)'!DJ36+'KELURAHAN (DI ISI)'!DJ37</f>
        <v>807</v>
      </c>
      <c r="EA13" s="491">
        <f>'KELURAHAN (DI ISI)'!DK35+'KELURAHAN (DI ISI)'!DK36+'KELURAHAN (DI ISI)'!DK37</f>
        <v>182</v>
      </c>
      <c r="EB13" s="491">
        <f>'KELURAHAN (DI ISI)'!DL35+'KELURAHAN (DI ISI)'!DL36+'KELURAHAN (DI ISI)'!DL37</f>
        <v>15</v>
      </c>
      <c r="EC13" s="491">
        <f>'KELURAHAN (DI ISI)'!DM35+'KELURAHAN (DI ISI)'!DM36+'KELURAHAN (DI ISI)'!DM37</f>
        <v>6</v>
      </c>
      <c r="ED13" s="491">
        <f t="shared" si="17"/>
        <v>9</v>
      </c>
      <c r="EE13" s="491">
        <f>'KELURAHAN (DI ISI)'!DO35+'KELURAHAN (DI ISI)'!DO36+'KELURAHAN (DI ISI)'!DO37</f>
        <v>1</v>
      </c>
      <c r="EF13" s="491">
        <f>'KELURAHAN (DI ISI)'!DP35+'KELURAHAN (DI ISI)'!DP36+'KELURAHAN (DI ISI)'!DP37</f>
        <v>2</v>
      </c>
      <c r="EG13" s="491">
        <f>'KELURAHAN (DI ISI)'!DQ35+'KELURAHAN (DI ISI)'!DQ36+'KELURAHAN (DI ISI)'!DQ37</f>
        <v>3</v>
      </c>
      <c r="EH13" s="491">
        <f>'KELURAHAN (DI ISI)'!DR35+'KELURAHAN (DI ISI)'!DR36+'KELURAHAN (DI ISI)'!DR37</f>
        <v>9</v>
      </c>
      <c r="EI13" s="491">
        <f>'KELURAHAN (DI ISI)'!DS35+'KELURAHAN (DI ISI)'!DS36+'KELURAHAN (DI ISI)'!DS37</f>
        <v>0</v>
      </c>
      <c r="EJ13" s="491">
        <f>'KELURAHAN (DI ISI)'!DT35+'KELURAHAN (DI ISI)'!DT36+'KELURAHAN (DI ISI)'!DT37</f>
        <v>0</v>
      </c>
      <c r="EK13" s="491">
        <f>'KELURAHAN (DI ISI)'!DU35+'KELURAHAN (DI ISI)'!DU36+'KELURAHAN (DI ISI)'!DU37</f>
        <v>0</v>
      </c>
      <c r="EL13" s="491">
        <f>'KELURAHAN (DI ISI)'!DV35+'KELURAHAN (DI ISI)'!DV36+'KELURAHAN (DI ISI)'!DV37</f>
        <v>0</v>
      </c>
      <c r="EM13" s="491">
        <f>'KELURAHAN (DI ISI)'!DW35+'KELURAHAN (DI ISI)'!DW36+'KELURAHAN (DI ISI)'!DW37</f>
        <v>0</v>
      </c>
      <c r="EN13" s="491">
        <f>'KELURAHAN (DI ISI)'!DX35+'KELURAHAN (DI ISI)'!DX36+'KELURAHAN (DI ISI)'!DX37</f>
        <v>0</v>
      </c>
      <c r="EO13" s="491">
        <f>'KELURAHAN (DI ISI)'!DY35+'KELURAHAN (DI ISI)'!DY36+'KELURAHAN (DI ISI)'!DY37</f>
        <v>0</v>
      </c>
      <c r="EP13" s="491">
        <f>'KELURAHAN (DI ISI)'!DZ35+'KELURAHAN (DI ISI)'!DZ36+'KELURAHAN (DI ISI)'!DZ37</f>
        <v>0</v>
      </c>
      <c r="EQ13" s="491">
        <f>'KELURAHAN (DI ISI)'!EA35+'KELURAHAN (DI ISI)'!EA36+'KELURAHAN (DI ISI)'!EA37</f>
        <v>0</v>
      </c>
      <c r="ER13" s="491">
        <f>'KELURAHAN (DI ISI)'!EB35+'KELURAHAN (DI ISI)'!EB36+'KELURAHAN (DI ISI)'!EB37</f>
        <v>0</v>
      </c>
      <c r="ES13" s="491">
        <f>'KELURAHAN (DI ISI)'!EC35+'KELURAHAN (DI ISI)'!EC36+'KELURAHAN (DI ISI)'!EC37</f>
        <v>0</v>
      </c>
      <c r="ET13" s="491">
        <f>'KELURAHAN (DI ISI)'!ED35+'KELURAHAN (DI ISI)'!ED36+'KELURAHAN (DI ISI)'!ED37</f>
        <v>0</v>
      </c>
      <c r="EU13" s="491">
        <f>'KELURAHAN (DI ISI)'!EE35+'KELURAHAN (DI ISI)'!EE36+'KELURAHAN (DI ISI)'!EE37</f>
        <v>0</v>
      </c>
      <c r="EV13" s="491">
        <f>'KELURAHAN (DI ISI)'!EF35+'KELURAHAN (DI ISI)'!EF36+'KELURAHAN (DI ISI)'!EF37</f>
        <v>0</v>
      </c>
      <c r="EW13" s="491">
        <f>'KELURAHAN (DI ISI)'!EG35+'KELURAHAN (DI ISI)'!EG36+'KELURAHAN (DI ISI)'!EG37</f>
        <v>0</v>
      </c>
      <c r="EX13" s="491">
        <f>'KELURAHAN (DI ISI)'!EH35+'KELURAHAN (DI ISI)'!EH36+'KELURAHAN (DI ISI)'!EH37</f>
        <v>0</v>
      </c>
      <c r="EY13" s="491">
        <f>'KELURAHAN (DI ISI)'!EI35+'KELURAHAN (DI ISI)'!EI36+'KELURAHAN (DI ISI)'!EI37</f>
        <v>794</v>
      </c>
      <c r="EZ13" s="491">
        <f>'KELURAHAN (DI ISI)'!EJ35+'KELURAHAN (DI ISI)'!EJ36+'KELURAHAN (DI ISI)'!EJ37</f>
        <v>178</v>
      </c>
      <c r="FA13" s="491">
        <f>'KELURAHAN (DI ISI)'!EK35+'KELURAHAN (DI ISI)'!EK36+'KELURAHAN (DI ISI)'!EK37</f>
        <v>794</v>
      </c>
      <c r="FB13" s="491">
        <f>'KELURAHAN (DI ISI)'!EL35+'KELURAHAN (DI ISI)'!EL36+'KELURAHAN (DI ISI)'!EL37</f>
        <v>178</v>
      </c>
      <c r="FC13" s="491">
        <f>'KELURAHAN (DI ISI)'!EM35+'KELURAHAN (DI ISI)'!EM36+'KELURAHAN (DI ISI)'!EM37</f>
        <v>22</v>
      </c>
      <c r="FD13" s="491">
        <f>'KELURAHAN (DI ISI)'!EN35+'KELURAHAN (DI ISI)'!EN36+'KELURAHAN (DI ISI)'!EN37</f>
        <v>10</v>
      </c>
      <c r="FE13" s="491">
        <f t="shared" si="18"/>
        <v>12</v>
      </c>
      <c r="FF13" s="491">
        <f>'KELURAHAN (DI ISI)'!EP35+'KELURAHAN (DI ISI)'!EP36+'KELURAHAN (DI ISI)'!EP37</f>
        <v>1</v>
      </c>
      <c r="FG13" s="491">
        <f>'KELURAHAN (DI ISI)'!EQ35+'KELURAHAN (DI ISI)'!EQ36+'KELURAHAN (DI ISI)'!EQ37</f>
        <v>2</v>
      </c>
      <c r="FH13" s="491">
        <f>'KELURAHAN (DI ISI)'!ER35+'KELURAHAN (DI ISI)'!ER36+'KELURAHAN (DI ISI)'!ER37</f>
        <v>3</v>
      </c>
      <c r="FI13" s="491">
        <f>'KELURAHAN (DI ISI)'!ES35+'KELURAHAN (DI ISI)'!ES36+'KELURAHAN (DI ISI)'!ES37</f>
        <v>7</v>
      </c>
      <c r="FJ13" s="491">
        <f>'KELURAHAN (DI ISI)'!ET35+'KELURAHAN (DI ISI)'!ET36+'KELURAHAN (DI ISI)'!ET37</f>
        <v>0</v>
      </c>
      <c r="FK13" s="491">
        <f>'KELURAHAN (DI ISI)'!EU35+'KELURAHAN (DI ISI)'!EU36+'KELURAHAN (DI ISI)'!EU37</f>
        <v>0</v>
      </c>
      <c r="FL13" s="491">
        <f>'KELURAHAN (DI ISI)'!EV35+'KELURAHAN (DI ISI)'!EV36+'KELURAHAN (DI ISI)'!EV37</f>
        <v>4</v>
      </c>
      <c r="FM13" s="491">
        <f>'KELURAHAN (DI ISI)'!EW35+'KELURAHAN (DI ISI)'!EW36+'KELURAHAN (DI ISI)'!EW37</f>
        <v>5</v>
      </c>
      <c r="FN13" s="491">
        <f>'KELURAHAN (DI ISI)'!EX35+'KELURAHAN (DI ISI)'!EX36+'KELURAHAN (DI ISI)'!EX37</f>
        <v>0</v>
      </c>
      <c r="FO13" s="491">
        <f>'KELURAHAN (DI ISI)'!EY35+'KELURAHAN (DI ISI)'!EY36+'KELURAHAN (DI ISI)'!EY37</f>
        <v>0</v>
      </c>
      <c r="FP13" s="491">
        <f>'KELURAHAN (DI ISI)'!EZ35+'KELURAHAN (DI ISI)'!EZ36+'KELURAHAN (DI ISI)'!EZ37</f>
        <v>0</v>
      </c>
      <c r="FQ13" s="491">
        <f>'KELURAHAN (DI ISI)'!FA35+'KELURAHAN (DI ISI)'!FA36+'KELURAHAN (DI ISI)'!FA37</f>
        <v>2</v>
      </c>
      <c r="FR13" s="491">
        <f>'KELURAHAN (DI ISI)'!FB35+'KELURAHAN (DI ISI)'!FB36+'KELURAHAN (DI ISI)'!FB37</f>
        <v>0</v>
      </c>
      <c r="FS13" s="491">
        <f>'KELURAHAN (DI ISI)'!FC35+'KELURAHAN (DI ISI)'!FC36+'KELURAHAN (DI ISI)'!FC37</f>
        <v>0</v>
      </c>
      <c r="FT13" s="491">
        <f>'KELURAHAN (DI ISI)'!FD35+'KELURAHAN (DI ISI)'!FD36+'KELURAHAN (DI ISI)'!FD37</f>
        <v>0</v>
      </c>
      <c r="FU13" s="491">
        <f>'KELURAHAN (DI ISI)'!FE35+'KELURAHAN (DI ISI)'!FE36+'KELURAHAN (DI ISI)'!FE37</f>
        <v>0</v>
      </c>
      <c r="FV13" s="491">
        <f>'KELURAHAN (DI ISI)'!FF35+'KELURAHAN (DI ISI)'!FF36+'KELURAHAN (DI ISI)'!FF37</f>
        <v>0</v>
      </c>
      <c r="FW13" s="491">
        <f>'KELURAHAN (DI ISI)'!FG35+'KELURAHAN (DI ISI)'!FG36+'KELURAHAN (DI ISI)'!FG37</f>
        <v>0</v>
      </c>
      <c r="FX13" s="491">
        <f>'KELURAHAN (DI ISI)'!FH35+'KELURAHAN (DI ISI)'!FH36+'KELURAHAN (DI ISI)'!FH37</f>
        <v>2</v>
      </c>
      <c r="FY13" s="491">
        <f>'KELURAHAN (DI ISI)'!FI35+'KELURAHAN (DI ISI)'!FI36+'KELURAHAN (DI ISI)'!FI37</f>
        <v>0</v>
      </c>
      <c r="FZ13" s="491">
        <f>'KELURAHAN (DI ISI)'!FJ35+'KELURAHAN (DI ISI)'!FJ36+'KELURAHAN (DI ISI)'!FJ37</f>
        <v>783</v>
      </c>
      <c r="GA13" s="491">
        <f>'KELURAHAN (DI ISI)'!FK35+'KELURAHAN (DI ISI)'!FK36+'KELURAHAN (DI ISI)'!FK37</f>
        <v>184</v>
      </c>
      <c r="GB13" s="491">
        <f>'KELURAHAN (DI ISI)'!FL35+'KELURAHAN (DI ISI)'!FL36+'KELURAHAN (DI ISI)'!FL37</f>
        <v>775</v>
      </c>
      <c r="GC13" s="491">
        <f>'KELURAHAN (DI ISI)'!FM35+'KELURAHAN (DI ISI)'!FM36+'KELURAHAN (DI ISI)'!FM37</f>
        <v>182</v>
      </c>
      <c r="GD13" s="570">
        <v>775.0</v>
      </c>
      <c r="GE13" s="571">
        <f>'KELURAHAN (DI ISI)'!FO35+'KELURAHAN (DI ISI)'!FO36+'KELURAHAN (DI ISI)'!FO37</f>
        <v>16</v>
      </c>
      <c r="GF13" s="571">
        <f>'KELURAHAN (DI ISI)'!FP35+'KELURAHAN (DI ISI)'!FP36+'KELURAHAN (DI ISI)'!FP37</f>
        <v>16</v>
      </c>
      <c r="GG13" s="571">
        <f>'KELURAHAN (DI ISI)'!FP35+'KELURAHAN (DI ISI)'!FP36+'KELURAHAN (DI ISI)'!FP37</f>
        <v>16</v>
      </c>
      <c r="GH13" s="571">
        <f>'KELURAHAN (DI ISI)'!FQ35+'KELURAHAN (DI ISI)'!FQ36+'KELURAHAN (DI ISI)'!FQ37</f>
        <v>6</v>
      </c>
      <c r="GI13" s="571">
        <f t="shared" si="19"/>
        <v>10</v>
      </c>
      <c r="GJ13" s="491">
        <f>'KELURAHAN (DI ISI)'!FS35+'KELURAHAN (DI ISI)'!FS36+'KELURAHAN (DI ISI)'!FS37</f>
        <v>0</v>
      </c>
      <c r="GK13" s="491">
        <f>'KELURAHAN (DI ISI)'!FT35+'KELURAHAN (DI ISI)'!FT36+'KELURAHAN (DI ISI)'!FT37</f>
        <v>0</v>
      </c>
      <c r="GL13" s="491">
        <f>'KELURAHAN (DI ISI)'!FU35+'KELURAHAN (DI ISI)'!FU36+'KELURAHAN (DI ISI)'!FU37</f>
        <v>5</v>
      </c>
      <c r="GM13" s="491">
        <f>'KELURAHAN (DI ISI)'!FV35+'KELURAHAN (DI ISI)'!FV36+'KELURAHAN (DI ISI)'!FV37</f>
        <v>9</v>
      </c>
      <c r="GN13" s="491">
        <f>'KELURAHAN (DI ISI)'!FW35+'KELURAHAN (DI ISI)'!FW36+'KELURAHAN (DI ISI)'!FW37</f>
        <v>0</v>
      </c>
      <c r="GO13" s="491">
        <f>'KELURAHAN (DI ISI)'!FX35+'KELURAHAN (DI ISI)'!FX36+'KELURAHAN (DI ISI)'!FX37</f>
        <v>0</v>
      </c>
      <c r="GP13" s="491">
        <f>'KELURAHAN (DI ISI)'!FY35+'KELURAHAN (DI ISI)'!FY36+'KELURAHAN (DI ISI)'!FY37</f>
        <v>1</v>
      </c>
      <c r="GQ13" s="491">
        <f>'KELURAHAN (DI ISI)'!FZ35+'KELURAHAN (DI ISI)'!FZ36+'KELURAHAN (DI ISI)'!FZ37</f>
        <v>1</v>
      </c>
      <c r="GR13" s="491">
        <f>'KELURAHAN (DI ISI)'!GA35+'KELURAHAN (DI ISI)'!GA36+'KELURAHAN (DI ISI)'!GA37</f>
        <v>0</v>
      </c>
      <c r="GS13" s="491">
        <f>'KELURAHAN (DI ISI)'!GB35+'KELURAHAN (DI ISI)'!GB36+'KELURAHAN (DI ISI)'!GB37</f>
        <v>0</v>
      </c>
      <c r="GT13" s="491">
        <f>'KELURAHAN (DI ISI)'!GC35+'KELURAHAN (DI ISI)'!GC36+'KELURAHAN (DI ISI)'!GC37</f>
        <v>0</v>
      </c>
      <c r="GU13" s="491">
        <f>'KELURAHAN (DI ISI)'!GD35+'KELURAHAN (DI ISI)'!GD36+'KELURAHAN (DI ISI)'!GD37</f>
        <v>1</v>
      </c>
      <c r="GV13" s="491">
        <f>'KELURAHAN (DI ISI)'!GE35+'KELURAHAN (DI ISI)'!GE36+'KELURAHAN (DI ISI)'!GE37</f>
        <v>0</v>
      </c>
      <c r="GW13" s="491">
        <f>'KELURAHAN (DI ISI)'!GF35+'KELURAHAN (DI ISI)'!GF36+'KELURAHAN (DI ISI)'!GF37</f>
        <v>1</v>
      </c>
      <c r="GX13" s="491">
        <f>'KELURAHAN (DI ISI)'!GG35+'KELURAHAN (DI ISI)'!GG36+'KELURAHAN (DI ISI)'!GG37</f>
        <v>4</v>
      </c>
      <c r="GY13" s="491">
        <f>'KELURAHAN (DI ISI)'!GH35+'KELURAHAN (DI ISI)'!GH36+'KELURAHAN (DI ISI)'!GH37</f>
        <v>2</v>
      </c>
      <c r="GZ13" s="491">
        <f>'KELURAHAN (DI ISI)'!GI35+'KELURAHAN (DI ISI)'!GI36+'KELURAHAN (DI ISI)'!GI37</f>
        <v>0</v>
      </c>
      <c r="HA13" s="491">
        <f>'KELURAHAN (DI ISI)'!GJ35+'KELURAHAN (DI ISI)'!GJ36+'KELURAHAN (DI ISI)'!GJ37</f>
        <v>0</v>
      </c>
      <c r="HB13" s="572">
        <f>'KELURAHAN (DI ISI)'!GK35+'KELURAHAN (DI ISI)'!GK36+'KELURAHAN (DI ISI)'!GK37</f>
        <v>8</v>
      </c>
      <c r="HC13" s="572">
        <f>'KELURAHAN (DI ISI)'!GL35+'KELURAHAN (DI ISI)'!GL36+'KELURAHAN (DI ISI)'!GL37</f>
        <v>5</v>
      </c>
      <c r="HD13" s="491">
        <f>'KELURAHAN (DI ISI)'!GM35+'KELURAHAN (DI ISI)'!GM36+'KELURAHAN (DI ISI)'!GM37</f>
        <v>763</v>
      </c>
      <c r="HE13" s="491">
        <f>'KELURAHAN (DI ISI)'!GN35+'KELURAHAN (DI ISI)'!GN36+'KELURAHAN (DI ISI)'!GN37</f>
        <v>180</v>
      </c>
      <c r="HF13" s="491">
        <f>'KELURAHAN (DI ISI)'!GO35+'KELURAHAN (DI ISI)'!GO36+'KELURAHAN (DI ISI)'!GO37</f>
        <v>763</v>
      </c>
      <c r="HG13" s="491">
        <f>'KELURAHAN (DI ISI)'!GP35+'KELURAHAN (DI ISI)'!GP36+'KELURAHAN (DI ISI)'!GP37</f>
        <v>180</v>
      </c>
      <c r="HH13" s="570">
        <v>775.0</v>
      </c>
      <c r="HI13" s="225">
        <f>'KELURAHAN (DI ISI)'!GR35+'KELURAHAN (DI ISI)'!GR36+'KELURAHAN (DI ISI)'!GR37</f>
        <v>13</v>
      </c>
      <c r="HJ13" s="225">
        <f>'KELURAHAN (DI ISI)'!GS35+'KELURAHAN (DI ISI)'!GS36+'KELURAHAN (DI ISI)'!GS37</f>
        <v>5</v>
      </c>
      <c r="HK13" s="573">
        <f>'KELURAHAN (DI ISI)'!GT35+'KELURAHAN (DI ISI)'!GT36+'KELURAHAN (DI ISI)'!GT37</f>
        <v>13</v>
      </c>
      <c r="HL13" s="573">
        <f>'KELURAHAN (DI ISI)'!GU35+'KELURAHAN (DI ISI)'!GU36+'KELURAHAN (DI ISI)'!GU37</f>
        <v>5</v>
      </c>
      <c r="HM13" s="573">
        <f t="shared" si="20"/>
        <v>8</v>
      </c>
      <c r="HN13" s="491">
        <f>'KELURAHAN (DI ISI)'!GW35+'KELURAHAN (DI ISI)'!GW36+'KELURAHAN (DI ISI)'!GW37</f>
        <v>0</v>
      </c>
      <c r="HO13" s="491">
        <f>'KELURAHAN (DI ISI)'!GX35+'KELURAHAN (DI ISI)'!GX36+'KELURAHAN (DI ISI)'!GX37</f>
        <v>0</v>
      </c>
      <c r="HP13" s="491">
        <f>'KELURAHAN (DI ISI)'!GY35+'KELURAHAN (DI ISI)'!GY36+'KELURAHAN (DI ISI)'!GY37</f>
        <v>5</v>
      </c>
      <c r="HQ13" s="491">
        <f>'KELURAHAN (DI ISI)'!GZ35+'KELURAHAN (DI ISI)'!GZ36+'KELURAHAN (DI ISI)'!GZ37</f>
        <v>6</v>
      </c>
      <c r="HR13" s="491">
        <f>'KELURAHAN (DI ISI)'!HA35+'KELURAHAN (DI ISI)'!HA36+'KELURAHAN (DI ISI)'!HA37</f>
        <v>0</v>
      </c>
      <c r="HS13" s="491">
        <f>'KELURAHAN (DI ISI)'!HB35+'KELURAHAN (DI ISI)'!HB36+'KELURAHAN (DI ISI)'!HB37</f>
        <v>0</v>
      </c>
      <c r="HT13" s="491">
        <f>'KELURAHAN (DI ISI)'!HC35+'KELURAHAN (DI ISI)'!HC36+'KELURAHAN (DI ISI)'!HC37</f>
        <v>0</v>
      </c>
      <c r="HU13" s="491">
        <f>'KELURAHAN (DI ISI)'!HD35+'KELURAHAN (DI ISI)'!HD36+'KELURAHAN (DI ISI)'!HD37</f>
        <v>2</v>
      </c>
      <c r="HV13" s="491">
        <f>'KELURAHAN (DI ISI)'!HE35+'KELURAHAN (DI ISI)'!HE36+'KELURAHAN (DI ISI)'!HE37</f>
        <v>0</v>
      </c>
      <c r="HW13" s="491">
        <f>'KELURAHAN (DI ISI)'!HF35+'KELURAHAN (DI ISI)'!HF36+'KELURAHAN (DI ISI)'!HF37</f>
        <v>0</v>
      </c>
      <c r="HX13" s="491">
        <f>'KELURAHAN (DI ISI)'!HG35+'KELURAHAN (DI ISI)'!HG36+'KELURAHAN (DI ISI)'!HG37</f>
        <v>1</v>
      </c>
      <c r="HY13" s="491">
        <f>'KELURAHAN (DI ISI)'!HH35+'KELURAHAN (DI ISI)'!HH36+'KELURAHAN (DI ISI)'!HH37</f>
        <v>4</v>
      </c>
      <c r="HZ13" s="491">
        <f>'KELURAHAN (DI ISI)'!HI35+'KELURAHAN (DI ISI)'!HI36+'KELURAHAN (DI ISI)'!HI37</f>
        <v>0</v>
      </c>
      <c r="IA13" s="491">
        <f>'KELURAHAN (DI ISI)'!HJ35+'KELURAHAN (DI ISI)'!HJ36+'KELURAHAN (DI ISI)'!HJ37</f>
        <v>0</v>
      </c>
      <c r="IB13" s="491">
        <f>'KELURAHAN (DI ISI)'!HK35+'KELURAHAN (DI ISI)'!HK36+'KELURAHAN (DI ISI)'!HK37</f>
        <v>0</v>
      </c>
      <c r="IC13" s="491">
        <f>'KELURAHAN (DI ISI)'!HL35+'KELURAHAN (DI ISI)'!HL36+'KELURAHAN (DI ISI)'!HL37</f>
        <v>0</v>
      </c>
      <c r="ID13" s="491">
        <f>'KELURAHAN (DI ISI)'!HM35+'KELURAHAN (DI ISI)'!HM36+'KELURAHAN (DI ISI)'!HM37</f>
        <v>0</v>
      </c>
      <c r="IE13" s="491">
        <f>'KELURAHAN (DI ISI)'!HN35+'KELURAHAN (DI ISI)'!HN36+'KELURAHAN (DI ISI)'!HN37</f>
        <v>0</v>
      </c>
      <c r="IF13" s="573">
        <f>'KELURAHAN (DI ISI)'!HO35+'KELURAHAN (DI ISI)'!HO36+'KELURAHAN (DI ISI)'!HO37</f>
        <v>5</v>
      </c>
      <c r="IG13" s="573">
        <f>'KELURAHAN (DI ISI)'!HP35+'KELURAHAN (DI ISI)'!HP36+'KELURAHAN (DI ISI)'!HP37</f>
        <v>1</v>
      </c>
      <c r="IK13" s="198">
        <f t="shared" si="21"/>
        <v>33</v>
      </c>
      <c r="IL13" s="198">
        <f t="shared" si="22"/>
        <v>33</v>
      </c>
      <c r="IM13" s="198">
        <f t="shared" si="23"/>
        <v>33</v>
      </c>
      <c r="IN13" s="198">
        <f t="shared" si="24"/>
        <v>24</v>
      </c>
      <c r="IO13" s="198">
        <f t="shared" si="25"/>
        <v>20</v>
      </c>
      <c r="IP13" s="198">
        <f t="shared" si="26"/>
        <v>6</v>
      </c>
      <c r="IQ13" s="574">
        <f t="shared" si="27"/>
        <v>7</v>
      </c>
      <c r="IR13" s="574">
        <f t="shared" si="28"/>
        <v>15</v>
      </c>
      <c r="IS13" s="574">
        <f t="shared" si="29"/>
        <v>15</v>
      </c>
      <c r="IT13" s="574">
        <f t="shared" si="30"/>
        <v>22</v>
      </c>
      <c r="IU13" s="574">
        <f t="shared" si="31"/>
        <v>16</v>
      </c>
      <c r="IV13" s="575">
        <f t="shared" si="32"/>
        <v>13</v>
      </c>
      <c r="IW13" s="583"/>
      <c r="IX13" s="576">
        <f t="shared" si="33"/>
        <v>-13</v>
      </c>
      <c r="IY13" s="593"/>
      <c r="IZ13" s="577"/>
      <c r="JA13" s="162">
        <f t="shared" si="34"/>
        <v>-763</v>
      </c>
      <c r="JB13" s="578"/>
      <c r="JC13" s="579">
        <f t="shared" si="35"/>
        <v>-180</v>
      </c>
      <c r="JD13" s="584"/>
      <c r="JE13" s="594"/>
      <c r="JF13" s="577"/>
      <c r="JG13" s="234">
        <f t="shared" si="36"/>
        <v>-763</v>
      </c>
      <c r="JH13" s="578"/>
      <c r="JI13" s="579">
        <f t="shared" si="37"/>
        <v>-180</v>
      </c>
      <c r="JJ13" s="247"/>
    </row>
    <row r="14" ht="14.25" customHeight="1">
      <c r="A14" s="158">
        <v>7.0</v>
      </c>
      <c r="B14" s="157" t="s">
        <v>106</v>
      </c>
      <c r="C14" s="253">
        <v>3374130.0</v>
      </c>
      <c r="D14" s="569" t="s">
        <v>324</v>
      </c>
      <c r="E14" s="253"/>
      <c r="F14" s="252">
        <f>'KELURAHAN (DI ISI)'!F32+'KELURAHAN (DI ISI)'!F33+'KELURAHAN (DI ISI)'!F34</f>
        <v>27</v>
      </c>
      <c r="G14" s="252">
        <f>'KELURAHAN (DI ISI)'!G32+'KELURAHAN (DI ISI)'!G33+'KELURAHAN (DI ISI)'!G34</f>
        <v>1477</v>
      </c>
      <c r="H14" s="252">
        <f>'KELURAHAN (DI ISI)'!H32+'KELURAHAN (DI ISI)'!H33+'KELURAHAN (DI ISI)'!H34</f>
        <v>71</v>
      </c>
      <c r="I14" s="491">
        <f t="shared" si="1"/>
        <v>19</v>
      </c>
      <c r="J14" s="491">
        <f t="shared" si="2"/>
        <v>52</v>
      </c>
      <c r="K14" s="248">
        <f>'KELURAHAN (DI ISI)'!I32+'KELURAHAN (DI ISI)'!I33+'KELURAHAN (DI ISI)'!I34</f>
        <v>1</v>
      </c>
      <c r="L14" s="248">
        <f>'KELURAHAN (DI ISI)'!J32+'KELURAHAN (DI ISI)'!J33+'KELURAHAN (DI ISI)'!J34</f>
        <v>5</v>
      </c>
      <c r="M14" s="248">
        <f>'KELURAHAN (DI ISI)'!K32+'KELURAHAN (DI ISI)'!K33+'KELURAHAN (DI ISI)'!K34</f>
        <v>13</v>
      </c>
      <c r="N14" s="248">
        <f>'KELURAHAN (DI ISI)'!L32+'KELURAHAN (DI ISI)'!L33+'KELURAHAN (DI ISI)'!L34</f>
        <v>52</v>
      </c>
      <c r="O14" s="248">
        <f>'KELURAHAN (DI ISI)'!M32+'KELURAHAN (DI ISI)'!M33+'KELURAHAN (DI ISI)'!M34</f>
        <v>0</v>
      </c>
      <c r="P14" s="248">
        <f>'KELURAHAN (DI ISI)'!N32+'KELURAHAN (DI ISI)'!N33+'KELURAHAN (DI ISI)'!N34</f>
        <v>0</v>
      </c>
      <c r="Q14" s="248">
        <f>'KELURAHAN (DI ISI)'!O32+'KELURAHAN (DI ISI)'!O33+'KELURAHAN (DI ISI)'!O34</f>
        <v>71</v>
      </c>
      <c r="R14" s="248">
        <f>'KELURAHAN (DI ISI)'!P32+'KELURAHAN (DI ISI)'!P33+'KELURAHAN (DI ISI)'!P34</f>
        <v>72</v>
      </c>
      <c r="S14" s="491">
        <f t="shared" si="3"/>
        <v>17</v>
      </c>
      <c r="T14" s="491">
        <f t="shared" si="4"/>
        <v>55</v>
      </c>
      <c r="U14" s="248">
        <f>'KELURAHAN (DI ISI)'!Q32+'KELURAHAN (DI ISI)'!Q33+'KELURAHAN (DI ISI)'!Q34</f>
        <v>2</v>
      </c>
      <c r="V14" s="248">
        <f>'KELURAHAN (DI ISI)'!R32+'KELURAHAN (DI ISI)'!R33+'KELURAHAN (DI ISI)'!R34</f>
        <v>4</v>
      </c>
      <c r="W14" s="248">
        <f>'KELURAHAN (DI ISI)'!S32+'KELURAHAN (DI ISI)'!S33+'KELURAHAN (DI ISI)'!S34</f>
        <v>11</v>
      </c>
      <c r="X14" s="248">
        <f>'KELURAHAN (DI ISI)'!T32+'KELURAHAN (DI ISI)'!T33+'KELURAHAN (DI ISI)'!T34</f>
        <v>55</v>
      </c>
      <c r="Y14" s="248">
        <f>'KELURAHAN (DI ISI)'!U32+'KELURAHAN (DI ISI)'!U33+'KELURAHAN (DI ISI)'!U34</f>
        <v>10</v>
      </c>
      <c r="Z14" s="248">
        <f>'KELURAHAN (DI ISI)'!V32+'KELURAHAN (DI ISI)'!V33+'KELURAHAN (DI ISI)'!V34</f>
        <v>1</v>
      </c>
      <c r="AA14" s="248">
        <f>'KELURAHAN (DI ISI)'!W32+'KELURAHAN (DI ISI)'!W33+'KELURAHAN (DI ISI)'!W34</f>
        <v>61</v>
      </c>
      <c r="AB14" s="248">
        <f>'KELURAHAN (DI ISI)'!X32+'KELURAHAN (DI ISI)'!X33+'KELURAHAN (DI ISI)'!X34</f>
        <v>77</v>
      </c>
      <c r="AC14" s="491">
        <f t="shared" si="5"/>
        <v>22</v>
      </c>
      <c r="AD14" s="491">
        <f t="shared" si="6"/>
        <v>55</v>
      </c>
      <c r="AE14" s="248">
        <f>'KELURAHAN (DI ISI)'!Y32+'KELURAHAN (DI ISI)'!Y33+'KELURAHAN (DI ISI)'!Y34</f>
        <v>2</v>
      </c>
      <c r="AF14" s="248">
        <f>'KELURAHAN (DI ISI)'!Z32+'KELURAHAN (DI ISI)'!Z33+'KELURAHAN (DI ISI)'!Z34</f>
        <v>8</v>
      </c>
      <c r="AG14" s="248">
        <f>'KELURAHAN (DI ISI)'!AA32+'KELURAHAN (DI ISI)'!AA33+'KELURAHAN (DI ISI)'!AA34</f>
        <v>12</v>
      </c>
      <c r="AH14" s="248">
        <f>'KELURAHAN (DI ISI)'!AB32+'KELURAHAN (DI ISI)'!AB33+'KELURAHAN (DI ISI)'!AB34</f>
        <v>55</v>
      </c>
      <c r="AI14" s="248">
        <f>'KELURAHAN (DI ISI)'!AC32+'KELURAHAN (DI ISI)'!AC33+'KELURAHAN (DI ISI)'!AC34</f>
        <v>11</v>
      </c>
      <c r="AJ14" s="248">
        <f>'KELURAHAN (DI ISI)'!AD32+'KELURAHAN (DI ISI)'!AD33+'KELURAHAN (DI ISI)'!AD34</f>
        <v>1</v>
      </c>
      <c r="AK14" s="248">
        <f>'KELURAHAN (DI ISI)'!AE32+'KELURAHAN (DI ISI)'!AE33+'KELURAHAN (DI ISI)'!AE34</f>
        <v>65</v>
      </c>
      <c r="AL14" s="248">
        <f>'KELURAHAN (DI ISI)'!AF32+'KELURAHAN (DI ISI)'!AF33+'KELURAHAN (DI ISI)'!AF34</f>
        <v>79</v>
      </c>
      <c r="AM14" s="491">
        <f t="shared" si="7"/>
        <v>19</v>
      </c>
      <c r="AN14" s="491">
        <f t="shared" si="8"/>
        <v>60</v>
      </c>
      <c r="AO14" s="248">
        <f>'KELURAHAN (DI ISI)'!AG32+'KELURAHAN (DI ISI)'!AG33+'KELURAHAN (DI ISI)'!AG34</f>
        <v>3</v>
      </c>
      <c r="AP14" s="248">
        <f>'KELURAHAN (DI ISI)'!AH32+'KELURAHAN (DI ISI)'!AH33+'KELURAHAN (DI ISI)'!AH34</f>
        <v>5</v>
      </c>
      <c r="AQ14" s="248">
        <f>'KELURAHAN (DI ISI)'!AI32+'KELURAHAN (DI ISI)'!AI33+'KELURAHAN (DI ISI)'!AI34</f>
        <v>11</v>
      </c>
      <c r="AR14" s="248">
        <f>'KELURAHAN (DI ISI)'!AJ32+'KELURAHAN (DI ISI)'!AJ33+'KELURAHAN (DI ISI)'!AJ34</f>
        <v>60</v>
      </c>
      <c r="AS14" s="248">
        <f>'KELURAHAN (DI ISI)'!AK32+'KELURAHAN (DI ISI)'!AK33+'KELURAHAN (DI ISI)'!AK34</f>
        <v>12</v>
      </c>
      <c r="AT14" s="248">
        <f>'KELURAHAN (DI ISI)'!AL32+'KELURAHAN (DI ISI)'!AL33+'KELURAHAN (DI ISI)'!AL34</f>
        <v>5</v>
      </c>
      <c r="AU14" s="248">
        <f>'KELURAHAN (DI ISI)'!AM32+'KELURAHAN (DI ISI)'!AM33+'KELURAHAN (DI ISI)'!AM34</f>
        <v>62</v>
      </c>
      <c r="AV14" s="248">
        <f>'KELURAHAN (DI ISI)'!AN32+'KELURAHAN (DI ISI)'!AN33+'KELURAHAN (DI ISI)'!AN34</f>
        <v>80</v>
      </c>
      <c r="AW14" s="491">
        <f t="shared" si="9"/>
        <v>25</v>
      </c>
      <c r="AX14" s="491">
        <f t="shared" si="10"/>
        <v>55</v>
      </c>
      <c r="AY14" s="248">
        <f>'KELURAHAN (DI ISI)'!AO32+'KELURAHAN (DI ISI)'!AO33+'KELURAHAN (DI ISI)'!AO34</f>
        <v>5</v>
      </c>
      <c r="AZ14" s="248">
        <f>'KELURAHAN (DI ISI)'!AP32+'KELURAHAN (DI ISI)'!AP33+'KELURAHAN (DI ISI)'!AP34</f>
        <v>5</v>
      </c>
      <c r="BA14" s="248">
        <f>'KELURAHAN (DI ISI)'!AQ32+'KELURAHAN (DI ISI)'!AQ33+'KELURAHAN (DI ISI)'!AQ34</f>
        <v>15</v>
      </c>
      <c r="BB14" s="248">
        <f>'KELURAHAN (DI ISI)'!AR32+'KELURAHAN (DI ISI)'!AR33+'KELURAHAN (DI ISI)'!AR34</f>
        <v>55</v>
      </c>
      <c r="BC14" s="248">
        <f>'KELURAHAN (DI ISI)'!AS32+'KELURAHAN (DI ISI)'!AS33+'KELURAHAN (DI ISI)'!AS34</f>
        <v>10</v>
      </c>
      <c r="BD14" s="248">
        <f>'KELURAHAN (DI ISI)'!AT32+'KELURAHAN (DI ISI)'!AT33+'KELURAHAN (DI ISI)'!AT34</f>
        <v>5</v>
      </c>
      <c r="BE14" s="248">
        <f>'KELURAHAN (DI ISI)'!AU32+'KELURAHAN (DI ISI)'!AU33+'KELURAHAN (DI ISI)'!AU34</f>
        <v>65</v>
      </c>
      <c r="BF14" s="248">
        <f>'KELURAHAN (DI ISI)'!AV32+'KELURAHAN (DI ISI)'!AV33+'KELURAHAN (DI ISI)'!AV34</f>
        <v>1444</v>
      </c>
      <c r="BG14" s="248">
        <f>'KELURAHAN (DI ISI)'!AW32+'KELURAHAN (DI ISI)'!AW33+'KELURAHAN (DI ISI)'!AW34</f>
        <v>80</v>
      </c>
      <c r="BH14" s="491">
        <f t="shared" si="11"/>
        <v>22</v>
      </c>
      <c r="BI14" s="495">
        <f t="shared" si="12"/>
        <v>55</v>
      </c>
      <c r="BJ14" s="248">
        <f>'KELURAHAN (DI ISI)'!AX32+'KELURAHAN (DI ISI)'!AX33+'KELURAHAN (DI ISI)'!AX34</f>
        <v>3</v>
      </c>
      <c r="BK14" s="248">
        <f>'KELURAHAN (DI ISI)'!AY32+'KELURAHAN (DI ISI)'!AY33+'KELURAHAN (DI ISI)'!AY34</f>
        <v>3</v>
      </c>
      <c r="BL14" s="248">
        <f>'KELURAHAN (DI ISI)'!AZ32+'KELURAHAN (DI ISI)'!AZ33+'KELURAHAN (DI ISI)'!AZ34</f>
        <v>16</v>
      </c>
      <c r="BM14" s="248">
        <f>'KELURAHAN (DI ISI)'!BA32+'KELURAHAN (DI ISI)'!BA33+'KELURAHAN (DI ISI)'!BA34</f>
        <v>55</v>
      </c>
      <c r="BN14" s="248">
        <f>'KELURAHAN (DI ISI)'!BB32+'KELURAHAN (DI ISI)'!BB33+'KELURAHAN (DI ISI)'!BB34</f>
        <v>1</v>
      </c>
      <c r="BO14" s="248">
        <f>'KELURAHAN (DI ISI)'!BC32+'KELURAHAN (DI ISI)'!BC33+'KELURAHAN (DI ISI)'!BC34</f>
        <v>0</v>
      </c>
      <c r="BP14" s="248">
        <f>'KELURAHAN (DI ISI)'!BD32+'KELURAHAN (DI ISI)'!BD33+'KELURAHAN (DI ISI)'!BD34</f>
        <v>0</v>
      </c>
      <c r="BQ14" s="248">
        <f>'KELURAHAN (DI ISI)'!BE32+'KELURAHAN (DI ISI)'!BE33+'KELURAHAN (DI ISI)'!BE34</f>
        <v>2</v>
      </c>
      <c r="BR14" s="248">
        <f>'KELURAHAN (DI ISI)'!BF32+'KELURAHAN (DI ISI)'!BF33+'KELURAHAN (DI ISI)'!BF34</f>
        <v>1</v>
      </c>
      <c r="BS14" s="248">
        <f>'KELURAHAN (DI ISI)'!BG32+'KELURAHAN (DI ISI)'!BG33+'KELURAHAN (DI ISI)'!BG34</f>
        <v>0</v>
      </c>
      <c r="BT14" s="248">
        <f>'KELURAHAN (DI ISI)'!BH32+'KELURAHAN (DI ISI)'!BH33+'KELURAHAN (DI ISI)'!BH34</f>
        <v>2</v>
      </c>
      <c r="BU14" s="248">
        <f>'KELURAHAN (DI ISI)'!BI32+'KELURAHAN (DI ISI)'!BI33+'KELURAHAN (DI ISI)'!BI34</f>
        <v>1</v>
      </c>
      <c r="BV14" s="248">
        <f>'KELURAHAN (DI ISI)'!BJ32+'KELURAHAN (DI ISI)'!BJ33+'KELURAHAN (DI ISI)'!BJ34</f>
        <v>0</v>
      </c>
      <c r="BW14" s="248">
        <f>'KELURAHAN (DI ISI)'!BK32+'KELURAHAN (DI ISI)'!BK33+'KELURAHAN (DI ISI)'!BK34</f>
        <v>0</v>
      </c>
      <c r="BX14" s="248">
        <f>'KELURAHAN (DI ISI)'!BL32+'KELURAHAN (DI ISI)'!BL33+'KELURAHAN (DI ISI)'!BL34</f>
        <v>0</v>
      </c>
      <c r="BY14" s="248">
        <f>'KELURAHAN (DI ISI)'!BM32+'KELURAHAN (DI ISI)'!BM33+'KELURAHAN (DI ISI)'!BM34</f>
        <v>0</v>
      </c>
      <c r="BZ14" s="248">
        <f>'KELURAHAN (DI ISI)'!BN32+'KELURAHAN (DI ISI)'!BN33+'KELURAHAN (DI ISI)'!BN34</f>
        <v>2</v>
      </c>
      <c r="CA14" s="248">
        <f>'KELURAHAN (DI ISI)'!BO32+'KELURAHAN (DI ISI)'!BO33+'KELURAHAN (DI ISI)'!BO34</f>
        <v>0</v>
      </c>
      <c r="CB14" s="248">
        <f>'KELURAHAN (DI ISI)'!BP32+'KELURAHAN (DI ISI)'!BP33+'KELURAHAN (DI ISI)'!BP34</f>
        <v>6</v>
      </c>
      <c r="CC14" s="248">
        <f>'KELURAHAN (DI ISI)'!BQ32+'KELURAHAN (DI ISI)'!BQ33+'KELURAHAN (DI ISI)'!BQ34</f>
        <v>1447</v>
      </c>
      <c r="CD14" s="248">
        <f>'KELURAHAN (DI ISI)'!BR32+'KELURAHAN (DI ISI)'!BR33+'KELURAHAN (DI ISI)'!BR34</f>
        <v>77</v>
      </c>
      <c r="CE14" s="491">
        <f t="shared" si="13"/>
        <v>22</v>
      </c>
      <c r="CF14" s="491">
        <f t="shared" si="14"/>
        <v>53</v>
      </c>
      <c r="CG14" s="248">
        <f>'KELURAHAN (DI ISI)'!BS32+'KELURAHAN (DI ISI)'!BS33+'KELURAHAN (DI ISI)'!BS34</f>
        <v>4</v>
      </c>
      <c r="CH14" s="248">
        <f>'KELURAHAN (DI ISI)'!BT32+'KELURAHAN (DI ISI)'!BT33+'KELURAHAN (DI ISI)'!BT34</f>
        <v>3</v>
      </c>
      <c r="CI14" s="248">
        <f>'KELURAHAN (DI ISI)'!BU32+'KELURAHAN (DI ISI)'!BU33+'KELURAHAN (DI ISI)'!BU34</f>
        <v>15</v>
      </c>
      <c r="CJ14" s="248">
        <f>'KELURAHAN (DI ISI)'!BV32+'KELURAHAN (DI ISI)'!BV33+'KELURAHAN (DI ISI)'!BV34</f>
        <v>53</v>
      </c>
      <c r="CK14" s="248">
        <f>'KELURAHAN (DI ISI)'!BW32+'KELURAHAN (DI ISI)'!BW33+'KELURAHAN (DI ISI)'!BW34</f>
        <v>1</v>
      </c>
      <c r="CL14" s="248">
        <f>'KELURAHAN (DI ISI)'!BX32+'KELURAHAN (DI ISI)'!BX33+'KELURAHAN (DI ISI)'!BX34</f>
        <v>1</v>
      </c>
      <c r="CM14" s="248">
        <f>'KELURAHAN (DI ISI)'!BY32+'KELURAHAN (DI ISI)'!BY33+'KELURAHAN (DI ISI)'!BY34</f>
        <v>0</v>
      </c>
      <c r="CN14" s="248">
        <f>'KELURAHAN (DI ISI)'!BZ32+'KELURAHAN (DI ISI)'!BZ33+'KELURAHAN (DI ISI)'!BZ34</f>
        <v>0</v>
      </c>
      <c r="CO14" s="248">
        <f>'KELURAHAN (DI ISI)'!CA32+'KELURAHAN (DI ISI)'!CA33+'KELURAHAN (DI ISI)'!CA34</f>
        <v>0</v>
      </c>
      <c r="CP14" s="248">
        <f>'KELURAHAN (DI ISI)'!CB32+'KELURAHAN (DI ISI)'!CB33+'KELURAHAN (DI ISI)'!CB34</f>
        <v>0</v>
      </c>
      <c r="CQ14" s="248">
        <f>'KELURAHAN (DI ISI)'!CC32+'KELURAHAN (DI ISI)'!CC33+'KELURAHAN (DI ISI)'!CC34</f>
        <v>1</v>
      </c>
      <c r="CR14" s="248">
        <f>'KELURAHAN (DI ISI)'!CD32+'KELURAHAN (DI ISI)'!CD33+'KELURAHAN (DI ISI)'!CD34</f>
        <v>3</v>
      </c>
      <c r="CS14" s="248">
        <f>'KELURAHAN (DI ISI)'!CE32+'KELURAHAN (DI ISI)'!CE33+'KELURAHAN (DI ISI)'!CE34</f>
        <v>0</v>
      </c>
      <c r="CT14" s="248">
        <f>'KELURAHAN (DI ISI)'!CF32+'KELURAHAN (DI ISI)'!CF33+'KELURAHAN (DI ISI)'!CF34</f>
        <v>0</v>
      </c>
      <c r="CU14" s="248">
        <f>'KELURAHAN (DI ISI)'!CG32+'KELURAHAN (DI ISI)'!CG33+'KELURAHAN (DI ISI)'!CG34</f>
        <v>0</v>
      </c>
      <c r="CV14" s="248">
        <f>'KELURAHAN (DI ISI)'!CH32+'KELURAHAN (DI ISI)'!CH33+'KELURAHAN (DI ISI)'!CH34</f>
        <v>0</v>
      </c>
      <c r="CW14" s="248">
        <f>'KELURAHAN (DI ISI)'!CI32+'KELURAHAN (DI ISI)'!CI33+'KELURAHAN (DI ISI)'!CI34</f>
        <v>2</v>
      </c>
      <c r="CX14" s="248">
        <f>'KELURAHAN (DI ISI)'!CJ32+'KELURAHAN (DI ISI)'!CJ33+'KELURAHAN (DI ISI)'!CJ34</f>
        <v>0</v>
      </c>
      <c r="CY14" s="248">
        <f>'KELURAHAN (DI ISI)'!CK32+'KELURAHAN (DI ISI)'!CK33+'KELURAHAN (DI ISI)'!CK34</f>
        <v>6</v>
      </c>
      <c r="CZ14" s="248">
        <f>'KELURAHAN (DI ISI)'!CL32+'KELURAHAN (DI ISI)'!CL33+'KELURAHAN (DI ISI)'!CL34</f>
        <v>1414</v>
      </c>
      <c r="DA14" s="248">
        <f>'KELURAHAN (DI ISI)'!CM32+'KELURAHAN (DI ISI)'!CM33+'KELURAHAN (DI ISI)'!CM34</f>
        <v>508</v>
      </c>
      <c r="DB14" s="248">
        <f>'KELURAHAN (DI ISI)'!CN32+'KELURAHAN (DI ISI)'!CN33+'KELURAHAN (DI ISI)'!CN34</f>
        <v>79</v>
      </c>
      <c r="DC14" s="491">
        <f t="shared" si="15"/>
        <v>22</v>
      </c>
      <c r="DD14" s="491">
        <f t="shared" si="16"/>
        <v>50</v>
      </c>
      <c r="DE14" s="248">
        <f>'KELURAHAN (DI ISI)'!CO32+'KELURAHAN (DI ISI)'!CO33+'KELURAHAN (DI ISI)'!CO34</f>
        <v>4</v>
      </c>
      <c r="DF14" s="248">
        <f>'KELURAHAN (DI ISI)'!CP32+'KELURAHAN (DI ISI)'!CP33+'KELURAHAN (DI ISI)'!CP34</f>
        <v>0</v>
      </c>
      <c r="DG14" s="248">
        <f>'KELURAHAN (DI ISI)'!CQ32+'KELURAHAN (DI ISI)'!CQ33+'KELURAHAN (DI ISI)'!CQ34</f>
        <v>18</v>
      </c>
      <c r="DH14" s="248">
        <f>'KELURAHAN (DI ISI)'!CR32+'KELURAHAN (DI ISI)'!CR33+'KELURAHAN (DI ISI)'!CR34</f>
        <v>50</v>
      </c>
      <c r="DI14" s="248">
        <f>'KELURAHAN (DI ISI)'!CS32+'KELURAHAN (DI ISI)'!CS33+'KELURAHAN (DI ISI)'!CS34</f>
        <v>0</v>
      </c>
      <c r="DJ14" s="248">
        <f>'KELURAHAN (DI ISI)'!CT32+'KELURAHAN (DI ISI)'!CT33+'KELURAHAN (DI ISI)'!CT34</f>
        <v>0</v>
      </c>
      <c r="DK14" s="248">
        <f>'KELURAHAN (DI ISI)'!CU32+'KELURAHAN (DI ISI)'!CU33+'KELURAHAN (DI ISI)'!CU34</f>
        <v>4</v>
      </c>
      <c r="DL14" s="248">
        <f>'KELURAHAN (DI ISI)'!CV32+'KELURAHAN (DI ISI)'!CV33+'KELURAHAN (DI ISI)'!CV34</f>
        <v>3</v>
      </c>
      <c r="DM14" s="248">
        <f>'KELURAHAN (DI ISI)'!CW32+'KELURAHAN (DI ISI)'!CW33+'KELURAHAN (DI ISI)'!CW34</f>
        <v>0</v>
      </c>
      <c r="DN14" s="248">
        <f>'KELURAHAN (DI ISI)'!CX32+'KELURAHAN (DI ISI)'!CX33+'KELURAHAN (DI ISI)'!CX34</f>
        <v>0</v>
      </c>
      <c r="DO14" s="248">
        <f>'KELURAHAN (DI ISI)'!CY32+'KELURAHAN (DI ISI)'!CY33+'KELURAHAN (DI ISI)'!CY34</f>
        <v>0</v>
      </c>
      <c r="DP14" s="248">
        <f>'KELURAHAN (DI ISI)'!CZ32+'KELURAHAN (DI ISI)'!CZ33+'KELURAHAN (DI ISI)'!CZ34</f>
        <v>0</v>
      </c>
      <c r="DQ14" s="248">
        <f>'KELURAHAN (DI ISI)'!DA32+'KELURAHAN (DI ISI)'!DA33+'KELURAHAN (DI ISI)'!DA34</f>
        <v>0</v>
      </c>
      <c r="DR14" s="248">
        <f>'KELURAHAN (DI ISI)'!DB32+'KELURAHAN (DI ISI)'!DB33+'KELURAHAN (DI ISI)'!DB34</f>
        <v>0</v>
      </c>
      <c r="DS14" s="248">
        <f>'KELURAHAN (DI ISI)'!DC32+'KELURAHAN (DI ISI)'!DC33+'KELURAHAN (DI ISI)'!DC34</f>
        <v>0</v>
      </c>
      <c r="DT14" s="248">
        <f>'KELURAHAN (DI ISI)'!DD32+'KELURAHAN (DI ISI)'!DD33+'KELURAHAN (DI ISI)'!DD34</f>
        <v>1</v>
      </c>
      <c r="DU14" s="248">
        <f>'KELURAHAN (DI ISI)'!DE32+'KELURAHAN (DI ISI)'!DE33+'KELURAHAN (DI ISI)'!DE34</f>
        <v>0</v>
      </c>
      <c r="DV14" s="248">
        <f>'KELURAHAN (DI ISI)'!DF32+'KELURAHAN (DI ISI)'!DF33+'KELURAHAN (DI ISI)'!DF34</f>
        <v>0</v>
      </c>
      <c r="DW14" s="248">
        <f>'KELURAHAN (DI ISI)'!DG32+'KELURAHAN (DI ISI)'!DG33+'KELURAHAN (DI ISI)'!DG34</f>
        <v>1</v>
      </c>
      <c r="DX14" s="248">
        <f>'KELURAHAN (DI ISI)'!DH32+'KELURAHAN (DI ISI)'!DH33+'KELURAHAN (DI ISI)'!DH34</f>
        <v>1228</v>
      </c>
      <c r="DY14" s="248">
        <f>'KELURAHAN (DI ISI)'!DI32+'KELURAHAN (DI ISI)'!DI33+'KELURAHAN (DI ISI)'!DI34</f>
        <v>453</v>
      </c>
      <c r="DZ14" s="248">
        <f>'KELURAHAN (DI ISI)'!DJ32+'KELURAHAN (DI ISI)'!DJ33+'KELURAHAN (DI ISI)'!DJ34</f>
        <v>1116</v>
      </c>
      <c r="EA14" s="248">
        <f>'KELURAHAN (DI ISI)'!DK32+'KELURAHAN (DI ISI)'!DK33+'KELURAHAN (DI ISI)'!DK34</f>
        <v>406</v>
      </c>
      <c r="EB14" s="248">
        <f>'KELURAHAN (DI ISI)'!DL32+'KELURAHAN (DI ISI)'!DL33+'KELURAHAN (DI ISI)'!DL34</f>
        <v>80</v>
      </c>
      <c r="EC14" s="248">
        <f>'KELURAHAN (DI ISI)'!DM32+'KELURAHAN (DI ISI)'!DM33+'KELURAHAN (DI ISI)'!DM34</f>
        <v>25</v>
      </c>
      <c r="ED14" s="491">
        <f t="shared" si="17"/>
        <v>55</v>
      </c>
      <c r="EE14" s="248">
        <f>'KELURAHAN (DI ISI)'!DO32+'KELURAHAN (DI ISI)'!DO33+'KELURAHAN (DI ISI)'!DO34</f>
        <v>3</v>
      </c>
      <c r="EF14" s="248">
        <f>'KELURAHAN (DI ISI)'!DP32+'KELURAHAN (DI ISI)'!DP33+'KELURAHAN (DI ISI)'!DP34</f>
        <v>0</v>
      </c>
      <c r="EG14" s="248">
        <f>'KELURAHAN (DI ISI)'!DQ32+'KELURAHAN (DI ISI)'!DQ33+'KELURAHAN (DI ISI)'!DQ34</f>
        <v>20</v>
      </c>
      <c r="EH14" s="248">
        <f>'KELURAHAN (DI ISI)'!DR32+'KELURAHAN (DI ISI)'!DR33+'KELURAHAN (DI ISI)'!DR34</f>
        <v>55</v>
      </c>
      <c r="EI14" s="248">
        <f>'KELURAHAN (DI ISI)'!DS32+'KELURAHAN (DI ISI)'!DS33+'KELURAHAN (DI ISI)'!DS34</f>
        <v>0</v>
      </c>
      <c r="EJ14" s="248">
        <f>'KELURAHAN (DI ISI)'!DT32+'KELURAHAN (DI ISI)'!DT33+'KELURAHAN (DI ISI)'!DT34</f>
        <v>1</v>
      </c>
      <c r="EK14" s="248">
        <f>'KELURAHAN (DI ISI)'!DU32+'KELURAHAN (DI ISI)'!DU33+'KELURAHAN (DI ISI)'!DU34</f>
        <v>1</v>
      </c>
      <c r="EL14" s="248">
        <f>'KELURAHAN (DI ISI)'!DV32+'KELURAHAN (DI ISI)'!DV33+'KELURAHAN (DI ISI)'!DV34</f>
        <v>0</v>
      </c>
      <c r="EM14" s="248">
        <f>'KELURAHAN (DI ISI)'!DW32+'KELURAHAN (DI ISI)'!DW33+'KELURAHAN (DI ISI)'!DW34</f>
        <v>0</v>
      </c>
      <c r="EN14" s="248">
        <f>'KELURAHAN (DI ISI)'!DX32+'KELURAHAN (DI ISI)'!DX33+'KELURAHAN (DI ISI)'!DX34</f>
        <v>0</v>
      </c>
      <c r="EO14" s="248">
        <f>'KELURAHAN (DI ISI)'!DY32+'KELURAHAN (DI ISI)'!DY33+'KELURAHAN (DI ISI)'!DY34</f>
        <v>3</v>
      </c>
      <c r="EP14" s="248">
        <f>'KELURAHAN (DI ISI)'!DZ32+'KELURAHAN (DI ISI)'!DZ33+'KELURAHAN (DI ISI)'!DZ34</f>
        <v>0</v>
      </c>
      <c r="EQ14" s="248">
        <f>'KELURAHAN (DI ISI)'!EA32+'KELURAHAN (DI ISI)'!EA33+'KELURAHAN (DI ISI)'!EA34</f>
        <v>0</v>
      </c>
      <c r="ER14" s="248">
        <f>'KELURAHAN (DI ISI)'!EB32+'KELURAHAN (DI ISI)'!EB33+'KELURAHAN (DI ISI)'!EB34</f>
        <v>0</v>
      </c>
      <c r="ES14" s="248">
        <f>'KELURAHAN (DI ISI)'!EC32+'KELURAHAN (DI ISI)'!EC33+'KELURAHAN (DI ISI)'!EC34</f>
        <v>1</v>
      </c>
      <c r="ET14" s="248">
        <f>'KELURAHAN (DI ISI)'!ED32+'KELURAHAN (DI ISI)'!ED33+'KELURAHAN (DI ISI)'!ED34</f>
        <v>3</v>
      </c>
      <c r="EU14" s="248">
        <f>'KELURAHAN (DI ISI)'!EE32+'KELURAHAN (DI ISI)'!EE33+'KELURAHAN (DI ISI)'!EE34</f>
        <v>0</v>
      </c>
      <c r="EV14" s="248">
        <f>'KELURAHAN (DI ISI)'!EF32+'KELURAHAN (DI ISI)'!EF33+'KELURAHAN (DI ISI)'!EF34</f>
        <v>0</v>
      </c>
      <c r="EW14" s="248">
        <f>'KELURAHAN (DI ISI)'!EG32+'KELURAHAN (DI ISI)'!EG33+'KELURAHAN (DI ISI)'!EG34</f>
        <v>7</v>
      </c>
      <c r="EX14" s="248">
        <f>'KELURAHAN (DI ISI)'!EH32+'KELURAHAN (DI ISI)'!EH33+'KELURAHAN (DI ISI)'!EH34</f>
        <v>4</v>
      </c>
      <c r="EY14" s="248">
        <f>'KELURAHAN (DI ISI)'!EI32+'KELURAHAN (DI ISI)'!EI33+'KELURAHAN (DI ISI)'!EI34</f>
        <v>1207</v>
      </c>
      <c r="EZ14" s="248">
        <f>'KELURAHAN (DI ISI)'!EJ32+'KELURAHAN (DI ISI)'!EJ33+'KELURAHAN (DI ISI)'!EJ34</f>
        <v>432</v>
      </c>
      <c r="FA14" s="248">
        <f>'KELURAHAN (DI ISI)'!EK32+'KELURAHAN (DI ISI)'!EK33+'KELURAHAN (DI ISI)'!EK34</f>
        <v>1131</v>
      </c>
      <c r="FB14" s="248">
        <f>'KELURAHAN (DI ISI)'!EL32+'KELURAHAN (DI ISI)'!EL33+'KELURAHAN (DI ISI)'!EL34</f>
        <v>414</v>
      </c>
      <c r="FC14" s="248">
        <f>'KELURAHAN (DI ISI)'!EM32+'KELURAHAN (DI ISI)'!EM33+'KELURAHAN (DI ISI)'!EM34</f>
        <v>73</v>
      </c>
      <c r="FD14" s="248">
        <f>'KELURAHAN (DI ISI)'!EN32+'KELURAHAN (DI ISI)'!EN33+'KELURAHAN (DI ISI)'!EN34</f>
        <v>21</v>
      </c>
      <c r="FE14" s="491">
        <f t="shared" si="18"/>
        <v>52</v>
      </c>
      <c r="FF14" s="248">
        <f>'KELURAHAN (DI ISI)'!EP32+'KELURAHAN (DI ISI)'!EP33+'KELURAHAN (DI ISI)'!EP34</f>
        <v>3</v>
      </c>
      <c r="FG14" s="248">
        <f>'KELURAHAN (DI ISI)'!EQ32+'KELURAHAN (DI ISI)'!EQ33+'KELURAHAN (DI ISI)'!EQ34</f>
        <v>3</v>
      </c>
      <c r="FH14" s="248">
        <f>'KELURAHAN (DI ISI)'!ER32+'KELURAHAN (DI ISI)'!ER33+'KELURAHAN (DI ISI)'!ER34</f>
        <v>15</v>
      </c>
      <c r="FI14" s="248">
        <f>'KELURAHAN (DI ISI)'!ES32+'KELURAHAN (DI ISI)'!ES33+'KELURAHAN (DI ISI)'!ES34</f>
        <v>52</v>
      </c>
      <c r="FJ14" s="248">
        <f>'KELURAHAN (DI ISI)'!ET32+'KELURAHAN (DI ISI)'!ET33+'KELURAHAN (DI ISI)'!ET34</f>
        <v>0</v>
      </c>
      <c r="FK14" s="248">
        <f>'KELURAHAN (DI ISI)'!EU32+'KELURAHAN (DI ISI)'!EU33+'KELURAHAN (DI ISI)'!EU34</f>
        <v>0</v>
      </c>
      <c r="FL14" s="248">
        <f>'KELURAHAN (DI ISI)'!EV32+'KELURAHAN (DI ISI)'!EV33+'KELURAHAN (DI ISI)'!EV34</f>
        <v>0</v>
      </c>
      <c r="FM14" s="248">
        <f>'KELURAHAN (DI ISI)'!EW32+'KELURAHAN (DI ISI)'!EW33+'KELURAHAN (DI ISI)'!EW34</f>
        <v>0</v>
      </c>
      <c r="FN14" s="248">
        <f>'KELURAHAN (DI ISI)'!EX32+'KELURAHAN (DI ISI)'!EX33+'KELURAHAN (DI ISI)'!EX34</f>
        <v>0</v>
      </c>
      <c r="FO14" s="248">
        <f>'KELURAHAN (DI ISI)'!EY32+'KELURAHAN (DI ISI)'!EY33+'KELURAHAN (DI ISI)'!EY34</f>
        <v>0</v>
      </c>
      <c r="FP14" s="248">
        <f>'KELURAHAN (DI ISI)'!EZ32+'KELURAHAN (DI ISI)'!EZ33+'KELURAHAN (DI ISI)'!EZ34</f>
        <v>0</v>
      </c>
      <c r="FQ14" s="248">
        <f>'KELURAHAN (DI ISI)'!FA32+'KELURAHAN (DI ISI)'!FA33+'KELURAHAN (DI ISI)'!FA34</f>
        <v>6</v>
      </c>
      <c r="FR14" s="248">
        <f>'KELURAHAN (DI ISI)'!FB32+'KELURAHAN (DI ISI)'!FB33+'KELURAHAN (DI ISI)'!FB34</f>
        <v>0</v>
      </c>
      <c r="FS14" s="248">
        <f>'KELURAHAN (DI ISI)'!FC32+'KELURAHAN (DI ISI)'!FC33+'KELURAHAN (DI ISI)'!FC34</f>
        <v>0</v>
      </c>
      <c r="FT14" s="248">
        <f>'KELURAHAN (DI ISI)'!FD32+'KELURAHAN (DI ISI)'!FD33+'KELURAHAN (DI ISI)'!FD34</f>
        <v>0</v>
      </c>
      <c r="FU14" s="248">
        <f>'KELURAHAN (DI ISI)'!FE32+'KELURAHAN (DI ISI)'!FE33+'KELURAHAN (DI ISI)'!FE34</f>
        <v>1</v>
      </c>
      <c r="FV14" s="248">
        <f>'KELURAHAN (DI ISI)'!FF32+'KELURAHAN (DI ISI)'!FF33+'KELURAHAN (DI ISI)'!FF34</f>
        <v>0</v>
      </c>
      <c r="FW14" s="248">
        <f>'KELURAHAN (DI ISI)'!FG32+'KELURAHAN (DI ISI)'!FG33+'KELURAHAN (DI ISI)'!FG34</f>
        <v>0</v>
      </c>
      <c r="FX14" s="248">
        <f>'KELURAHAN (DI ISI)'!FH32+'KELURAHAN (DI ISI)'!FH33+'KELURAHAN (DI ISI)'!FH34</f>
        <v>7</v>
      </c>
      <c r="FY14" s="248">
        <f>'KELURAHAN (DI ISI)'!FI32+'KELURAHAN (DI ISI)'!FI33+'KELURAHAN (DI ISI)'!FI34</f>
        <v>0</v>
      </c>
      <c r="FZ14" s="248">
        <f>'KELURAHAN (DI ISI)'!FJ32+'KELURAHAN (DI ISI)'!FJ33+'KELURAHAN (DI ISI)'!FJ34</f>
        <v>1219</v>
      </c>
      <c r="GA14" s="248">
        <f>'KELURAHAN (DI ISI)'!FK32+'KELURAHAN (DI ISI)'!FK33+'KELURAHAN (DI ISI)'!FK34</f>
        <v>459</v>
      </c>
      <c r="GB14" s="248">
        <f>'KELURAHAN (DI ISI)'!FL32+'KELURAHAN (DI ISI)'!FL33+'KELURAHAN (DI ISI)'!FL34</f>
        <v>1103</v>
      </c>
      <c r="GC14" s="248">
        <f>'KELURAHAN (DI ISI)'!FM32+'KELURAHAN (DI ISI)'!FM33+'KELURAHAN (DI ISI)'!FM34</f>
        <v>416</v>
      </c>
      <c r="GD14" s="587">
        <v>1103.0</v>
      </c>
      <c r="GE14" s="588">
        <f>'KELURAHAN (DI ISI)'!FO32+'KELURAHAN (DI ISI)'!FO33+'KELURAHAN (DI ISI)'!FO34</f>
        <v>71</v>
      </c>
      <c r="GF14" s="588">
        <f>'KELURAHAN (DI ISI)'!FP32+'KELURAHAN (DI ISI)'!FP33+'KELURAHAN (DI ISI)'!FP34</f>
        <v>71</v>
      </c>
      <c r="GG14" s="588">
        <f>'KELURAHAN (DI ISI)'!FP32+'KELURAHAN (DI ISI)'!FP33+'KELURAHAN (DI ISI)'!FP34</f>
        <v>71</v>
      </c>
      <c r="GH14" s="588">
        <f>'KELURAHAN (DI ISI)'!FQ32+'KELURAHAN (DI ISI)'!FQ33+'KELURAHAN (DI ISI)'!FQ34</f>
        <v>22</v>
      </c>
      <c r="GI14" s="571">
        <f t="shared" si="19"/>
        <v>49</v>
      </c>
      <c r="GJ14" s="248">
        <f>'KELURAHAN (DI ISI)'!FS32+'KELURAHAN (DI ISI)'!FS33+'KELURAHAN (DI ISI)'!FS34</f>
        <v>1</v>
      </c>
      <c r="GK14" s="248">
        <f>'KELURAHAN (DI ISI)'!FT32+'KELURAHAN (DI ISI)'!FT33+'KELURAHAN (DI ISI)'!FT34</f>
        <v>3</v>
      </c>
      <c r="GL14" s="248">
        <f>'KELURAHAN (DI ISI)'!FU32+'KELURAHAN (DI ISI)'!FU33+'KELURAHAN (DI ISI)'!FU34</f>
        <v>13</v>
      </c>
      <c r="GM14" s="248">
        <f>'KELURAHAN (DI ISI)'!FV32+'KELURAHAN (DI ISI)'!FV33+'KELURAHAN (DI ISI)'!FV34</f>
        <v>48</v>
      </c>
      <c r="GN14" s="248">
        <f>'KELURAHAN (DI ISI)'!FW32+'KELURAHAN (DI ISI)'!FW33+'KELURAHAN (DI ISI)'!FW34</f>
        <v>5</v>
      </c>
      <c r="GO14" s="248">
        <f>'KELURAHAN (DI ISI)'!FX32+'KELURAHAN (DI ISI)'!FX33+'KELURAHAN (DI ISI)'!FX34</f>
        <v>0</v>
      </c>
      <c r="GP14" s="248">
        <f>'KELURAHAN (DI ISI)'!FY32+'KELURAHAN (DI ISI)'!FY33+'KELURAHAN (DI ISI)'!FY34</f>
        <v>0</v>
      </c>
      <c r="GQ14" s="248">
        <f>'KELURAHAN (DI ISI)'!FZ32+'KELURAHAN (DI ISI)'!FZ33+'KELURAHAN (DI ISI)'!FZ34</f>
        <v>1</v>
      </c>
      <c r="GR14" s="248">
        <f>'KELURAHAN (DI ISI)'!GA32+'KELURAHAN (DI ISI)'!GA33+'KELURAHAN (DI ISI)'!GA34</f>
        <v>0</v>
      </c>
      <c r="GS14" s="248">
        <f>'KELURAHAN (DI ISI)'!GB32+'KELURAHAN (DI ISI)'!GB33+'KELURAHAN (DI ISI)'!GB34</f>
        <v>0</v>
      </c>
      <c r="GT14" s="248">
        <f>'KELURAHAN (DI ISI)'!GC32+'KELURAHAN (DI ISI)'!GC33+'KELURAHAN (DI ISI)'!GC34</f>
        <v>1</v>
      </c>
      <c r="GU14" s="248">
        <f>'KELURAHAN (DI ISI)'!GD32+'KELURAHAN (DI ISI)'!GD33+'KELURAHAN (DI ISI)'!GD34</f>
        <v>3</v>
      </c>
      <c r="GV14" s="248">
        <f>'KELURAHAN (DI ISI)'!GE32+'KELURAHAN (DI ISI)'!GE33+'KELURAHAN (DI ISI)'!GE34</f>
        <v>0</v>
      </c>
      <c r="GW14" s="248">
        <f>'KELURAHAN (DI ISI)'!GF32+'KELURAHAN (DI ISI)'!GF33+'KELURAHAN (DI ISI)'!GF34</f>
        <v>0</v>
      </c>
      <c r="GX14" s="248">
        <f>'KELURAHAN (DI ISI)'!GG32+'KELURAHAN (DI ISI)'!GG33+'KELURAHAN (DI ISI)'!GG34</f>
        <v>0</v>
      </c>
      <c r="GY14" s="248">
        <f>'KELURAHAN (DI ISI)'!GH32+'KELURAHAN (DI ISI)'!GH33+'KELURAHAN (DI ISI)'!GH34</f>
        <v>2</v>
      </c>
      <c r="GZ14" s="248">
        <f>'KELURAHAN (DI ISI)'!GI32+'KELURAHAN (DI ISI)'!GI33+'KELURAHAN (DI ISI)'!GI34</f>
        <v>1</v>
      </c>
      <c r="HA14" s="248">
        <f>'KELURAHAN (DI ISI)'!GJ32+'KELURAHAN (DI ISI)'!GJ33+'KELURAHAN (DI ISI)'!GJ34</f>
        <v>0</v>
      </c>
      <c r="HB14" s="589">
        <f>'KELURAHAN (DI ISI)'!GK32+'KELURAHAN (DI ISI)'!GK33+'KELURAHAN (DI ISI)'!GK34</f>
        <v>7</v>
      </c>
      <c r="HC14" s="589">
        <f>'KELURAHAN (DI ISI)'!GL32+'KELURAHAN (DI ISI)'!GL33+'KELURAHAN (DI ISI)'!GL34</f>
        <v>1</v>
      </c>
      <c r="HD14" s="248">
        <f>'KELURAHAN (DI ISI)'!GM32+'KELURAHAN (DI ISI)'!GM33+'KELURAHAN (DI ISI)'!GM34</f>
        <v>1208</v>
      </c>
      <c r="HE14" s="248">
        <f>'KELURAHAN (DI ISI)'!GN32+'KELURAHAN (DI ISI)'!GN33+'KELURAHAN (DI ISI)'!GN34</f>
        <v>437</v>
      </c>
      <c r="HF14" s="248">
        <f>'KELURAHAN (DI ISI)'!GO32+'KELURAHAN (DI ISI)'!GO33+'KELURAHAN (DI ISI)'!GO34</f>
        <v>1100</v>
      </c>
      <c r="HG14" s="248">
        <f>'KELURAHAN (DI ISI)'!GP32+'KELURAHAN (DI ISI)'!GP33+'KELURAHAN (DI ISI)'!GP34</f>
        <v>400</v>
      </c>
      <c r="HH14" s="587">
        <v>1103.0</v>
      </c>
      <c r="HI14" s="590">
        <f>'KELURAHAN (DI ISI)'!GR32+'KELURAHAN (DI ISI)'!GR33+'KELURAHAN (DI ISI)'!GR34</f>
        <v>61</v>
      </c>
      <c r="HJ14" s="590">
        <f>'KELURAHAN (DI ISI)'!GS32+'KELURAHAN (DI ISI)'!GS33+'KELURAHAN (DI ISI)'!GS34</f>
        <v>16</v>
      </c>
      <c r="HK14" s="591">
        <f>'KELURAHAN (DI ISI)'!GT32+'KELURAHAN (DI ISI)'!GT33+'KELURAHAN (DI ISI)'!GT34</f>
        <v>61</v>
      </c>
      <c r="HL14" s="591">
        <f>'KELURAHAN (DI ISI)'!GU32+'KELURAHAN (DI ISI)'!GU33+'KELURAHAN (DI ISI)'!GU34</f>
        <v>16</v>
      </c>
      <c r="HM14" s="573">
        <f t="shared" si="20"/>
        <v>45</v>
      </c>
      <c r="HN14" s="248">
        <f>'KELURAHAN (DI ISI)'!GW32+'KELURAHAN (DI ISI)'!GW33+'KELURAHAN (DI ISI)'!GW34</f>
        <v>2</v>
      </c>
      <c r="HO14" s="248">
        <f>'KELURAHAN (DI ISI)'!GX32+'KELURAHAN (DI ISI)'!GX33+'KELURAHAN (DI ISI)'!GX34</f>
        <v>3</v>
      </c>
      <c r="HP14" s="248">
        <f>'KELURAHAN (DI ISI)'!GY32+'KELURAHAN (DI ISI)'!GY33+'KELURAHAN (DI ISI)'!GY34</f>
        <v>10</v>
      </c>
      <c r="HQ14" s="248">
        <f>'KELURAHAN (DI ISI)'!GZ32+'KELURAHAN (DI ISI)'!GZ33+'KELURAHAN (DI ISI)'!GZ34</f>
        <v>45</v>
      </c>
      <c r="HR14" s="248">
        <f>'KELURAHAN (DI ISI)'!HA32+'KELURAHAN (DI ISI)'!HA33+'KELURAHAN (DI ISI)'!HA34</f>
        <v>1</v>
      </c>
      <c r="HS14" s="248">
        <f>'KELURAHAN (DI ISI)'!HB32+'KELURAHAN (DI ISI)'!HB33+'KELURAHAN (DI ISI)'!HB34</f>
        <v>0</v>
      </c>
      <c r="HT14" s="248">
        <f>'KELURAHAN (DI ISI)'!HC32+'KELURAHAN (DI ISI)'!HC33+'KELURAHAN (DI ISI)'!HC34</f>
        <v>0</v>
      </c>
      <c r="HU14" s="248">
        <f>'KELURAHAN (DI ISI)'!HD32+'KELURAHAN (DI ISI)'!HD33+'KELURAHAN (DI ISI)'!HD34</f>
        <v>0</v>
      </c>
      <c r="HV14" s="248">
        <f>'KELURAHAN (DI ISI)'!HE32+'KELURAHAN (DI ISI)'!HE33+'KELURAHAN (DI ISI)'!HE34</f>
        <v>2</v>
      </c>
      <c r="HW14" s="248">
        <f>'KELURAHAN (DI ISI)'!HF32+'KELURAHAN (DI ISI)'!HF33+'KELURAHAN (DI ISI)'!HF34</f>
        <v>1</v>
      </c>
      <c r="HX14" s="248">
        <f>'KELURAHAN (DI ISI)'!HG32+'KELURAHAN (DI ISI)'!HG33+'KELURAHAN (DI ISI)'!HG34</f>
        <v>2</v>
      </c>
      <c r="HY14" s="248">
        <f>'KELURAHAN (DI ISI)'!HH32+'KELURAHAN (DI ISI)'!HH33+'KELURAHAN (DI ISI)'!HH34</f>
        <v>6</v>
      </c>
      <c r="HZ14" s="248">
        <f>'KELURAHAN (DI ISI)'!HI32+'KELURAHAN (DI ISI)'!HI33+'KELURAHAN (DI ISI)'!HI34</f>
        <v>0</v>
      </c>
      <c r="IA14" s="248">
        <f>'KELURAHAN (DI ISI)'!HJ32+'KELURAHAN (DI ISI)'!HJ33+'KELURAHAN (DI ISI)'!HJ34</f>
        <v>0</v>
      </c>
      <c r="IB14" s="248">
        <f>'KELURAHAN (DI ISI)'!HK32+'KELURAHAN (DI ISI)'!HK33+'KELURAHAN (DI ISI)'!HK34</f>
        <v>0</v>
      </c>
      <c r="IC14" s="248">
        <f>'KELURAHAN (DI ISI)'!HL32+'KELURAHAN (DI ISI)'!HL33+'KELURAHAN (DI ISI)'!HL34</f>
        <v>0</v>
      </c>
      <c r="ID14" s="248">
        <f>'KELURAHAN (DI ISI)'!HM32+'KELURAHAN (DI ISI)'!HM33+'KELURAHAN (DI ISI)'!HM34</f>
        <v>1</v>
      </c>
      <c r="IE14" s="248">
        <f>'KELURAHAN (DI ISI)'!HN32+'KELURAHAN (DI ISI)'!HN33+'KELURAHAN (DI ISI)'!HN34</f>
        <v>0</v>
      </c>
      <c r="IF14" s="591">
        <f>'KELURAHAN (DI ISI)'!HO32+'KELURAHAN (DI ISI)'!HO33+'KELURAHAN (DI ISI)'!HO34</f>
        <v>12</v>
      </c>
      <c r="IG14" s="591">
        <f>'KELURAHAN (DI ISI)'!HP32+'KELURAHAN (DI ISI)'!HP33+'KELURAHAN (DI ISI)'!HP34</f>
        <v>5</v>
      </c>
      <c r="IK14" s="198">
        <f t="shared" si="21"/>
        <v>71</v>
      </c>
      <c r="IL14" s="198">
        <f t="shared" si="22"/>
        <v>72</v>
      </c>
      <c r="IM14" s="198">
        <f t="shared" si="23"/>
        <v>77</v>
      </c>
      <c r="IN14" s="198">
        <f t="shared" si="24"/>
        <v>79</v>
      </c>
      <c r="IO14" s="198">
        <f t="shared" si="25"/>
        <v>80</v>
      </c>
      <c r="IP14" s="198">
        <f t="shared" si="26"/>
        <v>80</v>
      </c>
      <c r="IQ14" s="574">
        <f t="shared" si="27"/>
        <v>77</v>
      </c>
      <c r="IR14" s="574">
        <f t="shared" si="28"/>
        <v>79</v>
      </c>
      <c r="IS14" s="574">
        <f t="shared" si="29"/>
        <v>80</v>
      </c>
      <c r="IT14" s="574">
        <f t="shared" si="30"/>
        <v>73</v>
      </c>
      <c r="IU14" s="574">
        <f t="shared" si="31"/>
        <v>71</v>
      </c>
      <c r="IV14" s="575">
        <f t="shared" si="32"/>
        <v>61</v>
      </c>
      <c r="IW14" s="583"/>
      <c r="IX14" s="576">
        <f t="shared" si="33"/>
        <v>-61</v>
      </c>
      <c r="IZ14" s="577"/>
      <c r="JA14" s="162">
        <f t="shared" si="34"/>
        <v>-1208</v>
      </c>
      <c r="JB14" s="578"/>
      <c r="JC14" s="579">
        <f t="shared" si="35"/>
        <v>-437</v>
      </c>
      <c r="JD14" s="595"/>
      <c r="JE14" s="585"/>
      <c r="JF14" s="577"/>
      <c r="JG14" s="234">
        <f t="shared" si="36"/>
        <v>-1100</v>
      </c>
      <c r="JH14" s="578"/>
      <c r="JI14" s="579">
        <f t="shared" si="37"/>
        <v>-400</v>
      </c>
      <c r="JJ14" s="582"/>
    </row>
    <row r="15" ht="14.25" customHeight="1">
      <c r="A15" s="158">
        <v>8.0</v>
      </c>
      <c r="B15" s="157" t="s">
        <v>158</v>
      </c>
      <c r="C15" s="253">
        <v>3374130.0</v>
      </c>
      <c r="D15" s="569" t="s">
        <v>325</v>
      </c>
      <c r="E15" s="253"/>
      <c r="F15" s="252">
        <f>'KELURAHAN (DI ISI)'!F74+'KELURAHAN (DI ISI)'!F75+'KELURAHAN (DI ISI)'!F76+'KELURAHAN (DI ISI)'!F77+'KELURAHAN (DI ISI)'!F78+'KELURAHAN (DI ISI)'!F79</f>
        <v>39</v>
      </c>
      <c r="G15" s="252">
        <f>'KELURAHAN (DI ISI)'!G74+'KELURAHAN (DI ISI)'!G75+'KELURAHAN (DI ISI)'!G76+'KELURAHAN (DI ISI)'!G77+'KELURAHAN (DI ISI)'!G78+'KELURAHAN (DI ISI)'!G79</f>
        <v>1451</v>
      </c>
      <c r="H15" s="252">
        <f>'KELURAHAN (DI ISI)'!H74+'KELURAHAN (DI ISI)'!H75+'KELURAHAN (DI ISI)'!H76+'KELURAHAN (DI ISI)'!H77+'KELURAHAN (DI ISI)'!H78+'KELURAHAN (DI ISI)'!H79</f>
        <v>86</v>
      </c>
      <c r="I15" s="491">
        <f t="shared" si="1"/>
        <v>33</v>
      </c>
      <c r="J15" s="491">
        <f t="shared" si="2"/>
        <v>53</v>
      </c>
      <c r="K15" s="248">
        <f>'KELURAHAN (DI ISI)'!I74+'KELURAHAN (DI ISI)'!I75+'KELURAHAN (DI ISI)'!I76+'KELURAHAN (DI ISI)'!I77+'KELURAHAN (DI ISI)'!I78+'KELURAHAN (DI ISI)'!I79</f>
        <v>5</v>
      </c>
      <c r="L15" s="248">
        <f>'KELURAHAN (DI ISI)'!J74+'KELURAHAN (DI ISI)'!J75+'KELURAHAN (DI ISI)'!J76+'KELURAHAN (DI ISI)'!J77+'KELURAHAN (DI ISI)'!J78+'KELURAHAN (DI ISI)'!J79</f>
        <v>6</v>
      </c>
      <c r="M15" s="248">
        <f>'KELURAHAN (DI ISI)'!K74+'KELURAHAN (DI ISI)'!K75+'KELURAHAN (DI ISI)'!K76+'KELURAHAN (DI ISI)'!K77+'KELURAHAN (DI ISI)'!K78+'KELURAHAN (DI ISI)'!K79</f>
        <v>22</v>
      </c>
      <c r="N15" s="248">
        <f>'KELURAHAN (DI ISI)'!L74+'KELURAHAN (DI ISI)'!L75+'KELURAHAN (DI ISI)'!L76+'KELURAHAN (DI ISI)'!L77+'KELURAHAN (DI ISI)'!L78+'KELURAHAN (DI ISI)'!L79</f>
        <v>53</v>
      </c>
      <c r="O15" s="248">
        <f>'KELURAHAN (DI ISI)'!M74+'KELURAHAN (DI ISI)'!M75+'KELURAHAN (DI ISI)'!M76+'KELURAHAN (DI ISI)'!M77+'KELURAHAN (DI ISI)'!M78+'KELURAHAN (DI ISI)'!M79</f>
        <v>19</v>
      </c>
      <c r="P15" s="248">
        <f>'KELURAHAN (DI ISI)'!N74+'KELURAHAN (DI ISI)'!N75+'KELURAHAN (DI ISI)'!N76+'KELURAHAN (DI ISI)'!N77+'KELURAHAN (DI ISI)'!N78+'KELURAHAN (DI ISI)'!N79</f>
        <v>0</v>
      </c>
      <c r="Q15" s="248">
        <f>'KELURAHAN (DI ISI)'!O74+'KELURAHAN (DI ISI)'!O75+'KELURAHAN (DI ISI)'!O76+'KELURAHAN (DI ISI)'!O77+'KELURAHAN (DI ISI)'!O78+'KELURAHAN (DI ISI)'!O79</f>
        <v>67</v>
      </c>
      <c r="R15" s="248">
        <f>'KELURAHAN (DI ISI)'!P74+'KELURAHAN (DI ISI)'!P75+'KELURAHAN (DI ISI)'!P76+'KELURAHAN (DI ISI)'!P77+'KELURAHAN (DI ISI)'!P78+'KELURAHAN (DI ISI)'!P79</f>
        <v>69</v>
      </c>
      <c r="S15" s="491">
        <f t="shared" si="3"/>
        <v>22</v>
      </c>
      <c r="T15" s="491">
        <f t="shared" si="4"/>
        <v>47</v>
      </c>
      <c r="U15" s="248">
        <f>'KELURAHAN (DI ISI)'!Q74+'KELURAHAN (DI ISI)'!Q75+'KELURAHAN (DI ISI)'!Q76+'KELURAHAN (DI ISI)'!Q77+'KELURAHAN (DI ISI)'!Q78+'KELURAHAN (DI ISI)'!Q79</f>
        <v>2</v>
      </c>
      <c r="V15" s="248">
        <f>'KELURAHAN (DI ISI)'!R74+'KELURAHAN (DI ISI)'!R75+'KELURAHAN (DI ISI)'!R76+'KELURAHAN (DI ISI)'!R77+'KELURAHAN (DI ISI)'!R78+'KELURAHAN (DI ISI)'!R79</f>
        <v>0</v>
      </c>
      <c r="W15" s="248">
        <f>'KELURAHAN (DI ISI)'!S74+'KELURAHAN (DI ISI)'!S75+'KELURAHAN (DI ISI)'!S76+'KELURAHAN (DI ISI)'!S77+'KELURAHAN (DI ISI)'!S78+'KELURAHAN (DI ISI)'!S79</f>
        <v>20</v>
      </c>
      <c r="X15" s="248">
        <f>'KELURAHAN (DI ISI)'!T74+'KELURAHAN (DI ISI)'!T75+'KELURAHAN (DI ISI)'!T76+'KELURAHAN (DI ISI)'!T77+'KELURAHAN (DI ISI)'!T78+'KELURAHAN (DI ISI)'!T79</f>
        <v>47</v>
      </c>
      <c r="Y15" s="248">
        <f>'KELURAHAN (DI ISI)'!U74+'KELURAHAN (DI ISI)'!U75+'KELURAHAN (DI ISI)'!U76+'KELURAHAN (DI ISI)'!U77+'KELURAHAN (DI ISI)'!U78+'KELURAHAN (DI ISI)'!U79</f>
        <v>3</v>
      </c>
      <c r="Z15" s="248">
        <f>'KELURAHAN (DI ISI)'!V74+'KELURAHAN (DI ISI)'!V75+'KELURAHAN (DI ISI)'!V76+'KELURAHAN (DI ISI)'!V77+'KELURAHAN (DI ISI)'!V78+'KELURAHAN (DI ISI)'!V79</f>
        <v>27</v>
      </c>
      <c r="AA15" s="248">
        <f>'KELURAHAN (DI ISI)'!W74+'KELURAHAN (DI ISI)'!W75+'KELURAHAN (DI ISI)'!W76+'KELURAHAN (DI ISI)'!W77+'KELURAHAN (DI ISI)'!W78+'KELURAHAN (DI ISI)'!W79</f>
        <v>39</v>
      </c>
      <c r="AB15" s="248">
        <f>'KELURAHAN (DI ISI)'!X74+'KELURAHAN (DI ISI)'!X75+'KELURAHAN (DI ISI)'!X76+'KELURAHAN (DI ISI)'!X77+'KELURAHAN (DI ISI)'!X78+'KELURAHAN (DI ISI)'!X79</f>
        <v>70</v>
      </c>
      <c r="AC15" s="491">
        <f t="shared" si="5"/>
        <v>21</v>
      </c>
      <c r="AD15" s="491">
        <f t="shared" si="6"/>
        <v>49</v>
      </c>
      <c r="AE15" s="248">
        <f>'KELURAHAN (DI ISI)'!Y74+'KELURAHAN (DI ISI)'!Y75+'KELURAHAN (DI ISI)'!Y76+'KELURAHAN (DI ISI)'!Y77+'KELURAHAN (DI ISI)'!Y78+'KELURAHAN (DI ISI)'!Y79</f>
        <v>1</v>
      </c>
      <c r="AF15" s="248">
        <f>'KELURAHAN (DI ISI)'!Z74+'KELURAHAN (DI ISI)'!Z75+'KELURAHAN (DI ISI)'!Z76+'KELURAHAN (DI ISI)'!Z77+'KELURAHAN (DI ISI)'!Z78+'KELURAHAN (DI ISI)'!Z79</f>
        <v>1</v>
      </c>
      <c r="AG15" s="248">
        <f>'KELURAHAN (DI ISI)'!AA74+'KELURAHAN (DI ISI)'!AA75+'KELURAHAN (DI ISI)'!AA76+'KELURAHAN (DI ISI)'!AA77+'KELURAHAN (DI ISI)'!AA78+'KELURAHAN (DI ISI)'!AA79</f>
        <v>19</v>
      </c>
      <c r="AH15" s="248">
        <f>'KELURAHAN (DI ISI)'!AB74+'KELURAHAN (DI ISI)'!AB75+'KELURAHAN (DI ISI)'!AB76+'KELURAHAN (DI ISI)'!AB77+'KELURAHAN (DI ISI)'!AB78+'KELURAHAN (DI ISI)'!AB79</f>
        <v>49</v>
      </c>
      <c r="AI15" s="248">
        <f>'KELURAHAN (DI ISI)'!AC74+'KELURAHAN (DI ISI)'!AC75+'KELURAHAN (DI ISI)'!AC76+'KELURAHAN (DI ISI)'!AC77+'KELURAHAN (DI ISI)'!AC78+'KELURAHAN (DI ISI)'!AC79</f>
        <v>7</v>
      </c>
      <c r="AJ15" s="248">
        <f>'KELURAHAN (DI ISI)'!AD74+'KELURAHAN (DI ISI)'!AD75+'KELURAHAN (DI ISI)'!AD76+'KELURAHAN (DI ISI)'!AD77+'KELURAHAN (DI ISI)'!AD78+'KELURAHAN (DI ISI)'!AD79</f>
        <v>18</v>
      </c>
      <c r="AK15" s="248">
        <f>'KELURAHAN (DI ISI)'!AE74+'KELURAHAN (DI ISI)'!AE75+'KELURAHAN (DI ISI)'!AE76+'KELURAHAN (DI ISI)'!AE77+'KELURAHAN (DI ISI)'!AE78+'KELURAHAN (DI ISI)'!AE79</f>
        <v>34</v>
      </c>
      <c r="AL15" s="248">
        <f>'KELURAHAN (DI ISI)'!AF74+'KELURAHAN (DI ISI)'!AF75+'KELURAHAN (DI ISI)'!AF76+'KELURAHAN (DI ISI)'!AF77+'KELURAHAN (DI ISI)'!AF78+'KELURAHAN (DI ISI)'!AF79</f>
        <v>61</v>
      </c>
      <c r="AM15" s="491">
        <f t="shared" si="7"/>
        <v>15</v>
      </c>
      <c r="AN15" s="491">
        <f t="shared" si="8"/>
        <v>46</v>
      </c>
      <c r="AO15" s="248">
        <f>'KELURAHAN (DI ISI)'!AG74+'KELURAHAN (DI ISI)'!AG75+'KELURAHAN (DI ISI)'!AG76+'KELURAHAN (DI ISI)'!AG77+'KELURAHAN (DI ISI)'!AG78+'KELURAHAN (DI ISI)'!AG79</f>
        <v>1</v>
      </c>
      <c r="AP15" s="248">
        <f>'KELURAHAN (DI ISI)'!AH74+'KELURAHAN (DI ISI)'!AH75+'KELURAHAN (DI ISI)'!AH76+'KELURAHAN (DI ISI)'!AH77+'KELURAHAN (DI ISI)'!AH78+'KELURAHAN (DI ISI)'!AH79</f>
        <v>2</v>
      </c>
      <c r="AQ15" s="248">
        <f>'KELURAHAN (DI ISI)'!AI74+'KELURAHAN (DI ISI)'!AI75+'KELURAHAN (DI ISI)'!AI76+'KELURAHAN (DI ISI)'!AI77+'KELURAHAN (DI ISI)'!AI78+'KELURAHAN (DI ISI)'!AI79</f>
        <v>12</v>
      </c>
      <c r="AR15" s="248">
        <f>'KELURAHAN (DI ISI)'!AJ74+'KELURAHAN (DI ISI)'!AJ75+'KELURAHAN (DI ISI)'!AJ76+'KELURAHAN (DI ISI)'!AJ77+'KELURAHAN (DI ISI)'!AJ78+'KELURAHAN (DI ISI)'!AJ79</f>
        <v>46</v>
      </c>
      <c r="AS15" s="248">
        <f>'KELURAHAN (DI ISI)'!AK74+'KELURAHAN (DI ISI)'!AK75+'KELURAHAN (DI ISI)'!AK76+'KELURAHAN (DI ISI)'!AK77+'KELURAHAN (DI ISI)'!AK78+'KELURAHAN (DI ISI)'!AK79</f>
        <v>4</v>
      </c>
      <c r="AT15" s="248">
        <f>'KELURAHAN (DI ISI)'!AL74+'KELURAHAN (DI ISI)'!AL75+'KELURAHAN (DI ISI)'!AL76+'KELURAHAN (DI ISI)'!AL77+'KELURAHAN (DI ISI)'!AL78+'KELURAHAN (DI ISI)'!AL79</f>
        <v>30</v>
      </c>
      <c r="AU15" s="248">
        <f>'KELURAHAN (DI ISI)'!AM74+'KELURAHAN (DI ISI)'!AM75+'KELURAHAN (DI ISI)'!AM76+'KELURAHAN (DI ISI)'!AM77+'KELURAHAN (DI ISI)'!AM78+'KELURAHAN (DI ISI)'!AM79</f>
        <v>27</v>
      </c>
      <c r="AV15" s="248">
        <f>'KELURAHAN (DI ISI)'!AN74+'KELURAHAN (DI ISI)'!AN75+'KELURAHAN (DI ISI)'!AN76+'KELURAHAN (DI ISI)'!AN77+'KELURAHAN (DI ISI)'!AN78+'KELURAHAN (DI ISI)'!AN79</f>
        <v>63</v>
      </c>
      <c r="AW15" s="491">
        <f t="shared" si="9"/>
        <v>17</v>
      </c>
      <c r="AX15" s="491">
        <f t="shared" si="10"/>
        <v>46</v>
      </c>
      <c r="AY15" s="248">
        <f>'KELURAHAN (DI ISI)'!AO74+'KELURAHAN (DI ISI)'!AO75+'KELURAHAN (DI ISI)'!AO76+'KELURAHAN (DI ISI)'!AO77+'KELURAHAN (DI ISI)'!AO78+'KELURAHAN (DI ISI)'!AO79</f>
        <v>1</v>
      </c>
      <c r="AZ15" s="248">
        <f>'KELURAHAN (DI ISI)'!AP74+'KELURAHAN (DI ISI)'!AP75+'KELURAHAN (DI ISI)'!AP76+'KELURAHAN (DI ISI)'!AP77+'KELURAHAN (DI ISI)'!AP78+'KELURAHAN (DI ISI)'!AP79</f>
        <v>1</v>
      </c>
      <c r="BA15" s="248">
        <f>'KELURAHAN (DI ISI)'!AQ74+'KELURAHAN (DI ISI)'!AQ75+'KELURAHAN (DI ISI)'!AQ76+'KELURAHAN (DI ISI)'!AQ77+'KELURAHAN (DI ISI)'!AQ78+'KELURAHAN (DI ISI)'!AQ79</f>
        <v>15</v>
      </c>
      <c r="BB15" s="248">
        <f>'KELURAHAN (DI ISI)'!AR74+'KELURAHAN (DI ISI)'!AR75+'KELURAHAN (DI ISI)'!AR76+'KELURAHAN (DI ISI)'!AR77+'KELURAHAN (DI ISI)'!AR78+'KELURAHAN (DI ISI)'!AR79</f>
        <v>46</v>
      </c>
      <c r="BC15" s="248">
        <f>'KELURAHAN (DI ISI)'!AS74+'KELURAHAN (DI ISI)'!AS75+'KELURAHAN (DI ISI)'!AS76+'KELURAHAN (DI ISI)'!AS77+'KELURAHAN (DI ISI)'!AS78+'KELURAHAN (DI ISI)'!AS79</f>
        <v>6</v>
      </c>
      <c r="BD15" s="248">
        <f>'KELURAHAN (DI ISI)'!AT74+'KELURAHAN (DI ISI)'!AT75+'KELURAHAN (DI ISI)'!AT76+'KELURAHAN (DI ISI)'!AT77+'KELURAHAN (DI ISI)'!AT78+'KELURAHAN (DI ISI)'!AT79</f>
        <v>28</v>
      </c>
      <c r="BE15" s="248">
        <f>'KELURAHAN (DI ISI)'!AU74+'KELURAHAN (DI ISI)'!AU75+'KELURAHAN (DI ISI)'!AU76+'KELURAHAN (DI ISI)'!AU77+'KELURAHAN (DI ISI)'!AU78+'KELURAHAN (DI ISI)'!AU79</f>
        <v>29</v>
      </c>
      <c r="BF15" s="248">
        <f>'KELURAHAN (DI ISI)'!AV74+'KELURAHAN (DI ISI)'!AV75+'KELURAHAN (DI ISI)'!AV76+'KELURAHAN (DI ISI)'!AV77+'KELURAHAN (DI ISI)'!AV78+'KELURAHAN (DI ISI)'!AV79</f>
        <v>1357</v>
      </c>
      <c r="BG15" s="248">
        <f>'KELURAHAN (DI ISI)'!AW74+'KELURAHAN (DI ISI)'!AW75+'KELURAHAN (DI ISI)'!AW76+'KELURAHAN (DI ISI)'!AW77+'KELURAHAN (DI ISI)'!AW78+'KELURAHAN (DI ISI)'!AW79</f>
        <v>54</v>
      </c>
      <c r="BH15" s="491">
        <f t="shared" si="11"/>
        <v>12</v>
      </c>
      <c r="BI15" s="495">
        <f t="shared" si="12"/>
        <v>41</v>
      </c>
      <c r="BJ15" s="248">
        <f>'KELURAHAN (DI ISI)'!AX74+'KELURAHAN (DI ISI)'!AX75+'KELURAHAN (DI ISI)'!AX76+'KELURAHAN (DI ISI)'!AX77+'KELURAHAN (DI ISI)'!AX78+'KELURAHAN (DI ISI)'!AX79</f>
        <v>0</v>
      </c>
      <c r="BK15" s="248">
        <f>'KELURAHAN (DI ISI)'!AY74+'KELURAHAN (DI ISI)'!AY75+'KELURAHAN (DI ISI)'!AY76+'KELURAHAN (DI ISI)'!AY77+'KELURAHAN (DI ISI)'!AY78+'KELURAHAN (DI ISI)'!AY79</f>
        <v>1</v>
      </c>
      <c r="BL15" s="248">
        <f>'KELURAHAN (DI ISI)'!AZ74+'KELURAHAN (DI ISI)'!AZ75+'KELURAHAN (DI ISI)'!AZ76+'KELURAHAN (DI ISI)'!AZ77+'KELURAHAN (DI ISI)'!AZ78+'KELURAHAN (DI ISI)'!AZ79</f>
        <v>11</v>
      </c>
      <c r="BM15" s="248">
        <f>'KELURAHAN (DI ISI)'!BA74+'KELURAHAN (DI ISI)'!BA75+'KELURAHAN (DI ISI)'!BA76+'KELURAHAN (DI ISI)'!BA77+'KELURAHAN (DI ISI)'!BA78+'KELURAHAN (DI ISI)'!BA79</f>
        <v>41</v>
      </c>
      <c r="BN15" s="248">
        <f>'KELURAHAN (DI ISI)'!BB74+'KELURAHAN (DI ISI)'!BB75+'KELURAHAN (DI ISI)'!BB76+'KELURAHAN (DI ISI)'!BB77+'KELURAHAN (DI ISI)'!BB78+'KELURAHAN (DI ISI)'!BB79</f>
        <v>0</v>
      </c>
      <c r="BO15" s="248">
        <f>'KELURAHAN (DI ISI)'!BC74+'KELURAHAN (DI ISI)'!BC75+'KELURAHAN (DI ISI)'!BC76+'KELURAHAN (DI ISI)'!BC77+'KELURAHAN (DI ISI)'!BC78+'KELURAHAN (DI ISI)'!BC79</f>
        <v>0</v>
      </c>
      <c r="BP15" s="248">
        <f>'KELURAHAN (DI ISI)'!BD74+'KELURAHAN (DI ISI)'!BD75+'KELURAHAN (DI ISI)'!BD76+'KELURAHAN (DI ISI)'!BD77+'KELURAHAN (DI ISI)'!BD78+'KELURAHAN (DI ISI)'!BD79</f>
        <v>1</v>
      </c>
      <c r="BQ15" s="248">
        <f>'KELURAHAN (DI ISI)'!BE74+'KELURAHAN (DI ISI)'!BE75+'KELURAHAN (DI ISI)'!BE76+'KELURAHAN (DI ISI)'!BE77+'KELURAHAN (DI ISI)'!BE78+'KELURAHAN (DI ISI)'!BE79</f>
        <v>0</v>
      </c>
      <c r="BR15" s="248">
        <f>'KELURAHAN (DI ISI)'!BF74+'KELURAHAN (DI ISI)'!BF75+'KELURAHAN (DI ISI)'!BF76+'KELURAHAN (DI ISI)'!BF77+'KELURAHAN (DI ISI)'!BF78+'KELURAHAN (DI ISI)'!BF79</f>
        <v>0</v>
      </c>
      <c r="BS15" s="248">
        <f>'KELURAHAN (DI ISI)'!BG74+'KELURAHAN (DI ISI)'!BG75+'KELURAHAN (DI ISI)'!BG76+'KELURAHAN (DI ISI)'!BG77+'KELURAHAN (DI ISI)'!BG78+'KELURAHAN (DI ISI)'!BG79</f>
        <v>0</v>
      </c>
      <c r="BT15" s="248">
        <f>'KELURAHAN (DI ISI)'!BH74+'KELURAHAN (DI ISI)'!BH75+'KELURAHAN (DI ISI)'!BH76+'KELURAHAN (DI ISI)'!BH77+'KELURAHAN (DI ISI)'!BH78+'KELURAHAN (DI ISI)'!BH79</f>
        <v>2</v>
      </c>
      <c r="BU15" s="248">
        <f>'KELURAHAN (DI ISI)'!BI74+'KELURAHAN (DI ISI)'!BI75+'KELURAHAN (DI ISI)'!BI76+'KELURAHAN (DI ISI)'!BI77+'KELURAHAN (DI ISI)'!BI78+'KELURAHAN (DI ISI)'!BI79</f>
        <v>9</v>
      </c>
      <c r="BV15" s="248">
        <f>'KELURAHAN (DI ISI)'!BJ74+'KELURAHAN (DI ISI)'!BJ75+'KELURAHAN (DI ISI)'!BJ76+'KELURAHAN (DI ISI)'!BJ77+'KELURAHAN (DI ISI)'!BJ78+'KELURAHAN (DI ISI)'!BJ79</f>
        <v>0</v>
      </c>
      <c r="BW15" s="248">
        <f>'KELURAHAN (DI ISI)'!BK74+'KELURAHAN (DI ISI)'!BK75+'KELURAHAN (DI ISI)'!BK76+'KELURAHAN (DI ISI)'!BK77+'KELURAHAN (DI ISI)'!BK78+'KELURAHAN (DI ISI)'!BK79</f>
        <v>0</v>
      </c>
      <c r="BX15" s="248">
        <f>'KELURAHAN (DI ISI)'!BL74+'KELURAHAN (DI ISI)'!BL75+'KELURAHAN (DI ISI)'!BL76+'KELURAHAN (DI ISI)'!BL77+'KELURAHAN (DI ISI)'!BL78+'KELURAHAN (DI ISI)'!BL79</f>
        <v>0</v>
      </c>
      <c r="BY15" s="248">
        <f>'KELURAHAN (DI ISI)'!BM74+'KELURAHAN (DI ISI)'!BM75+'KELURAHAN (DI ISI)'!BM76+'KELURAHAN (DI ISI)'!BM77+'KELURAHAN (DI ISI)'!BM78+'KELURAHAN (DI ISI)'!BM79</f>
        <v>0</v>
      </c>
      <c r="BZ15" s="248">
        <f>'KELURAHAN (DI ISI)'!BN74+'KELURAHAN (DI ISI)'!BN75+'KELURAHAN (DI ISI)'!BN76+'KELURAHAN (DI ISI)'!BN77+'KELURAHAN (DI ISI)'!BN78+'KELURAHAN (DI ISI)'!BN79</f>
        <v>1</v>
      </c>
      <c r="CA15" s="248">
        <f>'KELURAHAN (DI ISI)'!BO74+'KELURAHAN (DI ISI)'!BO75+'KELURAHAN (DI ISI)'!BO76+'KELURAHAN (DI ISI)'!BO77+'KELURAHAN (DI ISI)'!BO78+'KELURAHAN (DI ISI)'!BO79</f>
        <v>0</v>
      </c>
      <c r="CB15" s="248">
        <f>'KELURAHAN (DI ISI)'!BP74+'KELURAHAN (DI ISI)'!BP75+'KELURAHAN (DI ISI)'!BP76+'KELURAHAN (DI ISI)'!BP77+'KELURAHAN (DI ISI)'!BP78+'KELURAHAN (DI ISI)'!BP79</f>
        <v>12</v>
      </c>
      <c r="CC15" s="248">
        <f>'KELURAHAN (DI ISI)'!BQ74+'KELURAHAN (DI ISI)'!BQ75+'KELURAHAN (DI ISI)'!BQ76+'KELURAHAN (DI ISI)'!BQ77+'KELURAHAN (DI ISI)'!BQ78+'KELURAHAN (DI ISI)'!BQ79</f>
        <v>1320</v>
      </c>
      <c r="CD15" s="248">
        <f>'KELURAHAN (DI ISI)'!BR74+'KELURAHAN (DI ISI)'!BR75+'KELURAHAN (DI ISI)'!BR76+'KELURAHAN (DI ISI)'!BR77+'KELURAHAN (DI ISI)'!BR78+'KELURAHAN (DI ISI)'!BR79</f>
        <v>49</v>
      </c>
      <c r="CE15" s="491">
        <f t="shared" si="13"/>
        <v>10</v>
      </c>
      <c r="CF15" s="491">
        <f t="shared" si="14"/>
        <v>38</v>
      </c>
      <c r="CG15" s="248">
        <f>'KELURAHAN (DI ISI)'!BS74+'KELURAHAN (DI ISI)'!BS75+'KELURAHAN (DI ISI)'!BS76+'KELURAHAN (DI ISI)'!BS77+'KELURAHAN (DI ISI)'!BS78+'KELURAHAN (DI ISI)'!BS79</f>
        <v>0</v>
      </c>
      <c r="CH15" s="248">
        <f>'KELURAHAN (DI ISI)'!BT74+'KELURAHAN (DI ISI)'!BT75+'KELURAHAN (DI ISI)'!BT76+'KELURAHAN (DI ISI)'!BT77+'KELURAHAN (DI ISI)'!BT78+'KELURAHAN (DI ISI)'!BT79</f>
        <v>1</v>
      </c>
      <c r="CI15" s="248">
        <f>'KELURAHAN (DI ISI)'!BU74+'KELURAHAN (DI ISI)'!BU75+'KELURAHAN (DI ISI)'!BU76+'KELURAHAN (DI ISI)'!BU77+'KELURAHAN (DI ISI)'!BU78+'KELURAHAN (DI ISI)'!BU79</f>
        <v>9</v>
      </c>
      <c r="CJ15" s="248">
        <f>'KELURAHAN (DI ISI)'!BV74+'KELURAHAN (DI ISI)'!BV75+'KELURAHAN (DI ISI)'!BV76+'KELURAHAN (DI ISI)'!BV77+'KELURAHAN (DI ISI)'!BV78+'KELURAHAN (DI ISI)'!BV79</f>
        <v>38</v>
      </c>
      <c r="CK15" s="248">
        <f>'KELURAHAN (DI ISI)'!BW74+'KELURAHAN (DI ISI)'!BW75+'KELURAHAN (DI ISI)'!BW76+'KELURAHAN (DI ISI)'!BW77+'KELURAHAN (DI ISI)'!BW78+'KELURAHAN (DI ISI)'!BW79</f>
        <v>0</v>
      </c>
      <c r="CL15" s="248">
        <f>'KELURAHAN (DI ISI)'!BX74+'KELURAHAN (DI ISI)'!BX75+'KELURAHAN (DI ISI)'!BX76+'KELURAHAN (DI ISI)'!BX77+'KELURAHAN (DI ISI)'!BX78+'KELURAHAN (DI ISI)'!BX79</f>
        <v>0</v>
      </c>
      <c r="CM15" s="248">
        <f>'KELURAHAN (DI ISI)'!BY74+'KELURAHAN (DI ISI)'!BY75+'KELURAHAN (DI ISI)'!BY76+'KELURAHAN (DI ISI)'!BY77+'KELURAHAN (DI ISI)'!BY78+'KELURAHAN (DI ISI)'!BY79</f>
        <v>0</v>
      </c>
      <c r="CN15" s="248">
        <f>'KELURAHAN (DI ISI)'!BZ74+'KELURAHAN (DI ISI)'!BZ75+'KELURAHAN (DI ISI)'!BZ76+'KELURAHAN (DI ISI)'!BZ77+'KELURAHAN (DI ISI)'!BZ78+'KELURAHAN (DI ISI)'!BZ79</f>
        <v>1</v>
      </c>
      <c r="CO15" s="248">
        <f>'KELURAHAN (DI ISI)'!CA74+'KELURAHAN (DI ISI)'!CA75+'KELURAHAN (DI ISI)'!CA76+'KELURAHAN (DI ISI)'!CA77+'KELURAHAN (DI ISI)'!CA78+'KELURAHAN (DI ISI)'!CA79</f>
        <v>0</v>
      </c>
      <c r="CP15" s="248">
        <f>'KELURAHAN (DI ISI)'!CB74+'KELURAHAN (DI ISI)'!CB75+'KELURAHAN (DI ISI)'!CB76+'KELURAHAN (DI ISI)'!CB77+'KELURAHAN (DI ISI)'!CB78+'KELURAHAN (DI ISI)'!CB79</f>
        <v>0</v>
      </c>
      <c r="CQ15" s="248">
        <f>'KELURAHAN (DI ISI)'!CC74+'KELURAHAN (DI ISI)'!CC75+'KELURAHAN (DI ISI)'!CC76+'KELURAHAN (DI ISI)'!CC77+'KELURAHAN (DI ISI)'!CC78+'KELURAHAN (DI ISI)'!CC79</f>
        <v>1</v>
      </c>
      <c r="CR15" s="248">
        <f>'KELURAHAN (DI ISI)'!CD74+'KELURAHAN (DI ISI)'!CD75+'KELURAHAN (DI ISI)'!CD76+'KELURAHAN (DI ISI)'!CD77+'KELURAHAN (DI ISI)'!CD78+'KELURAHAN (DI ISI)'!CD79</f>
        <v>4</v>
      </c>
      <c r="CS15" s="248">
        <f>'KELURAHAN (DI ISI)'!CE74+'KELURAHAN (DI ISI)'!CE75+'KELURAHAN (DI ISI)'!CE76+'KELURAHAN (DI ISI)'!CE77+'KELURAHAN (DI ISI)'!CE78+'KELURAHAN (DI ISI)'!CE79</f>
        <v>0</v>
      </c>
      <c r="CT15" s="248">
        <f>'KELURAHAN (DI ISI)'!CF74+'KELURAHAN (DI ISI)'!CF75+'KELURAHAN (DI ISI)'!CF76+'KELURAHAN (DI ISI)'!CF77+'KELURAHAN (DI ISI)'!CF78+'KELURAHAN (DI ISI)'!CF79</f>
        <v>0</v>
      </c>
      <c r="CU15" s="248">
        <f>'KELURAHAN (DI ISI)'!CG74+'KELURAHAN (DI ISI)'!CG75+'KELURAHAN (DI ISI)'!CG76+'KELURAHAN (DI ISI)'!CG77+'KELURAHAN (DI ISI)'!CG78+'KELURAHAN (DI ISI)'!CG79</f>
        <v>0</v>
      </c>
      <c r="CV15" s="248">
        <f>'KELURAHAN (DI ISI)'!CH74+'KELURAHAN (DI ISI)'!CH75+'KELURAHAN (DI ISI)'!CH76+'KELURAHAN (DI ISI)'!CH77+'KELURAHAN (DI ISI)'!CH78+'KELURAHAN (DI ISI)'!CH79</f>
        <v>0</v>
      </c>
      <c r="CW15" s="248">
        <f>'KELURAHAN (DI ISI)'!CI74+'KELURAHAN (DI ISI)'!CI75+'KELURAHAN (DI ISI)'!CI76+'KELURAHAN (DI ISI)'!CI77+'KELURAHAN (DI ISI)'!CI78+'KELURAHAN (DI ISI)'!CI79</f>
        <v>2</v>
      </c>
      <c r="CX15" s="248">
        <f>'KELURAHAN (DI ISI)'!CJ74+'KELURAHAN (DI ISI)'!CJ75+'KELURAHAN (DI ISI)'!CJ76+'KELURAHAN (DI ISI)'!CJ77+'KELURAHAN (DI ISI)'!CJ78+'KELURAHAN (DI ISI)'!CJ79</f>
        <v>0</v>
      </c>
      <c r="CY15" s="248">
        <f>'KELURAHAN (DI ISI)'!CK74+'KELURAHAN (DI ISI)'!CK75+'KELURAHAN (DI ISI)'!CK76+'KELURAHAN (DI ISI)'!CK77+'KELURAHAN (DI ISI)'!CK78+'KELURAHAN (DI ISI)'!CK79</f>
        <v>7</v>
      </c>
      <c r="CZ15" s="248">
        <f>'KELURAHAN (DI ISI)'!CL74+'KELURAHAN (DI ISI)'!CL75+'KELURAHAN (DI ISI)'!CL76+'KELURAHAN (DI ISI)'!CL77+'KELURAHAN (DI ISI)'!CL78+'KELURAHAN (DI ISI)'!CL79</f>
        <v>1338</v>
      </c>
      <c r="DA15" s="248">
        <f>'KELURAHAN (DI ISI)'!CM74+'KELURAHAN (DI ISI)'!CM75+'KELURAHAN (DI ISI)'!CM76+'KELURAHAN (DI ISI)'!CM77+'KELURAHAN (DI ISI)'!CM78+'KELURAHAN (DI ISI)'!CM79</f>
        <v>460</v>
      </c>
      <c r="DB15" s="248">
        <f>'KELURAHAN (DI ISI)'!CN74+'KELURAHAN (DI ISI)'!CN75+'KELURAHAN (DI ISI)'!CN76+'KELURAHAN (DI ISI)'!CN77+'KELURAHAN (DI ISI)'!CN78+'KELURAHAN (DI ISI)'!CN79</f>
        <v>47</v>
      </c>
      <c r="DC15" s="491">
        <f t="shared" si="15"/>
        <v>10</v>
      </c>
      <c r="DD15" s="491">
        <f t="shared" si="16"/>
        <v>30</v>
      </c>
      <c r="DE15" s="248">
        <f>'KELURAHAN (DI ISI)'!CO74+'KELURAHAN (DI ISI)'!CO75+'KELURAHAN (DI ISI)'!CO76+'KELURAHAN (DI ISI)'!CO77+'KELURAHAN (DI ISI)'!CO78+'KELURAHAN (DI ISI)'!CO79</f>
        <v>0</v>
      </c>
      <c r="DF15" s="248">
        <f>'KELURAHAN (DI ISI)'!CP74+'KELURAHAN (DI ISI)'!CP75+'KELURAHAN (DI ISI)'!CP76+'KELURAHAN (DI ISI)'!CP77+'KELURAHAN (DI ISI)'!CP78+'KELURAHAN (DI ISI)'!CP79</f>
        <v>0</v>
      </c>
      <c r="DG15" s="248">
        <f>'KELURAHAN (DI ISI)'!CQ74+'KELURAHAN (DI ISI)'!CQ75+'KELURAHAN (DI ISI)'!CQ76+'KELURAHAN (DI ISI)'!CQ77+'KELURAHAN (DI ISI)'!CQ78+'KELURAHAN (DI ISI)'!CQ79</f>
        <v>10</v>
      </c>
      <c r="DH15" s="248">
        <f>'KELURAHAN (DI ISI)'!CR74+'KELURAHAN (DI ISI)'!CR75+'KELURAHAN (DI ISI)'!CR76+'KELURAHAN (DI ISI)'!CR77+'KELURAHAN (DI ISI)'!CR78+'KELURAHAN (DI ISI)'!CR79</f>
        <v>30</v>
      </c>
      <c r="DI15" s="248">
        <f>'KELURAHAN (DI ISI)'!CS74+'KELURAHAN (DI ISI)'!CS75+'KELURAHAN (DI ISI)'!CS76+'KELURAHAN (DI ISI)'!CS77+'KELURAHAN (DI ISI)'!CS78+'KELURAHAN (DI ISI)'!CS79</f>
        <v>0</v>
      </c>
      <c r="DJ15" s="248">
        <f>'KELURAHAN (DI ISI)'!CT74+'KELURAHAN (DI ISI)'!CT75+'KELURAHAN (DI ISI)'!CT76+'KELURAHAN (DI ISI)'!CT77+'KELURAHAN (DI ISI)'!CT78+'KELURAHAN (DI ISI)'!CT79</f>
        <v>0</v>
      </c>
      <c r="DK15" s="248">
        <f>'KELURAHAN (DI ISI)'!CU74+'KELURAHAN (DI ISI)'!CU75+'KELURAHAN (DI ISI)'!CU76+'KELURAHAN (DI ISI)'!CU77+'KELURAHAN (DI ISI)'!CU78+'KELURAHAN (DI ISI)'!CU79</f>
        <v>2</v>
      </c>
      <c r="DL15" s="248">
        <f>'KELURAHAN (DI ISI)'!CV74+'KELURAHAN (DI ISI)'!CV75+'KELURAHAN (DI ISI)'!CV76+'KELURAHAN (DI ISI)'!CV77+'KELURAHAN (DI ISI)'!CV78+'KELURAHAN (DI ISI)'!CV79</f>
        <v>5</v>
      </c>
      <c r="DM15" s="248">
        <f>'KELURAHAN (DI ISI)'!CW74+'KELURAHAN (DI ISI)'!CW75+'KELURAHAN (DI ISI)'!CW76+'KELURAHAN (DI ISI)'!CW77+'KELURAHAN (DI ISI)'!CW78+'KELURAHAN (DI ISI)'!CW79</f>
        <v>0</v>
      </c>
      <c r="DN15" s="248">
        <f>'KELURAHAN (DI ISI)'!CX74+'KELURAHAN (DI ISI)'!CX75+'KELURAHAN (DI ISI)'!CX76+'KELURAHAN (DI ISI)'!CX77+'KELURAHAN (DI ISI)'!CX78+'KELURAHAN (DI ISI)'!CX79</f>
        <v>1</v>
      </c>
      <c r="DO15" s="248">
        <f>'KELURAHAN (DI ISI)'!CY74+'KELURAHAN (DI ISI)'!CY75+'KELURAHAN (DI ISI)'!CY76+'KELURAHAN (DI ISI)'!CY77+'KELURAHAN (DI ISI)'!CY78+'KELURAHAN (DI ISI)'!CY79</f>
        <v>3</v>
      </c>
      <c r="DP15" s="248">
        <f>'KELURAHAN (DI ISI)'!CZ74+'KELURAHAN (DI ISI)'!CZ75+'KELURAHAN (DI ISI)'!CZ76+'KELURAHAN (DI ISI)'!CZ77+'KELURAHAN (DI ISI)'!CZ78+'KELURAHAN (DI ISI)'!CZ79</f>
        <v>10</v>
      </c>
      <c r="DQ15" s="248">
        <f>'KELURAHAN (DI ISI)'!DA74+'KELURAHAN (DI ISI)'!DA75+'KELURAHAN (DI ISI)'!DA76+'KELURAHAN (DI ISI)'!DA77+'KELURAHAN (DI ISI)'!DA78+'KELURAHAN (DI ISI)'!DA79</f>
        <v>0</v>
      </c>
      <c r="DR15" s="248">
        <f>'KELURAHAN (DI ISI)'!DB74+'KELURAHAN (DI ISI)'!DB75+'KELURAHAN (DI ISI)'!DB76+'KELURAHAN (DI ISI)'!DB77+'KELURAHAN (DI ISI)'!DB78+'KELURAHAN (DI ISI)'!DB79</f>
        <v>0</v>
      </c>
      <c r="DS15" s="248">
        <f>'KELURAHAN (DI ISI)'!DC74+'KELURAHAN (DI ISI)'!DC75+'KELURAHAN (DI ISI)'!DC76+'KELURAHAN (DI ISI)'!DC77+'KELURAHAN (DI ISI)'!DC78+'KELURAHAN (DI ISI)'!DC79</f>
        <v>0</v>
      </c>
      <c r="DT15" s="248">
        <f>'KELURAHAN (DI ISI)'!DD74+'KELURAHAN (DI ISI)'!DD75+'KELURAHAN (DI ISI)'!DD76+'KELURAHAN (DI ISI)'!DD77+'KELURAHAN (DI ISI)'!DD78+'KELURAHAN (DI ISI)'!DD79</f>
        <v>0</v>
      </c>
      <c r="DU15" s="248">
        <f>'KELURAHAN (DI ISI)'!DE74+'KELURAHAN (DI ISI)'!DE75+'KELURAHAN (DI ISI)'!DE76+'KELURAHAN (DI ISI)'!DE77+'KELURAHAN (DI ISI)'!DE78+'KELURAHAN (DI ISI)'!DE79</f>
        <v>0</v>
      </c>
      <c r="DV15" s="248">
        <f>'KELURAHAN (DI ISI)'!DF74+'KELURAHAN (DI ISI)'!DF75+'KELURAHAN (DI ISI)'!DF76+'KELURAHAN (DI ISI)'!DF77+'KELURAHAN (DI ISI)'!DF78+'KELURAHAN (DI ISI)'!DF79</f>
        <v>0</v>
      </c>
      <c r="DW15" s="248">
        <f>'KELURAHAN (DI ISI)'!DG74+'KELURAHAN (DI ISI)'!DG75+'KELURAHAN (DI ISI)'!DG76+'KELURAHAN (DI ISI)'!DG77+'KELURAHAN (DI ISI)'!DG78+'KELURAHAN (DI ISI)'!DG79</f>
        <v>14</v>
      </c>
      <c r="DX15" s="248">
        <f>'KELURAHAN (DI ISI)'!DH74+'KELURAHAN (DI ISI)'!DH75+'KELURAHAN (DI ISI)'!DH76+'KELURAHAN (DI ISI)'!DH77+'KELURAHAN (DI ISI)'!DH78+'KELURAHAN (DI ISI)'!DH79</f>
        <v>1360</v>
      </c>
      <c r="DY15" s="248">
        <f>'KELURAHAN (DI ISI)'!DI74+'KELURAHAN (DI ISI)'!DI75+'KELURAHAN (DI ISI)'!DI76+'KELURAHAN (DI ISI)'!DI77+'KELURAHAN (DI ISI)'!DI78+'KELURAHAN (DI ISI)'!DI79</f>
        <v>446</v>
      </c>
      <c r="DZ15" s="248">
        <f>'KELURAHAN (DI ISI)'!DJ74+'KELURAHAN (DI ISI)'!DJ75+'KELURAHAN (DI ISI)'!DJ76+'KELURAHAN (DI ISI)'!DJ77+'KELURAHAN (DI ISI)'!DJ78+'KELURAHAN (DI ISI)'!DJ79</f>
        <v>1305</v>
      </c>
      <c r="EA15" s="248">
        <f>'KELURAHAN (DI ISI)'!DK74+'KELURAHAN (DI ISI)'!DK75+'KELURAHAN (DI ISI)'!DK76+'KELURAHAN (DI ISI)'!DK77+'KELURAHAN (DI ISI)'!DK78+'KELURAHAN (DI ISI)'!DK79</f>
        <v>413</v>
      </c>
      <c r="EB15" s="248">
        <f>'KELURAHAN (DI ISI)'!DL74+'KELURAHAN (DI ISI)'!DL75+'KELURAHAN (DI ISI)'!DL76+'KELURAHAN (DI ISI)'!DL77+'KELURAHAN (DI ISI)'!DL78+'KELURAHAN (DI ISI)'!DL79</f>
        <v>49</v>
      </c>
      <c r="EC15" s="248">
        <f>'KELURAHAN (DI ISI)'!DM74+'KELURAHAN (DI ISI)'!DM75+'KELURAHAN (DI ISI)'!DM76+'KELURAHAN (DI ISI)'!DM77+'KELURAHAN (DI ISI)'!DM78+'KELURAHAN (DI ISI)'!DM79</f>
        <v>10</v>
      </c>
      <c r="ED15" s="491">
        <f t="shared" si="17"/>
        <v>39</v>
      </c>
      <c r="EE15" s="248">
        <f>'KELURAHAN (DI ISI)'!DO74+'KELURAHAN (DI ISI)'!DO75+'KELURAHAN (DI ISI)'!DO76+'KELURAHAN (DI ISI)'!DO77+'KELURAHAN (DI ISI)'!DO78+'KELURAHAN (DI ISI)'!DO79</f>
        <v>0</v>
      </c>
      <c r="EF15" s="248">
        <f>'KELURAHAN (DI ISI)'!DP74+'KELURAHAN (DI ISI)'!DP75+'KELURAHAN (DI ISI)'!DP76+'KELURAHAN (DI ISI)'!DP77+'KELURAHAN (DI ISI)'!DP78+'KELURAHAN (DI ISI)'!DP79</f>
        <v>0</v>
      </c>
      <c r="EG15" s="248">
        <f>'KELURAHAN (DI ISI)'!DQ74+'KELURAHAN (DI ISI)'!DQ75+'KELURAHAN (DI ISI)'!DQ76+'KELURAHAN (DI ISI)'!DQ77+'KELURAHAN (DI ISI)'!DQ78+'KELURAHAN (DI ISI)'!DQ79</f>
        <v>8</v>
      </c>
      <c r="EH15" s="248">
        <f>'KELURAHAN (DI ISI)'!DR74+'KELURAHAN (DI ISI)'!DR75+'KELURAHAN (DI ISI)'!DR76+'KELURAHAN (DI ISI)'!DR77+'KELURAHAN (DI ISI)'!DR78+'KELURAHAN (DI ISI)'!DR79</f>
        <v>37</v>
      </c>
      <c r="EI15" s="248">
        <f>'KELURAHAN (DI ISI)'!DS74+'KELURAHAN (DI ISI)'!DS75+'KELURAHAN (DI ISI)'!DS76+'KELURAHAN (DI ISI)'!DS77+'KELURAHAN (DI ISI)'!DS78+'KELURAHAN (DI ISI)'!DS79</f>
        <v>0</v>
      </c>
      <c r="EJ15" s="248">
        <f>'KELURAHAN (DI ISI)'!DT74+'KELURAHAN (DI ISI)'!DT75+'KELURAHAN (DI ISI)'!DT76+'KELURAHAN (DI ISI)'!DT77+'KELURAHAN (DI ISI)'!DT78+'KELURAHAN (DI ISI)'!DT79</f>
        <v>0</v>
      </c>
      <c r="EK15" s="248">
        <f>'KELURAHAN (DI ISI)'!DU74+'KELURAHAN (DI ISI)'!DU75+'KELURAHAN (DI ISI)'!DU76+'KELURAHAN (DI ISI)'!DU77+'KELURAHAN (DI ISI)'!DU78+'KELURAHAN (DI ISI)'!DU79</f>
        <v>2</v>
      </c>
      <c r="EL15" s="248">
        <f>'KELURAHAN (DI ISI)'!DV74+'KELURAHAN (DI ISI)'!DV75+'KELURAHAN (DI ISI)'!DV76+'KELURAHAN (DI ISI)'!DV77+'KELURAHAN (DI ISI)'!DV78+'KELURAHAN (DI ISI)'!DV79</f>
        <v>2</v>
      </c>
      <c r="EM15" s="248">
        <f>'KELURAHAN (DI ISI)'!DW74+'KELURAHAN (DI ISI)'!DW75+'KELURAHAN (DI ISI)'!DW76+'KELURAHAN (DI ISI)'!DW77+'KELURAHAN (DI ISI)'!DW78+'KELURAHAN (DI ISI)'!DW79</f>
        <v>0</v>
      </c>
      <c r="EN15" s="248">
        <f>'KELURAHAN (DI ISI)'!DX74+'KELURAHAN (DI ISI)'!DX75+'KELURAHAN (DI ISI)'!DX76+'KELURAHAN (DI ISI)'!DX77+'KELURAHAN (DI ISI)'!DX78+'KELURAHAN (DI ISI)'!DX79</f>
        <v>0</v>
      </c>
      <c r="EO15" s="248">
        <f>'KELURAHAN (DI ISI)'!DY74+'KELURAHAN (DI ISI)'!DY75+'KELURAHAN (DI ISI)'!DY76+'KELURAHAN (DI ISI)'!DY77+'KELURAHAN (DI ISI)'!DY78+'KELURAHAN (DI ISI)'!DY79</f>
        <v>0</v>
      </c>
      <c r="EP15" s="248">
        <f>'KELURAHAN (DI ISI)'!DZ74+'KELURAHAN (DI ISI)'!DZ75+'KELURAHAN (DI ISI)'!DZ76+'KELURAHAN (DI ISI)'!DZ77+'KELURAHAN (DI ISI)'!DZ78+'KELURAHAN (DI ISI)'!DZ79</f>
        <v>1</v>
      </c>
      <c r="EQ15" s="248">
        <f>'KELURAHAN (DI ISI)'!EA74+'KELURAHAN (DI ISI)'!EA75+'KELURAHAN (DI ISI)'!EA76+'KELURAHAN (DI ISI)'!EA77+'KELURAHAN (DI ISI)'!EA78+'KELURAHAN (DI ISI)'!EA79</f>
        <v>0</v>
      </c>
      <c r="ER15" s="248">
        <f>'KELURAHAN (DI ISI)'!EB74+'KELURAHAN (DI ISI)'!EB75+'KELURAHAN (DI ISI)'!EB76+'KELURAHAN (DI ISI)'!EB77+'KELURAHAN (DI ISI)'!EB78+'KELURAHAN (DI ISI)'!EB79</f>
        <v>0</v>
      </c>
      <c r="ES15" s="248">
        <f>'KELURAHAN (DI ISI)'!EC74+'KELURAHAN (DI ISI)'!EC75+'KELURAHAN (DI ISI)'!EC76+'KELURAHAN (DI ISI)'!EC77+'KELURAHAN (DI ISI)'!EC78+'KELURAHAN (DI ISI)'!EC79</f>
        <v>0</v>
      </c>
      <c r="ET15" s="248">
        <f>'KELURAHAN (DI ISI)'!ED74+'KELURAHAN (DI ISI)'!ED75+'KELURAHAN (DI ISI)'!ED76+'KELURAHAN (DI ISI)'!ED77+'KELURAHAN (DI ISI)'!ED78+'KELURAHAN (DI ISI)'!ED79</f>
        <v>0</v>
      </c>
      <c r="EU15" s="248">
        <f>'KELURAHAN (DI ISI)'!EE74+'KELURAHAN (DI ISI)'!EE75+'KELURAHAN (DI ISI)'!EE76+'KELURAHAN (DI ISI)'!EE77+'KELURAHAN (DI ISI)'!EE78+'KELURAHAN (DI ISI)'!EE79</f>
        <v>0</v>
      </c>
      <c r="EV15" s="248">
        <f>'KELURAHAN (DI ISI)'!EF74+'KELURAHAN (DI ISI)'!EF75+'KELURAHAN (DI ISI)'!EF76+'KELURAHAN (DI ISI)'!EF77+'KELURAHAN (DI ISI)'!EF78+'KELURAHAN (DI ISI)'!EF79</f>
        <v>0</v>
      </c>
      <c r="EW15" s="248">
        <f>'KELURAHAN (DI ISI)'!EG74+'KELURAHAN (DI ISI)'!EG75+'KELURAHAN (DI ISI)'!EG76+'KELURAHAN (DI ISI)'!EG77+'KELURAHAN (DI ISI)'!EG78+'KELURAHAN (DI ISI)'!EG79</f>
        <v>1</v>
      </c>
      <c r="EX15" s="248">
        <f>'KELURAHAN (DI ISI)'!EH74+'KELURAHAN (DI ISI)'!EH75+'KELURAHAN (DI ISI)'!EH76+'KELURAHAN (DI ISI)'!EH77+'KELURAHAN (DI ISI)'!EH78+'KELURAHAN (DI ISI)'!EH79</f>
        <v>0</v>
      </c>
      <c r="EY15" s="248">
        <f>'KELURAHAN (DI ISI)'!EI74+'KELURAHAN (DI ISI)'!EI75+'KELURAHAN (DI ISI)'!EI76+'KELURAHAN (DI ISI)'!EI77+'KELURAHAN (DI ISI)'!EI78+'KELURAHAN (DI ISI)'!EI79</f>
        <v>1335</v>
      </c>
      <c r="EZ15" s="248">
        <f>'KELURAHAN (DI ISI)'!EJ74+'KELURAHAN (DI ISI)'!EJ75+'KELURAHAN (DI ISI)'!EJ76+'KELURAHAN (DI ISI)'!EJ77+'KELURAHAN (DI ISI)'!EJ78+'KELURAHAN (DI ISI)'!EJ79</f>
        <v>431</v>
      </c>
      <c r="FA15" s="248">
        <f>'KELURAHAN (DI ISI)'!EK74+'KELURAHAN (DI ISI)'!EK75+'KELURAHAN (DI ISI)'!EK76+'KELURAHAN (DI ISI)'!EK77+'KELURAHAN (DI ISI)'!EK78+'KELURAHAN (DI ISI)'!EK79</f>
        <v>1335</v>
      </c>
      <c r="FB15" s="248">
        <f>'KELURAHAN (DI ISI)'!EL74+'KELURAHAN (DI ISI)'!EL75+'KELURAHAN (DI ISI)'!EL76+'KELURAHAN (DI ISI)'!EL77+'KELURAHAN (DI ISI)'!EL78+'KELURAHAN (DI ISI)'!EL79</f>
        <v>431</v>
      </c>
      <c r="FC15" s="248">
        <f>'KELURAHAN (DI ISI)'!EM74+'KELURAHAN (DI ISI)'!EM75+'KELURAHAN (DI ISI)'!EM76+'KELURAHAN (DI ISI)'!EM77+'KELURAHAN (DI ISI)'!EM78+'KELURAHAN (DI ISI)'!EM79</f>
        <v>47</v>
      </c>
      <c r="FD15" s="248">
        <f>'KELURAHAN (DI ISI)'!EN74+'KELURAHAN (DI ISI)'!EN75+'KELURAHAN (DI ISI)'!EN76+'KELURAHAN (DI ISI)'!EN77+'KELURAHAN (DI ISI)'!EN78+'KELURAHAN (DI ISI)'!EN79</f>
        <v>11</v>
      </c>
      <c r="FE15" s="491">
        <f t="shared" si="18"/>
        <v>36</v>
      </c>
      <c r="FF15" s="248">
        <f>'KELURAHAN (DI ISI)'!EP74+'KELURAHAN (DI ISI)'!EP75+'KELURAHAN (DI ISI)'!EP76+'KELURAHAN (DI ISI)'!EP77+'KELURAHAN (DI ISI)'!EP78+'KELURAHAN (DI ISI)'!EP79</f>
        <v>0</v>
      </c>
      <c r="FG15" s="248">
        <f>'KELURAHAN (DI ISI)'!EQ74+'KELURAHAN (DI ISI)'!EQ75+'KELURAHAN (DI ISI)'!EQ76+'KELURAHAN (DI ISI)'!EQ77+'KELURAHAN (DI ISI)'!EQ78+'KELURAHAN (DI ISI)'!EQ79</f>
        <v>0</v>
      </c>
      <c r="FH15" s="248">
        <f>'KELURAHAN (DI ISI)'!ER74+'KELURAHAN (DI ISI)'!ER75+'KELURAHAN (DI ISI)'!ER76+'KELURAHAN (DI ISI)'!ER77+'KELURAHAN (DI ISI)'!ER78+'KELURAHAN (DI ISI)'!ER79</f>
        <v>8</v>
      </c>
      <c r="FI15" s="248">
        <f>'KELURAHAN (DI ISI)'!ES74+'KELURAHAN (DI ISI)'!ES75+'KELURAHAN (DI ISI)'!ES76+'KELURAHAN (DI ISI)'!ES77+'KELURAHAN (DI ISI)'!ES78+'KELURAHAN (DI ISI)'!ES79</f>
        <v>36</v>
      </c>
      <c r="FJ15" s="248">
        <f>'KELURAHAN (DI ISI)'!ET74+'KELURAHAN (DI ISI)'!ET75+'KELURAHAN (DI ISI)'!ET76+'KELURAHAN (DI ISI)'!ET77+'KELURAHAN (DI ISI)'!ET78+'KELURAHAN (DI ISI)'!ET79</f>
        <v>2</v>
      </c>
      <c r="FK15" s="248">
        <f>'KELURAHAN (DI ISI)'!EU74+'KELURAHAN (DI ISI)'!EU75+'KELURAHAN (DI ISI)'!EU76+'KELURAHAN (DI ISI)'!EU77+'KELURAHAN (DI ISI)'!EU78+'KELURAHAN (DI ISI)'!EU79</f>
        <v>0</v>
      </c>
      <c r="FL15" s="248">
        <f>'KELURAHAN (DI ISI)'!EV74+'KELURAHAN (DI ISI)'!EV75+'KELURAHAN (DI ISI)'!EV76+'KELURAHAN (DI ISI)'!EV77+'KELURAHAN (DI ISI)'!EV78+'KELURAHAN (DI ISI)'!EV79</f>
        <v>1</v>
      </c>
      <c r="FM15" s="248">
        <f>'KELURAHAN (DI ISI)'!EW74+'KELURAHAN (DI ISI)'!EW75+'KELURAHAN (DI ISI)'!EW76+'KELURAHAN (DI ISI)'!EW77+'KELURAHAN (DI ISI)'!EW78+'KELURAHAN (DI ISI)'!EW79</f>
        <v>0</v>
      </c>
      <c r="FN15" s="248">
        <f>'KELURAHAN (DI ISI)'!EX74+'KELURAHAN (DI ISI)'!EX75+'KELURAHAN (DI ISI)'!EX76+'KELURAHAN (DI ISI)'!EX77+'KELURAHAN (DI ISI)'!EX78+'KELURAHAN (DI ISI)'!EX79</f>
        <v>0</v>
      </c>
      <c r="FO15" s="248">
        <f>'KELURAHAN (DI ISI)'!EY74+'KELURAHAN (DI ISI)'!EY75+'KELURAHAN (DI ISI)'!EY76+'KELURAHAN (DI ISI)'!EY77+'KELURAHAN (DI ISI)'!EY78+'KELURAHAN (DI ISI)'!EY79</f>
        <v>0</v>
      </c>
      <c r="FP15" s="248">
        <f>'KELURAHAN (DI ISI)'!EZ74+'KELURAHAN (DI ISI)'!EZ75+'KELURAHAN (DI ISI)'!EZ76+'KELURAHAN (DI ISI)'!EZ77+'KELURAHAN (DI ISI)'!EZ78+'KELURAHAN (DI ISI)'!EZ79</f>
        <v>1</v>
      </c>
      <c r="FQ15" s="248">
        <f>'KELURAHAN (DI ISI)'!FA74+'KELURAHAN (DI ISI)'!FA75+'KELURAHAN (DI ISI)'!FA76+'KELURAHAN (DI ISI)'!FA77+'KELURAHAN (DI ISI)'!FA78+'KELURAHAN (DI ISI)'!FA79</f>
        <v>4</v>
      </c>
      <c r="FR15" s="248">
        <f>'KELURAHAN (DI ISI)'!FB74+'KELURAHAN (DI ISI)'!FB75+'KELURAHAN (DI ISI)'!FB76+'KELURAHAN (DI ISI)'!FB77+'KELURAHAN (DI ISI)'!FB78+'KELURAHAN (DI ISI)'!FB79</f>
        <v>0</v>
      </c>
      <c r="FS15" s="248">
        <f>'KELURAHAN (DI ISI)'!FC74+'KELURAHAN (DI ISI)'!FC75+'KELURAHAN (DI ISI)'!FC76+'KELURAHAN (DI ISI)'!FC77+'KELURAHAN (DI ISI)'!FC78+'KELURAHAN (DI ISI)'!FC79</f>
        <v>0</v>
      </c>
      <c r="FT15" s="248">
        <f>'KELURAHAN (DI ISI)'!FD74+'KELURAHAN (DI ISI)'!FD75+'KELURAHAN (DI ISI)'!FD76+'KELURAHAN (DI ISI)'!FD77+'KELURAHAN (DI ISI)'!FD78+'KELURAHAN (DI ISI)'!FD79</f>
        <v>0</v>
      </c>
      <c r="FU15" s="248">
        <f>'KELURAHAN (DI ISI)'!FE74+'KELURAHAN (DI ISI)'!FE75+'KELURAHAN (DI ISI)'!FE76+'KELURAHAN (DI ISI)'!FE77+'KELURAHAN (DI ISI)'!FE78+'KELURAHAN (DI ISI)'!FE79</f>
        <v>0</v>
      </c>
      <c r="FV15" s="248">
        <f>'KELURAHAN (DI ISI)'!FF74+'KELURAHAN (DI ISI)'!FF75+'KELURAHAN (DI ISI)'!FF76+'KELURAHAN (DI ISI)'!FF77+'KELURAHAN (DI ISI)'!FF78+'KELURAHAN (DI ISI)'!FF79</f>
        <v>0</v>
      </c>
      <c r="FW15" s="248">
        <f>'KELURAHAN (DI ISI)'!FG74+'KELURAHAN (DI ISI)'!FG75+'KELURAHAN (DI ISI)'!FG76+'KELURAHAN (DI ISI)'!FG77+'KELURAHAN (DI ISI)'!FG78+'KELURAHAN (DI ISI)'!FG79</f>
        <v>0</v>
      </c>
      <c r="FX15" s="248">
        <f>'KELURAHAN (DI ISI)'!FH74+'KELURAHAN (DI ISI)'!FH75+'KELURAHAN (DI ISI)'!FH76+'KELURAHAN (DI ISI)'!FH77+'KELURAHAN (DI ISI)'!FH78+'KELURAHAN (DI ISI)'!FH79</f>
        <v>5</v>
      </c>
      <c r="FY15" s="248">
        <f>'KELURAHAN (DI ISI)'!FI74+'KELURAHAN (DI ISI)'!FI75+'KELURAHAN (DI ISI)'!FI76+'KELURAHAN (DI ISI)'!FI77+'KELURAHAN (DI ISI)'!FI78+'KELURAHAN (DI ISI)'!FI79</f>
        <v>1</v>
      </c>
      <c r="FZ15" s="248">
        <f>'KELURAHAN (DI ISI)'!FJ74+'KELURAHAN (DI ISI)'!FJ75+'KELURAHAN (DI ISI)'!FJ76+'KELURAHAN (DI ISI)'!FJ77+'KELURAHAN (DI ISI)'!FJ78+'KELURAHAN (DI ISI)'!FJ79</f>
        <v>1295</v>
      </c>
      <c r="GA15" s="248">
        <f>'KELURAHAN (DI ISI)'!FK74+'KELURAHAN (DI ISI)'!FK75+'KELURAHAN (DI ISI)'!FK76+'KELURAHAN (DI ISI)'!FK77+'KELURAHAN (DI ISI)'!FK78+'KELURAHAN (DI ISI)'!FK79</f>
        <v>429</v>
      </c>
      <c r="GB15" s="248">
        <f>'KELURAHAN (DI ISI)'!FL74+'KELURAHAN (DI ISI)'!FL75+'KELURAHAN (DI ISI)'!FL76+'KELURAHAN (DI ISI)'!FL77+'KELURAHAN (DI ISI)'!FL78+'KELURAHAN (DI ISI)'!FL79</f>
        <v>1295</v>
      </c>
      <c r="GC15" s="248">
        <f>'KELURAHAN (DI ISI)'!FM74+'KELURAHAN (DI ISI)'!FM75+'KELURAHAN (DI ISI)'!FM76+'KELURAHAN (DI ISI)'!FM77+'KELURAHAN (DI ISI)'!FM78+'KELURAHAN (DI ISI)'!FM79</f>
        <v>429</v>
      </c>
      <c r="GD15" s="587">
        <v>1295.0</v>
      </c>
      <c r="GE15" s="588">
        <f>'KELURAHAN (DI ISI)'!FO74+'KELURAHAN (DI ISI)'!FO75+'KELURAHAN (DI ISI)'!FO76+'KELURAHAN (DI ISI)'!FO77+'KELURAHAN (DI ISI)'!FO78+'KELURAHAN (DI ISI)'!FO79</f>
        <v>51</v>
      </c>
      <c r="GF15" s="588">
        <f>'KELURAHAN (DI ISI)'!FP74+'KELURAHAN (DI ISI)'!FP75+'KELURAHAN (DI ISI)'!FP76+'KELURAHAN (DI ISI)'!FP77+'KELURAHAN (DI ISI)'!FP78+'KELURAHAN (DI ISI)'!FP79</f>
        <v>51</v>
      </c>
      <c r="GG15" s="588">
        <f>'KELURAHAN (DI ISI)'!FP74+'KELURAHAN (DI ISI)'!FP75+'KELURAHAN (DI ISI)'!FP76+'KELURAHAN (DI ISI)'!FP77+'KELURAHAN (DI ISI)'!FP78+'KELURAHAN (DI ISI)'!FP79</f>
        <v>51</v>
      </c>
      <c r="GH15" s="588">
        <f>'KELURAHAN (DI ISI)'!FQ74+'KELURAHAN (DI ISI)'!FQ75+'KELURAHAN (DI ISI)'!FQ76+'KELURAHAN (DI ISI)'!FQ77+'KELURAHAN (DI ISI)'!FQ78+'KELURAHAN (DI ISI)'!FQ79</f>
        <v>12</v>
      </c>
      <c r="GI15" s="571">
        <f t="shared" si="19"/>
        <v>39</v>
      </c>
      <c r="GJ15" s="248">
        <f>'KELURAHAN (DI ISI)'!FS74+'KELURAHAN (DI ISI)'!FS75+'KELURAHAN (DI ISI)'!FS76+'KELURAHAN (DI ISI)'!FS77+'KELURAHAN (DI ISI)'!FS78+'KELURAHAN (DI ISI)'!FS79</f>
        <v>2</v>
      </c>
      <c r="GK15" s="248">
        <f>'KELURAHAN (DI ISI)'!FT74+'KELURAHAN (DI ISI)'!FT75+'KELURAHAN (DI ISI)'!FT76+'KELURAHAN (DI ISI)'!FT77+'KELURAHAN (DI ISI)'!FT78+'KELURAHAN (DI ISI)'!FT79</f>
        <v>0</v>
      </c>
      <c r="GL15" s="248">
        <f>'KELURAHAN (DI ISI)'!FU74+'KELURAHAN (DI ISI)'!FU75+'KELURAHAN (DI ISI)'!FU76+'KELURAHAN (DI ISI)'!FU77+'KELURAHAN (DI ISI)'!FU78+'KELURAHAN (DI ISI)'!FU79</f>
        <v>8</v>
      </c>
      <c r="GM15" s="248">
        <f>'KELURAHAN (DI ISI)'!FV74+'KELURAHAN (DI ISI)'!FV75+'KELURAHAN (DI ISI)'!FV76+'KELURAHAN (DI ISI)'!FV77+'KELURAHAN (DI ISI)'!FV78+'KELURAHAN (DI ISI)'!FV79</f>
        <v>35</v>
      </c>
      <c r="GN15" s="248">
        <f>'KELURAHAN (DI ISI)'!FW74+'KELURAHAN (DI ISI)'!FW75+'KELURAHAN (DI ISI)'!FW76+'KELURAHAN (DI ISI)'!FW77+'KELURAHAN (DI ISI)'!FW78+'KELURAHAN (DI ISI)'!FW79</f>
        <v>1</v>
      </c>
      <c r="GO15" s="248">
        <f>'KELURAHAN (DI ISI)'!FX74+'KELURAHAN (DI ISI)'!FX75+'KELURAHAN (DI ISI)'!FX76+'KELURAHAN (DI ISI)'!FX77+'KELURAHAN (DI ISI)'!FX78+'KELURAHAN (DI ISI)'!FX79</f>
        <v>1</v>
      </c>
      <c r="GP15" s="248">
        <f>'KELURAHAN (DI ISI)'!FY74+'KELURAHAN (DI ISI)'!FY75+'KELURAHAN (DI ISI)'!FY76+'KELURAHAN (DI ISI)'!FY77+'KELURAHAN (DI ISI)'!FY78+'KELURAHAN (DI ISI)'!FY79</f>
        <v>0</v>
      </c>
      <c r="GQ15" s="248">
        <f>'KELURAHAN (DI ISI)'!FZ74+'KELURAHAN (DI ISI)'!FZ75+'KELURAHAN (DI ISI)'!FZ76+'KELURAHAN (DI ISI)'!FZ77+'KELURAHAN (DI ISI)'!FZ78+'KELURAHAN (DI ISI)'!FZ79</f>
        <v>4</v>
      </c>
      <c r="GR15" s="248">
        <f>'KELURAHAN (DI ISI)'!GA74+'KELURAHAN (DI ISI)'!GA75+'KELURAHAN (DI ISI)'!GA76+'KELURAHAN (DI ISI)'!GA77+'KELURAHAN (DI ISI)'!GA78+'KELURAHAN (DI ISI)'!GA79</f>
        <v>0</v>
      </c>
      <c r="GS15" s="248">
        <f>'KELURAHAN (DI ISI)'!GB74+'KELURAHAN (DI ISI)'!GB75+'KELURAHAN (DI ISI)'!GB76+'KELURAHAN (DI ISI)'!GB77+'KELURAHAN (DI ISI)'!GB78+'KELURAHAN (DI ISI)'!GB79</f>
        <v>0</v>
      </c>
      <c r="GT15" s="248">
        <f>'KELURAHAN (DI ISI)'!GC74+'KELURAHAN (DI ISI)'!GC75+'KELURAHAN (DI ISI)'!GC76+'KELURAHAN (DI ISI)'!GC77+'KELURAHAN (DI ISI)'!GC78+'KELURAHAN (DI ISI)'!GC79</f>
        <v>0</v>
      </c>
      <c r="GU15" s="248">
        <f>'KELURAHAN (DI ISI)'!GD74+'KELURAHAN (DI ISI)'!GD75+'KELURAHAN (DI ISI)'!GD76+'KELURAHAN (DI ISI)'!GD77+'KELURAHAN (DI ISI)'!GD78+'KELURAHAN (DI ISI)'!GD79</f>
        <v>0</v>
      </c>
      <c r="GV15" s="248">
        <f>'KELURAHAN (DI ISI)'!GE74+'KELURAHAN (DI ISI)'!GE75+'KELURAHAN (DI ISI)'!GE76+'KELURAHAN (DI ISI)'!GE77+'KELURAHAN (DI ISI)'!GE78+'KELURAHAN (DI ISI)'!GE79</f>
        <v>0</v>
      </c>
      <c r="GW15" s="248">
        <f>'KELURAHAN (DI ISI)'!GF74+'KELURAHAN (DI ISI)'!GF75+'KELURAHAN (DI ISI)'!GF76+'KELURAHAN (DI ISI)'!GF77+'KELURAHAN (DI ISI)'!GF78+'KELURAHAN (DI ISI)'!GF79</f>
        <v>0</v>
      </c>
      <c r="GX15" s="248">
        <f>'KELURAHAN (DI ISI)'!GG74+'KELURAHAN (DI ISI)'!GG75+'KELURAHAN (DI ISI)'!GG76+'KELURAHAN (DI ISI)'!GG77+'KELURAHAN (DI ISI)'!GG78+'KELURAHAN (DI ISI)'!GG79</f>
        <v>0</v>
      </c>
      <c r="GY15" s="248">
        <f>'KELURAHAN (DI ISI)'!GH74+'KELURAHAN (DI ISI)'!GH75+'KELURAHAN (DI ISI)'!GH76+'KELURAHAN (DI ISI)'!GH77+'KELURAHAN (DI ISI)'!GH78+'KELURAHAN (DI ISI)'!GH79</f>
        <v>2</v>
      </c>
      <c r="GZ15" s="248">
        <f>'KELURAHAN (DI ISI)'!GI74+'KELURAHAN (DI ISI)'!GI75+'KELURAHAN (DI ISI)'!GI76+'KELURAHAN (DI ISI)'!GI77+'KELURAHAN (DI ISI)'!GI78+'KELURAHAN (DI ISI)'!GI79</f>
        <v>0</v>
      </c>
      <c r="HA15" s="248">
        <f>'KELURAHAN (DI ISI)'!GJ74+'KELURAHAN (DI ISI)'!GJ75+'KELURAHAN (DI ISI)'!GJ76+'KELURAHAN (DI ISI)'!GJ77+'KELURAHAN (DI ISI)'!GJ78+'KELURAHAN (DI ISI)'!GJ79</f>
        <v>0</v>
      </c>
      <c r="HB15" s="589">
        <f>'KELURAHAN (DI ISI)'!GK74+'KELURAHAN (DI ISI)'!GK75+'KELURAHAN (DI ISI)'!GK76+'KELURAHAN (DI ISI)'!GK77+'KELURAHAN (DI ISI)'!GK78+'KELURAHAN (DI ISI)'!GK79</f>
        <v>2</v>
      </c>
      <c r="HC15" s="589">
        <f>'KELURAHAN (DI ISI)'!GL74+'KELURAHAN (DI ISI)'!GL75+'KELURAHAN (DI ISI)'!GL76+'KELURAHAN (DI ISI)'!GL77+'KELURAHAN (DI ISI)'!GL78+'KELURAHAN (DI ISI)'!GL79</f>
        <v>0</v>
      </c>
      <c r="HD15" s="248">
        <f>'KELURAHAN (DI ISI)'!GM74+'KELURAHAN (DI ISI)'!GM75+'KELURAHAN (DI ISI)'!GM76+'KELURAHAN (DI ISI)'!GM77+'KELURAHAN (DI ISI)'!GM78+'KELURAHAN (DI ISI)'!GM79</f>
        <v>1295</v>
      </c>
      <c r="HE15" s="248">
        <f>'KELURAHAN (DI ISI)'!GN74+'KELURAHAN (DI ISI)'!GN75+'KELURAHAN (DI ISI)'!GN76+'KELURAHAN (DI ISI)'!GN77+'KELURAHAN (DI ISI)'!GN78+'KELURAHAN (DI ISI)'!GN79</f>
        <v>410</v>
      </c>
      <c r="HF15" s="248">
        <f>'KELURAHAN (DI ISI)'!GO74+'KELURAHAN (DI ISI)'!GO75+'KELURAHAN (DI ISI)'!GO76+'KELURAHAN (DI ISI)'!GO77+'KELURAHAN (DI ISI)'!GO78+'KELURAHAN (DI ISI)'!GO79</f>
        <v>1295</v>
      </c>
      <c r="HG15" s="248">
        <f>'KELURAHAN (DI ISI)'!GP74+'KELURAHAN (DI ISI)'!GP75+'KELURAHAN (DI ISI)'!GP76+'KELURAHAN (DI ISI)'!GP77+'KELURAHAN (DI ISI)'!GP78+'KELURAHAN (DI ISI)'!GP79</f>
        <v>410</v>
      </c>
      <c r="HH15" s="587">
        <v>1295.0</v>
      </c>
      <c r="HI15" s="590">
        <f>'KELURAHAN (DI ISI)'!GR74+'KELURAHAN (DI ISI)'!GR75+'KELURAHAN (DI ISI)'!GR76+'KELURAHAN (DI ISI)'!GR77+'KELURAHAN (DI ISI)'!GR78+'KELURAHAN (DI ISI)'!GR79</f>
        <v>55</v>
      </c>
      <c r="HJ15" s="590">
        <f>'KELURAHAN (DI ISI)'!GS74+'KELURAHAN (DI ISI)'!GS75+'KELURAHAN (DI ISI)'!GS76+'KELURAHAN (DI ISI)'!GS77+'KELURAHAN (DI ISI)'!GS78+'KELURAHAN (DI ISI)'!GS79</f>
        <v>14</v>
      </c>
      <c r="HK15" s="591">
        <f>'KELURAHAN (DI ISI)'!GT74+'KELURAHAN (DI ISI)'!GT75+'KELURAHAN (DI ISI)'!GT76+'KELURAHAN (DI ISI)'!GT77+'KELURAHAN (DI ISI)'!GT78+'KELURAHAN (DI ISI)'!GT79</f>
        <v>55</v>
      </c>
      <c r="HL15" s="591">
        <f>'KELURAHAN (DI ISI)'!GU74+'KELURAHAN (DI ISI)'!GU75+'KELURAHAN (DI ISI)'!GU76+'KELURAHAN (DI ISI)'!GU77+'KELURAHAN (DI ISI)'!GU78+'KELURAHAN (DI ISI)'!GU79</f>
        <v>14</v>
      </c>
      <c r="HM15" s="573">
        <f t="shared" si="20"/>
        <v>41</v>
      </c>
      <c r="HN15" s="248">
        <f>'KELURAHAN (DI ISI)'!GW74+'KELURAHAN (DI ISI)'!GW75+'KELURAHAN (DI ISI)'!GW76+'KELURAHAN (DI ISI)'!GW77+'KELURAHAN (DI ISI)'!GW78+'KELURAHAN (DI ISI)'!GW79</f>
        <v>3</v>
      </c>
      <c r="HO15" s="248">
        <f>'KELURAHAN (DI ISI)'!GX74+'KELURAHAN (DI ISI)'!GX75+'KELURAHAN (DI ISI)'!GX76+'KELURAHAN (DI ISI)'!GX77+'KELURAHAN (DI ISI)'!GX78+'KELURAHAN (DI ISI)'!GX79</f>
        <v>1</v>
      </c>
      <c r="HP15" s="248">
        <f>'KELURAHAN (DI ISI)'!GY74+'KELURAHAN (DI ISI)'!GY75+'KELURAHAN (DI ISI)'!GY76+'KELURAHAN (DI ISI)'!GY77+'KELURAHAN (DI ISI)'!GY78+'KELURAHAN (DI ISI)'!GY79</f>
        <v>6</v>
      </c>
      <c r="HQ15" s="248">
        <f>'KELURAHAN (DI ISI)'!GZ74+'KELURAHAN (DI ISI)'!GZ75+'KELURAHAN (DI ISI)'!GZ76+'KELURAHAN (DI ISI)'!GZ77+'KELURAHAN (DI ISI)'!GZ78+'KELURAHAN (DI ISI)'!GZ79</f>
        <v>39</v>
      </c>
      <c r="HR15" s="248">
        <f>'KELURAHAN (DI ISI)'!HA74+'KELURAHAN (DI ISI)'!HA75+'KELURAHAN (DI ISI)'!HA76+'KELURAHAN (DI ISI)'!HA77+'KELURAHAN (DI ISI)'!HA78+'KELURAHAN (DI ISI)'!HA79</f>
        <v>3</v>
      </c>
      <c r="HS15" s="248">
        <f>'KELURAHAN (DI ISI)'!HB74+'KELURAHAN (DI ISI)'!HB75+'KELURAHAN (DI ISI)'!HB76+'KELURAHAN (DI ISI)'!HB77+'KELURAHAN (DI ISI)'!HB78+'KELURAHAN (DI ISI)'!HB79</f>
        <v>1</v>
      </c>
      <c r="HT15" s="248">
        <f>'KELURAHAN (DI ISI)'!HC74+'KELURAHAN (DI ISI)'!HC75+'KELURAHAN (DI ISI)'!HC76+'KELURAHAN (DI ISI)'!HC77+'KELURAHAN (DI ISI)'!HC78+'KELURAHAN (DI ISI)'!HC79</f>
        <v>0</v>
      </c>
      <c r="HU15" s="248">
        <f>'KELURAHAN (DI ISI)'!HD74+'KELURAHAN (DI ISI)'!HD75+'KELURAHAN (DI ISI)'!HD76+'KELURAHAN (DI ISI)'!HD77+'KELURAHAN (DI ISI)'!HD78+'KELURAHAN (DI ISI)'!HD79</f>
        <v>2</v>
      </c>
      <c r="HV15" s="248">
        <f>'KELURAHAN (DI ISI)'!HE74+'KELURAHAN (DI ISI)'!HE75+'KELURAHAN (DI ISI)'!HE76+'KELURAHAN (DI ISI)'!HE77+'KELURAHAN (DI ISI)'!HE78+'KELURAHAN (DI ISI)'!HE79</f>
        <v>0</v>
      </c>
      <c r="HW15" s="248">
        <f>'KELURAHAN (DI ISI)'!HF74+'KELURAHAN (DI ISI)'!HF75+'KELURAHAN (DI ISI)'!HF76+'KELURAHAN (DI ISI)'!HF77+'KELURAHAN (DI ISI)'!HF78+'KELURAHAN (DI ISI)'!HF79</f>
        <v>0</v>
      </c>
      <c r="HX15" s="248">
        <f>'KELURAHAN (DI ISI)'!HG74+'KELURAHAN (DI ISI)'!HG75+'KELURAHAN (DI ISI)'!HG76+'KELURAHAN (DI ISI)'!HG77+'KELURAHAN (DI ISI)'!HG78+'KELURAHAN (DI ISI)'!HG79</f>
        <v>0</v>
      </c>
      <c r="HY15" s="248">
        <f>'KELURAHAN (DI ISI)'!HH74+'KELURAHAN (DI ISI)'!HH75+'KELURAHAN (DI ISI)'!HH76+'KELURAHAN (DI ISI)'!HH77+'KELURAHAN (DI ISI)'!HH78+'KELURAHAN (DI ISI)'!HH79</f>
        <v>1</v>
      </c>
      <c r="HZ15" s="248">
        <f>'KELURAHAN (DI ISI)'!HI74+'KELURAHAN (DI ISI)'!HI75+'KELURAHAN (DI ISI)'!HI76+'KELURAHAN (DI ISI)'!HI77+'KELURAHAN (DI ISI)'!HI78+'KELURAHAN (DI ISI)'!HI79</f>
        <v>0</v>
      </c>
      <c r="IA15" s="248">
        <f>'KELURAHAN (DI ISI)'!HJ74+'KELURAHAN (DI ISI)'!HJ75+'KELURAHAN (DI ISI)'!HJ76+'KELURAHAN (DI ISI)'!HJ77+'KELURAHAN (DI ISI)'!HJ78+'KELURAHAN (DI ISI)'!HJ79</f>
        <v>0</v>
      </c>
      <c r="IB15" s="248">
        <f>'KELURAHAN (DI ISI)'!HK74+'KELURAHAN (DI ISI)'!HK75+'KELURAHAN (DI ISI)'!HK76+'KELURAHAN (DI ISI)'!HK77+'KELURAHAN (DI ISI)'!HK78+'KELURAHAN (DI ISI)'!HK79</f>
        <v>0</v>
      </c>
      <c r="IC15" s="248">
        <f>'KELURAHAN (DI ISI)'!HL74+'KELURAHAN (DI ISI)'!HL75+'KELURAHAN (DI ISI)'!HL76+'KELURAHAN (DI ISI)'!HL77+'KELURAHAN (DI ISI)'!HL78+'KELURAHAN (DI ISI)'!HL79</f>
        <v>0</v>
      </c>
      <c r="ID15" s="248">
        <f>'KELURAHAN (DI ISI)'!HM74+'KELURAHAN (DI ISI)'!HM75+'KELURAHAN (DI ISI)'!HM76+'KELURAHAN (DI ISI)'!HM77+'KELURAHAN (DI ISI)'!HM78+'KELURAHAN (DI ISI)'!HM79</f>
        <v>1</v>
      </c>
      <c r="IE15" s="248">
        <f>'KELURAHAN (DI ISI)'!HN74+'KELURAHAN (DI ISI)'!HN75+'KELURAHAN (DI ISI)'!HN76+'KELURAHAN (DI ISI)'!HN77+'KELURAHAN (DI ISI)'!HN78+'KELURAHAN (DI ISI)'!HN79</f>
        <v>0</v>
      </c>
      <c r="IF15" s="591">
        <f>'KELURAHAN (DI ISI)'!HO74+'KELURAHAN (DI ISI)'!HO75+'KELURAHAN (DI ISI)'!HO76+'KELURAHAN (DI ISI)'!HO77+'KELURAHAN (DI ISI)'!HO78+'KELURAHAN (DI ISI)'!HO79</f>
        <v>2</v>
      </c>
      <c r="IG15" s="591">
        <f>'KELURAHAN (DI ISI)'!HP74+'KELURAHAN (DI ISI)'!HP75+'KELURAHAN (DI ISI)'!HP76+'KELURAHAN (DI ISI)'!HP77+'KELURAHAN (DI ISI)'!HP78+'KELURAHAN (DI ISI)'!HP79</f>
        <v>0</v>
      </c>
      <c r="IK15" s="198">
        <f t="shared" si="21"/>
        <v>86</v>
      </c>
      <c r="IL15" s="198">
        <f t="shared" si="22"/>
        <v>69</v>
      </c>
      <c r="IM15" s="198">
        <f t="shared" si="23"/>
        <v>70</v>
      </c>
      <c r="IN15" s="198">
        <f t="shared" si="24"/>
        <v>61</v>
      </c>
      <c r="IO15" s="198">
        <f t="shared" si="25"/>
        <v>63</v>
      </c>
      <c r="IP15" s="198">
        <f t="shared" si="26"/>
        <v>54</v>
      </c>
      <c r="IQ15" s="574">
        <f t="shared" si="27"/>
        <v>49</v>
      </c>
      <c r="IR15" s="574">
        <f t="shared" si="28"/>
        <v>47</v>
      </c>
      <c r="IS15" s="574">
        <f t="shared" si="29"/>
        <v>49</v>
      </c>
      <c r="IT15" s="574">
        <f t="shared" si="30"/>
        <v>47</v>
      </c>
      <c r="IU15" s="574">
        <f t="shared" si="31"/>
        <v>51</v>
      </c>
      <c r="IV15" s="575">
        <f t="shared" si="32"/>
        <v>55</v>
      </c>
      <c r="IW15" s="583"/>
      <c r="IX15" s="576">
        <f t="shared" si="33"/>
        <v>-55</v>
      </c>
      <c r="IZ15" s="577"/>
      <c r="JA15" s="162">
        <f t="shared" si="34"/>
        <v>-1295</v>
      </c>
      <c r="JB15" s="578"/>
      <c r="JC15" s="579">
        <f t="shared" si="35"/>
        <v>-410</v>
      </c>
      <c r="JD15" s="596"/>
      <c r="JE15" s="585"/>
      <c r="JF15" s="577"/>
      <c r="JG15" s="234">
        <f t="shared" si="36"/>
        <v>-1295</v>
      </c>
      <c r="JH15" s="578"/>
      <c r="JI15" s="579">
        <f t="shared" si="37"/>
        <v>-410</v>
      </c>
      <c r="JJ15" s="247"/>
    </row>
    <row r="16" ht="14.25" customHeight="1">
      <c r="A16" s="158">
        <v>9.0</v>
      </c>
      <c r="B16" s="157" t="s">
        <v>158</v>
      </c>
      <c r="C16" s="253">
        <v>3374130.0</v>
      </c>
      <c r="D16" s="569" t="s">
        <v>326</v>
      </c>
      <c r="E16" s="253"/>
      <c r="F16" s="252">
        <f>'KELURAHAN (DI ISI)'!F80+'KELURAHAN (DI ISI)'!F81+'KELURAHAN (DI ISI)'!F82+'KELURAHAN (DI ISI)'!F83</f>
        <v>27</v>
      </c>
      <c r="G16" s="252">
        <f>'KELURAHAN (DI ISI)'!G80+'KELURAHAN (DI ISI)'!G81+'KELURAHAN (DI ISI)'!G82+'KELURAHAN (DI ISI)'!G83</f>
        <v>1188</v>
      </c>
      <c r="H16" s="252">
        <f>'KELURAHAN (DI ISI)'!H80+'KELURAHAN (DI ISI)'!H81+'KELURAHAN (DI ISI)'!H82+'KELURAHAN (DI ISI)'!H83</f>
        <v>60</v>
      </c>
      <c r="I16" s="491">
        <f t="shared" si="1"/>
        <v>12</v>
      </c>
      <c r="J16" s="491">
        <f t="shared" si="2"/>
        <v>48</v>
      </c>
      <c r="K16" s="248">
        <f>'KELURAHAN (DI ISI)'!I80+'KELURAHAN (DI ISI)'!I81+'KELURAHAN (DI ISI)'!I82+'KELURAHAN (DI ISI)'!I83</f>
        <v>0</v>
      </c>
      <c r="L16" s="248">
        <f>'KELURAHAN (DI ISI)'!J80+'KELURAHAN (DI ISI)'!J81+'KELURAHAN (DI ISI)'!J82+'KELURAHAN (DI ISI)'!J83</f>
        <v>2</v>
      </c>
      <c r="M16" s="248">
        <f>'KELURAHAN (DI ISI)'!K80+'KELURAHAN (DI ISI)'!K81+'KELURAHAN (DI ISI)'!K82+'KELURAHAN (DI ISI)'!K83</f>
        <v>10</v>
      </c>
      <c r="N16" s="248">
        <f>'KELURAHAN (DI ISI)'!L80+'KELURAHAN (DI ISI)'!L81+'KELURAHAN (DI ISI)'!L82+'KELURAHAN (DI ISI)'!L83</f>
        <v>48</v>
      </c>
      <c r="O16" s="248">
        <f>'KELURAHAN (DI ISI)'!M80+'KELURAHAN (DI ISI)'!M81+'KELURAHAN (DI ISI)'!M82+'KELURAHAN (DI ISI)'!M83</f>
        <v>0</v>
      </c>
      <c r="P16" s="248">
        <f>'KELURAHAN (DI ISI)'!N80+'KELURAHAN (DI ISI)'!N81+'KELURAHAN (DI ISI)'!N82+'KELURAHAN (DI ISI)'!N83</f>
        <v>0</v>
      </c>
      <c r="Q16" s="248">
        <f>'KELURAHAN (DI ISI)'!O80+'KELURAHAN (DI ISI)'!O81+'KELURAHAN (DI ISI)'!O82+'KELURAHAN (DI ISI)'!O83</f>
        <v>60</v>
      </c>
      <c r="R16" s="248">
        <f>'KELURAHAN (DI ISI)'!P80+'KELURAHAN (DI ISI)'!P81+'KELURAHAN (DI ISI)'!P82+'KELURAHAN (DI ISI)'!P83</f>
        <v>87</v>
      </c>
      <c r="S16" s="491">
        <f t="shared" si="3"/>
        <v>24</v>
      </c>
      <c r="T16" s="491">
        <f t="shared" si="4"/>
        <v>63</v>
      </c>
      <c r="U16" s="248">
        <f>'KELURAHAN (DI ISI)'!Q80+'KELURAHAN (DI ISI)'!Q81+'KELURAHAN (DI ISI)'!Q82+'KELURAHAN (DI ISI)'!Q83</f>
        <v>3</v>
      </c>
      <c r="V16" s="248">
        <f>'KELURAHAN (DI ISI)'!R80+'KELURAHAN (DI ISI)'!R81+'KELURAHAN (DI ISI)'!R82+'KELURAHAN (DI ISI)'!R83</f>
        <v>0</v>
      </c>
      <c r="W16" s="248">
        <f>'KELURAHAN (DI ISI)'!S80+'KELURAHAN (DI ISI)'!S81+'KELURAHAN (DI ISI)'!S82+'KELURAHAN (DI ISI)'!S83</f>
        <v>21</v>
      </c>
      <c r="X16" s="248">
        <f>'KELURAHAN (DI ISI)'!T80+'KELURAHAN (DI ISI)'!T81+'KELURAHAN (DI ISI)'!T82+'KELURAHAN (DI ISI)'!T83</f>
        <v>63</v>
      </c>
      <c r="Y16" s="248">
        <f>'KELURAHAN (DI ISI)'!U80+'KELURAHAN (DI ISI)'!U81+'KELURAHAN (DI ISI)'!U82+'KELURAHAN (DI ISI)'!U83</f>
        <v>22</v>
      </c>
      <c r="Z16" s="248">
        <f>'KELURAHAN (DI ISI)'!V80+'KELURAHAN (DI ISI)'!V81+'KELURAHAN (DI ISI)'!V82+'KELURAHAN (DI ISI)'!V83</f>
        <v>0</v>
      </c>
      <c r="AA16" s="248">
        <f>'KELURAHAN (DI ISI)'!W80+'KELURAHAN (DI ISI)'!W81+'KELURAHAN (DI ISI)'!W82+'KELURAHAN (DI ISI)'!W83</f>
        <v>60</v>
      </c>
      <c r="AB16" s="248">
        <f>'KELURAHAN (DI ISI)'!X80+'KELURAHAN (DI ISI)'!X81+'KELURAHAN (DI ISI)'!X82+'KELURAHAN (DI ISI)'!X83</f>
        <v>67</v>
      </c>
      <c r="AC16" s="491">
        <f t="shared" si="5"/>
        <v>18</v>
      </c>
      <c r="AD16" s="491">
        <f t="shared" si="6"/>
        <v>49</v>
      </c>
      <c r="AE16" s="248">
        <f>'KELURAHAN (DI ISI)'!Y80+'KELURAHAN (DI ISI)'!Y81+'KELURAHAN (DI ISI)'!Y82+'KELURAHAN (DI ISI)'!Y83</f>
        <v>3</v>
      </c>
      <c r="AF16" s="248">
        <f>'KELURAHAN (DI ISI)'!Z80+'KELURAHAN (DI ISI)'!Z81+'KELURAHAN (DI ISI)'!Z82+'KELURAHAN (DI ISI)'!Z83</f>
        <v>1</v>
      </c>
      <c r="AG16" s="248">
        <f>'KELURAHAN (DI ISI)'!AA80+'KELURAHAN (DI ISI)'!AA81+'KELURAHAN (DI ISI)'!AA82+'KELURAHAN (DI ISI)'!AA83</f>
        <v>14</v>
      </c>
      <c r="AH16" s="248">
        <f>'KELURAHAN (DI ISI)'!AB80+'KELURAHAN (DI ISI)'!AB81+'KELURAHAN (DI ISI)'!AB82+'KELURAHAN (DI ISI)'!AB83</f>
        <v>49</v>
      </c>
      <c r="AI16" s="248">
        <f>'KELURAHAN (DI ISI)'!AC80+'KELURAHAN (DI ISI)'!AC81+'KELURAHAN (DI ISI)'!AC82+'KELURAHAN (DI ISI)'!AC83</f>
        <v>0</v>
      </c>
      <c r="AJ16" s="248">
        <f>'KELURAHAN (DI ISI)'!AD80+'KELURAHAN (DI ISI)'!AD81+'KELURAHAN (DI ISI)'!AD82+'KELURAHAN (DI ISI)'!AD83</f>
        <v>21</v>
      </c>
      <c r="AK16" s="248">
        <f>'KELURAHAN (DI ISI)'!AE80+'KELURAHAN (DI ISI)'!AE81+'KELURAHAN (DI ISI)'!AE82+'KELURAHAN (DI ISI)'!AE83</f>
        <v>46</v>
      </c>
      <c r="AL16" s="248">
        <f>'KELURAHAN (DI ISI)'!AF80+'KELURAHAN (DI ISI)'!AF81+'KELURAHAN (DI ISI)'!AF82+'KELURAHAN (DI ISI)'!AF83</f>
        <v>65</v>
      </c>
      <c r="AM16" s="491">
        <f t="shared" si="7"/>
        <v>19</v>
      </c>
      <c r="AN16" s="491">
        <f t="shared" si="8"/>
        <v>46</v>
      </c>
      <c r="AO16" s="248">
        <f>'KELURAHAN (DI ISI)'!AG80+'KELURAHAN (DI ISI)'!AG81+'KELURAHAN (DI ISI)'!AG82+'KELURAHAN (DI ISI)'!AG83</f>
        <v>2</v>
      </c>
      <c r="AP16" s="248">
        <f>'KELURAHAN (DI ISI)'!AH80+'KELURAHAN (DI ISI)'!AH81+'KELURAHAN (DI ISI)'!AH82+'KELURAHAN (DI ISI)'!AH83</f>
        <v>2</v>
      </c>
      <c r="AQ16" s="248">
        <f>'KELURAHAN (DI ISI)'!AI80+'KELURAHAN (DI ISI)'!AI81+'KELURAHAN (DI ISI)'!AI82+'KELURAHAN (DI ISI)'!AI83</f>
        <v>15</v>
      </c>
      <c r="AR16" s="248">
        <f>'KELURAHAN (DI ISI)'!AJ80+'KELURAHAN (DI ISI)'!AJ81+'KELURAHAN (DI ISI)'!AJ82+'KELURAHAN (DI ISI)'!AJ83</f>
        <v>46</v>
      </c>
      <c r="AS16" s="248">
        <f>'KELURAHAN (DI ISI)'!AK80+'KELURAHAN (DI ISI)'!AK81+'KELURAHAN (DI ISI)'!AK82+'KELURAHAN (DI ISI)'!AK83</f>
        <v>5</v>
      </c>
      <c r="AT16" s="248">
        <f>'KELURAHAN (DI ISI)'!AL80+'KELURAHAN (DI ISI)'!AL81+'KELURAHAN (DI ISI)'!AL82+'KELURAHAN (DI ISI)'!AL83</f>
        <v>6</v>
      </c>
      <c r="AU16" s="248">
        <f>'KELURAHAN (DI ISI)'!AM80+'KELURAHAN (DI ISI)'!AM81+'KELURAHAN (DI ISI)'!AM82+'KELURAHAN (DI ISI)'!AM83</f>
        <v>54</v>
      </c>
      <c r="AV16" s="248">
        <f>'KELURAHAN (DI ISI)'!AN80+'KELURAHAN (DI ISI)'!AN81+'KELURAHAN (DI ISI)'!AN82+'KELURAHAN (DI ISI)'!AN83</f>
        <v>65</v>
      </c>
      <c r="AW16" s="491">
        <f t="shared" si="9"/>
        <v>21</v>
      </c>
      <c r="AX16" s="491">
        <f t="shared" si="10"/>
        <v>44</v>
      </c>
      <c r="AY16" s="248">
        <f>'KELURAHAN (DI ISI)'!AO80+'KELURAHAN (DI ISI)'!AO81+'KELURAHAN (DI ISI)'!AO82+'KELURAHAN (DI ISI)'!AO83</f>
        <v>4</v>
      </c>
      <c r="AZ16" s="248">
        <f>'KELURAHAN (DI ISI)'!AP80+'KELURAHAN (DI ISI)'!AP81+'KELURAHAN (DI ISI)'!AP82+'KELURAHAN (DI ISI)'!AP83</f>
        <v>2</v>
      </c>
      <c r="BA16" s="248">
        <f>'KELURAHAN (DI ISI)'!AQ80+'KELURAHAN (DI ISI)'!AQ81+'KELURAHAN (DI ISI)'!AQ82+'KELURAHAN (DI ISI)'!AQ83</f>
        <v>15</v>
      </c>
      <c r="BB16" s="248">
        <f>'KELURAHAN (DI ISI)'!AR80+'KELURAHAN (DI ISI)'!AR81+'KELURAHAN (DI ISI)'!AR82+'KELURAHAN (DI ISI)'!AR83</f>
        <v>44</v>
      </c>
      <c r="BC16" s="248">
        <f>'KELURAHAN (DI ISI)'!AS80+'KELURAHAN (DI ISI)'!AS81+'KELURAHAN (DI ISI)'!AS82+'KELURAHAN (DI ISI)'!AS83</f>
        <v>4</v>
      </c>
      <c r="BD16" s="248">
        <f>'KELURAHAN (DI ISI)'!AT80+'KELURAHAN (DI ISI)'!AT81+'KELURAHAN (DI ISI)'!AT82+'KELURAHAN (DI ISI)'!AT83</f>
        <v>6</v>
      </c>
      <c r="BE16" s="248">
        <f>'KELURAHAN (DI ISI)'!AU80+'KELURAHAN (DI ISI)'!AU81+'KELURAHAN (DI ISI)'!AU82+'KELURAHAN (DI ISI)'!AU83</f>
        <v>55</v>
      </c>
      <c r="BF16" s="248">
        <f>'KELURAHAN (DI ISI)'!AV80+'KELURAHAN (DI ISI)'!AV81+'KELURAHAN (DI ISI)'!AV82+'KELURAHAN (DI ISI)'!AV83</f>
        <v>1271</v>
      </c>
      <c r="BG16" s="248">
        <f>'KELURAHAN (DI ISI)'!AW80+'KELURAHAN (DI ISI)'!AW81+'KELURAHAN (DI ISI)'!AW82+'KELURAHAN (DI ISI)'!AW83</f>
        <v>56</v>
      </c>
      <c r="BH16" s="491">
        <f t="shared" si="11"/>
        <v>18</v>
      </c>
      <c r="BI16" s="495">
        <f t="shared" si="12"/>
        <v>38</v>
      </c>
      <c r="BJ16" s="248">
        <f>'KELURAHAN (DI ISI)'!AX80+'KELURAHAN (DI ISI)'!AX81+'KELURAHAN (DI ISI)'!AX82+'KELURAHAN (DI ISI)'!AX83</f>
        <v>0</v>
      </c>
      <c r="BK16" s="248">
        <f>'KELURAHAN (DI ISI)'!AY80+'KELURAHAN (DI ISI)'!AY81+'KELURAHAN (DI ISI)'!AY82+'KELURAHAN (DI ISI)'!AY83</f>
        <v>1</v>
      </c>
      <c r="BL16" s="248">
        <f>'KELURAHAN (DI ISI)'!AZ80+'KELURAHAN (DI ISI)'!AZ81+'KELURAHAN (DI ISI)'!AZ82+'KELURAHAN (DI ISI)'!AZ83</f>
        <v>17</v>
      </c>
      <c r="BM16" s="248">
        <f>'KELURAHAN (DI ISI)'!BA80+'KELURAHAN (DI ISI)'!BA81+'KELURAHAN (DI ISI)'!BA82+'KELURAHAN (DI ISI)'!BA83</f>
        <v>38</v>
      </c>
      <c r="BN16" s="248">
        <f>'KELURAHAN (DI ISI)'!BB80+'KELURAHAN (DI ISI)'!BB81+'KELURAHAN (DI ISI)'!BB82+'KELURAHAN (DI ISI)'!BB83</f>
        <v>0</v>
      </c>
      <c r="BO16" s="248">
        <f>'KELURAHAN (DI ISI)'!BC80+'KELURAHAN (DI ISI)'!BC81+'KELURAHAN (DI ISI)'!BC82+'KELURAHAN (DI ISI)'!BC83</f>
        <v>0</v>
      </c>
      <c r="BP16" s="248">
        <f>'KELURAHAN (DI ISI)'!BD80+'KELURAHAN (DI ISI)'!BD81+'KELURAHAN (DI ISI)'!BD82+'KELURAHAN (DI ISI)'!BD83</f>
        <v>0</v>
      </c>
      <c r="BQ16" s="248">
        <f>'KELURAHAN (DI ISI)'!BE80+'KELURAHAN (DI ISI)'!BE81+'KELURAHAN (DI ISI)'!BE82+'KELURAHAN (DI ISI)'!BE83</f>
        <v>0</v>
      </c>
      <c r="BR16" s="248">
        <f>'KELURAHAN (DI ISI)'!BF80+'KELURAHAN (DI ISI)'!BF81+'KELURAHAN (DI ISI)'!BF82+'KELURAHAN (DI ISI)'!BF83</f>
        <v>1</v>
      </c>
      <c r="BS16" s="248">
        <f>'KELURAHAN (DI ISI)'!BG80+'KELURAHAN (DI ISI)'!BG81+'KELURAHAN (DI ISI)'!BG82+'KELURAHAN (DI ISI)'!BG83</f>
        <v>0</v>
      </c>
      <c r="BT16" s="248">
        <f>'KELURAHAN (DI ISI)'!BH80+'KELURAHAN (DI ISI)'!BH81+'KELURAHAN (DI ISI)'!BH82+'KELURAHAN (DI ISI)'!BH83</f>
        <v>0</v>
      </c>
      <c r="BU16" s="248">
        <f>'KELURAHAN (DI ISI)'!BI80+'KELURAHAN (DI ISI)'!BI81+'KELURAHAN (DI ISI)'!BI82+'KELURAHAN (DI ISI)'!BI83</f>
        <v>8</v>
      </c>
      <c r="BV16" s="248">
        <f>'KELURAHAN (DI ISI)'!BJ80+'KELURAHAN (DI ISI)'!BJ81+'KELURAHAN (DI ISI)'!BJ82+'KELURAHAN (DI ISI)'!BJ83</f>
        <v>0</v>
      </c>
      <c r="BW16" s="248">
        <f>'KELURAHAN (DI ISI)'!BK80+'KELURAHAN (DI ISI)'!BK81+'KELURAHAN (DI ISI)'!BK82+'KELURAHAN (DI ISI)'!BK83</f>
        <v>0</v>
      </c>
      <c r="BX16" s="248">
        <f>'KELURAHAN (DI ISI)'!BL80+'KELURAHAN (DI ISI)'!BL81+'KELURAHAN (DI ISI)'!BL82+'KELURAHAN (DI ISI)'!BL83</f>
        <v>0</v>
      </c>
      <c r="BY16" s="248">
        <f>'KELURAHAN (DI ISI)'!BM80+'KELURAHAN (DI ISI)'!BM81+'KELURAHAN (DI ISI)'!BM82+'KELURAHAN (DI ISI)'!BM83</f>
        <v>0</v>
      </c>
      <c r="BZ16" s="248">
        <f>'KELURAHAN (DI ISI)'!BN80+'KELURAHAN (DI ISI)'!BN81+'KELURAHAN (DI ISI)'!BN82+'KELURAHAN (DI ISI)'!BN83</f>
        <v>0</v>
      </c>
      <c r="CA16" s="248">
        <f>'KELURAHAN (DI ISI)'!BO80+'KELURAHAN (DI ISI)'!BO81+'KELURAHAN (DI ISI)'!BO82+'KELURAHAN (DI ISI)'!BO83</f>
        <v>0</v>
      </c>
      <c r="CB16" s="248">
        <f>'KELURAHAN (DI ISI)'!BP80+'KELURAHAN (DI ISI)'!BP81+'KELURAHAN (DI ISI)'!BP82+'KELURAHAN (DI ISI)'!BP83</f>
        <v>9</v>
      </c>
      <c r="CC16" s="248">
        <f>'KELURAHAN (DI ISI)'!BQ80+'KELURAHAN (DI ISI)'!BQ81+'KELURAHAN (DI ISI)'!BQ82+'KELURAHAN (DI ISI)'!BQ83</f>
        <v>1188</v>
      </c>
      <c r="CD16" s="248">
        <f>'KELURAHAN (DI ISI)'!BR80+'KELURAHAN (DI ISI)'!BR81+'KELURAHAN (DI ISI)'!BR82+'KELURAHAN (DI ISI)'!BR83</f>
        <v>49</v>
      </c>
      <c r="CE16" s="491">
        <f t="shared" si="13"/>
        <v>11</v>
      </c>
      <c r="CF16" s="491">
        <f t="shared" si="14"/>
        <v>38</v>
      </c>
      <c r="CG16" s="248">
        <f>'KELURAHAN (DI ISI)'!BS80+'KELURAHAN (DI ISI)'!BS81+'KELURAHAN (DI ISI)'!BS82+'KELURAHAN (DI ISI)'!BS83</f>
        <v>0</v>
      </c>
      <c r="CH16" s="248">
        <f>'KELURAHAN (DI ISI)'!BT80+'KELURAHAN (DI ISI)'!BT81+'KELURAHAN (DI ISI)'!BT82+'KELURAHAN (DI ISI)'!BT83</f>
        <v>0</v>
      </c>
      <c r="CI16" s="248">
        <f>'KELURAHAN (DI ISI)'!BU80+'KELURAHAN (DI ISI)'!BU81+'KELURAHAN (DI ISI)'!BU82+'KELURAHAN (DI ISI)'!BU83</f>
        <v>11</v>
      </c>
      <c r="CJ16" s="248">
        <f>'KELURAHAN (DI ISI)'!BV80+'KELURAHAN (DI ISI)'!BV81+'KELURAHAN (DI ISI)'!BV82+'KELURAHAN (DI ISI)'!BV83</f>
        <v>38</v>
      </c>
      <c r="CK16" s="248">
        <f>'KELURAHAN (DI ISI)'!BW80+'KELURAHAN (DI ISI)'!BW81+'KELURAHAN (DI ISI)'!BW82+'KELURAHAN (DI ISI)'!BW83</f>
        <v>0</v>
      </c>
      <c r="CL16" s="248">
        <f>'KELURAHAN (DI ISI)'!BX80+'KELURAHAN (DI ISI)'!BX81+'KELURAHAN (DI ISI)'!BX82+'KELURAHAN (DI ISI)'!BX83</f>
        <v>0</v>
      </c>
      <c r="CM16" s="248">
        <f>'KELURAHAN (DI ISI)'!BY80+'KELURAHAN (DI ISI)'!BY81+'KELURAHAN (DI ISI)'!BY82+'KELURAHAN (DI ISI)'!BY83</f>
        <v>0</v>
      </c>
      <c r="CN16" s="248">
        <f>'KELURAHAN (DI ISI)'!BZ80+'KELURAHAN (DI ISI)'!BZ81+'KELURAHAN (DI ISI)'!BZ82+'KELURAHAN (DI ISI)'!BZ83</f>
        <v>0</v>
      </c>
      <c r="CO16" s="248">
        <f>'KELURAHAN (DI ISI)'!CA80+'KELURAHAN (DI ISI)'!CA81+'KELURAHAN (DI ISI)'!CA82+'KELURAHAN (DI ISI)'!CA83</f>
        <v>0</v>
      </c>
      <c r="CP16" s="248">
        <f>'KELURAHAN (DI ISI)'!CB80+'KELURAHAN (DI ISI)'!CB81+'KELURAHAN (DI ISI)'!CB82+'KELURAHAN (DI ISI)'!CB83</f>
        <v>0</v>
      </c>
      <c r="CQ16" s="248">
        <f>'KELURAHAN (DI ISI)'!CC80+'KELURAHAN (DI ISI)'!CC81+'KELURAHAN (DI ISI)'!CC82+'KELURAHAN (DI ISI)'!CC83</f>
        <v>5</v>
      </c>
      <c r="CR16" s="248">
        <f>'KELURAHAN (DI ISI)'!CD80+'KELURAHAN (DI ISI)'!CD81+'KELURAHAN (DI ISI)'!CD82+'KELURAHAN (DI ISI)'!CD83</f>
        <v>2</v>
      </c>
      <c r="CS16" s="248">
        <f>'KELURAHAN (DI ISI)'!CE80+'KELURAHAN (DI ISI)'!CE81+'KELURAHAN (DI ISI)'!CE82+'KELURAHAN (DI ISI)'!CE83</f>
        <v>0</v>
      </c>
      <c r="CT16" s="248">
        <f>'KELURAHAN (DI ISI)'!CF80+'KELURAHAN (DI ISI)'!CF81+'KELURAHAN (DI ISI)'!CF82+'KELURAHAN (DI ISI)'!CF83</f>
        <v>0</v>
      </c>
      <c r="CU16" s="248">
        <f>'KELURAHAN (DI ISI)'!CG80+'KELURAHAN (DI ISI)'!CG81+'KELURAHAN (DI ISI)'!CG82+'KELURAHAN (DI ISI)'!CG83</f>
        <v>0</v>
      </c>
      <c r="CV16" s="248">
        <f>'KELURAHAN (DI ISI)'!CH80+'KELURAHAN (DI ISI)'!CH81+'KELURAHAN (DI ISI)'!CH82+'KELURAHAN (DI ISI)'!CH83</f>
        <v>0</v>
      </c>
      <c r="CW16" s="248">
        <f>'KELURAHAN (DI ISI)'!CI80+'KELURAHAN (DI ISI)'!CI81+'KELURAHAN (DI ISI)'!CI82+'KELURAHAN (DI ISI)'!CI83</f>
        <v>0</v>
      </c>
      <c r="CX16" s="248">
        <f>'KELURAHAN (DI ISI)'!CJ80+'KELURAHAN (DI ISI)'!CJ81+'KELURAHAN (DI ISI)'!CJ82+'KELURAHAN (DI ISI)'!CJ83</f>
        <v>0</v>
      </c>
      <c r="CY16" s="248">
        <f>'KELURAHAN (DI ISI)'!CK80+'KELURAHAN (DI ISI)'!CK81+'KELURAHAN (DI ISI)'!CK82+'KELURAHAN (DI ISI)'!CK83</f>
        <v>7</v>
      </c>
      <c r="CZ16" s="248">
        <f>'KELURAHAN (DI ISI)'!CL80+'KELURAHAN (DI ISI)'!CL81+'KELURAHAN (DI ISI)'!CL82+'KELURAHAN (DI ISI)'!CL83</f>
        <v>1188</v>
      </c>
      <c r="DA16" s="248">
        <f>'KELURAHAN (DI ISI)'!CM80+'KELURAHAN (DI ISI)'!CM81+'KELURAHAN (DI ISI)'!CM82+'KELURAHAN (DI ISI)'!CM83</f>
        <v>465</v>
      </c>
      <c r="DB16" s="248">
        <f>'KELURAHAN (DI ISI)'!CN80+'KELURAHAN (DI ISI)'!CN81+'KELURAHAN (DI ISI)'!CN82+'KELURAHAN (DI ISI)'!CN83</f>
        <v>48</v>
      </c>
      <c r="DC16" s="491">
        <f t="shared" si="15"/>
        <v>8</v>
      </c>
      <c r="DD16" s="491">
        <f t="shared" si="16"/>
        <v>38</v>
      </c>
      <c r="DE16" s="248">
        <f>'KELURAHAN (DI ISI)'!CO80+'KELURAHAN (DI ISI)'!CO81+'KELURAHAN (DI ISI)'!CO82+'KELURAHAN (DI ISI)'!CO83</f>
        <v>0</v>
      </c>
      <c r="DF16" s="248">
        <f>'KELURAHAN (DI ISI)'!CP80+'KELURAHAN (DI ISI)'!CP81+'KELURAHAN (DI ISI)'!CP82+'KELURAHAN (DI ISI)'!CP83</f>
        <v>0</v>
      </c>
      <c r="DG16" s="248">
        <f>'KELURAHAN (DI ISI)'!CQ80+'KELURAHAN (DI ISI)'!CQ81+'KELURAHAN (DI ISI)'!CQ82+'KELURAHAN (DI ISI)'!CQ83</f>
        <v>8</v>
      </c>
      <c r="DH16" s="248">
        <f>'KELURAHAN (DI ISI)'!CR80+'KELURAHAN (DI ISI)'!CR81+'KELURAHAN (DI ISI)'!CR82+'KELURAHAN (DI ISI)'!CR83</f>
        <v>38</v>
      </c>
      <c r="DI16" s="248">
        <f>'KELURAHAN (DI ISI)'!CS80+'KELURAHAN (DI ISI)'!CS81+'KELURAHAN (DI ISI)'!CS82+'KELURAHAN (DI ISI)'!CS83</f>
        <v>0</v>
      </c>
      <c r="DJ16" s="248">
        <f>'KELURAHAN (DI ISI)'!CT80+'KELURAHAN (DI ISI)'!CT81+'KELURAHAN (DI ISI)'!CT82+'KELURAHAN (DI ISI)'!CT83</f>
        <v>0</v>
      </c>
      <c r="DK16" s="248">
        <f>'KELURAHAN (DI ISI)'!CU80+'KELURAHAN (DI ISI)'!CU81+'KELURAHAN (DI ISI)'!CU82+'KELURAHAN (DI ISI)'!CU83</f>
        <v>1</v>
      </c>
      <c r="DL16" s="248">
        <f>'KELURAHAN (DI ISI)'!CV80+'KELURAHAN (DI ISI)'!CV81+'KELURAHAN (DI ISI)'!CV82+'KELURAHAN (DI ISI)'!CV83</f>
        <v>1</v>
      </c>
      <c r="DM16" s="248">
        <f>'KELURAHAN (DI ISI)'!CW80+'KELURAHAN (DI ISI)'!CW81+'KELURAHAN (DI ISI)'!CW82+'KELURAHAN (DI ISI)'!CW83</f>
        <v>0</v>
      </c>
      <c r="DN16" s="248">
        <f>'KELURAHAN (DI ISI)'!CX80+'KELURAHAN (DI ISI)'!CX81+'KELURAHAN (DI ISI)'!CX82+'KELURAHAN (DI ISI)'!CX83</f>
        <v>0</v>
      </c>
      <c r="DO16" s="248">
        <f>'KELURAHAN (DI ISI)'!CY80+'KELURAHAN (DI ISI)'!CY81+'KELURAHAN (DI ISI)'!CY82+'KELURAHAN (DI ISI)'!CY83</f>
        <v>3</v>
      </c>
      <c r="DP16" s="248">
        <f>'KELURAHAN (DI ISI)'!CZ80+'KELURAHAN (DI ISI)'!CZ81+'KELURAHAN (DI ISI)'!CZ82+'KELURAHAN (DI ISI)'!CZ83</f>
        <v>0</v>
      </c>
      <c r="DQ16" s="248">
        <f>'KELURAHAN (DI ISI)'!DA80+'KELURAHAN (DI ISI)'!DA81+'KELURAHAN (DI ISI)'!DA82+'KELURAHAN (DI ISI)'!DA83</f>
        <v>0</v>
      </c>
      <c r="DR16" s="248">
        <f>'KELURAHAN (DI ISI)'!DB80+'KELURAHAN (DI ISI)'!DB81+'KELURAHAN (DI ISI)'!DB82+'KELURAHAN (DI ISI)'!DB83</f>
        <v>0</v>
      </c>
      <c r="DS16" s="248">
        <f>'KELURAHAN (DI ISI)'!DC80+'KELURAHAN (DI ISI)'!DC81+'KELURAHAN (DI ISI)'!DC82+'KELURAHAN (DI ISI)'!DC83</f>
        <v>0</v>
      </c>
      <c r="DT16" s="248">
        <f>'KELURAHAN (DI ISI)'!DD80+'KELURAHAN (DI ISI)'!DD81+'KELURAHAN (DI ISI)'!DD82+'KELURAHAN (DI ISI)'!DD83</f>
        <v>0</v>
      </c>
      <c r="DU16" s="248">
        <f>'KELURAHAN (DI ISI)'!DE80+'KELURAHAN (DI ISI)'!DE81+'KELURAHAN (DI ISI)'!DE82+'KELURAHAN (DI ISI)'!DE83</f>
        <v>0</v>
      </c>
      <c r="DV16" s="248">
        <f>'KELURAHAN (DI ISI)'!DF80+'KELURAHAN (DI ISI)'!DF81+'KELURAHAN (DI ISI)'!DF82+'KELURAHAN (DI ISI)'!DF83</f>
        <v>0</v>
      </c>
      <c r="DW16" s="248">
        <f>'KELURAHAN (DI ISI)'!DG80+'KELURAHAN (DI ISI)'!DG81+'KELURAHAN (DI ISI)'!DG82+'KELURAHAN (DI ISI)'!DG83</f>
        <v>3</v>
      </c>
      <c r="DX16" s="248">
        <f>'KELURAHAN (DI ISI)'!DH80+'KELURAHAN (DI ISI)'!DH81+'KELURAHAN (DI ISI)'!DH82+'KELURAHAN (DI ISI)'!DH83</f>
        <v>1132</v>
      </c>
      <c r="DY16" s="248">
        <f>'KELURAHAN (DI ISI)'!DI80+'KELURAHAN (DI ISI)'!DI81+'KELURAHAN (DI ISI)'!DI82+'KELURAHAN (DI ISI)'!DI83</f>
        <v>450</v>
      </c>
      <c r="DZ16" s="248">
        <f>'KELURAHAN (DI ISI)'!DJ80+'KELURAHAN (DI ISI)'!DJ81+'KELURAHAN (DI ISI)'!DJ82+'KELURAHAN (DI ISI)'!DJ83</f>
        <v>1108</v>
      </c>
      <c r="EA16" s="248">
        <f>'KELURAHAN (DI ISI)'!DK80+'KELURAHAN (DI ISI)'!DK81+'KELURAHAN (DI ISI)'!DK82+'KELURAHAN (DI ISI)'!DK83</f>
        <v>431</v>
      </c>
      <c r="EB16" s="248">
        <f>'KELURAHAN (DI ISI)'!DL80+'KELURAHAN (DI ISI)'!DL81+'KELURAHAN (DI ISI)'!DL82+'KELURAHAN (DI ISI)'!DL83</f>
        <v>44</v>
      </c>
      <c r="EC16" s="248">
        <f>'KELURAHAN (DI ISI)'!DM80+'KELURAHAN (DI ISI)'!DM81+'KELURAHAN (DI ISI)'!DM82+'KELURAHAN (DI ISI)'!DM83</f>
        <v>6</v>
      </c>
      <c r="ED16" s="491">
        <f t="shared" si="17"/>
        <v>38</v>
      </c>
      <c r="EE16" s="248">
        <f>'KELURAHAN (DI ISI)'!DO80+'KELURAHAN (DI ISI)'!DO81+'KELURAHAN (DI ISI)'!DO82+'KELURAHAN (DI ISI)'!DO83</f>
        <v>0</v>
      </c>
      <c r="EF16" s="248">
        <f>'KELURAHAN (DI ISI)'!DP80+'KELURAHAN (DI ISI)'!DP81+'KELURAHAN (DI ISI)'!DP82+'KELURAHAN (DI ISI)'!DP83</f>
        <v>0</v>
      </c>
      <c r="EG16" s="248">
        <f>'KELURAHAN (DI ISI)'!DQ80+'KELURAHAN (DI ISI)'!DQ81+'KELURAHAN (DI ISI)'!DQ82+'KELURAHAN (DI ISI)'!DQ83</f>
        <v>6</v>
      </c>
      <c r="EH16" s="248">
        <f>'KELURAHAN (DI ISI)'!DR80+'KELURAHAN (DI ISI)'!DR81+'KELURAHAN (DI ISI)'!DR82+'KELURAHAN (DI ISI)'!DR83</f>
        <v>37</v>
      </c>
      <c r="EI16" s="248">
        <f>'KELURAHAN (DI ISI)'!DS80+'KELURAHAN (DI ISI)'!DS81+'KELURAHAN (DI ISI)'!DS82+'KELURAHAN (DI ISI)'!DS83</f>
        <v>0</v>
      </c>
      <c r="EJ16" s="248">
        <f>'KELURAHAN (DI ISI)'!DT80+'KELURAHAN (DI ISI)'!DT81+'KELURAHAN (DI ISI)'!DT82+'KELURAHAN (DI ISI)'!DT83</f>
        <v>0</v>
      </c>
      <c r="EK16" s="248">
        <f>'KELURAHAN (DI ISI)'!DU80+'KELURAHAN (DI ISI)'!DU81+'KELURAHAN (DI ISI)'!DU82+'KELURAHAN (DI ISI)'!DU83</f>
        <v>0</v>
      </c>
      <c r="EL16" s="248">
        <f>'KELURAHAN (DI ISI)'!DV80+'KELURAHAN (DI ISI)'!DV81+'KELURAHAN (DI ISI)'!DV82+'KELURAHAN (DI ISI)'!DV83</f>
        <v>1</v>
      </c>
      <c r="EM16" s="248">
        <f>'KELURAHAN (DI ISI)'!DW80+'KELURAHAN (DI ISI)'!DW81+'KELURAHAN (DI ISI)'!DW82+'KELURAHAN (DI ISI)'!DW83</f>
        <v>0</v>
      </c>
      <c r="EN16" s="248">
        <f>'KELURAHAN (DI ISI)'!DX80+'KELURAHAN (DI ISI)'!DX81+'KELURAHAN (DI ISI)'!DX82+'KELURAHAN (DI ISI)'!DX83</f>
        <v>0</v>
      </c>
      <c r="EO16" s="248">
        <f>'KELURAHAN (DI ISI)'!DY80+'KELURAHAN (DI ISI)'!DY81+'KELURAHAN (DI ISI)'!DY82+'KELURAHAN (DI ISI)'!DY83</f>
        <v>2</v>
      </c>
      <c r="EP16" s="248">
        <f>'KELURAHAN (DI ISI)'!DZ80+'KELURAHAN (DI ISI)'!DZ81+'KELURAHAN (DI ISI)'!DZ82+'KELURAHAN (DI ISI)'!DZ83</f>
        <v>1</v>
      </c>
      <c r="EQ16" s="248">
        <f>'KELURAHAN (DI ISI)'!EA80+'KELURAHAN (DI ISI)'!EA81+'KELURAHAN (DI ISI)'!EA82+'KELURAHAN (DI ISI)'!EA83</f>
        <v>0</v>
      </c>
      <c r="ER16" s="248">
        <f>'KELURAHAN (DI ISI)'!EB80+'KELURAHAN (DI ISI)'!EB81+'KELURAHAN (DI ISI)'!EB82+'KELURAHAN (DI ISI)'!EB83</f>
        <v>0</v>
      </c>
      <c r="ES16" s="248">
        <f>'KELURAHAN (DI ISI)'!EC80+'KELURAHAN (DI ISI)'!EC81+'KELURAHAN (DI ISI)'!EC82+'KELURAHAN (DI ISI)'!EC83</f>
        <v>1</v>
      </c>
      <c r="ET16" s="248">
        <f>'KELURAHAN (DI ISI)'!ED80+'KELURAHAN (DI ISI)'!ED81+'KELURAHAN (DI ISI)'!ED82+'KELURAHAN (DI ISI)'!ED83</f>
        <v>1</v>
      </c>
      <c r="EU16" s="248">
        <f>'KELURAHAN (DI ISI)'!EE80+'KELURAHAN (DI ISI)'!EE81+'KELURAHAN (DI ISI)'!EE82+'KELURAHAN (DI ISI)'!EE83</f>
        <v>0</v>
      </c>
      <c r="EV16" s="248">
        <f>'KELURAHAN (DI ISI)'!EF80+'KELURAHAN (DI ISI)'!EF81+'KELURAHAN (DI ISI)'!EF82+'KELURAHAN (DI ISI)'!EF83</f>
        <v>0</v>
      </c>
      <c r="EW16" s="248">
        <f>'KELURAHAN (DI ISI)'!EG80+'KELURAHAN (DI ISI)'!EG81+'KELURAHAN (DI ISI)'!EG82+'KELURAHAN (DI ISI)'!EG83</f>
        <v>5</v>
      </c>
      <c r="EX16" s="248">
        <f>'KELURAHAN (DI ISI)'!EH80+'KELURAHAN (DI ISI)'!EH81+'KELURAHAN (DI ISI)'!EH82+'KELURAHAN (DI ISI)'!EH83</f>
        <v>3</v>
      </c>
      <c r="EY16" s="248">
        <f>'KELURAHAN (DI ISI)'!EI80+'KELURAHAN (DI ISI)'!EI81+'KELURAHAN (DI ISI)'!EI82+'KELURAHAN (DI ISI)'!EI83</f>
        <v>1170</v>
      </c>
      <c r="EZ16" s="248">
        <f>'KELURAHAN (DI ISI)'!EJ80+'KELURAHAN (DI ISI)'!EJ81+'KELURAHAN (DI ISI)'!EJ82+'KELURAHAN (DI ISI)'!EJ83</f>
        <v>395</v>
      </c>
      <c r="FA16" s="248">
        <f>'KELURAHAN (DI ISI)'!EK80+'KELURAHAN (DI ISI)'!EK81+'KELURAHAN (DI ISI)'!EK82+'KELURAHAN (DI ISI)'!EK83</f>
        <v>1169</v>
      </c>
      <c r="FB16" s="248">
        <f>'KELURAHAN (DI ISI)'!EL80+'KELURAHAN (DI ISI)'!EL81+'KELURAHAN (DI ISI)'!EL82+'KELURAHAN (DI ISI)'!EL83</f>
        <v>395</v>
      </c>
      <c r="FC16" s="248">
        <f>'KELURAHAN (DI ISI)'!EM80+'KELURAHAN (DI ISI)'!EM81+'KELURAHAN (DI ISI)'!EM82+'KELURAHAN (DI ISI)'!EM83</f>
        <v>42</v>
      </c>
      <c r="FD16" s="248">
        <f>'KELURAHAN (DI ISI)'!EN80+'KELURAHAN (DI ISI)'!EN81+'KELURAHAN (DI ISI)'!EN82+'KELURAHAN (DI ISI)'!EN83</f>
        <v>6</v>
      </c>
      <c r="FE16" s="491">
        <f t="shared" si="18"/>
        <v>36</v>
      </c>
      <c r="FF16" s="248">
        <f>'KELURAHAN (DI ISI)'!EP80+'KELURAHAN (DI ISI)'!EP81+'KELURAHAN (DI ISI)'!EP82+'KELURAHAN (DI ISI)'!EP83</f>
        <v>0</v>
      </c>
      <c r="FG16" s="248">
        <f>'KELURAHAN (DI ISI)'!EQ80+'KELURAHAN (DI ISI)'!EQ81+'KELURAHAN (DI ISI)'!EQ82+'KELURAHAN (DI ISI)'!EQ83</f>
        <v>0</v>
      </c>
      <c r="FH16" s="248">
        <f>'KELURAHAN (DI ISI)'!ER80+'KELURAHAN (DI ISI)'!ER81+'KELURAHAN (DI ISI)'!ER82+'KELURAHAN (DI ISI)'!ER83</f>
        <v>5</v>
      </c>
      <c r="FI16" s="248">
        <f>'KELURAHAN (DI ISI)'!ES80+'KELURAHAN (DI ISI)'!ES81+'KELURAHAN (DI ISI)'!ES82+'KELURAHAN (DI ISI)'!ES83</f>
        <v>36</v>
      </c>
      <c r="FJ16" s="248">
        <f>'KELURAHAN (DI ISI)'!ET80+'KELURAHAN (DI ISI)'!ET81+'KELURAHAN (DI ISI)'!ET82+'KELURAHAN (DI ISI)'!ET83</f>
        <v>0</v>
      </c>
      <c r="FK16" s="248">
        <f>'KELURAHAN (DI ISI)'!EU80+'KELURAHAN (DI ISI)'!EU81+'KELURAHAN (DI ISI)'!EU82+'KELURAHAN (DI ISI)'!EU83</f>
        <v>0</v>
      </c>
      <c r="FL16" s="248">
        <f>'KELURAHAN (DI ISI)'!EV80+'KELURAHAN (DI ISI)'!EV81+'KELURAHAN (DI ISI)'!EV82+'KELURAHAN (DI ISI)'!EV83</f>
        <v>1</v>
      </c>
      <c r="FM16" s="248">
        <f>'KELURAHAN (DI ISI)'!EW80+'KELURAHAN (DI ISI)'!EW81+'KELURAHAN (DI ISI)'!EW82+'KELURAHAN (DI ISI)'!EW83</f>
        <v>0</v>
      </c>
      <c r="FN16" s="248">
        <f>'KELURAHAN (DI ISI)'!EX80+'KELURAHAN (DI ISI)'!EX81+'KELURAHAN (DI ISI)'!EX82+'KELURAHAN (DI ISI)'!EX83</f>
        <v>0</v>
      </c>
      <c r="FO16" s="248">
        <f>'KELURAHAN (DI ISI)'!EY80+'KELURAHAN (DI ISI)'!EY81+'KELURAHAN (DI ISI)'!EY82+'KELURAHAN (DI ISI)'!EY83</f>
        <v>0</v>
      </c>
      <c r="FP16" s="248">
        <f>'KELURAHAN (DI ISI)'!EZ80+'KELURAHAN (DI ISI)'!EZ81+'KELURAHAN (DI ISI)'!EZ82+'KELURAHAN (DI ISI)'!EZ83</f>
        <v>1</v>
      </c>
      <c r="FQ16" s="248">
        <f>'KELURAHAN (DI ISI)'!FA80+'KELURAHAN (DI ISI)'!FA81+'KELURAHAN (DI ISI)'!FA82+'KELURAHAN (DI ISI)'!FA83</f>
        <v>2</v>
      </c>
      <c r="FR16" s="248">
        <f>'KELURAHAN (DI ISI)'!FB80+'KELURAHAN (DI ISI)'!FB81+'KELURAHAN (DI ISI)'!FB82+'KELURAHAN (DI ISI)'!FB83</f>
        <v>0</v>
      </c>
      <c r="FS16" s="248">
        <f>'KELURAHAN (DI ISI)'!FC80+'KELURAHAN (DI ISI)'!FC81+'KELURAHAN (DI ISI)'!FC82+'KELURAHAN (DI ISI)'!FC83</f>
        <v>0</v>
      </c>
      <c r="FT16" s="248">
        <f>'KELURAHAN (DI ISI)'!FD80+'KELURAHAN (DI ISI)'!FD81+'KELURAHAN (DI ISI)'!FD82+'KELURAHAN (DI ISI)'!FD83</f>
        <v>0</v>
      </c>
      <c r="FU16" s="248">
        <f>'KELURAHAN (DI ISI)'!FE80+'KELURAHAN (DI ISI)'!FE81+'KELURAHAN (DI ISI)'!FE82+'KELURAHAN (DI ISI)'!FE83</f>
        <v>0</v>
      </c>
      <c r="FV16" s="248">
        <f>'KELURAHAN (DI ISI)'!FF80+'KELURAHAN (DI ISI)'!FF81+'KELURAHAN (DI ISI)'!FF82+'KELURAHAN (DI ISI)'!FF83</f>
        <v>0</v>
      </c>
      <c r="FW16" s="248">
        <f>'KELURAHAN (DI ISI)'!FG80+'KELURAHAN (DI ISI)'!FG81+'KELURAHAN (DI ISI)'!FG82+'KELURAHAN (DI ISI)'!FG83</f>
        <v>0</v>
      </c>
      <c r="FX16" s="248">
        <f>'KELURAHAN (DI ISI)'!FH80+'KELURAHAN (DI ISI)'!FH81+'KELURAHAN (DI ISI)'!FH82+'KELURAHAN (DI ISI)'!FH83</f>
        <v>3</v>
      </c>
      <c r="FY16" s="248">
        <f>'KELURAHAN (DI ISI)'!FI80+'KELURAHAN (DI ISI)'!FI81+'KELURAHAN (DI ISI)'!FI82+'KELURAHAN (DI ISI)'!FI83</f>
        <v>1</v>
      </c>
      <c r="FZ16" s="248">
        <f>'KELURAHAN (DI ISI)'!FJ80+'KELURAHAN (DI ISI)'!FJ81+'KELURAHAN (DI ISI)'!FJ82+'KELURAHAN (DI ISI)'!FJ83</f>
        <v>1163</v>
      </c>
      <c r="GA16" s="248">
        <f>'KELURAHAN (DI ISI)'!FK80+'KELURAHAN (DI ISI)'!FK81+'KELURAHAN (DI ISI)'!FK82+'KELURAHAN (DI ISI)'!FK83</f>
        <v>163</v>
      </c>
      <c r="GB16" s="248">
        <f>'KELURAHAN (DI ISI)'!FL80+'KELURAHAN (DI ISI)'!FL81+'KELURAHAN (DI ISI)'!FL82+'KELURAHAN (DI ISI)'!FL83</f>
        <v>1143</v>
      </c>
      <c r="GC16" s="248">
        <f>'KELURAHAN (DI ISI)'!FM80+'KELURAHAN (DI ISI)'!FM81+'KELURAHAN (DI ISI)'!FM82+'KELURAHAN (DI ISI)'!FM83</f>
        <v>149</v>
      </c>
      <c r="GD16" s="587">
        <v>1143.0</v>
      </c>
      <c r="GE16" s="588">
        <f>'KELURAHAN (DI ISI)'!FO80+'KELURAHAN (DI ISI)'!FO81+'KELURAHAN (DI ISI)'!FO82+'KELURAHAN (DI ISI)'!FO83</f>
        <v>42</v>
      </c>
      <c r="GF16" s="588">
        <f>'KELURAHAN (DI ISI)'!FP80+'KELURAHAN (DI ISI)'!FP81+'KELURAHAN (DI ISI)'!FP82+'KELURAHAN (DI ISI)'!FP83</f>
        <v>42</v>
      </c>
      <c r="GG16" s="588">
        <f>'KELURAHAN (DI ISI)'!FP80+'KELURAHAN (DI ISI)'!FP81+'KELURAHAN (DI ISI)'!FP82+'KELURAHAN (DI ISI)'!FP83</f>
        <v>42</v>
      </c>
      <c r="GH16" s="588">
        <f>'KELURAHAN (DI ISI)'!FQ80+'KELURAHAN (DI ISI)'!FQ81+'KELURAHAN (DI ISI)'!FQ82+'KELURAHAN (DI ISI)'!FQ83</f>
        <v>6</v>
      </c>
      <c r="GI16" s="571">
        <f t="shared" si="19"/>
        <v>36</v>
      </c>
      <c r="GJ16" s="248">
        <f>'KELURAHAN (DI ISI)'!FS80+'KELURAHAN (DI ISI)'!FS81+'KELURAHAN (DI ISI)'!FS82+'KELURAHAN (DI ISI)'!FS83</f>
        <v>0</v>
      </c>
      <c r="GK16" s="248">
        <f>'KELURAHAN (DI ISI)'!FT80+'KELURAHAN (DI ISI)'!FT81+'KELURAHAN (DI ISI)'!FT82+'KELURAHAN (DI ISI)'!FT83</f>
        <v>0</v>
      </c>
      <c r="GL16" s="248">
        <f>'KELURAHAN (DI ISI)'!FU80+'KELURAHAN (DI ISI)'!FU81+'KELURAHAN (DI ISI)'!FU82+'KELURAHAN (DI ISI)'!FU83</f>
        <v>6</v>
      </c>
      <c r="GM16" s="248">
        <f>'KELURAHAN (DI ISI)'!FV80+'KELURAHAN (DI ISI)'!FV81+'KELURAHAN (DI ISI)'!FV82+'KELURAHAN (DI ISI)'!FV83</f>
        <v>36</v>
      </c>
      <c r="GN16" s="248">
        <f>'KELURAHAN (DI ISI)'!FW80+'KELURAHAN (DI ISI)'!FW81+'KELURAHAN (DI ISI)'!FW82+'KELURAHAN (DI ISI)'!FW83</f>
        <v>0</v>
      </c>
      <c r="GO16" s="248">
        <f>'KELURAHAN (DI ISI)'!FX80+'KELURAHAN (DI ISI)'!FX81+'KELURAHAN (DI ISI)'!FX82+'KELURAHAN (DI ISI)'!FX83</f>
        <v>0</v>
      </c>
      <c r="GP16" s="248">
        <f>'KELURAHAN (DI ISI)'!FY80+'KELURAHAN (DI ISI)'!FY81+'KELURAHAN (DI ISI)'!FY82+'KELURAHAN (DI ISI)'!FY83</f>
        <v>0</v>
      </c>
      <c r="GQ16" s="248">
        <f>'KELURAHAN (DI ISI)'!FZ80+'KELURAHAN (DI ISI)'!FZ81+'KELURAHAN (DI ISI)'!FZ82+'KELURAHAN (DI ISI)'!FZ83</f>
        <v>0</v>
      </c>
      <c r="GR16" s="248">
        <f>'KELURAHAN (DI ISI)'!GA80+'KELURAHAN (DI ISI)'!GA81+'KELURAHAN (DI ISI)'!GA82+'KELURAHAN (DI ISI)'!GA83</f>
        <v>0</v>
      </c>
      <c r="GS16" s="248">
        <f>'KELURAHAN (DI ISI)'!GB80+'KELURAHAN (DI ISI)'!GB81+'KELURAHAN (DI ISI)'!GB82+'KELURAHAN (DI ISI)'!GB83</f>
        <v>0</v>
      </c>
      <c r="GT16" s="248">
        <f>'KELURAHAN (DI ISI)'!GC80+'KELURAHAN (DI ISI)'!GC81+'KELURAHAN (DI ISI)'!GC82+'KELURAHAN (DI ISI)'!GC83</f>
        <v>0</v>
      </c>
      <c r="GU16" s="248">
        <f>'KELURAHAN (DI ISI)'!GD80+'KELURAHAN (DI ISI)'!GD81+'KELURAHAN (DI ISI)'!GD82+'KELURAHAN (DI ISI)'!GD83</f>
        <v>1</v>
      </c>
      <c r="GV16" s="248">
        <f>'KELURAHAN (DI ISI)'!GE80+'KELURAHAN (DI ISI)'!GE81+'KELURAHAN (DI ISI)'!GE82+'KELURAHAN (DI ISI)'!GE83</f>
        <v>0</v>
      </c>
      <c r="GW16" s="248">
        <f>'KELURAHAN (DI ISI)'!GF80+'KELURAHAN (DI ISI)'!GF81+'KELURAHAN (DI ISI)'!GF82+'KELURAHAN (DI ISI)'!GF83</f>
        <v>0</v>
      </c>
      <c r="GX16" s="248">
        <f>'KELURAHAN (DI ISI)'!GG80+'KELURAHAN (DI ISI)'!GG81+'KELURAHAN (DI ISI)'!GG82+'KELURAHAN (DI ISI)'!GG83</f>
        <v>0</v>
      </c>
      <c r="GY16" s="248">
        <f>'KELURAHAN (DI ISI)'!GH80+'KELURAHAN (DI ISI)'!GH81+'KELURAHAN (DI ISI)'!GH82+'KELURAHAN (DI ISI)'!GH83</f>
        <v>0</v>
      </c>
      <c r="GZ16" s="248">
        <f>'KELURAHAN (DI ISI)'!GI80+'KELURAHAN (DI ISI)'!GI81+'KELURAHAN (DI ISI)'!GI82+'KELURAHAN (DI ISI)'!GI83</f>
        <v>0</v>
      </c>
      <c r="HA16" s="248">
        <f>'KELURAHAN (DI ISI)'!GJ80+'KELURAHAN (DI ISI)'!GJ81+'KELURAHAN (DI ISI)'!GJ82+'KELURAHAN (DI ISI)'!GJ83</f>
        <v>0</v>
      </c>
      <c r="HB16" s="589">
        <f>'KELURAHAN (DI ISI)'!GK80+'KELURAHAN (DI ISI)'!GK81+'KELURAHAN (DI ISI)'!GK82+'KELURAHAN (DI ISI)'!GK83</f>
        <v>1</v>
      </c>
      <c r="HC16" s="589">
        <f>'KELURAHAN (DI ISI)'!GL80+'KELURAHAN (DI ISI)'!GL81+'KELURAHAN (DI ISI)'!GL82+'KELURAHAN (DI ISI)'!GL83</f>
        <v>0</v>
      </c>
      <c r="HD16" s="248">
        <f>'KELURAHAN (DI ISI)'!GM80+'KELURAHAN (DI ISI)'!GM81+'KELURAHAN (DI ISI)'!GM82+'KELURAHAN (DI ISI)'!GM83</f>
        <v>1170</v>
      </c>
      <c r="HE16" s="248">
        <f>'KELURAHAN (DI ISI)'!GN80+'KELURAHAN (DI ISI)'!GN81+'KELURAHAN (DI ISI)'!GN82+'KELURAHAN (DI ISI)'!GN83</f>
        <v>359</v>
      </c>
      <c r="HF16" s="248">
        <f>'KELURAHAN (DI ISI)'!GO80+'KELURAHAN (DI ISI)'!GO81+'KELURAHAN (DI ISI)'!GO82+'KELURAHAN (DI ISI)'!GO83</f>
        <v>1121</v>
      </c>
      <c r="HG16" s="248">
        <f>'KELURAHAN (DI ISI)'!GP80+'KELURAHAN (DI ISI)'!GP81+'KELURAHAN (DI ISI)'!GP82+'KELURAHAN (DI ISI)'!GP83</f>
        <v>349</v>
      </c>
      <c r="HH16" s="587">
        <v>1143.0</v>
      </c>
      <c r="HI16" s="590">
        <f>'KELURAHAN (DI ISI)'!GR80+'KELURAHAN (DI ISI)'!GR81+'KELURAHAN (DI ISI)'!GR82+'KELURAHAN (DI ISI)'!GR83</f>
        <v>38</v>
      </c>
      <c r="HJ16" s="590">
        <f>'KELURAHAN (DI ISI)'!GS80+'KELURAHAN (DI ISI)'!GS81+'KELURAHAN (DI ISI)'!GS82+'KELURAHAN (DI ISI)'!GS83</f>
        <v>4</v>
      </c>
      <c r="HK16" s="591">
        <f>'KELURAHAN (DI ISI)'!GT80+'KELURAHAN (DI ISI)'!GT81+'KELURAHAN (DI ISI)'!GT82+'KELURAHAN (DI ISI)'!GT83</f>
        <v>38</v>
      </c>
      <c r="HL16" s="591">
        <f>'KELURAHAN (DI ISI)'!GU80+'KELURAHAN (DI ISI)'!GU81+'KELURAHAN (DI ISI)'!GU82+'KELURAHAN (DI ISI)'!GU83</f>
        <v>4</v>
      </c>
      <c r="HM16" s="573">
        <f t="shared" si="20"/>
        <v>34</v>
      </c>
      <c r="HN16" s="248">
        <f>'KELURAHAN (DI ISI)'!GW80+'KELURAHAN (DI ISI)'!GW81+'KELURAHAN (DI ISI)'!GW82+'KELURAHAN (DI ISI)'!GW83</f>
        <v>0</v>
      </c>
      <c r="HO16" s="248">
        <f>'KELURAHAN (DI ISI)'!GX80+'KELURAHAN (DI ISI)'!GX81+'KELURAHAN (DI ISI)'!GX82+'KELURAHAN (DI ISI)'!GX83</f>
        <v>0</v>
      </c>
      <c r="HP16" s="248">
        <f>'KELURAHAN (DI ISI)'!GY80+'KELURAHAN (DI ISI)'!GY81+'KELURAHAN (DI ISI)'!GY82+'KELURAHAN (DI ISI)'!GY83</f>
        <v>4</v>
      </c>
      <c r="HQ16" s="248">
        <f>'KELURAHAN (DI ISI)'!GZ80+'KELURAHAN (DI ISI)'!GZ81+'KELURAHAN (DI ISI)'!GZ82+'KELURAHAN (DI ISI)'!GZ83</f>
        <v>33</v>
      </c>
      <c r="HR16" s="248">
        <f>'KELURAHAN (DI ISI)'!HA80+'KELURAHAN (DI ISI)'!HA81+'KELURAHAN (DI ISI)'!HA82+'KELURAHAN (DI ISI)'!HA83</f>
        <v>0</v>
      </c>
      <c r="HS16" s="248">
        <f>'KELURAHAN (DI ISI)'!HB80+'KELURAHAN (DI ISI)'!HB81+'KELURAHAN (DI ISI)'!HB82+'KELURAHAN (DI ISI)'!HB83</f>
        <v>0</v>
      </c>
      <c r="HT16" s="248">
        <f>'KELURAHAN (DI ISI)'!HC80+'KELURAHAN (DI ISI)'!HC81+'KELURAHAN (DI ISI)'!HC82+'KELURAHAN (DI ISI)'!HC83</f>
        <v>0</v>
      </c>
      <c r="HU16" s="248">
        <f>'KELURAHAN (DI ISI)'!HD80+'KELURAHAN (DI ISI)'!HD81+'KELURAHAN (DI ISI)'!HD82+'KELURAHAN (DI ISI)'!HD83</f>
        <v>1</v>
      </c>
      <c r="HV16" s="248">
        <f>'KELURAHAN (DI ISI)'!HE80+'KELURAHAN (DI ISI)'!HE81+'KELURAHAN (DI ISI)'!HE82+'KELURAHAN (DI ISI)'!HE83</f>
        <v>0</v>
      </c>
      <c r="HW16" s="248">
        <f>'KELURAHAN (DI ISI)'!HF80+'KELURAHAN (DI ISI)'!HF81+'KELURAHAN (DI ISI)'!HF82+'KELURAHAN (DI ISI)'!HF83</f>
        <v>0</v>
      </c>
      <c r="HX16" s="248">
        <f>'KELURAHAN (DI ISI)'!HG80+'KELURAHAN (DI ISI)'!HG81+'KELURAHAN (DI ISI)'!HG82+'KELURAHAN (DI ISI)'!HG83</f>
        <v>2</v>
      </c>
      <c r="HY16" s="248">
        <f>'KELURAHAN (DI ISI)'!HH80+'KELURAHAN (DI ISI)'!HH81+'KELURAHAN (DI ISI)'!HH82+'KELURAHAN (DI ISI)'!HH83</f>
        <v>3</v>
      </c>
      <c r="HZ16" s="248">
        <f>'KELURAHAN (DI ISI)'!HI80+'KELURAHAN (DI ISI)'!HI81+'KELURAHAN (DI ISI)'!HI82+'KELURAHAN (DI ISI)'!HI83</f>
        <v>0</v>
      </c>
      <c r="IA16" s="248">
        <f>'KELURAHAN (DI ISI)'!HJ80+'KELURAHAN (DI ISI)'!HJ81+'KELURAHAN (DI ISI)'!HJ82+'KELURAHAN (DI ISI)'!HJ83</f>
        <v>0</v>
      </c>
      <c r="IB16" s="248">
        <f>'KELURAHAN (DI ISI)'!HK80+'KELURAHAN (DI ISI)'!HK81+'KELURAHAN (DI ISI)'!HK82+'KELURAHAN (DI ISI)'!HK83</f>
        <v>0</v>
      </c>
      <c r="IC16" s="248">
        <f>'KELURAHAN (DI ISI)'!HL80+'KELURAHAN (DI ISI)'!HL81+'KELURAHAN (DI ISI)'!HL82+'KELURAHAN (DI ISI)'!HL83</f>
        <v>0</v>
      </c>
      <c r="ID16" s="248">
        <f>'KELURAHAN (DI ISI)'!HM80+'KELURAHAN (DI ISI)'!HM81+'KELURAHAN (DI ISI)'!HM82+'KELURAHAN (DI ISI)'!HM83</f>
        <v>0</v>
      </c>
      <c r="IE16" s="248">
        <f>'KELURAHAN (DI ISI)'!HN80+'KELURAHAN (DI ISI)'!HN81+'KELURAHAN (DI ISI)'!HN82+'KELURAHAN (DI ISI)'!HN83</f>
        <v>0</v>
      </c>
      <c r="IF16" s="591">
        <f>'KELURAHAN (DI ISI)'!HO80+'KELURAHAN (DI ISI)'!HO81+'KELURAHAN (DI ISI)'!HO82+'KELURAHAN (DI ISI)'!HO83</f>
        <v>5</v>
      </c>
      <c r="IG16" s="591">
        <f>'KELURAHAN (DI ISI)'!HP80+'KELURAHAN (DI ISI)'!HP81+'KELURAHAN (DI ISI)'!HP82+'KELURAHAN (DI ISI)'!HP83</f>
        <v>2</v>
      </c>
      <c r="IK16" s="198">
        <f t="shared" si="21"/>
        <v>60</v>
      </c>
      <c r="IL16" s="198">
        <f t="shared" si="22"/>
        <v>87</v>
      </c>
      <c r="IM16" s="198">
        <f t="shared" si="23"/>
        <v>67</v>
      </c>
      <c r="IN16" s="198">
        <f t="shared" si="24"/>
        <v>65</v>
      </c>
      <c r="IO16" s="198">
        <f t="shared" si="25"/>
        <v>65</v>
      </c>
      <c r="IP16" s="198">
        <f t="shared" si="26"/>
        <v>56</v>
      </c>
      <c r="IQ16" s="574">
        <f t="shared" si="27"/>
        <v>49</v>
      </c>
      <c r="IR16" s="574">
        <f t="shared" si="28"/>
        <v>48</v>
      </c>
      <c r="IS16" s="574">
        <f t="shared" si="29"/>
        <v>44</v>
      </c>
      <c r="IT16" s="574">
        <f t="shared" si="30"/>
        <v>42</v>
      </c>
      <c r="IU16" s="574">
        <f t="shared" si="31"/>
        <v>42</v>
      </c>
      <c r="IV16" s="575">
        <f t="shared" si="32"/>
        <v>38</v>
      </c>
      <c r="IW16" s="583"/>
      <c r="IX16" s="576">
        <f t="shared" si="33"/>
        <v>-38</v>
      </c>
      <c r="IZ16" s="577"/>
      <c r="JA16" s="162">
        <f t="shared" si="34"/>
        <v>-1170</v>
      </c>
      <c r="JB16" s="578"/>
      <c r="JC16" s="579">
        <f t="shared" si="35"/>
        <v>-359</v>
      </c>
      <c r="JD16" s="584"/>
      <c r="JE16" s="585"/>
      <c r="JF16" s="577"/>
      <c r="JG16" s="234">
        <f t="shared" si="36"/>
        <v>-1121</v>
      </c>
      <c r="JH16" s="578"/>
      <c r="JI16" s="579">
        <f t="shared" si="37"/>
        <v>-349</v>
      </c>
      <c r="JJ16" s="593"/>
    </row>
    <row r="17" ht="14.25" customHeight="1">
      <c r="A17" s="158">
        <v>10.0</v>
      </c>
      <c r="B17" s="157" t="s">
        <v>240</v>
      </c>
      <c r="C17" s="253">
        <v>3374130.0</v>
      </c>
      <c r="D17" s="569" t="s">
        <v>256</v>
      </c>
      <c r="E17" s="253"/>
      <c r="F17" s="252">
        <f>'KELURAHAN (DI ISI)'!F146+'KELURAHAN (DI ISI)'!F147+'KELURAHAN (DI ISI)'!F148+'KELURAHAN (DI ISI)'!F149</f>
        <v>24</v>
      </c>
      <c r="G17" s="252">
        <f>'KELURAHAN (DI ISI)'!G146+'KELURAHAN (DI ISI)'!G147+'KELURAHAN (DI ISI)'!G148+'KELURAHAN (DI ISI)'!G149</f>
        <v>1020</v>
      </c>
      <c r="H17" s="252">
        <f>'KELURAHAN (DI ISI)'!H146+'KELURAHAN (DI ISI)'!H147+'KELURAHAN (DI ISI)'!H148+'KELURAHAN (DI ISI)'!H149</f>
        <v>15</v>
      </c>
      <c r="I17" s="491">
        <f t="shared" si="1"/>
        <v>9</v>
      </c>
      <c r="J17" s="491">
        <f t="shared" si="2"/>
        <v>6</v>
      </c>
      <c r="K17" s="248">
        <f>'KELURAHAN (DI ISI)'!I146+'KELURAHAN (DI ISI)'!I147+'KELURAHAN (DI ISI)'!I148+'KELURAHAN (DI ISI)'!I149</f>
        <v>0</v>
      </c>
      <c r="L17" s="248">
        <f>'KELURAHAN (DI ISI)'!J146+'KELURAHAN (DI ISI)'!J147+'KELURAHAN (DI ISI)'!J148+'KELURAHAN (DI ISI)'!J149</f>
        <v>1</v>
      </c>
      <c r="M17" s="248">
        <f>'KELURAHAN (DI ISI)'!K146+'KELURAHAN (DI ISI)'!K147+'KELURAHAN (DI ISI)'!K148+'KELURAHAN (DI ISI)'!K149</f>
        <v>8</v>
      </c>
      <c r="N17" s="248">
        <f>'KELURAHAN (DI ISI)'!L146+'KELURAHAN (DI ISI)'!L147+'KELURAHAN (DI ISI)'!L148+'KELURAHAN (DI ISI)'!L149</f>
        <v>6</v>
      </c>
      <c r="O17" s="248">
        <f>'KELURAHAN (DI ISI)'!M146+'KELURAHAN (DI ISI)'!M147+'KELURAHAN (DI ISI)'!M148+'KELURAHAN (DI ISI)'!M149</f>
        <v>3</v>
      </c>
      <c r="P17" s="248">
        <f>'KELURAHAN (DI ISI)'!N146+'KELURAHAN (DI ISI)'!N147+'KELURAHAN (DI ISI)'!N148+'KELURAHAN (DI ISI)'!N149</f>
        <v>1</v>
      </c>
      <c r="Q17" s="248">
        <f>'KELURAHAN (DI ISI)'!O146+'KELURAHAN (DI ISI)'!O147+'KELURAHAN (DI ISI)'!O148+'KELURAHAN (DI ISI)'!O149</f>
        <v>13</v>
      </c>
      <c r="R17" s="248">
        <f>'KELURAHAN (DI ISI)'!P146+'KELURAHAN (DI ISI)'!P147+'KELURAHAN (DI ISI)'!P148+'KELURAHAN (DI ISI)'!P149</f>
        <v>13</v>
      </c>
      <c r="S17" s="491">
        <f t="shared" si="3"/>
        <v>9</v>
      </c>
      <c r="T17" s="491">
        <f t="shared" si="4"/>
        <v>4</v>
      </c>
      <c r="U17" s="248">
        <f>'KELURAHAN (DI ISI)'!Q146+'KELURAHAN (DI ISI)'!Q147+'KELURAHAN (DI ISI)'!Q148+'KELURAHAN (DI ISI)'!Q149</f>
        <v>0</v>
      </c>
      <c r="V17" s="248">
        <f>'KELURAHAN (DI ISI)'!R146+'KELURAHAN (DI ISI)'!R147+'KELURAHAN (DI ISI)'!R148+'KELURAHAN (DI ISI)'!R149</f>
        <v>1</v>
      </c>
      <c r="W17" s="248">
        <f>'KELURAHAN (DI ISI)'!S146+'KELURAHAN (DI ISI)'!S147+'KELURAHAN (DI ISI)'!S148+'KELURAHAN (DI ISI)'!S149</f>
        <v>8</v>
      </c>
      <c r="X17" s="248">
        <f>'KELURAHAN (DI ISI)'!T146+'KELURAHAN (DI ISI)'!T147+'KELURAHAN (DI ISI)'!T148+'KELURAHAN (DI ISI)'!T149</f>
        <v>4</v>
      </c>
      <c r="Y17" s="248">
        <f>'KELURAHAN (DI ISI)'!U146+'KELURAHAN (DI ISI)'!U147+'KELURAHAN (DI ISI)'!U148+'KELURAHAN (DI ISI)'!U149</f>
        <v>2</v>
      </c>
      <c r="Z17" s="248">
        <f>'KELURAHAN (DI ISI)'!V146+'KELURAHAN (DI ISI)'!V147+'KELURAHAN (DI ISI)'!V148+'KELURAHAN (DI ISI)'!V149</f>
        <v>1</v>
      </c>
      <c r="AA17" s="248">
        <f>'KELURAHAN (DI ISI)'!W146+'KELURAHAN (DI ISI)'!W147+'KELURAHAN (DI ISI)'!W148+'KELURAHAN (DI ISI)'!W149</f>
        <v>10</v>
      </c>
      <c r="AB17" s="248">
        <f>'KELURAHAN (DI ISI)'!X146+'KELURAHAN (DI ISI)'!X147+'KELURAHAN (DI ISI)'!X148+'KELURAHAN (DI ISI)'!X149</f>
        <v>14</v>
      </c>
      <c r="AC17" s="491">
        <f t="shared" si="5"/>
        <v>7</v>
      </c>
      <c r="AD17" s="491">
        <f t="shared" si="6"/>
        <v>7</v>
      </c>
      <c r="AE17" s="248">
        <f>'KELURAHAN (DI ISI)'!Y146+'KELURAHAN (DI ISI)'!Y147+'KELURAHAN (DI ISI)'!Y148+'KELURAHAN (DI ISI)'!Y149</f>
        <v>0</v>
      </c>
      <c r="AF17" s="248">
        <f>'KELURAHAN (DI ISI)'!Z146+'KELURAHAN (DI ISI)'!Z147+'KELURAHAN (DI ISI)'!Z148+'KELURAHAN (DI ISI)'!Z149</f>
        <v>2</v>
      </c>
      <c r="AG17" s="248">
        <f>'KELURAHAN (DI ISI)'!AA146+'KELURAHAN (DI ISI)'!AA147+'KELURAHAN (DI ISI)'!AA148+'KELURAHAN (DI ISI)'!AA149</f>
        <v>5</v>
      </c>
      <c r="AH17" s="248">
        <f>'KELURAHAN (DI ISI)'!AB146+'KELURAHAN (DI ISI)'!AB147+'KELURAHAN (DI ISI)'!AB148+'KELURAHAN (DI ISI)'!AB149</f>
        <v>7</v>
      </c>
      <c r="AI17" s="248">
        <f>'KELURAHAN (DI ISI)'!AC146+'KELURAHAN (DI ISI)'!AC147+'KELURAHAN (DI ISI)'!AC148+'KELURAHAN (DI ISI)'!AC149</f>
        <v>2</v>
      </c>
      <c r="AJ17" s="248">
        <f>'KELURAHAN (DI ISI)'!AD146+'KELURAHAN (DI ISI)'!AD147+'KELURAHAN (DI ISI)'!AD148+'KELURAHAN (DI ISI)'!AD149</f>
        <v>2</v>
      </c>
      <c r="AK17" s="248">
        <f>'KELURAHAN (DI ISI)'!AE146+'KELURAHAN (DI ISI)'!AE147+'KELURAHAN (DI ISI)'!AE148+'KELURAHAN (DI ISI)'!AE149</f>
        <v>10</v>
      </c>
      <c r="AL17" s="248">
        <f>'KELURAHAN (DI ISI)'!AF146+'KELURAHAN (DI ISI)'!AF147+'KELURAHAN (DI ISI)'!AF148+'KELURAHAN (DI ISI)'!AF149</f>
        <v>11</v>
      </c>
      <c r="AM17" s="491">
        <f t="shared" si="7"/>
        <v>5</v>
      </c>
      <c r="AN17" s="491">
        <f t="shared" si="8"/>
        <v>6</v>
      </c>
      <c r="AO17" s="248">
        <f>'KELURAHAN (DI ISI)'!AG146+'KELURAHAN (DI ISI)'!AG147+'KELURAHAN (DI ISI)'!AG148+'KELURAHAN (DI ISI)'!AG149</f>
        <v>0</v>
      </c>
      <c r="AP17" s="248">
        <f>'KELURAHAN (DI ISI)'!AH146+'KELURAHAN (DI ISI)'!AH147+'KELURAHAN (DI ISI)'!AH148+'KELURAHAN (DI ISI)'!AH149</f>
        <v>1</v>
      </c>
      <c r="AQ17" s="248">
        <f>'KELURAHAN (DI ISI)'!AI146+'KELURAHAN (DI ISI)'!AI147+'KELURAHAN (DI ISI)'!AI148+'KELURAHAN (DI ISI)'!AI149</f>
        <v>4</v>
      </c>
      <c r="AR17" s="248">
        <f>'KELURAHAN (DI ISI)'!AJ146+'KELURAHAN (DI ISI)'!AJ147+'KELURAHAN (DI ISI)'!AJ148+'KELURAHAN (DI ISI)'!AJ149</f>
        <v>6</v>
      </c>
      <c r="AS17" s="248">
        <f>'KELURAHAN (DI ISI)'!AK146+'KELURAHAN (DI ISI)'!AK147+'KELURAHAN (DI ISI)'!AK148+'KELURAHAN (DI ISI)'!AK149</f>
        <v>2</v>
      </c>
      <c r="AT17" s="248">
        <f>'KELURAHAN (DI ISI)'!AL146+'KELURAHAN (DI ISI)'!AL147+'KELURAHAN (DI ISI)'!AL148+'KELURAHAN (DI ISI)'!AL149</f>
        <v>1</v>
      </c>
      <c r="AU17" s="248">
        <f>'KELURAHAN (DI ISI)'!AM146+'KELURAHAN (DI ISI)'!AM147+'KELURAHAN (DI ISI)'!AM148+'KELURAHAN (DI ISI)'!AM149</f>
        <v>10</v>
      </c>
      <c r="AV17" s="248">
        <f>'KELURAHAN (DI ISI)'!AN146+'KELURAHAN (DI ISI)'!AN147+'KELURAHAN (DI ISI)'!AN148+'KELURAHAN (DI ISI)'!AN149</f>
        <v>12</v>
      </c>
      <c r="AW17" s="491">
        <f t="shared" si="9"/>
        <v>7</v>
      </c>
      <c r="AX17" s="491">
        <f t="shared" si="10"/>
        <v>5</v>
      </c>
      <c r="AY17" s="248">
        <f>'KELURAHAN (DI ISI)'!AO146+'KELURAHAN (DI ISI)'!AO147+'KELURAHAN (DI ISI)'!AO148+'KELURAHAN (DI ISI)'!AO149</f>
        <v>2</v>
      </c>
      <c r="AZ17" s="248">
        <f>'KELURAHAN (DI ISI)'!AP146+'KELURAHAN (DI ISI)'!AP147+'KELURAHAN (DI ISI)'!AP148+'KELURAHAN (DI ISI)'!AP149</f>
        <v>1</v>
      </c>
      <c r="BA17" s="248">
        <f>'KELURAHAN (DI ISI)'!AQ146+'KELURAHAN (DI ISI)'!AQ147+'KELURAHAN (DI ISI)'!AQ148+'KELURAHAN (DI ISI)'!AQ149</f>
        <v>4</v>
      </c>
      <c r="BB17" s="248">
        <f>'KELURAHAN (DI ISI)'!AR146+'KELURAHAN (DI ISI)'!AR147+'KELURAHAN (DI ISI)'!AR148+'KELURAHAN (DI ISI)'!AR149</f>
        <v>5</v>
      </c>
      <c r="BC17" s="248">
        <f>'KELURAHAN (DI ISI)'!AS146+'KELURAHAN (DI ISI)'!AS147+'KELURAHAN (DI ISI)'!AS148+'KELURAHAN (DI ISI)'!AS149</f>
        <v>0</v>
      </c>
      <c r="BD17" s="248">
        <f>'KELURAHAN (DI ISI)'!AT146+'KELURAHAN (DI ISI)'!AT147+'KELURAHAN (DI ISI)'!AT148+'KELURAHAN (DI ISI)'!AT149</f>
        <v>1</v>
      </c>
      <c r="BE17" s="248">
        <f>'KELURAHAN (DI ISI)'!AU146+'KELURAHAN (DI ISI)'!AU147+'KELURAHAN (DI ISI)'!AU148+'KELURAHAN (DI ISI)'!AU149</f>
        <v>13</v>
      </c>
      <c r="BF17" s="248">
        <f>'KELURAHAN (DI ISI)'!AV146+'KELURAHAN (DI ISI)'!AV147+'KELURAHAN (DI ISI)'!AV148+'KELURAHAN (DI ISI)'!AV149</f>
        <v>1026</v>
      </c>
      <c r="BG17" s="248">
        <f>'KELURAHAN (DI ISI)'!AW146+'KELURAHAN (DI ISI)'!AW147+'KELURAHAN (DI ISI)'!AW148+'KELURAHAN (DI ISI)'!AW149</f>
        <v>14</v>
      </c>
      <c r="BH17" s="491">
        <f t="shared" si="11"/>
        <v>7</v>
      </c>
      <c r="BI17" s="495">
        <f t="shared" si="12"/>
        <v>5</v>
      </c>
      <c r="BJ17" s="248">
        <f>'KELURAHAN (DI ISI)'!AX146+'KELURAHAN (DI ISI)'!AX147+'KELURAHAN (DI ISI)'!AX148+'KELURAHAN (DI ISI)'!AX149</f>
        <v>2</v>
      </c>
      <c r="BK17" s="248">
        <f>'KELURAHAN (DI ISI)'!AY146+'KELURAHAN (DI ISI)'!AY147+'KELURAHAN (DI ISI)'!AY148+'KELURAHAN (DI ISI)'!AY149</f>
        <v>1</v>
      </c>
      <c r="BL17" s="248">
        <f>'KELURAHAN (DI ISI)'!AZ146+'KELURAHAN (DI ISI)'!AZ147+'KELURAHAN (DI ISI)'!AZ148+'KELURAHAN (DI ISI)'!AZ149</f>
        <v>4</v>
      </c>
      <c r="BM17" s="248">
        <f>'KELURAHAN (DI ISI)'!BA146+'KELURAHAN (DI ISI)'!BA147+'KELURAHAN (DI ISI)'!BA148+'KELURAHAN (DI ISI)'!BA149</f>
        <v>5</v>
      </c>
      <c r="BN17" s="248">
        <f>'KELURAHAN (DI ISI)'!BB146+'KELURAHAN (DI ISI)'!BB147+'KELURAHAN (DI ISI)'!BB148+'KELURAHAN (DI ISI)'!BB149</f>
        <v>1</v>
      </c>
      <c r="BO17" s="248">
        <f>'KELURAHAN (DI ISI)'!BC146+'KELURAHAN (DI ISI)'!BC147+'KELURAHAN (DI ISI)'!BC148+'KELURAHAN (DI ISI)'!BC149</f>
        <v>0</v>
      </c>
      <c r="BP17" s="248">
        <f>'KELURAHAN (DI ISI)'!BD146+'KELURAHAN (DI ISI)'!BD147+'KELURAHAN (DI ISI)'!BD148+'KELURAHAN (DI ISI)'!BD149</f>
        <v>0</v>
      </c>
      <c r="BQ17" s="248">
        <f>'KELURAHAN (DI ISI)'!BE146+'KELURAHAN (DI ISI)'!BE147+'KELURAHAN (DI ISI)'!BE148+'KELURAHAN (DI ISI)'!BE149</f>
        <v>1</v>
      </c>
      <c r="BR17" s="248">
        <f>'KELURAHAN (DI ISI)'!BF146+'KELURAHAN (DI ISI)'!BF147+'KELURAHAN (DI ISI)'!BF148+'KELURAHAN (DI ISI)'!BF149</f>
        <v>0</v>
      </c>
      <c r="BS17" s="248">
        <f>'KELURAHAN (DI ISI)'!BG146+'KELURAHAN (DI ISI)'!BG147+'KELURAHAN (DI ISI)'!BG148+'KELURAHAN (DI ISI)'!BG149</f>
        <v>0</v>
      </c>
      <c r="BT17" s="248">
        <f>'KELURAHAN (DI ISI)'!BH146+'KELURAHAN (DI ISI)'!BH147+'KELURAHAN (DI ISI)'!BH148+'KELURAHAN (DI ISI)'!BH149</f>
        <v>0</v>
      </c>
      <c r="BU17" s="248">
        <f>'KELURAHAN (DI ISI)'!BI146+'KELURAHAN (DI ISI)'!BI147+'KELURAHAN (DI ISI)'!BI148+'KELURAHAN (DI ISI)'!BI149</f>
        <v>1</v>
      </c>
      <c r="BV17" s="248">
        <f>'KELURAHAN (DI ISI)'!BJ146+'KELURAHAN (DI ISI)'!BJ147+'KELURAHAN (DI ISI)'!BJ148+'KELURAHAN (DI ISI)'!BJ149</f>
        <v>0</v>
      </c>
      <c r="BW17" s="248">
        <f>'KELURAHAN (DI ISI)'!BK146+'KELURAHAN (DI ISI)'!BK147+'KELURAHAN (DI ISI)'!BK148+'KELURAHAN (DI ISI)'!BK149</f>
        <v>0</v>
      </c>
      <c r="BX17" s="248">
        <f>'KELURAHAN (DI ISI)'!BL146+'KELURAHAN (DI ISI)'!BL147+'KELURAHAN (DI ISI)'!BL148+'KELURAHAN (DI ISI)'!BL149</f>
        <v>0</v>
      </c>
      <c r="BY17" s="248">
        <f>'KELURAHAN (DI ISI)'!BM146+'KELURAHAN (DI ISI)'!BM147+'KELURAHAN (DI ISI)'!BM148+'KELURAHAN (DI ISI)'!BM149</f>
        <v>0</v>
      </c>
      <c r="BZ17" s="248">
        <f>'KELURAHAN (DI ISI)'!BN146+'KELURAHAN (DI ISI)'!BN147+'KELURAHAN (DI ISI)'!BN148+'KELURAHAN (DI ISI)'!BN149</f>
        <v>0</v>
      </c>
      <c r="CA17" s="248">
        <f>'KELURAHAN (DI ISI)'!BO146+'KELURAHAN (DI ISI)'!BO147+'KELURAHAN (DI ISI)'!BO148+'KELURAHAN (DI ISI)'!BO149</f>
        <v>0</v>
      </c>
      <c r="CB17" s="248">
        <f>'KELURAHAN (DI ISI)'!BP146+'KELURAHAN (DI ISI)'!BP147+'KELURAHAN (DI ISI)'!BP148+'KELURAHAN (DI ISI)'!BP149</f>
        <v>1</v>
      </c>
      <c r="CC17" s="248">
        <f>'KELURAHAN (DI ISI)'!BQ146+'KELURAHAN (DI ISI)'!BQ147+'KELURAHAN (DI ISI)'!BQ148+'KELURAHAN (DI ISI)'!BQ149</f>
        <v>1024</v>
      </c>
      <c r="CD17" s="248">
        <f>'KELURAHAN (DI ISI)'!BR146+'KELURAHAN (DI ISI)'!BR147+'KELURAHAN (DI ISI)'!BR148+'KELURAHAN (DI ISI)'!BR149</f>
        <v>13</v>
      </c>
      <c r="CE17" s="491">
        <f t="shared" si="13"/>
        <v>4</v>
      </c>
      <c r="CF17" s="491">
        <f t="shared" si="14"/>
        <v>7</v>
      </c>
      <c r="CG17" s="248">
        <f>'KELURAHAN (DI ISI)'!BS146+'KELURAHAN (DI ISI)'!BS147+'KELURAHAN (DI ISI)'!BS148+'KELURAHAN (DI ISI)'!BS149</f>
        <v>2</v>
      </c>
      <c r="CH17" s="248">
        <f>'KELURAHAN (DI ISI)'!BT146+'KELURAHAN (DI ISI)'!BT147+'KELURAHAN (DI ISI)'!BT148+'KELURAHAN (DI ISI)'!BT149</f>
        <v>1</v>
      </c>
      <c r="CI17" s="248">
        <f>'KELURAHAN (DI ISI)'!BU146+'KELURAHAN (DI ISI)'!BU147+'KELURAHAN (DI ISI)'!BU148+'KELURAHAN (DI ISI)'!BU149</f>
        <v>1</v>
      </c>
      <c r="CJ17" s="248">
        <f>'KELURAHAN (DI ISI)'!BV146+'KELURAHAN (DI ISI)'!BV147+'KELURAHAN (DI ISI)'!BV148+'KELURAHAN (DI ISI)'!BV149</f>
        <v>7</v>
      </c>
      <c r="CK17" s="248">
        <f>'KELURAHAN (DI ISI)'!BW146+'KELURAHAN (DI ISI)'!BW147+'KELURAHAN (DI ISI)'!BW148+'KELURAHAN (DI ISI)'!BW149</f>
        <v>1</v>
      </c>
      <c r="CL17" s="248">
        <f>'KELURAHAN (DI ISI)'!BX146+'KELURAHAN (DI ISI)'!BX147+'KELURAHAN (DI ISI)'!BX148+'KELURAHAN (DI ISI)'!BX149</f>
        <v>0</v>
      </c>
      <c r="CM17" s="248">
        <f>'KELURAHAN (DI ISI)'!BY146+'KELURAHAN (DI ISI)'!BY147+'KELURAHAN (DI ISI)'!BY148+'KELURAHAN (DI ISI)'!BY149</f>
        <v>0</v>
      </c>
      <c r="CN17" s="248">
        <f>'KELURAHAN (DI ISI)'!BZ146+'KELURAHAN (DI ISI)'!BZ147+'KELURAHAN (DI ISI)'!BZ148+'KELURAHAN (DI ISI)'!BZ149</f>
        <v>1</v>
      </c>
      <c r="CO17" s="248">
        <f>'KELURAHAN (DI ISI)'!CA146+'KELURAHAN (DI ISI)'!CA147+'KELURAHAN (DI ISI)'!CA148+'KELURAHAN (DI ISI)'!CA149</f>
        <v>0</v>
      </c>
      <c r="CP17" s="248">
        <f>'KELURAHAN (DI ISI)'!CB146+'KELURAHAN (DI ISI)'!CB147+'KELURAHAN (DI ISI)'!CB148+'KELURAHAN (DI ISI)'!CB149</f>
        <v>1</v>
      </c>
      <c r="CQ17" s="248">
        <f>'KELURAHAN (DI ISI)'!CC146+'KELURAHAN (DI ISI)'!CC147+'KELURAHAN (DI ISI)'!CC148+'KELURAHAN (DI ISI)'!CC149</f>
        <v>2</v>
      </c>
      <c r="CR17" s="248">
        <f>'KELURAHAN (DI ISI)'!CD146+'KELURAHAN (DI ISI)'!CD147+'KELURAHAN (DI ISI)'!CD148+'KELURAHAN (DI ISI)'!CD149</f>
        <v>0</v>
      </c>
      <c r="CS17" s="248">
        <f>'KELURAHAN (DI ISI)'!CE146+'KELURAHAN (DI ISI)'!CE147+'KELURAHAN (DI ISI)'!CE148+'KELURAHAN (DI ISI)'!CE149</f>
        <v>0</v>
      </c>
      <c r="CT17" s="248">
        <f>'KELURAHAN (DI ISI)'!CF146+'KELURAHAN (DI ISI)'!CF147+'KELURAHAN (DI ISI)'!CF148+'KELURAHAN (DI ISI)'!CF149</f>
        <v>0</v>
      </c>
      <c r="CU17" s="248">
        <f>'KELURAHAN (DI ISI)'!CG146+'KELURAHAN (DI ISI)'!CG147+'KELURAHAN (DI ISI)'!CG148+'KELURAHAN (DI ISI)'!CG149</f>
        <v>0</v>
      </c>
      <c r="CV17" s="248">
        <f>'KELURAHAN (DI ISI)'!CH146+'KELURAHAN (DI ISI)'!CH147+'KELURAHAN (DI ISI)'!CH148+'KELURAHAN (DI ISI)'!CH149</f>
        <v>0</v>
      </c>
      <c r="CW17" s="248">
        <f>'KELURAHAN (DI ISI)'!CI146+'KELURAHAN (DI ISI)'!CI147+'KELURAHAN (DI ISI)'!CI148+'KELURAHAN (DI ISI)'!CI149</f>
        <v>0</v>
      </c>
      <c r="CX17" s="248">
        <f>'KELURAHAN (DI ISI)'!CJ146+'KELURAHAN (DI ISI)'!CJ147+'KELURAHAN (DI ISI)'!CJ148+'KELURAHAN (DI ISI)'!CJ149</f>
        <v>0</v>
      </c>
      <c r="CY17" s="248">
        <f>'KELURAHAN (DI ISI)'!CK146+'KELURAHAN (DI ISI)'!CK147+'KELURAHAN (DI ISI)'!CK148+'KELURAHAN (DI ISI)'!CK149</f>
        <v>3</v>
      </c>
      <c r="CZ17" s="248">
        <f>'KELURAHAN (DI ISI)'!CL146+'KELURAHAN (DI ISI)'!CL147+'KELURAHAN (DI ISI)'!CL148+'KELURAHAN (DI ISI)'!CL149</f>
        <v>1025</v>
      </c>
      <c r="DA17" s="248">
        <f>'KELURAHAN (DI ISI)'!CM146+'KELURAHAN (DI ISI)'!CM147+'KELURAHAN (DI ISI)'!CM148+'KELURAHAN (DI ISI)'!CM149</f>
        <v>325</v>
      </c>
      <c r="DB17" s="248">
        <f>'KELURAHAN (DI ISI)'!CN146+'KELURAHAN (DI ISI)'!CN147+'KELURAHAN (DI ISI)'!CN148+'KELURAHAN (DI ISI)'!CN149</f>
        <v>14</v>
      </c>
      <c r="DC17" s="491">
        <f t="shared" si="15"/>
        <v>4</v>
      </c>
      <c r="DD17" s="491">
        <f t="shared" si="16"/>
        <v>7</v>
      </c>
      <c r="DE17" s="248">
        <f>'KELURAHAN (DI ISI)'!CO146+'KELURAHAN (DI ISI)'!CO147+'KELURAHAN (DI ISI)'!CO148+'KELURAHAN (DI ISI)'!CO149</f>
        <v>2</v>
      </c>
      <c r="DF17" s="248">
        <f>'KELURAHAN (DI ISI)'!CP146+'KELURAHAN (DI ISI)'!CP147+'KELURAHAN (DI ISI)'!CP148+'KELURAHAN (DI ISI)'!CP149</f>
        <v>1</v>
      </c>
      <c r="DG17" s="248">
        <f>'KELURAHAN (DI ISI)'!CQ146+'KELURAHAN (DI ISI)'!CQ147+'KELURAHAN (DI ISI)'!CQ148+'KELURAHAN (DI ISI)'!CQ149</f>
        <v>1</v>
      </c>
      <c r="DH17" s="248">
        <f>'KELURAHAN (DI ISI)'!CR146+'KELURAHAN (DI ISI)'!CR147+'KELURAHAN (DI ISI)'!CR148+'KELURAHAN (DI ISI)'!CR149</f>
        <v>7</v>
      </c>
      <c r="DI17" s="248">
        <f>'KELURAHAN (DI ISI)'!CS146+'KELURAHAN (DI ISI)'!CS147+'KELURAHAN (DI ISI)'!CS148+'KELURAHAN (DI ISI)'!CS149</f>
        <v>0</v>
      </c>
      <c r="DJ17" s="248">
        <f>'KELURAHAN (DI ISI)'!CT146+'KELURAHAN (DI ISI)'!CT147+'KELURAHAN (DI ISI)'!CT148+'KELURAHAN (DI ISI)'!CT149</f>
        <v>0</v>
      </c>
      <c r="DK17" s="248">
        <f>'KELURAHAN (DI ISI)'!CU146+'KELURAHAN (DI ISI)'!CU147+'KELURAHAN (DI ISI)'!CU148+'KELURAHAN (DI ISI)'!CU149</f>
        <v>1</v>
      </c>
      <c r="DL17" s="248">
        <f>'KELURAHAN (DI ISI)'!CV146+'KELURAHAN (DI ISI)'!CV147+'KELURAHAN (DI ISI)'!CV148+'KELURAHAN (DI ISI)'!CV149</f>
        <v>2</v>
      </c>
      <c r="DM17" s="248">
        <f>'KELURAHAN (DI ISI)'!CW146+'KELURAHAN (DI ISI)'!CW147+'KELURAHAN (DI ISI)'!CW148+'KELURAHAN (DI ISI)'!CW149</f>
        <v>0</v>
      </c>
      <c r="DN17" s="248">
        <f>'KELURAHAN (DI ISI)'!CX146+'KELURAHAN (DI ISI)'!CX147+'KELURAHAN (DI ISI)'!CX148+'KELURAHAN (DI ISI)'!CX149</f>
        <v>1</v>
      </c>
      <c r="DO17" s="248">
        <f>'KELURAHAN (DI ISI)'!CY146+'KELURAHAN (DI ISI)'!CY147+'KELURAHAN (DI ISI)'!CY148+'KELURAHAN (DI ISI)'!CY149</f>
        <v>0</v>
      </c>
      <c r="DP17" s="248">
        <f>'KELURAHAN (DI ISI)'!CZ146+'KELURAHAN (DI ISI)'!CZ147+'KELURAHAN (DI ISI)'!CZ148+'KELURAHAN (DI ISI)'!CZ149</f>
        <v>1</v>
      </c>
      <c r="DQ17" s="248">
        <f>'KELURAHAN (DI ISI)'!DA146+'KELURAHAN (DI ISI)'!DA147+'KELURAHAN (DI ISI)'!DA148+'KELURAHAN (DI ISI)'!DA149</f>
        <v>0</v>
      </c>
      <c r="DR17" s="248">
        <f>'KELURAHAN (DI ISI)'!DB146+'KELURAHAN (DI ISI)'!DB147+'KELURAHAN (DI ISI)'!DB148+'KELURAHAN (DI ISI)'!DB149</f>
        <v>0</v>
      </c>
      <c r="DS17" s="248">
        <f>'KELURAHAN (DI ISI)'!DC146+'KELURAHAN (DI ISI)'!DC147+'KELURAHAN (DI ISI)'!DC148+'KELURAHAN (DI ISI)'!DC149</f>
        <v>0</v>
      </c>
      <c r="DT17" s="248">
        <f>'KELURAHAN (DI ISI)'!DD146+'KELURAHAN (DI ISI)'!DD147+'KELURAHAN (DI ISI)'!DD148+'KELURAHAN (DI ISI)'!DD149</f>
        <v>0</v>
      </c>
      <c r="DU17" s="248">
        <f>'KELURAHAN (DI ISI)'!DE146+'KELURAHAN (DI ISI)'!DE147+'KELURAHAN (DI ISI)'!DE148+'KELURAHAN (DI ISI)'!DE149</f>
        <v>0</v>
      </c>
      <c r="DV17" s="248">
        <f>'KELURAHAN (DI ISI)'!DF146+'KELURAHAN (DI ISI)'!DF147+'KELURAHAN (DI ISI)'!DF148+'KELURAHAN (DI ISI)'!DF149</f>
        <v>0</v>
      </c>
      <c r="DW17" s="248">
        <f>'KELURAHAN (DI ISI)'!DG146+'KELURAHAN (DI ISI)'!DG147+'KELURAHAN (DI ISI)'!DG148+'KELURAHAN (DI ISI)'!DG149</f>
        <v>2</v>
      </c>
      <c r="DX17" s="248">
        <f>'KELURAHAN (DI ISI)'!DH146+'KELURAHAN (DI ISI)'!DH147+'KELURAHAN (DI ISI)'!DH148+'KELURAHAN (DI ISI)'!DH149</f>
        <v>946</v>
      </c>
      <c r="DY17" s="248">
        <f>'KELURAHAN (DI ISI)'!DI146+'KELURAHAN (DI ISI)'!DI147+'KELURAHAN (DI ISI)'!DI148+'KELURAHAN (DI ISI)'!DI149</f>
        <v>319</v>
      </c>
      <c r="DZ17" s="248">
        <f>'KELURAHAN (DI ISI)'!DJ146+'KELURAHAN (DI ISI)'!DJ147+'KELURAHAN (DI ISI)'!DJ148+'KELURAHAN (DI ISI)'!DJ149</f>
        <v>946</v>
      </c>
      <c r="EA17" s="248">
        <f>'KELURAHAN (DI ISI)'!DK146+'KELURAHAN (DI ISI)'!DK147+'KELURAHAN (DI ISI)'!DK148+'KELURAHAN (DI ISI)'!DK149</f>
        <v>319</v>
      </c>
      <c r="EB17" s="248">
        <f>'KELURAHAN (DI ISI)'!DL146+'KELURAHAN (DI ISI)'!DL147+'KELURAHAN (DI ISI)'!DL148+'KELURAHAN (DI ISI)'!DL149</f>
        <v>17</v>
      </c>
      <c r="EC17" s="248">
        <f>'KELURAHAN (DI ISI)'!DM146+'KELURAHAN (DI ISI)'!DM147+'KELURAHAN (DI ISI)'!DM148+'KELURAHAN (DI ISI)'!DM149</f>
        <v>6</v>
      </c>
      <c r="ED17" s="491">
        <f t="shared" si="17"/>
        <v>11</v>
      </c>
      <c r="EE17" s="248">
        <f>'KELURAHAN (DI ISI)'!DO146+'KELURAHAN (DI ISI)'!DO147+'KELURAHAN (DI ISI)'!DO148+'KELURAHAN (DI ISI)'!DO149</f>
        <v>2</v>
      </c>
      <c r="EF17" s="248">
        <f>'KELURAHAN (DI ISI)'!DP146+'KELURAHAN (DI ISI)'!DP147+'KELURAHAN (DI ISI)'!DP148+'KELURAHAN (DI ISI)'!DP149</f>
        <v>1</v>
      </c>
      <c r="EG17" s="248">
        <f>'KELURAHAN (DI ISI)'!DQ146+'KELURAHAN (DI ISI)'!DQ147+'KELURAHAN (DI ISI)'!DQ148+'KELURAHAN (DI ISI)'!DQ149</f>
        <v>3</v>
      </c>
      <c r="EH17" s="248">
        <f>'KELURAHAN (DI ISI)'!DR146+'KELURAHAN (DI ISI)'!DR147+'KELURAHAN (DI ISI)'!DR148+'KELURAHAN (DI ISI)'!DR149</f>
        <v>7</v>
      </c>
      <c r="EI17" s="248">
        <f>'KELURAHAN (DI ISI)'!DS146+'KELURAHAN (DI ISI)'!DS147+'KELURAHAN (DI ISI)'!DS148+'KELURAHAN (DI ISI)'!DS149</f>
        <v>0</v>
      </c>
      <c r="EJ17" s="248">
        <f>'KELURAHAN (DI ISI)'!DT146+'KELURAHAN (DI ISI)'!DT147+'KELURAHAN (DI ISI)'!DT148+'KELURAHAN (DI ISI)'!DT149</f>
        <v>0</v>
      </c>
      <c r="EK17" s="248">
        <f>'KELURAHAN (DI ISI)'!DU146+'KELURAHAN (DI ISI)'!DU147+'KELURAHAN (DI ISI)'!DU148+'KELURAHAN (DI ISI)'!DU149</f>
        <v>0</v>
      </c>
      <c r="EL17" s="248">
        <f>'KELURAHAN (DI ISI)'!DV146+'KELURAHAN (DI ISI)'!DV147+'KELURAHAN (DI ISI)'!DV148+'KELURAHAN (DI ISI)'!DV149</f>
        <v>4</v>
      </c>
      <c r="EM17" s="248">
        <f>'KELURAHAN (DI ISI)'!DW146+'KELURAHAN (DI ISI)'!DW147+'KELURAHAN (DI ISI)'!DW148+'KELURAHAN (DI ISI)'!DW149</f>
        <v>0</v>
      </c>
      <c r="EN17" s="248">
        <f>'KELURAHAN (DI ISI)'!DX146+'KELURAHAN (DI ISI)'!DX147+'KELURAHAN (DI ISI)'!DX148+'KELURAHAN (DI ISI)'!DX149</f>
        <v>0</v>
      </c>
      <c r="EO17" s="248">
        <f>'KELURAHAN (DI ISI)'!DY146+'KELURAHAN (DI ISI)'!DY147+'KELURAHAN (DI ISI)'!DY148+'KELURAHAN (DI ISI)'!DY149</f>
        <v>0</v>
      </c>
      <c r="EP17" s="248">
        <f>'KELURAHAN (DI ISI)'!DZ146+'KELURAHAN (DI ISI)'!DZ147+'KELURAHAN (DI ISI)'!DZ148+'KELURAHAN (DI ISI)'!DZ149</f>
        <v>1</v>
      </c>
      <c r="EQ17" s="248">
        <f>'KELURAHAN (DI ISI)'!EA146+'KELURAHAN (DI ISI)'!EA147+'KELURAHAN (DI ISI)'!EA148+'KELURAHAN (DI ISI)'!EA149</f>
        <v>0</v>
      </c>
      <c r="ER17" s="248">
        <f>'KELURAHAN (DI ISI)'!EB146+'KELURAHAN (DI ISI)'!EB147+'KELURAHAN (DI ISI)'!EB148+'KELURAHAN (DI ISI)'!EB149</f>
        <v>0</v>
      </c>
      <c r="ES17" s="248">
        <f>'KELURAHAN (DI ISI)'!EC146+'KELURAHAN (DI ISI)'!EC147+'KELURAHAN (DI ISI)'!EC148+'KELURAHAN (DI ISI)'!EC149</f>
        <v>0</v>
      </c>
      <c r="ET17" s="248">
        <f>'KELURAHAN (DI ISI)'!ED146+'KELURAHAN (DI ISI)'!ED147+'KELURAHAN (DI ISI)'!ED148+'KELURAHAN (DI ISI)'!ED149</f>
        <v>0</v>
      </c>
      <c r="EU17" s="248">
        <f>'KELURAHAN (DI ISI)'!EE146+'KELURAHAN (DI ISI)'!EE147+'KELURAHAN (DI ISI)'!EE148+'KELURAHAN (DI ISI)'!EE149</f>
        <v>1</v>
      </c>
      <c r="EV17" s="248">
        <f>'KELURAHAN (DI ISI)'!EF146+'KELURAHAN (DI ISI)'!EF147+'KELURAHAN (DI ISI)'!EF148+'KELURAHAN (DI ISI)'!EF149</f>
        <v>0</v>
      </c>
      <c r="EW17" s="248">
        <f>'KELURAHAN (DI ISI)'!EG146+'KELURAHAN (DI ISI)'!EG147+'KELURAHAN (DI ISI)'!EG148+'KELURAHAN (DI ISI)'!EG149</f>
        <v>2</v>
      </c>
      <c r="EX17" s="248">
        <f>'KELURAHAN (DI ISI)'!EH146+'KELURAHAN (DI ISI)'!EH147+'KELURAHAN (DI ISI)'!EH148+'KELURAHAN (DI ISI)'!EH149</f>
        <v>1</v>
      </c>
      <c r="EY17" s="248">
        <f>'KELURAHAN (DI ISI)'!EI146+'KELURAHAN (DI ISI)'!EI147+'KELURAHAN (DI ISI)'!EI148+'KELURAHAN (DI ISI)'!EI149</f>
        <v>968</v>
      </c>
      <c r="EZ17" s="248">
        <f>'KELURAHAN (DI ISI)'!EJ146+'KELURAHAN (DI ISI)'!EJ147+'KELURAHAN (DI ISI)'!EJ148+'KELURAHAN (DI ISI)'!EJ149</f>
        <v>321</v>
      </c>
      <c r="FA17" s="248">
        <f>'KELURAHAN (DI ISI)'!EK146+'KELURAHAN (DI ISI)'!EK147+'KELURAHAN (DI ISI)'!EK148+'KELURAHAN (DI ISI)'!EK149</f>
        <v>923</v>
      </c>
      <c r="FB17" s="248">
        <f>'KELURAHAN (DI ISI)'!EL146+'KELURAHAN (DI ISI)'!EL147+'KELURAHAN (DI ISI)'!EL148+'KELURAHAN (DI ISI)'!EL149</f>
        <v>309</v>
      </c>
      <c r="FC17" s="248">
        <f>'KELURAHAN (DI ISI)'!EM146+'KELURAHAN (DI ISI)'!EM147+'KELURAHAN (DI ISI)'!EM148+'KELURAHAN (DI ISI)'!EM149</f>
        <v>17</v>
      </c>
      <c r="FD17" s="248">
        <f>'KELURAHAN (DI ISI)'!EN146+'KELURAHAN (DI ISI)'!EN147+'KELURAHAN (DI ISI)'!EN148+'KELURAHAN (DI ISI)'!EN149</f>
        <v>5</v>
      </c>
      <c r="FE17" s="491">
        <f t="shared" si="18"/>
        <v>12</v>
      </c>
      <c r="FF17" s="248">
        <f>'KELURAHAN (DI ISI)'!EP146+'KELURAHAN (DI ISI)'!EP147+'KELURAHAN (DI ISI)'!EP148+'KELURAHAN (DI ISI)'!EP149</f>
        <v>1</v>
      </c>
      <c r="FG17" s="248">
        <f>'KELURAHAN (DI ISI)'!EQ146+'KELURAHAN (DI ISI)'!EQ147+'KELURAHAN (DI ISI)'!EQ148+'KELURAHAN (DI ISI)'!EQ149</f>
        <v>1</v>
      </c>
      <c r="FH17" s="248">
        <f>'KELURAHAN (DI ISI)'!ER146+'KELURAHAN (DI ISI)'!ER147+'KELURAHAN (DI ISI)'!ER148+'KELURAHAN (DI ISI)'!ER149</f>
        <v>2</v>
      </c>
      <c r="FI17" s="248">
        <f>'KELURAHAN (DI ISI)'!ES146+'KELURAHAN (DI ISI)'!ES147+'KELURAHAN (DI ISI)'!ES148+'KELURAHAN (DI ISI)'!ES149</f>
        <v>11</v>
      </c>
      <c r="FJ17" s="248">
        <f>'KELURAHAN (DI ISI)'!ET146+'KELURAHAN (DI ISI)'!ET147+'KELURAHAN (DI ISI)'!ET148+'KELURAHAN (DI ISI)'!ET149</f>
        <v>0</v>
      </c>
      <c r="FK17" s="248">
        <f>'KELURAHAN (DI ISI)'!EU146+'KELURAHAN (DI ISI)'!EU147+'KELURAHAN (DI ISI)'!EU148+'KELURAHAN (DI ISI)'!EU149</f>
        <v>0</v>
      </c>
      <c r="FL17" s="248">
        <f>'KELURAHAN (DI ISI)'!EV146+'KELURAHAN (DI ISI)'!EV147+'KELURAHAN (DI ISI)'!EV148+'KELURAHAN (DI ISI)'!EV149</f>
        <v>1</v>
      </c>
      <c r="FM17" s="248">
        <f>'KELURAHAN (DI ISI)'!EW146+'KELURAHAN (DI ISI)'!EW147+'KELURAHAN (DI ISI)'!EW148+'KELURAHAN (DI ISI)'!EW149</f>
        <v>1</v>
      </c>
      <c r="FN17" s="248">
        <f>'KELURAHAN (DI ISI)'!EX146+'KELURAHAN (DI ISI)'!EX147+'KELURAHAN (DI ISI)'!EX148+'KELURAHAN (DI ISI)'!EX149</f>
        <v>1</v>
      </c>
      <c r="FO17" s="248">
        <f>'KELURAHAN (DI ISI)'!EY146+'KELURAHAN (DI ISI)'!EY147+'KELURAHAN (DI ISI)'!EY148+'KELURAHAN (DI ISI)'!EY149</f>
        <v>0</v>
      </c>
      <c r="FP17" s="248">
        <f>'KELURAHAN (DI ISI)'!EZ146+'KELURAHAN (DI ISI)'!EZ147+'KELURAHAN (DI ISI)'!EZ148+'KELURAHAN (DI ISI)'!EZ149</f>
        <v>0</v>
      </c>
      <c r="FQ17" s="248">
        <f>'KELURAHAN (DI ISI)'!FA146+'KELURAHAN (DI ISI)'!FA147+'KELURAHAN (DI ISI)'!FA148+'KELURAHAN (DI ISI)'!FA149</f>
        <v>1</v>
      </c>
      <c r="FR17" s="248">
        <f>'KELURAHAN (DI ISI)'!FB146+'KELURAHAN (DI ISI)'!FB147+'KELURAHAN (DI ISI)'!FB148+'KELURAHAN (DI ISI)'!FB149</f>
        <v>0</v>
      </c>
      <c r="FS17" s="248">
        <f>'KELURAHAN (DI ISI)'!FC146+'KELURAHAN (DI ISI)'!FC147+'KELURAHAN (DI ISI)'!FC148+'KELURAHAN (DI ISI)'!FC149</f>
        <v>0</v>
      </c>
      <c r="FT17" s="248">
        <f>'KELURAHAN (DI ISI)'!FD146+'KELURAHAN (DI ISI)'!FD147+'KELURAHAN (DI ISI)'!FD148+'KELURAHAN (DI ISI)'!FD149</f>
        <v>0</v>
      </c>
      <c r="FU17" s="248">
        <f>'KELURAHAN (DI ISI)'!FE146+'KELURAHAN (DI ISI)'!FE147+'KELURAHAN (DI ISI)'!FE148+'KELURAHAN (DI ISI)'!FE149</f>
        <v>0</v>
      </c>
      <c r="FV17" s="248">
        <f>'KELURAHAN (DI ISI)'!FF146+'KELURAHAN (DI ISI)'!FF147+'KELURAHAN (DI ISI)'!FF148+'KELURAHAN (DI ISI)'!FF149</f>
        <v>0</v>
      </c>
      <c r="FW17" s="248">
        <f>'KELURAHAN (DI ISI)'!FG146+'KELURAHAN (DI ISI)'!FG147+'KELURAHAN (DI ISI)'!FG148+'KELURAHAN (DI ISI)'!FG149</f>
        <v>0</v>
      </c>
      <c r="FX17" s="248">
        <f>'KELURAHAN (DI ISI)'!FH146+'KELURAHAN (DI ISI)'!FH147+'KELURAHAN (DI ISI)'!FH148+'KELURAHAN (DI ISI)'!FH149</f>
        <v>2</v>
      </c>
      <c r="FY17" s="248">
        <f>'KELURAHAN (DI ISI)'!FI146+'KELURAHAN (DI ISI)'!FI147+'KELURAHAN (DI ISI)'!FI148+'KELURAHAN (DI ISI)'!FI149</f>
        <v>1</v>
      </c>
      <c r="FZ17" s="248">
        <f>'KELURAHAN (DI ISI)'!FJ146+'KELURAHAN (DI ISI)'!FJ147+'KELURAHAN (DI ISI)'!FJ148+'KELURAHAN (DI ISI)'!FJ149</f>
        <v>973</v>
      </c>
      <c r="GA17" s="248">
        <f>'KELURAHAN (DI ISI)'!FK146+'KELURAHAN (DI ISI)'!FK147+'KELURAHAN (DI ISI)'!FK148+'KELURAHAN (DI ISI)'!FK149</f>
        <v>317</v>
      </c>
      <c r="GB17" s="248">
        <f>'KELURAHAN (DI ISI)'!FL146+'KELURAHAN (DI ISI)'!FL147+'KELURAHAN (DI ISI)'!FL148+'KELURAHAN (DI ISI)'!FL149</f>
        <v>941</v>
      </c>
      <c r="GC17" s="248">
        <f>'KELURAHAN (DI ISI)'!FM146+'KELURAHAN (DI ISI)'!FM147+'KELURAHAN (DI ISI)'!FM148+'KELURAHAN (DI ISI)'!FM149</f>
        <v>306</v>
      </c>
      <c r="GD17" s="587">
        <v>941.0</v>
      </c>
      <c r="GE17" s="588">
        <f>'KELURAHAN (DI ISI)'!FO146+'KELURAHAN (DI ISI)'!FO147+'KELURAHAN (DI ISI)'!FO148+'KELURAHAN (DI ISI)'!FO149</f>
        <v>16</v>
      </c>
      <c r="GF17" s="588">
        <f>'KELURAHAN (DI ISI)'!FP146+'KELURAHAN (DI ISI)'!FP147+'KELURAHAN (DI ISI)'!FP148+'KELURAHAN (DI ISI)'!FP149</f>
        <v>16</v>
      </c>
      <c r="GG17" s="588">
        <f>'KELURAHAN (DI ISI)'!FP146+'KELURAHAN (DI ISI)'!FP147+'KELURAHAN (DI ISI)'!FP148+'KELURAHAN (DI ISI)'!FP149</f>
        <v>16</v>
      </c>
      <c r="GH17" s="588">
        <f>'KELURAHAN (DI ISI)'!FQ146+'KELURAHAN (DI ISI)'!FQ147+'KELURAHAN (DI ISI)'!FQ148+'KELURAHAN (DI ISI)'!FQ149</f>
        <v>5</v>
      </c>
      <c r="GI17" s="571">
        <f t="shared" si="19"/>
        <v>11</v>
      </c>
      <c r="GJ17" s="248">
        <f>'KELURAHAN (DI ISI)'!FS146+'KELURAHAN (DI ISI)'!FS147+'KELURAHAN (DI ISI)'!FS148+'KELURAHAN (DI ISI)'!FS149</f>
        <v>1</v>
      </c>
      <c r="GK17" s="248">
        <f>'KELURAHAN (DI ISI)'!FT146+'KELURAHAN (DI ISI)'!FT147+'KELURAHAN (DI ISI)'!FT148+'KELURAHAN (DI ISI)'!FT149</f>
        <v>1</v>
      </c>
      <c r="GL17" s="248">
        <f>'KELURAHAN (DI ISI)'!FU146+'KELURAHAN (DI ISI)'!FU147+'KELURAHAN (DI ISI)'!FU148+'KELURAHAN (DI ISI)'!FU149</f>
        <v>3</v>
      </c>
      <c r="GM17" s="248">
        <f>'KELURAHAN (DI ISI)'!FV146+'KELURAHAN (DI ISI)'!FV147+'KELURAHAN (DI ISI)'!FV148+'KELURAHAN (DI ISI)'!FV149</f>
        <v>11</v>
      </c>
      <c r="GN17" s="248">
        <f>'KELURAHAN (DI ISI)'!FW146+'KELURAHAN (DI ISI)'!FW147+'KELURAHAN (DI ISI)'!FW148+'KELURAHAN (DI ISI)'!FW149</f>
        <v>0</v>
      </c>
      <c r="GO17" s="248">
        <f>'KELURAHAN (DI ISI)'!FX146+'KELURAHAN (DI ISI)'!FX147+'KELURAHAN (DI ISI)'!FX148+'KELURAHAN (DI ISI)'!FX149</f>
        <v>0</v>
      </c>
      <c r="GP17" s="248">
        <f>'KELURAHAN (DI ISI)'!FY146+'KELURAHAN (DI ISI)'!FY147+'KELURAHAN (DI ISI)'!FY148+'KELURAHAN (DI ISI)'!FY149</f>
        <v>0</v>
      </c>
      <c r="GQ17" s="248">
        <f>'KELURAHAN (DI ISI)'!FZ146+'KELURAHAN (DI ISI)'!FZ147+'KELURAHAN (DI ISI)'!FZ148+'KELURAHAN (DI ISI)'!FZ149</f>
        <v>0</v>
      </c>
      <c r="GR17" s="248">
        <f>'KELURAHAN (DI ISI)'!GA146+'KELURAHAN (DI ISI)'!GA147+'KELURAHAN (DI ISI)'!GA148+'KELURAHAN (DI ISI)'!GA149</f>
        <v>0</v>
      </c>
      <c r="GS17" s="248">
        <f>'KELURAHAN (DI ISI)'!GB146+'KELURAHAN (DI ISI)'!GB147+'KELURAHAN (DI ISI)'!GB148+'KELURAHAN (DI ISI)'!GB149</f>
        <v>0</v>
      </c>
      <c r="GT17" s="248">
        <f>'KELURAHAN (DI ISI)'!GC146+'KELURAHAN (DI ISI)'!GC147+'KELURAHAN (DI ISI)'!GC148+'KELURAHAN (DI ISI)'!GC149</f>
        <v>0</v>
      </c>
      <c r="GU17" s="248">
        <f>'KELURAHAN (DI ISI)'!GD146+'KELURAHAN (DI ISI)'!GD147+'KELURAHAN (DI ISI)'!GD148+'KELURAHAN (DI ISI)'!GD149</f>
        <v>1</v>
      </c>
      <c r="GV17" s="248">
        <f>'KELURAHAN (DI ISI)'!GE146+'KELURAHAN (DI ISI)'!GE147+'KELURAHAN (DI ISI)'!GE148+'KELURAHAN (DI ISI)'!GE149</f>
        <v>0</v>
      </c>
      <c r="GW17" s="248">
        <f>'KELURAHAN (DI ISI)'!GF146+'KELURAHAN (DI ISI)'!GF147+'KELURAHAN (DI ISI)'!GF148+'KELURAHAN (DI ISI)'!GF149</f>
        <v>0</v>
      </c>
      <c r="GX17" s="248">
        <f>'KELURAHAN (DI ISI)'!GG146+'KELURAHAN (DI ISI)'!GG147+'KELURAHAN (DI ISI)'!GG148+'KELURAHAN (DI ISI)'!GG149</f>
        <v>0</v>
      </c>
      <c r="GY17" s="248">
        <f>'KELURAHAN (DI ISI)'!GH146+'KELURAHAN (DI ISI)'!GH147+'KELURAHAN (DI ISI)'!GH148+'KELURAHAN (DI ISI)'!GH149</f>
        <v>0</v>
      </c>
      <c r="GZ17" s="248">
        <f>'KELURAHAN (DI ISI)'!GI146+'KELURAHAN (DI ISI)'!GI147+'KELURAHAN (DI ISI)'!GI148+'KELURAHAN (DI ISI)'!GI149</f>
        <v>0</v>
      </c>
      <c r="HA17" s="248">
        <f>'KELURAHAN (DI ISI)'!GJ146+'KELURAHAN (DI ISI)'!GJ147+'KELURAHAN (DI ISI)'!GJ148+'KELURAHAN (DI ISI)'!GJ149</f>
        <v>0</v>
      </c>
      <c r="HB17" s="589">
        <f>'KELURAHAN (DI ISI)'!GK146+'KELURAHAN (DI ISI)'!GK147+'KELURAHAN (DI ISI)'!GK148+'KELURAHAN (DI ISI)'!GK149</f>
        <v>1</v>
      </c>
      <c r="HC17" s="589">
        <f>'KELURAHAN (DI ISI)'!GL146+'KELURAHAN (DI ISI)'!GL147+'KELURAHAN (DI ISI)'!GL148+'KELURAHAN (DI ISI)'!GL149</f>
        <v>0</v>
      </c>
      <c r="HD17" s="248">
        <f>'KELURAHAN (DI ISI)'!GM146+'KELURAHAN (DI ISI)'!GM147+'KELURAHAN (DI ISI)'!GM148+'KELURAHAN (DI ISI)'!GM149</f>
        <v>979</v>
      </c>
      <c r="HE17" s="248">
        <f>'KELURAHAN (DI ISI)'!GN146+'KELURAHAN (DI ISI)'!GN147+'KELURAHAN (DI ISI)'!GN148+'KELURAHAN (DI ISI)'!GN149</f>
        <v>313</v>
      </c>
      <c r="HF17" s="248">
        <f>'KELURAHAN (DI ISI)'!GO146+'KELURAHAN (DI ISI)'!GO147+'KELURAHAN (DI ISI)'!GO148+'KELURAHAN (DI ISI)'!GO149</f>
        <v>941</v>
      </c>
      <c r="HG17" s="248">
        <f>'KELURAHAN (DI ISI)'!GP146+'KELURAHAN (DI ISI)'!GP147+'KELURAHAN (DI ISI)'!GP148+'KELURAHAN (DI ISI)'!GP149</f>
        <v>302</v>
      </c>
      <c r="HH17" s="587">
        <v>941.0</v>
      </c>
      <c r="HI17" s="590">
        <f>'KELURAHAN (DI ISI)'!GR146+'KELURAHAN (DI ISI)'!GR147+'KELURAHAN (DI ISI)'!GR148+'KELURAHAN (DI ISI)'!GR149</f>
        <v>15</v>
      </c>
      <c r="HJ17" s="590">
        <f>'KELURAHAN (DI ISI)'!GS146+'KELURAHAN (DI ISI)'!GS147+'KELURAHAN (DI ISI)'!GS148+'KELURAHAN (DI ISI)'!GS149</f>
        <v>7</v>
      </c>
      <c r="HK17" s="591">
        <f>'KELURAHAN (DI ISI)'!GT146+'KELURAHAN (DI ISI)'!GT147+'KELURAHAN (DI ISI)'!GT148+'KELURAHAN (DI ISI)'!GT149</f>
        <v>15</v>
      </c>
      <c r="HL17" s="591">
        <f>'KELURAHAN (DI ISI)'!GU146+'KELURAHAN (DI ISI)'!GU147+'KELURAHAN (DI ISI)'!GU148+'KELURAHAN (DI ISI)'!GU149</f>
        <v>7</v>
      </c>
      <c r="HM17" s="573">
        <f t="shared" si="20"/>
        <v>8</v>
      </c>
      <c r="HN17" s="248">
        <f>'KELURAHAN (DI ISI)'!GW146+'KELURAHAN (DI ISI)'!GW147+'KELURAHAN (DI ISI)'!GW148+'KELURAHAN (DI ISI)'!GW149</f>
        <v>0</v>
      </c>
      <c r="HO17" s="248">
        <f>'KELURAHAN (DI ISI)'!GX146+'KELURAHAN (DI ISI)'!GX147+'KELURAHAN (DI ISI)'!GX148+'KELURAHAN (DI ISI)'!GX149</f>
        <v>1</v>
      </c>
      <c r="HP17" s="248">
        <f>'KELURAHAN (DI ISI)'!GY146+'KELURAHAN (DI ISI)'!GY147+'KELURAHAN (DI ISI)'!GY148+'KELURAHAN (DI ISI)'!GY149</f>
        <v>3</v>
      </c>
      <c r="HQ17" s="248">
        <f>'KELURAHAN (DI ISI)'!GZ146+'KELURAHAN (DI ISI)'!GZ147+'KELURAHAN (DI ISI)'!GZ148+'KELURAHAN (DI ISI)'!GZ149</f>
        <v>8</v>
      </c>
      <c r="HR17" s="248">
        <f>'KELURAHAN (DI ISI)'!HA146+'KELURAHAN (DI ISI)'!HA147+'KELURAHAN (DI ISI)'!HA148+'KELURAHAN (DI ISI)'!HA149</f>
        <v>0</v>
      </c>
      <c r="HS17" s="248">
        <f>'KELURAHAN (DI ISI)'!HB146+'KELURAHAN (DI ISI)'!HB147+'KELURAHAN (DI ISI)'!HB148+'KELURAHAN (DI ISI)'!HB149</f>
        <v>2</v>
      </c>
      <c r="HT17" s="248">
        <f>'KELURAHAN (DI ISI)'!HC146+'KELURAHAN (DI ISI)'!HC147+'KELURAHAN (DI ISI)'!HC148+'KELURAHAN (DI ISI)'!HC149</f>
        <v>1</v>
      </c>
      <c r="HU17" s="248">
        <f>'KELURAHAN (DI ISI)'!HD146+'KELURAHAN (DI ISI)'!HD147+'KELURAHAN (DI ISI)'!HD148+'KELURAHAN (DI ISI)'!HD149</f>
        <v>0</v>
      </c>
      <c r="HV17" s="248">
        <f>'KELURAHAN (DI ISI)'!HE146+'KELURAHAN (DI ISI)'!HE147+'KELURAHAN (DI ISI)'!HE148+'KELURAHAN (DI ISI)'!HE149</f>
        <v>0</v>
      </c>
      <c r="HW17" s="248">
        <f>'KELURAHAN (DI ISI)'!HF146+'KELURAHAN (DI ISI)'!HF147+'KELURAHAN (DI ISI)'!HF148+'KELURAHAN (DI ISI)'!HF149</f>
        <v>1</v>
      </c>
      <c r="HX17" s="248">
        <f>'KELURAHAN (DI ISI)'!HG146+'KELURAHAN (DI ISI)'!HG147+'KELURAHAN (DI ISI)'!HG148+'KELURAHAN (DI ISI)'!HG149</f>
        <v>0</v>
      </c>
      <c r="HY17" s="248">
        <f>'KELURAHAN (DI ISI)'!HH146+'KELURAHAN (DI ISI)'!HH147+'KELURAHAN (DI ISI)'!HH148+'KELURAHAN (DI ISI)'!HH149</f>
        <v>3</v>
      </c>
      <c r="HZ17" s="248">
        <f>'KELURAHAN (DI ISI)'!HI146+'KELURAHAN (DI ISI)'!HI147+'KELURAHAN (DI ISI)'!HI148+'KELURAHAN (DI ISI)'!HI149</f>
        <v>0</v>
      </c>
      <c r="IA17" s="248">
        <f>'KELURAHAN (DI ISI)'!HJ146+'KELURAHAN (DI ISI)'!HJ147+'KELURAHAN (DI ISI)'!HJ148+'KELURAHAN (DI ISI)'!HJ149</f>
        <v>0</v>
      </c>
      <c r="IB17" s="248">
        <f>'KELURAHAN (DI ISI)'!HK146+'KELURAHAN (DI ISI)'!HK147+'KELURAHAN (DI ISI)'!HK148+'KELURAHAN (DI ISI)'!HK149</f>
        <v>0</v>
      </c>
      <c r="IC17" s="248">
        <f>'KELURAHAN (DI ISI)'!HL146+'KELURAHAN (DI ISI)'!HL147+'KELURAHAN (DI ISI)'!HL148+'KELURAHAN (DI ISI)'!HL149</f>
        <v>0</v>
      </c>
      <c r="ID17" s="248">
        <f>'KELURAHAN (DI ISI)'!HM146+'KELURAHAN (DI ISI)'!HM147+'KELURAHAN (DI ISI)'!HM148+'KELURAHAN (DI ISI)'!HM149</f>
        <v>0</v>
      </c>
      <c r="IE17" s="248">
        <f>'KELURAHAN (DI ISI)'!HN146+'KELURAHAN (DI ISI)'!HN147+'KELURAHAN (DI ISI)'!HN148+'KELURAHAN (DI ISI)'!HN149</f>
        <v>0</v>
      </c>
      <c r="IF17" s="591">
        <f>'KELURAHAN (DI ISI)'!HO146+'KELURAHAN (DI ISI)'!HO147+'KELURAHAN (DI ISI)'!HO148+'KELURAHAN (DI ISI)'!HO149</f>
        <v>0</v>
      </c>
      <c r="IG17" s="591">
        <f>'KELURAHAN (DI ISI)'!HP146+'KELURAHAN (DI ISI)'!HP147+'KELURAHAN (DI ISI)'!HP148+'KELURAHAN (DI ISI)'!HP149</f>
        <v>0</v>
      </c>
      <c r="IK17" s="198">
        <f t="shared" si="21"/>
        <v>15</v>
      </c>
      <c r="IL17" s="198">
        <f t="shared" si="22"/>
        <v>13</v>
      </c>
      <c r="IM17" s="198">
        <f t="shared" si="23"/>
        <v>14</v>
      </c>
      <c r="IN17" s="198">
        <f t="shared" si="24"/>
        <v>11</v>
      </c>
      <c r="IO17" s="198">
        <f t="shared" si="25"/>
        <v>12</v>
      </c>
      <c r="IP17" s="198">
        <f t="shared" si="26"/>
        <v>14</v>
      </c>
      <c r="IQ17" s="574">
        <f t="shared" si="27"/>
        <v>13</v>
      </c>
      <c r="IR17" s="574">
        <f t="shared" si="28"/>
        <v>14</v>
      </c>
      <c r="IS17" s="574">
        <f t="shared" si="29"/>
        <v>17</v>
      </c>
      <c r="IT17" s="574">
        <f t="shared" si="30"/>
        <v>17</v>
      </c>
      <c r="IU17" s="574">
        <f t="shared" si="31"/>
        <v>16</v>
      </c>
      <c r="IV17" s="575">
        <f t="shared" si="32"/>
        <v>15</v>
      </c>
      <c r="IW17" s="583"/>
      <c r="IX17" s="576">
        <f t="shared" si="33"/>
        <v>-15</v>
      </c>
      <c r="IZ17" s="577"/>
      <c r="JA17" s="162">
        <f t="shared" si="34"/>
        <v>-979</v>
      </c>
      <c r="JB17" s="578"/>
      <c r="JC17" s="579">
        <f t="shared" si="35"/>
        <v>-313</v>
      </c>
      <c r="JD17" s="584"/>
      <c r="JE17" s="585"/>
      <c r="JF17" s="577"/>
      <c r="JG17" s="234">
        <f t="shared" si="36"/>
        <v>-941</v>
      </c>
      <c r="JH17" s="578"/>
      <c r="JI17" s="579">
        <f t="shared" si="37"/>
        <v>-302</v>
      </c>
      <c r="JJ17" s="247"/>
    </row>
    <row r="18" ht="14.25" customHeight="1">
      <c r="A18" s="158">
        <v>11.0</v>
      </c>
      <c r="B18" s="157" t="s">
        <v>240</v>
      </c>
      <c r="C18" s="253">
        <v>3374130.0</v>
      </c>
      <c r="D18" s="569" t="s">
        <v>327</v>
      </c>
      <c r="E18" s="253"/>
      <c r="F18" s="252">
        <f>'KELURAHAN (DI ISI)'!F141+'KELURAHAN (DI ISI)'!F142+'KELURAHAN (DI ISI)'!F143+'KELURAHAN (DI ISI)'!F144</f>
        <v>27</v>
      </c>
      <c r="G18" s="252">
        <f>'KELURAHAN (DI ISI)'!G141+'KELURAHAN (DI ISI)'!G142+'KELURAHAN (DI ISI)'!G143+'KELURAHAN (DI ISI)'!G144</f>
        <v>1440</v>
      </c>
      <c r="H18" s="248">
        <f>'KELURAHAN (DI ISI)'!H141+'KELURAHAN (DI ISI)'!H142+'KELURAHAN (DI ISI)'!H143+'KELURAHAN (DI ISI)'!H144</f>
        <v>30</v>
      </c>
      <c r="I18" s="491">
        <f t="shared" si="1"/>
        <v>24</v>
      </c>
      <c r="J18" s="491">
        <f t="shared" si="2"/>
        <v>6</v>
      </c>
      <c r="K18" s="248">
        <f>'KELURAHAN (DI ISI)'!I141+'KELURAHAN (DI ISI)'!I142+'KELURAHAN (DI ISI)'!I143+'KELURAHAN (DI ISI)'!I144</f>
        <v>14</v>
      </c>
      <c r="L18" s="248">
        <f>'KELURAHAN (DI ISI)'!J141+'KELURAHAN (DI ISI)'!J142+'KELURAHAN (DI ISI)'!J143+'KELURAHAN (DI ISI)'!J144</f>
        <v>7</v>
      </c>
      <c r="M18" s="248">
        <f>'KELURAHAN (DI ISI)'!K141+'KELURAHAN (DI ISI)'!K142+'KELURAHAN (DI ISI)'!K143+'KELURAHAN (DI ISI)'!K144</f>
        <v>3</v>
      </c>
      <c r="N18" s="248">
        <f>'KELURAHAN (DI ISI)'!L141+'KELURAHAN (DI ISI)'!L142+'KELURAHAN (DI ISI)'!L143+'KELURAHAN (DI ISI)'!L144</f>
        <v>6</v>
      </c>
      <c r="O18" s="248">
        <f>'KELURAHAN (DI ISI)'!M141+'KELURAHAN (DI ISI)'!M142+'KELURAHAN (DI ISI)'!M143+'KELURAHAN (DI ISI)'!M144</f>
        <v>2</v>
      </c>
      <c r="P18" s="248">
        <f>'KELURAHAN (DI ISI)'!N141+'KELURAHAN (DI ISI)'!N142+'KELURAHAN (DI ISI)'!N143+'KELURAHAN (DI ISI)'!N144</f>
        <v>0</v>
      </c>
      <c r="Q18" s="248">
        <f>'KELURAHAN (DI ISI)'!O141+'KELURAHAN (DI ISI)'!O142+'KELURAHAN (DI ISI)'!O143+'KELURAHAN (DI ISI)'!O144</f>
        <v>28</v>
      </c>
      <c r="R18" s="248">
        <f>'KELURAHAN (DI ISI)'!P141+'KELURAHAN (DI ISI)'!P142+'KELURAHAN (DI ISI)'!P143+'KELURAHAN (DI ISI)'!P144</f>
        <v>21</v>
      </c>
      <c r="S18" s="491">
        <f t="shared" si="3"/>
        <v>8</v>
      </c>
      <c r="T18" s="491">
        <f t="shared" si="4"/>
        <v>13</v>
      </c>
      <c r="U18" s="248">
        <f>'KELURAHAN (DI ISI)'!Q141+'KELURAHAN (DI ISI)'!Q142+'KELURAHAN (DI ISI)'!Q143+'KELURAHAN (DI ISI)'!Q144</f>
        <v>0</v>
      </c>
      <c r="V18" s="248">
        <f>'KELURAHAN (DI ISI)'!R141+'KELURAHAN (DI ISI)'!R142+'KELURAHAN (DI ISI)'!R143+'KELURAHAN (DI ISI)'!R144</f>
        <v>2</v>
      </c>
      <c r="W18" s="248">
        <f>'KELURAHAN (DI ISI)'!S141+'KELURAHAN (DI ISI)'!S142+'KELURAHAN (DI ISI)'!S143+'KELURAHAN (DI ISI)'!S144</f>
        <v>6</v>
      </c>
      <c r="X18" s="248">
        <f>'KELURAHAN (DI ISI)'!T141+'KELURAHAN (DI ISI)'!T142+'KELURAHAN (DI ISI)'!T143+'KELURAHAN (DI ISI)'!T144</f>
        <v>13</v>
      </c>
      <c r="Y18" s="248">
        <f>'KELURAHAN (DI ISI)'!U141+'KELURAHAN (DI ISI)'!U142+'KELURAHAN (DI ISI)'!U143+'KELURAHAN (DI ISI)'!U144</f>
        <v>16</v>
      </c>
      <c r="Z18" s="248">
        <f>'KELURAHAN (DI ISI)'!V141+'KELURAHAN (DI ISI)'!V142+'KELURAHAN (DI ISI)'!V143+'KELURAHAN (DI ISI)'!V144</f>
        <v>14</v>
      </c>
      <c r="AA18" s="248">
        <f>'KELURAHAN (DI ISI)'!W141+'KELURAHAN (DI ISI)'!W142+'KELURAHAN (DI ISI)'!W143+'KELURAHAN (DI ISI)'!W144</f>
        <v>-9</v>
      </c>
      <c r="AB18" s="248">
        <f>'KELURAHAN (DI ISI)'!X141+'KELURAHAN (DI ISI)'!X142+'KELURAHAN (DI ISI)'!X143+'KELURAHAN (DI ISI)'!X144</f>
        <v>18</v>
      </c>
      <c r="AC18" s="491">
        <f t="shared" si="5"/>
        <v>7</v>
      </c>
      <c r="AD18" s="491">
        <f t="shared" si="6"/>
        <v>11</v>
      </c>
      <c r="AE18" s="248">
        <f>'KELURAHAN (DI ISI)'!Y141+'KELURAHAN (DI ISI)'!Y142+'KELURAHAN (DI ISI)'!Y143+'KELURAHAN (DI ISI)'!Y144</f>
        <v>2</v>
      </c>
      <c r="AF18" s="248">
        <f>'KELURAHAN (DI ISI)'!Z141+'KELURAHAN (DI ISI)'!Z142+'KELURAHAN (DI ISI)'!Z143+'KELURAHAN (DI ISI)'!Z144</f>
        <v>1</v>
      </c>
      <c r="AG18" s="248">
        <f>'KELURAHAN (DI ISI)'!AA141+'KELURAHAN (DI ISI)'!AA142+'KELURAHAN (DI ISI)'!AA143+'KELURAHAN (DI ISI)'!AA144</f>
        <v>4</v>
      </c>
      <c r="AH18" s="248">
        <f>'KELURAHAN (DI ISI)'!AB141+'KELURAHAN (DI ISI)'!AB142+'KELURAHAN (DI ISI)'!AB143+'KELURAHAN (DI ISI)'!AB144</f>
        <v>11</v>
      </c>
      <c r="AI18" s="248">
        <f>'KELURAHAN (DI ISI)'!AC141+'KELURAHAN (DI ISI)'!AC142+'KELURAHAN (DI ISI)'!AC143+'KELURAHAN (DI ISI)'!AC144</f>
        <v>10</v>
      </c>
      <c r="AJ18" s="248">
        <f>'KELURAHAN (DI ISI)'!AD141+'KELURAHAN (DI ISI)'!AD142+'KELURAHAN (DI ISI)'!AD143+'KELURAHAN (DI ISI)'!AD144</f>
        <v>21</v>
      </c>
      <c r="AK18" s="248">
        <f>'KELURAHAN (DI ISI)'!AE141+'KELURAHAN (DI ISI)'!AE142+'KELURAHAN (DI ISI)'!AE143+'KELURAHAN (DI ISI)'!AE144</f>
        <v>-13</v>
      </c>
      <c r="AL18" s="248">
        <f>'KELURAHAN (DI ISI)'!AF141+'KELURAHAN (DI ISI)'!AF142+'KELURAHAN (DI ISI)'!AF143+'KELURAHAN (DI ISI)'!AF144</f>
        <v>16</v>
      </c>
      <c r="AM18" s="491">
        <f t="shared" si="7"/>
        <v>3</v>
      </c>
      <c r="AN18" s="491">
        <f t="shared" si="8"/>
        <v>13</v>
      </c>
      <c r="AO18" s="248">
        <f>'KELURAHAN (DI ISI)'!AG141+'KELURAHAN (DI ISI)'!AG142+'KELURAHAN (DI ISI)'!AG143+'KELURAHAN (DI ISI)'!AG144</f>
        <v>0</v>
      </c>
      <c r="AP18" s="248">
        <f>'KELURAHAN (DI ISI)'!AH141+'KELURAHAN (DI ISI)'!AH142+'KELURAHAN (DI ISI)'!AH143+'KELURAHAN (DI ISI)'!AH144</f>
        <v>0</v>
      </c>
      <c r="AQ18" s="248">
        <f>'KELURAHAN (DI ISI)'!AI141+'KELURAHAN (DI ISI)'!AI142+'KELURAHAN (DI ISI)'!AI143+'KELURAHAN (DI ISI)'!AI144</f>
        <v>3</v>
      </c>
      <c r="AR18" s="248">
        <f>'KELURAHAN (DI ISI)'!AJ141+'KELURAHAN (DI ISI)'!AJ142+'KELURAHAN (DI ISI)'!AJ143+'KELURAHAN (DI ISI)'!AJ144</f>
        <v>13</v>
      </c>
      <c r="AS18" s="248">
        <f>'KELURAHAN (DI ISI)'!AK141+'KELURAHAN (DI ISI)'!AK142+'KELURAHAN (DI ISI)'!AK143+'KELURAHAN (DI ISI)'!AK144</f>
        <v>8</v>
      </c>
      <c r="AT18" s="248">
        <f>'KELURAHAN (DI ISI)'!AL141+'KELURAHAN (DI ISI)'!AL142+'KELURAHAN (DI ISI)'!AL143+'KELURAHAN (DI ISI)'!AL144</f>
        <v>10</v>
      </c>
      <c r="AU18" s="248">
        <f>'KELURAHAN (DI ISI)'!AM141+'KELURAHAN (DI ISI)'!AM142+'KELURAHAN (DI ISI)'!AM143+'KELURAHAN (DI ISI)'!AM144</f>
        <v>-2</v>
      </c>
      <c r="AV18" s="248">
        <f>'KELURAHAN (DI ISI)'!AN141+'KELURAHAN (DI ISI)'!AN142+'KELURAHAN (DI ISI)'!AN143+'KELURAHAN (DI ISI)'!AN144</f>
        <v>17</v>
      </c>
      <c r="AW18" s="491">
        <f t="shared" si="9"/>
        <v>4</v>
      </c>
      <c r="AX18" s="491">
        <f t="shared" si="10"/>
        <v>13</v>
      </c>
      <c r="AY18" s="248">
        <f>'KELURAHAN (DI ISI)'!AO141+'KELURAHAN (DI ISI)'!AO142+'KELURAHAN (DI ISI)'!AO143+'KELURAHAN (DI ISI)'!AO144</f>
        <v>0</v>
      </c>
      <c r="AZ18" s="248">
        <f>'KELURAHAN (DI ISI)'!AP141+'KELURAHAN (DI ISI)'!AP142+'KELURAHAN (DI ISI)'!AP143+'KELURAHAN (DI ISI)'!AP144</f>
        <v>1</v>
      </c>
      <c r="BA18" s="248">
        <f>'KELURAHAN (DI ISI)'!AQ141+'KELURAHAN (DI ISI)'!AQ142+'KELURAHAN (DI ISI)'!AQ143+'KELURAHAN (DI ISI)'!AQ144</f>
        <v>3</v>
      </c>
      <c r="BB18" s="248">
        <f>'KELURAHAN (DI ISI)'!AR141+'KELURAHAN (DI ISI)'!AR142+'KELURAHAN (DI ISI)'!AR143+'KELURAHAN (DI ISI)'!AR144</f>
        <v>13</v>
      </c>
      <c r="BC18" s="248">
        <f>'KELURAHAN (DI ISI)'!AS141+'KELURAHAN (DI ISI)'!AS142+'KELURAHAN (DI ISI)'!AS143+'KELURAHAN (DI ISI)'!AS144</f>
        <v>1</v>
      </c>
      <c r="BD18" s="248">
        <f>'KELURAHAN (DI ISI)'!AT141+'KELURAHAN (DI ISI)'!AT142+'KELURAHAN (DI ISI)'!AT143+'KELURAHAN (DI ISI)'!AT144</f>
        <v>0</v>
      </c>
      <c r="BE18" s="248">
        <f>'KELURAHAN (DI ISI)'!AU141+'KELURAHAN (DI ISI)'!AU142+'KELURAHAN (DI ISI)'!AU143+'KELURAHAN (DI ISI)'!AU144</f>
        <v>16</v>
      </c>
      <c r="BF18" s="248">
        <f>'KELURAHAN (DI ISI)'!AV141+'KELURAHAN (DI ISI)'!AV142+'KELURAHAN (DI ISI)'!AV143+'KELURAHAN (DI ISI)'!AV144</f>
        <v>1487</v>
      </c>
      <c r="BG18" s="248">
        <f>'KELURAHAN (DI ISI)'!AW141+'KELURAHAN (DI ISI)'!AW142+'KELURAHAN (DI ISI)'!AW143+'KELURAHAN (DI ISI)'!AW144</f>
        <v>21</v>
      </c>
      <c r="BH18" s="491">
        <f t="shared" si="11"/>
        <v>4</v>
      </c>
      <c r="BI18" s="495">
        <f t="shared" si="12"/>
        <v>12</v>
      </c>
      <c r="BJ18" s="248">
        <f>'KELURAHAN (DI ISI)'!AX141+'KELURAHAN (DI ISI)'!AX142+'KELURAHAN (DI ISI)'!AX143+'KELURAHAN (DI ISI)'!AX144</f>
        <v>0</v>
      </c>
      <c r="BK18" s="248">
        <f>'KELURAHAN (DI ISI)'!AY141+'KELURAHAN (DI ISI)'!AY142+'KELURAHAN (DI ISI)'!AY143+'KELURAHAN (DI ISI)'!AY144</f>
        <v>1</v>
      </c>
      <c r="BL18" s="248">
        <f>'KELURAHAN (DI ISI)'!AZ141+'KELURAHAN (DI ISI)'!AZ142+'KELURAHAN (DI ISI)'!AZ143+'KELURAHAN (DI ISI)'!AZ144</f>
        <v>3</v>
      </c>
      <c r="BM18" s="248">
        <f>'KELURAHAN (DI ISI)'!BA141+'KELURAHAN (DI ISI)'!BA142+'KELURAHAN (DI ISI)'!BA143+'KELURAHAN (DI ISI)'!BA144</f>
        <v>12</v>
      </c>
      <c r="BN18" s="248">
        <f>'KELURAHAN (DI ISI)'!BB141+'KELURAHAN (DI ISI)'!BB142+'KELURAHAN (DI ISI)'!BB143+'KELURAHAN (DI ISI)'!BB144</f>
        <v>0</v>
      </c>
      <c r="BO18" s="248">
        <f>'KELURAHAN (DI ISI)'!BC141+'KELURAHAN (DI ISI)'!BC142+'KELURAHAN (DI ISI)'!BC143+'KELURAHAN (DI ISI)'!BC144</f>
        <v>1</v>
      </c>
      <c r="BP18" s="248">
        <f>'KELURAHAN (DI ISI)'!BD141+'KELURAHAN (DI ISI)'!BD142+'KELURAHAN (DI ISI)'!BD143+'KELURAHAN (DI ISI)'!BD144</f>
        <v>3</v>
      </c>
      <c r="BQ18" s="248">
        <f>'KELURAHAN (DI ISI)'!BE141+'KELURAHAN (DI ISI)'!BE142+'KELURAHAN (DI ISI)'!BE143+'KELURAHAN (DI ISI)'!BE144</f>
        <v>1</v>
      </c>
      <c r="BR18" s="248">
        <f>'KELURAHAN (DI ISI)'!BF141+'KELURAHAN (DI ISI)'!BF142+'KELURAHAN (DI ISI)'!BF143+'KELURAHAN (DI ISI)'!BF144</f>
        <v>0</v>
      </c>
      <c r="BS18" s="248">
        <f>'KELURAHAN (DI ISI)'!BG141+'KELURAHAN (DI ISI)'!BG142+'KELURAHAN (DI ISI)'!BG143+'KELURAHAN (DI ISI)'!BG144</f>
        <v>0</v>
      </c>
      <c r="BT18" s="248">
        <f>'KELURAHAN (DI ISI)'!BH141+'KELURAHAN (DI ISI)'!BH142+'KELURAHAN (DI ISI)'!BH143+'KELURAHAN (DI ISI)'!BH144</f>
        <v>0</v>
      </c>
      <c r="BU18" s="248">
        <f>'KELURAHAN (DI ISI)'!BI141+'KELURAHAN (DI ISI)'!BI142+'KELURAHAN (DI ISI)'!BI143+'KELURAHAN (DI ISI)'!BI144</f>
        <v>0</v>
      </c>
      <c r="BV18" s="248">
        <f>'KELURAHAN (DI ISI)'!BJ141+'KELURAHAN (DI ISI)'!BJ142+'KELURAHAN (DI ISI)'!BJ143+'KELURAHAN (DI ISI)'!BJ144</f>
        <v>0</v>
      </c>
      <c r="BW18" s="248">
        <f>'KELURAHAN (DI ISI)'!BK141+'KELURAHAN (DI ISI)'!BK142+'KELURAHAN (DI ISI)'!BK143+'KELURAHAN (DI ISI)'!BK144</f>
        <v>0</v>
      </c>
      <c r="BX18" s="248">
        <f>'KELURAHAN (DI ISI)'!BL141+'KELURAHAN (DI ISI)'!BL142+'KELURAHAN (DI ISI)'!BL143+'KELURAHAN (DI ISI)'!BL144</f>
        <v>0</v>
      </c>
      <c r="BY18" s="248">
        <f>'KELURAHAN (DI ISI)'!BM141+'KELURAHAN (DI ISI)'!BM142+'KELURAHAN (DI ISI)'!BM143+'KELURAHAN (DI ISI)'!BM144</f>
        <v>1</v>
      </c>
      <c r="BZ18" s="248">
        <f>'KELURAHAN (DI ISI)'!BN141+'KELURAHAN (DI ISI)'!BN142+'KELURAHAN (DI ISI)'!BN143+'KELURAHAN (DI ISI)'!BN144</f>
        <v>0</v>
      </c>
      <c r="CA18" s="248">
        <f>'KELURAHAN (DI ISI)'!BO141+'KELURAHAN (DI ISI)'!BO142+'KELURAHAN (DI ISI)'!BO143+'KELURAHAN (DI ISI)'!BO144</f>
        <v>0</v>
      </c>
      <c r="CB18" s="248">
        <f>'KELURAHAN (DI ISI)'!BP141+'KELURAHAN (DI ISI)'!BP142+'KELURAHAN (DI ISI)'!BP143+'KELURAHAN (DI ISI)'!BP144</f>
        <v>1</v>
      </c>
      <c r="CC18" s="248">
        <f>'KELURAHAN (DI ISI)'!BQ141+'KELURAHAN (DI ISI)'!BQ142+'KELURAHAN (DI ISI)'!BQ143+'KELURAHAN (DI ISI)'!BQ144</f>
        <v>1506</v>
      </c>
      <c r="CD18" s="248">
        <f>'KELURAHAN (DI ISI)'!BR141+'KELURAHAN (DI ISI)'!BR142+'KELURAHAN (DI ISI)'!BR143+'KELURAHAN (DI ISI)'!BR144</f>
        <v>20</v>
      </c>
      <c r="CE18" s="491">
        <f t="shared" si="13"/>
        <v>7</v>
      </c>
      <c r="CF18" s="491">
        <f t="shared" si="14"/>
        <v>13</v>
      </c>
      <c r="CG18" s="248">
        <f>'KELURAHAN (DI ISI)'!BS141+'KELURAHAN (DI ISI)'!BS142+'KELURAHAN (DI ISI)'!BS143+'KELURAHAN (DI ISI)'!BS144</f>
        <v>0</v>
      </c>
      <c r="CH18" s="248">
        <f>'KELURAHAN (DI ISI)'!BT141+'KELURAHAN (DI ISI)'!BT142+'KELURAHAN (DI ISI)'!BT143+'KELURAHAN (DI ISI)'!BT144</f>
        <v>2</v>
      </c>
      <c r="CI18" s="248">
        <f>'KELURAHAN (DI ISI)'!BU141+'KELURAHAN (DI ISI)'!BU142+'KELURAHAN (DI ISI)'!BU143+'KELURAHAN (DI ISI)'!BU144</f>
        <v>5</v>
      </c>
      <c r="CJ18" s="248">
        <f>'KELURAHAN (DI ISI)'!BV141+'KELURAHAN (DI ISI)'!BV142+'KELURAHAN (DI ISI)'!BV143+'KELURAHAN (DI ISI)'!BV144</f>
        <v>13</v>
      </c>
      <c r="CK18" s="248">
        <f>'KELURAHAN (DI ISI)'!BW141+'KELURAHAN (DI ISI)'!BW142+'KELURAHAN (DI ISI)'!BW143+'KELURAHAN (DI ISI)'!BW144</f>
        <v>0</v>
      </c>
      <c r="CL18" s="248">
        <f>'KELURAHAN (DI ISI)'!BX141+'KELURAHAN (DI ISI)'!BX142+'KELURAHAN (DI ISI)'!BX143+'KELURAHAN (DI ISI)'!BX144</f>
        <v>0</v>
      </c>
      <c r="CM18" s="248">
        <f>'KELURAHAN (DI ISI)'!BY141+'KELURAHAN (DI ISI)'!BY142+'KELURAHAN (DI ISI)'!BY143+'KELURAHAN (DI ISI)'!BY144</f>
        <v>0</v>
      </c>
      <c r="CN18" s="248">
        <f>'KELURAHAN (DI ISI)'!BZ141+'KELURAHAN (DI ISI)'!BZ142+'KELURAHAN (DI ISI)'!BZ143+'KELURAHAN (DI ISI)'!BZ144</f>
        <v>0</v>
      </c>
      <c r="CO18" s="248">
        <f>'KELURAHAN (DI ISI)'!CA141+'KELURAHAN (DI ISI)'!CA142+'KELURAHAN (DI ISI)'!CA143+'KELURAHAN (DI ISI)'!CA144</f>
        <v>0</v>
      </c>
      <c r="CP18" s="248">
        <f>'KELURAHAN (DI ISI)'!CB141+'KELURAHAN (DI ISI)'!CB142+'KELURAHAN (DI ISI)'!CB143+'KELURAHAN (DI ISI)'!CB144</f>
        <v>0</v>
      </c>
      <c r="CQ18" s="248">
        <f>'KELURAHAN (DI ISI)'!CC141+'KELURAHAN (DI ISI)'!CC142+'KELURAHAN (DI ISI)'!CC143+'KELURAHAN (DI ISI)'!CC144</f>
        <v>1</v>
      </c>
      <c r="CR18" s="248">
        <f>'KELURAHAN (DI ISI)'!CD141+'KELURAHAN (DI ISI)'!CD142+'KELURAHAN (DI ISI)'!CD143+'KELURAHAN (DI ISI)'!CD144</f>
        <v>0</v>
      </c>
      <c r="CS18" s="248">
        <f>'KELURAHAN (DI ISI)'!CE141+'KELURAHAN (DI ISI)'!CE142+'KELURAHAN (DI ISI)'!CE143+'KELURAHAN (DI ISI)'!CE144</f>
        <v>0</v>
      </c>
      <c r="CT18" s="248">
        <f>'KELURAHAN (DI ISI)'!CF141+'KELURAHAN (DI ISI)'!CF142+'KELURAHAN (DI ISI)'!CF143+'KELURAHAN (DI ISI)'!CF144</f>
        <v>0</v>
      </c>
      <c r="CU18" s="248">
        <f>'KELURAHAN (DI ISI)'!CG141+'KELURAHAN (DI ISI)'!CG142+'KELURAHAN (DI ISI)'!CG143+'KELURAHAN (DI ISI)'!CG144</f>
        <v>0</v>
      </c>
      <c r="CV18" s="248">
        <f>'KELURAHAN (DI ISI)'!CH141+'KELURAHAN (DI ISI)'!CH142+'KELURAHAN (DI ISI)'!CH143+'KELURAHAN (DI ISI)'!CH144</f>
        <v>0</v>
      </c>
      <c r="CW18" s="248">
        <f>'KELURAHAN (DI ISI)'!CI141+'KELURAHAN (DI ISI)'!CI142+'KELURAHAN (DI ISI)'!CI143+'KELURAHAN (DI ISI)'!CI144</f>
        <v>0</v>
      </c>
      <c r="CX18" s="248">
        <f>'KELURAHAN (DI ISI)'!CJ141+'KELURAHAN (DI ISI)'!CJ142+'KELURAHAN (DI ISI)'!CJ143+'KELURAHAN (DI ISI)'!CJ144</f>
        <v>0</v>
      </c>
      <c r="CY18" s="248">
        <f>'KELURAHAN (DI ISI)'!CK141+'KELURAHAN (DI ISI)'!CK142+'KELURAHAN (DI ISI)'!CK143+'KELURAHAN (DI ISI)'!CK144</f>
        <v>1</v>
      </c>
      <c r="CZ18" s="248">
        <f>'KELURAHAN (DI ISI)'!CL141+'KELURAHAN (DI ISI)'!CL142+'KELURAHAN (DI ISI)'!CL143+'KELURAHAN (DI ISI)'!CL144</f>
        <v>1522</v>
      </c>
      <c r="DA18" s="248">
        <f>'KELURAHAN (DI ISI)'!CM141+'KELURAHAN (DI ISI)'!CM142+'KELURAHAN (DI ISI)'!CM143+'KELURAHAN (DI ISI)'!CM144</f>
        <v>326</v>
      </c>
      <c r="DB18" s="248">
        <f>'KELURAHAN (DI ISI)'!CN141+'KELURAHAN (DI ISI)'!CN142+'KELURAHAN (DI ISI)'!CN143+'KELURAHAN (DI ISI)'!CN144</f>
        <v>23</v>
      </c>
      <c r="DC18" s="491">
        <f t="shared" si="15"/>
        <v>5</v>
      </c>
      <c r="DD18" s="491">
        <f t="shared" si="16"/>
        <v>11</v>
      </c>
      <c r="DE18" s="248">
        <f>'KELURAHAN (DI ISI)'!CO141+'KELURAHAN (DI ISI)'!CO142+'KELURAHAN (DI ISI)'!CO143+'KELURAHAN (DI ISI)'!CO144</f>
        <v>0</v>
      </c>
      <c r="DF18" s="248">
        <f>'KELURAHAN (DI ISI)'!CP141+'KELURAHAN (DI ISI)'!CP142+'KELURAHAN (DI ISI)'!CP143+'KELURAHAN (DI ISI)'!CP144</f>
        <v>2</v>
      </c>
      <c r="DG18" s="248">
        <f>'KELURAHAN (DI ISI)'!CQ141+'KELURAHAN (DI ISI)'!CQ142+'KELURAHAN (DI ISI)'!CQ143+'KELURAHAN (DI ISI)'!CQ144</f>
        <v>3</v>
      </c>
      <c r="DH18" s="248">
        <f>'KELURAHAN (DI ISI)'!CR141+'KELURAHAN (DI ISI)'!CR142+'KELURAHAN (DI ISI)'!CR143+'KELURAHAN (DI ISI)'!CR144</f>
        <v>11</v>
      </c>
      <c r="DI18" s="248">
        <f>'KELURAHAN (DI ISI)'!CS141+'KELURAHAN (DI ISI)'!CS142+'KELURAHAN (DI ISI)'!CS143+'KELURAHAN (DI ISI)'!CS144</f>
        <v>0</v>
      </c>
      <c r="DJ18" s="248">
        <f>'KELURAHAN (DI ISI)'!CT141+'KELURAHAN (DI ISI)'!CT142+'KELURAHAN (DI ISI)'!CT143+'KELURAHAN (DI ISI)'!CT144</f>
        <v>2</v>
      </c>
      <c r="DK18" s="248">
        <f>'KELURAHAN (DI ISI)'!CU141+'KELURAHAN (DI ISI)'!CU142+'KELURAHAN (DI ISI)'!CU143+'KELURAHAN (DI ISI)'!CU144</f>
        <v>1</v>
      </c>
      <c r="DL18" s="248">
        <f>'KELURAHAN (DI ISI)'!CV141+'KELURAHAN (DI ISI)'!CV142+'KELURAHAN (DI ISI)'!CV143+'KELURAHAN (DI ISI)'!CV144</f>
        <v>4</v>
      </c>
      <c r="DM18" s="248">
        <f>'KELURAHAN (DI ISI)'!CW141+'KELURAHAN (DI ISI)'!CW142+'KELURAHAN (DI ISI)'!CW143+'KELURAHAN (DI ISI)'!CW144</f>
        <v>0</v>
      </c>
      <c r="DN18" s="248">
        <f>'KELURAHAN (DI ISI)'!CX141+'KELURAHAN (DI ISI)'!CX142+'KELURAHAN (DI ISI)'!CX143+'KELURAHAN (DI ISI)'!CX144</f>
        <v>0</v>
      </c>
      <c r="DO18" s="248">
        <f>'KELURAHAN (DI ISI)'!CY141+'KELURAHAN (DI ISI)'!CY142+'KELURAHAN (DI ISI)'!CY143+'KELURAHAN (DI ISI)'!CY144</f>
        <v>2</v>
      </c>
      <c r="DP18" s="248">
        <f>'KELURAHAN (DI ISI)'!CZ141+'KELURAHAN (DI ISI)'!CZ142+'KELURAHAN (DI ISI)'!CZ143+'KELURAHAN (DI ISI)'!CZ144</f>
        <v>1</v>
      </c>
      <c r="DQ18" s="248">
        <f>'KELURAHAN (DI ISI)'!DA141+'KELURAHAN (DI ISI)'!DA142+'KELURAHAN (DI ISI)'!DA143+'KELURAHAN (DI ISI)'!DA144</f>
        <v>0</v>
      </c>
      <c r="DR18" s="248">
        <f>'KELURAHAN (DI ISI)'!DB141+'KELURAHAN (DI ISI)'!DB142+'KELURAHAN (DI ISI)'!DB143+'KELURAHAN (DI ISI)'!DB144</f>
        <v>0</v>
      </c>
      <c r="DS18" s="248">
        <f>'KELURAHAN (DI ISI)'!DC141+'KELURAHAN (DI ISI)'!DC142+'KELURAHAN (DI ISI)'!DC143+'KELURAHAN (DI ISI)'!DC144</f>
        <v>0</v>
      </c>
      <c r="DT18" s="248">
        <f>'KELURAHAN (DI ISI)'!DD141+'KELURAHAN (DI ISI)'!DD142+'KELURAHAN (DI ISI)'!DD143+'KELURAHAN (DI ISI)'!DD144</f>
        <v>1</v>
      </c>
      <c r="DU18" s="248">
        <f>'KELURAHAN (DI ISI)'!DE141+'KELURAHAN (DI ISI)'!DE142+'KELURAHAN (DI ISI)'!DE143+'KELURAHAN (DI ISI)'!DE144</f>
        <v>0</v>
      </c>
      <c r="DV18" s="248" t="str">
        <f>'KELURAHAN (DI ISI)'!DF141+'KELURAHAN (DI ISI)'!DF142+#REF!+'KELURAHAN (DI ISI)'!DF144</f>
        <v>#REF!</v>
      </c>
      <c r="DW18" s="248">
        <f>'KELURAHAN (DI ISI)'!DG141+'KELURAHAN (DI ISI)'!DG142+'KELURAHAN (DI ISI)'!DG143+'KELURAHAN (DI ISI)'!DG144</f>
        <v>4</v>
      </c>
      <c r="DX18" s="248">
        <f>'KELURAHAN (DI ISI)'!DH141+'KELURAHAN (DI ISI)'!DH142+'KELURAHAN (DI ISI)'!DH143+'KELURAHAN (DI ISI)'!DH144</f>
        <v>1312</v>
      </c>
      <c r="DY18" s="248">
        <f>'KELURAHAN (DI ISI)'!DI141+'KELURAHAN (DI ISI)'!DI142+'KELURAHAN (DI ISI)'!DI143+'KELURAHAN (DI ISI)'!DI144</f>
        <v>315</v>
      </c>
      <c r="DZ18" s="248">
        <f>'KELURAHAN (DI ISI)'!DJ141+'KELURAHAN (DI ISI)'!DJ142+'KELURAHAN (DI ISI)'!DJ143+'KELURAHAN (DI ISI)'!DJ144</f>
        <v>1197</v>
      </c>
      <c r="EA18" s="248">
        <f>'KELURAHAN (DI ISI)'!DK141+'KELURAHAN (DI ISI)'!DK142+'KELURAHAN (DI ISI)'!DK143+'KELURAHAN (DI ISI)'!DK144</f>
        <v>274</v>
      </c>
      <c r="EB18" s="248">
        <f>'KELURAHAN (DI ISI)'!DL141+'KELURAHAN (DI ISI)'!DL142+'KELURAHAN (DI ISI)'!DL143+'KELURAHAN (DI ISI)'!DL144</f>
        <v>25</v>
      </c>
      <c r="EC18" s="248">
        <f>'KELURAHAN (DI ISI)'!DM141+'KELURAHAN (DI ISI)'!DM142+'KELURAHAN (DI ISI)'!DM143+'KELURAHAN (DI ISI)'!DM144</f>
        <v>7</v>
      </c>
      <c r="ED18" s="491">
        <f t="shared" si="17"/>
        <v>18</v>
      </c>
      <c r="EE18" s="248">
        <f>'KELURAHAN (DI ISI)'!DO141+'KELURAHAN (DI ISI)'!DO142+'KELURAHAN (DI ISI)'!DO143+'KELURAHAN (DI ISI)'!DO144</f>
        <v>0</v>
      </c>
      <c r="EF18" s="248">
        <f>'KELURAHAN (DI ISI)'!DP141+'KELURAHAN (DI ISI)'!DP142+'KELURAHAN (DI ISI)'!DP143+'KELURAHAN (DI ISI)'!DP144</f>
        <v>3</v>
      </c>
      <c r="EG18" s="248">
        <f>'KELURAHAN (DI ISI)'!DQ141+'KELURAHAN (DI ISI)'!DQ142+'KELURAHAN (DI ISI)'!DQ143+'KELURAHAN (DI ISI)'!DQ144</f>
        <v>2</v>
      </c>
      <c r="EH18" s="248">
        <f>'KELURAHAN (DI ISI)'!DR141+'KELURAHAN (DI ISI)'!DR142+'KELURAHAN (DI ISI)'!DR143+'KELURAHAN (DI ISI)'!DR144</f>
        <v>15</v>
      </c>
      <c r="EI18" s="248">
        <f>'KELURAHAN (DI ISI)'!DS141+'KELURAHAN (DI ISI)'!DS142+'KELURAHAN (DI ISI)'!DS143+'KELURAHAN (DI ISI)'!DS144</f>
        <v>0</v>
      </c>
      <c r="EJ18" s="248">
        <f>'KELURAHAN (DI ISI)'!DT141+'KELURAHAN (DI ISI)'!DT142+'KELURAHAN (DI ISI)'!DT143+'KELURAHAN (DI ISI)'!DT144</f>
        <v>0</v>
      </c>
      <c r="EK18" s="248">
        <f>'KELURAHAN (DI ISI)'!DU141+'KELURAHAN (DI ISI)'!DU142+'KELURAHAN (DI ISI)'!DU143+'KELURAHAN (DI ISI)'!DU144</f>
        <v>2</v>
      </c>
      <c r="EL18" s="248">
        <f>'KELURAHAN (DI ISI)'!DV141+'KELURAHAN (DI ISI)'!DV142+'KELURAHAN (DI ISI)'!DV143+'KELURAHAN (DI ISI)'!DV144</f>
        <v>3</v>
      </c>
      <c r="EM18" s="248">
        <f>'KELURAHAN (DI ISI)'!DW141+'KELURAHAN (DI ISI)'!DW142+'KELURAHAN (DI ISI)'!DW143+'KELURAHAN (DI ISI)'!DW144</f>
        <v>0</v>
      </c>
      <c r="EN18" s="248">
        <f>'KELURAHAN (DI ISI)'!DX141+'KELURAHAN (DI ISI)'!DX142+'KELURAHAN (DI ISI)'!DX143+'KELURAHAN (DI ISI)'!DX144</f>
        <v>0</v>
      </c>
      <c r="EO18" s="248">
        <f>'KELURAHAN (DI ISI)'!DY141+'KELURAHAN (DI ISI)'!DY142+'KELURAHAN (DI ISI)'!DY143+'KELURAHAN (DI ISI)'!DY144</f>
        <v>1</v>
      </c>
      <c r="EP18" s="248">
        <f>'KELURAHAN (DI ISI)'!DZ141+'KELURAHAN (DI ISI)'!DZ142+'KELURAHAN (DI ISI)'!DZ143+'KELURAHAN (DI ISI)'!DZ144</f>
        <v>1</v>
      </c>
      <c r="EQ18" s="248">
        <f>'KELURAHAN (DI ISI)'!EA141+'KELURAHAN (DI ISI)'!EA142+'KELURAHAN (DI ISI)'!EA143+'KELURAHAN (DI ISI)'!EA144</f>
        <v>0</v>
      </c>
      <c r="ER18" s="248">
        <f>'KELURAHAN (DI ISI)'!EB141+'KELURAHAN (DI ISI)'!EB142+'KELURAHAN (DI ISI)'!EB143+'KELURAHAN (DI ISI)'!EB144</f>
        <v>0</v>
      </c>
      <c r="ES18" s="248">
        <f>'KELURAHAN (DI ISI)'!EC141+'KELURAHAN (DI ISI)'!EC142+'KELURAHAN (DI ISI)'!EC143+'KELURAHAN (DI ISI)'!EC144</f>
        <v>0</v>
      </c>
      <c r="ET18" s="248">
        <f>'KELURAHAN (DI ISI)'!ED141+'KELURAHAN (DI ISI)'!ED142+'KELURAHAN (DI ISI)'!ED143+'KELURAHAN (DI ISI)'!ED144</f>
        <v>1</v>
      </c>
      <c r="EU18" s="248">
        <f>'KELURAHAN (DI ISI)'!EE141+'KELURAHAN (DI ISI)'!EE142+'KELURAHAN (DI ISI)'!EE143+'KELURAHAN (DI ISI)'!EE144</f>
        <v>0</v>
      </c>
      <c r="EV18" s="248">
        <f>'KELURAHAN (DI ISI)'!EF141+'KELURAHAN (DI ISI)'!EF142+'KELURAHAN (DI ISI)'!EF143+'KELURAHAN (DI ISI)'!EF144</f>
        <v>0</v>
      </c>
      <c r="EW18" s="248">
        <f>'KELURAHAN (DI ISI)'!EG141+'KELURAHAN (DI ISI)'!EG142+'KELURAHAN (DI ISI)'!EG143+'KELURAHAN (DI ISI)'!EG144</f>
        <v>3</v>
      </c>
      <c r="EX18" s="248">
        <f>'KELURAHAN (DI ISI)'!EH141+'KELURAHAN (DI ISI)'!EH142+'KELURAHAN (DI ISI)'!EH143+'KELURAHAN (DI ISI)'!EH144</f>
        <v>1</v>
      </c>
      <c r="EY18" s="248">
        <f>'KELURAHAN (DI ISI)'!EI141+'KELURAHAN (DI ISI)'!EI142+'KELURAHAN (DI ISI)'!EI143+'KELURAHAN (DI ISI)'!EI144</f>
        <v>1353</v>
      </c>
      <c r="EZ18" s="248">
        <f>'KELURAHAN (DI ISI)'!EJ141+'KELURAHAN (DI ISI)'!EJ142+'KELURAHAN (DI ISI)'!EJ143+'KELURAHAN (DI ISI)'!EJ144</f>
        <v>328</v>
      </c>
      <c r="FA18" s="248">
        <f>'KELURAHAN (DI ISI)'!EK141+'KELURAHAN (DI ISI)'!EK142+'KELURAHAN (DI ISI)'!EK143+'KELURAHAN (DI ISI)'!EK144</f>
        <v>1242</v>
      </c>
      <c r="FB18" s="248">
        <f>'KELURAHAN (DI ISI)'!EL141+'KELURAHAN (DI ISI)'!EL142+'KELURAHAN (DI ISI)'!EL143+'KELURAHAN (DI ISI)'!EL144</f>
        <v>305</v>
      </c>
      <c r="FC18" s="248">
        <f>'KELURAHAN (DI ISI)'!EM141+'KELURAHAN (DI ISI)'!EM142+'KELURAHAN (DI ISI)'!EM143+'KELURAHAN (DI ISI)'!EM144</f>
        <v>30</v>
      </c>
      <c r="FD18" s="248">
        <f>'KELURAHAN (DI ISI)'!EN141+'KELURAHAN (DI ISI)'!EN142+'KELURAHAN (DI ISI)'!EN143+'KELURAHAN (DI ISI)'!EN144</f>
        <v>8</v>
      </c>
      <c r="FE18" s="491">
        <f t="shared" si="18"/>
        <v>22</v>
      </c>
      <c r="FF18" s="248">
        <f>'KELURAHAN (DI ISI)'!EP141+'KELURAHAN (DI ISI)'!EP142+'KELURAHAN (DI ISI)'!EP143+'KELURAHAN (DI ISI)'!EP144</f>
        <v>0</v>
      </c>
      <c r="FG18" s="248">
        <f>'KELURAHAN (DI ISI)'!EQ141+'KELURAHAN (DI ISI)'!EQ142+'KELURAHAN (DI ISI)'!EQ143+'KELURAHAN (DI ISI)'!EQ144</f>
        <v>1</v>
      </c>
      <c r="FH18" s="248">
        <f>'KELURAHAN (DI ISI)'!ER141+'KELURAHAN (DI ISI)'!ER142+'KELURAHAN (DI ISI)'!ER143+'KELURAHAN (DI ISI)'!ER144</f>
        <v>4</v>
      </c>
      <c r="FI18" s="248">
        <f>'KELURAHAN (DI ISI)'!ES141+'KELURAHAN (DI ISI)'!ES142+'KELURAHAN (DI ISI)'!ES143+'KELURAHAN (DI ISI)'!ES144</f>
        <v>18</v>
      </c>
      <c r="FJ18" s="248">
        <f>'KELURAHAN (DI ISI)'!ET141+'KELURAHAN (DI ISI)'!ET142+'KELURAHAN (DI ISI)'!ET143+'KELURAHAN (DI ISI)'!ET144</f>
        <v>0</v>
      </c>
      <c r="FK18" s="248">
        <f>'KELURAHAN (DI ISI)'!EU141+'KELURAHAN (DI ISI)'!EU142+'KELURAHAN (DI ISI)'!EU143+'KELURAHAN (DI ISI)'!EU144</f>
        <v>0</v>
      </c>
      <c r="FL18" s="248">
        <f>'KELURAHAN (DI ISI)'!EV141+'KELURAHAN (DI ISI)'!EV142+'KELURAHAN (DI ISI)'!EV143+'KELURAHAN (DI ISI)'!EV144</f>
        <v>3</v>
      </c>
      <c r="FM18" s="248">
        <f>'KELURAHAN (DI ISI)'!EW141+'KELURAHAN (DI ISI)'!EW142+'KELURAHAN (DI ISI)'!EW143+'KELURAHAN (DI ISI)'!EW144</f>
        <v>4</v>
      </c>
      <c r="FN18" s="248">
        <f>'KELURAHAN (DI ISI)'!EX141+'KELURAHAN (DI ISI)'!EX142+'KELURAHAN (DI ISI)'!EX143+'KELURAHAN (DI ISI)'!EX144</f>
        <v>0</v>
      </c>
      <c r="FO18" s="248">
        <f>'KELURAHAN (DI ISI)'!EY141+'KELURAHAN (DI ISI)'!EY142+'KELURAHAN (DI ISI)'!EY143+'KELURAHAN (DI ISI)'!EY144</f>
        <v>0</v>
      </c>
      <c r="FP18" s="248">
        <f>'KELURAHAN (DI ISI)'!EZ141+'KELURAHAN (DI ISI)'!EZ142+'KELURAHAN (DI ISI)'!EZ143+'KELURAHAN (DI ISI)'!EZ144</f>
        <v>1</v>
      </c>
      <c r="FQ18" s="248">
        <f>'KELURAHAN (DI ISI)'!FA141+'KELURAHAN (DI ISI)'!FA142+'KELURAHAN (DI ISI)'!FA143+'KELURAHAN (DI ISI)'!FA144</f>
        <v>0</v>
      </c>
      <c r="FR18" s="248">
        <f>'KELURAHAN (DI ISI)'!FB141+'KELURAHAN (DI ISI)'!FB142+'KELURAHAN (DI ISI)'!FB143+'KELURAHAN (DI ISI)'!FB144</f>
        <v>0</v>
      </c>
      <c r="FS18" s="248">
        <f>'KELURAHAN (DI ISI)'!FC141+'KELURAHAN (DI ISI)'!FC142+'KELURAHAN (DI ISI)'!FC143+'KELURAHAN (DI ISI)'!FC144</f>
        <v>0</v>
      </c>
      <c r="FT18" s="248">
        <f>'KELURAHAN (DI ISI)'!FD141+'KELURAHAN (DI ISI)'!FD142+'KELURAHAN (DI ISI)'!FD143+'KELURAHAN (DI ISI)'!FD144</f>
        <v>1</v>
      </c>
      <c r="FU18" s="248">
        <f>'KELURAHAN (DI ISI)'!FE141+'KELURAHAN (DI ISI)'!FE142+'KELURAHAN (DI ISI)'!FE143+'KELURAHAN (DI ISI)'!FE144</f>
        <v>0</v>
      </c>
      <c r="FV18" s="248">
        <f>'KELURAHAN (DI ISI)'!FF141+'KELURAHAN (DI ISI)'!FF142+'KELURAHAN (DI ISI)'!FF143+'KELURAHAN (DI ISI)'!FF144</f>
        <v>0</v>
      </c>
      <c r="FW18" s="248">
        <f>'KELURAHAN (DI ISI)'!FG141+'KELURAHAN (DI ISI)'!FG142+'KELURAHAN (DI ISI)'!FG143+'KELURAHAN (DI ISI)'!FG144</f>
        <v>0</v>
      </c>
      <c r="FX18" s="248">
        <f>'KELURAHAN (DI ISI)'!FH141+'KELURAHAN (DI ISI)'!FH142+'KELURAHAN (DI ISI)'!FH143+'KELURAHAN (DI ISI)'!FH144</f>
        <v>2</v>
      </c>
      <c r="FY18" s="248">
        <f>'KELURAHAN (DI ISI)'!FI141+'KELURAHAN (DI ISI)'!FI142+'KELURAHAN (DI ISI)'!FI143+'KELURAHAN (DI ISI)'!FI144</f>
        <v>2</v>
      </c>
      <c r="FZ18" s="248">
        <f>'KELURAHAN (DI ISI)'!FJ141+'KELURAHAN (DI ISI)'!FJ142+'KELURAHAN (DI ISI)'!FJ143+'KELURAHAN (DI ISI)'!FJ144</f>
        <v>1325</v>
      </c>
      <c r="GA18" s="248">
        <f>'KELURAHAN (DI ISI)'!FK141+'KELURAHAN (DI ISI)'!FK142+'KELURAHAN (DI ISI)'!FK143+'KELURAHAN (DI ISI)'!FK144</f>
        <v>313</v>
      </c>
      <c r="GB18" s="248">
        <f>'KELURAHAN (DI ISI)'!FL141+'KELURAHAN (DI ISI)'!FL142+'KELURAHAN (DI ISI)'!FL143+'KELURAHAN (DI ISI)'!FL144</f>
        <v>1231</v>
      </c>
      <c r="GC18" s="248">
        <f>'KELURAHAN (DI ISI)'!FM141+'KELURAHAN (DI ISI)'!FM142+'KELURAHAN (DI ISI)'!FM143+'KELURAHAN (DI ISI)'!FM144</f>
        <v>295</v>
      </c>
      <c r="GD18" s="587">
        <v>1231.0</v>
      </c>
      <c r="GE18" s="588">
        <f>'KELURAHAN (DI ISI)'!FO141+'KELURAHAN (DI ISI)'!FO142+'KELURAHAN (DI ISI)'!FO143+'KELURAHAN (DI ISI)'!FO144</f>
        <v>33</v>
      </c>
      <c r="GF18" s="588">
        <f>'KELURAHAN (DI ISI)'!FP141+'KELURAHAN (DI ISI)'!FP142+'KELURAHAN (DI ISI)'!FP143+'KELURAHAN (DI ISI)'!FP144</f>
        <v>33</v>
      </c>
      <c r="GG18" s="588">
        <f>'KELURAHAN (DI ISI)'!FP141+'KELURAHAN (DI ISI)'!FP142+'KELURAHAN (DI ISI)'!FP143+'KELURAHAN (DI ISI)'!FP144</f>
        <v>33</v>
      </c>
      <c r="GH18" s="588">
        <f>'KELURAHAN (DI ISI)'!FQ141+'KELURAHAN (DI ISI)'!FQ142+'KELURAHAN (DI ISI)'!FQ143+'KELURAHAN (DI ISI)'!FQ144</f>
        <v>11</v>
      </c>
      <c r="GI18" s="571">
        <f t="shared" si="19"/>
        <v>22</v>
      </c>
      <c r="GJ18" s="248">
        <f>'KELURAHAN (DI ISI)'!FS141+'KELURAHAN (DI ISI)'!FS142+'KELURAHAN (DI ISI)'!FS143+'KELURAHAN (DI ISI)'!FS144</f>
        <v>0</v>
      </c>
      <c r="GK18" s="248">
        <f>'KELURAHAN (DI ISI)'!FT141+'KELURAHAN (DI ISI)'!FT142+'KELURAHAN (DI ISI)'!FT143+'KELURAHAN (DI ISI)'!FT144</f>
        <v>0</v>
      </c>
      <c r="GL18" s="248">
        <f>'KELURAHAN (DI ISI)'!FU141+'KELURAHAN (DI ISI)'!FU142+'KELURAHAN (DI ISI)'!FU143+'KELURAHAN (DI ISI)'!FU144</f>
        <v>8</v>
      </c>
      <c r="GM18" s="248">
        <f>'KELURAHAN (DI ISI)'!FV141+'KELURAHAN (DI ISI)'!FV142+'KELURAHAN (DI ISI)'!FV143+'KELURAHAN (DI ISI)'!FV144</f>
        <v>21</v>
      </c>
      <c r="GN18" s="248">
        <f>'KELURAHAN (DI ISI)'!FW141+'KELURAHAN (DI ISI)'!FW142+'KELURAHAN (DI ISI)'!FW143+'KELURAHAN (DI ISI)'!FW144</f>
        <v>0</v>
      </c>
      <c r="GO18" s="248">
        <f>'KELURAHAN (DI ISI)'!FX141+'KELURAHAN (DI ISI)'!FX142+'KELURAHAN (DI ISI)'!FX143+'KELURAHAN (DI ISI)'!FX144</f>
        <v>1</v>
      </c>
      <c r="GP18" s="248">
        <f>'KELURAHAN (DI ISI)'!FY141+'KELURAHAN (DI ISI)'!FY142+'KELURAHAN (DI ISI)'!FY143+'KELURAHAN (DI ISI)'!FY144</f>
        <v>2</v>
      </c>
      <c r="GQ18" s="248">
        <f>'KELURAHAN (DI ISI)'!FZ141+'KELURAHAN (DI ISI)'!FZ142+'KELURAHAN (DI ISI)'!FZ143+'KELURAHAN (DI ISI)'!FZ144</f>
        <v>1</v>
      </c>
      <c r="GR18" s="248">
        <f>'KELURAHAN (DI ISI)'!GA141+'KELURAHAN (DI ISI)'!GA142+'KELURAHAN (DI ISI)'!GA143+'KELURAHAN (DI ISI)'!GA144</f>
        <v>0</v>
      </c>
      <c r="GS18" s="248">
        <f>'KELURAHAN (DI ISI)'!GB141+'KELURAHAN (DI ISI)'!GB142+'KELURAHAN (DI ISI)'!GB143+'KELURAHAN (DI ISI)'!GB144</f>
        <v>0</v>
      </c>
      <c r="GT18" s="248">
        <f>'KELURAHAN (DI ISI)'!GC141+'KELURAHAN (DI ISI)'!GC142+'KELURAHAN (DI ISI)'!GC143+'KELURAHAN (DI ISI)'!GC144</f>
        <v>0</v>
      </c>
      <c r="GU18" s="248">
        <f>'KELURAHAN (DI ISI)'!GD141+'KELURAHAN (DI ISI)'!GD142+'KELURAHAN (DI ISI)'!GD143+'KELURAHAN (DI ISI)'!GD144</f>
        <v>1</v>
      </c>
      <c r="GV18" s="248">
        <f>'KELURAHAN (DI ISI)'!GE141+'KELURAHAN (DI ISI)'!GE142+'KELURAHAN (DI ISI)'!GE143+'KELURAHAN (DI ISI)'!GE144</f>
        <v>0</v>
      </c>
      <c r="GW18" s="248">
        <f>'KELURAHAN (DI ISI)'!GF141+'KELURAHAN (DI ISI)'!GF142+'KELURAHAN (DI ISI)'!GF143+'KELURAHAN (DI ISI)'!GF144</f>
        <v>0</v>
      </c>
      <c r="GX18" s="248">
        <f>'KELURAHAN (DI ISI)'!GG141+'KELURAHAN (DI ISI)'!GG142+'KELURAHAN (DI ISI)'!GG143+'KELURAHAN (DI ISI)'!GG144</f>
        <v>0</v>
      </c>
      <c r="GY18" s="248">
        <f>'KELURAHAN (DI ISI)'!GH141+'KELURAHAN (DI ISI)'!GH142+'KELURAHAN (DI ISI)'!GH143+'KELURAHAN (DI ISI)'!GH144</f>
        <v>0</v>
      </c>
      <c r="GZ18" s="248">
        <f>'KELURAHAN (DI ISI)'!GI141+'KELURAHAN (DI ISI)'!GI142+'KELURAHAN (DI ISI)'!GI143+'KELURAHAN (DI ISI)'!GI144</f>
        <v>0</v>
      </c>
      <c r="HA18" s="248">
        <f>'KELURAHAN (DI ISI)'!GJ141+'KELURAHAN (DI ISI)'!GJ142+'KELURAHAN (DI ISI)'!GJ143+'KELURAHAN (DI ISI)'!GJ144</f>
        <v>0</v>
      </c>
      <c r="HB18" s="589">
        <f>'KELURAHAN (DI ISI)'!GK141+'KELURAHAN (DI ISI)'!GK142+'KELURAHAN (DI ISI)'!GK143+'KELURAHAN (DI ISI)'!GK144</f>
        <v>1</v>
      </c>
      <c r="HC18" s="589">
        <f>'KELURAHAN (DI ISI)'!GL141+'KELURAHAN (DI ISI)'!GL142+'KELURAHAN (DI ISI)'!GL143+'KELURAHAN (DI ISI)'!GL144</f>
        <v>0</v>
      </c>
      <c r="HD18" s="248">
        <f>'KELURAHAN (DI ISI)'!GM141+'KELURAHAN (DI ISI)'!GM142+'KELURAHAN (DI ISI)'!GM143+'KELURAHAN (DI ISI)'!GM144</f>
        <v>1323</v>
      </c>
      <c r="HE18" s="248">
        <f>'KELURAHAN (DI ISI)'!GN141+'KELURAHAN (DI ISI)'!GN142+'KELURAHAN (DI ISI)'!GN143+'KELURAHAN (DI ISI)'!GN144</f>
        <v>329</v>
      </c>
      <c r="HF18" s="248">
        <f>'KELURAHAN (DI ISI)'!GO141+'KELURAHAN (DI ISI)'!GO142+'KELURAHAN (DI ISI)'!GO143+'KELURAHAN (DI ISI)'!GO144</f>
        <v>1199</v>
      </c>
      <c r="HG18" s="248">
        <f>'KELURAHAN (DI ISI)'!GP141+'KELURAHAN (DI ISI)'!GP142+'KELURAHAN (DI ISI)'!GP143+'KELURAHAN (DI ISI)'!GP144</f>
        <v>291</v>
      </c>
      <c r="HH18" s="587">
        <v>1231.0</v>
      </c>
      <c r="HI18" s="590">
        <f>'KELURAHAN (DI ISI)'!GR141+'KELURAHAN (DI ISI)'!GR142+'KELURAHAN (DI ISI)'!GR143+'KELURAHAN (DI ISI)'!GR144</f>
        <v>29</v>
      </c>
      <c r="HJ18" s="590">
        <f>'KELURAHAN (DI ISI)'!GS141+'KELURAHAN (DI ISI)'!GS142+'KELURAHAN (DI ISI)'!GS143+'KELURAHAN (DI ISI)'!GS144</f>
        <v>10</v>
      </c>
      <c r="HK18" s="591">
        <f>'KELURAHAN (DI ISI)'!GT141+'KELURAHAN (DI ISI)'!GT142+'KELURAHAN (DI ISI)'!GT143+'KELURAHAN (DI ISI)'!GT144</f>
        <v>29</v>
      </c>
      <c r="HL18" s="591">
        <f>'KELURAHAN (DI ISI)'!GU141+'KELURAHAN (DI ISI)'!GU142+'KELURAHAN (DI ISI)'!GU143+'KELURAHAN (DI ISI)'!GU144</f>
        <v>10</v>
      </c>
      <c r="HM18" s="573">
        <f t="shared" si="20"/>
        <v>19</v>
      </c>
      <c r="HN18" s="248">
        <f>'KELURAHAN (DI ISI)'!GW141+'KELURAHAN (DI ISI)'!GW142+'KELURAHAN (DI ISI)'!GW143+'KELURAHAN (DI ISI)'!GW144</f>
        <v>0</v>
      </c>
      <c r="HO18" s="248">
        <f>'KELURAHAN (DI ISI)'!GX141+'KELURAHAN (DI ISI)'!GX142+'KELURAHAN (DI ISI)'!GX143+'KELURAHAN (DI ISI)'!GX144</f>
        <v>1</v>
      </c>
      <c r="HP18" s="248">
        <f>'KELURAHAN (DI ISI)'!GY141+'KELURAHAN (DI ISI)'!GY142+'KELURAHAN (DI ISI)'!GY143+'KELURAHAN (DI ISI)'!GY144</f>
        <v>9</v>
      </c>
      <c r="HQ18" s="248">
        <f>'KELURAHAN (DI ISI)'!GZ141+'KELURAHAN (DI ISI)'!GZ142+'KELURAHAN (DI ISI)'!GZ143+'KELURAHAN (DI ISI)'!GZ144</f>
        <v>19</v>
      </c>
      <c r="HR18" s="248">
        <f>'KELURAHAN (DI ISI)'!HA141+'KELURAHAN (DI ISI)'!HA142+'KELURAHAN (DI ISI)'!HA143+'KELURAHAN (DI ISI)'!HA144</f>
        <v>0</v>
      </c>
      <c r="HS18" s="248">
        <f>'KELURAHAN (DI ISI)'!HB141+'KELURAHAN (DI ISI)'!HB142+'KELURAHAN (DI ISI)'!HB143+'KELURAHAN (DI ISI)'!HB144</f>
        <v>0</v>
      </c>
      <c r="HT18" s="248">
        <f>'KELURAHAN (DI ISI)'!HC141+'KELURAHAN (DI ISI)'!HC142+'KELURAHAN (DI ISI)'!HC143+'KELURAHAN (DI ISI)'!HC144</f>
        <v>0</v>
      </c>
      <c r="HU18" s="248">
        <f>'KELURAHAN (DI ISI)'!HD141+'KELURAHAN (DI ISI)'!HD142+'KELURAHAN (DI ISI)'!HD143+'KELURAHAN (DI ISI)'!HD144</f>
        <v>0</v>
      </c>
      <c r="HV18" s="248">
        <f>'KELURAHAN (DI ISI)'!HE141+'KELURAHAN (DI ISI)'!HE142+'KELURAHAN (DI ISI)'!HE143+'KELURAHAN (DI ISI)'!HE144</f>
        <v>0</v>
      </c>
      <c r="HW18" s="248">
        <f>'KELURAHAN (DI ISI)'!HF141+'KELURAHAN (DI ISI)'!HF142+'KELURAHAN (DI ISI)'!HF143+'KELURAHAN (DI ISI)'!HF144</f>
        <v>0</v>
      </c>
      <c r="HX18" s="248">
        <f>'KELURAHAN (DI ISI)'!HG141+'KELURAHAN (DI ISI)'!HG142+'KELURAHAN (DI ISI)'!HG143+'KELURAHAN (DI ISI)'!HG144</f>
        <v>0</v>
      </c>
      <c r="HY18" s="248">
        <f>'KELURAHAN (DI ISI)'!HH141+'KELURAHAN (DI ISI)'!HH142+'KELURAHAN (DI ISI)'!HH143+'KELURAHAN (DI ISI)'!HH144</f>
        <v>4</v>
      </c>
      <c r="HZ18" s="248">
        <f>'KELURAHAN (DI ISI)'!HI141+'KELURAHAN (DI ISI)'!HI142+'KELURAHAN (DI ISI)'!HI143+'KELURAHAN (DI ISI)'!HI144</f>
        <v>0</v>
      </c>
      <c r="IA18" s="248">
        <f>'KELURAHAN (DI ISI)'!HJ141+'KELURAHAN (DI ISI)'!HJ142+'KELURAHAN (DI ISI)'!HJ143+'KELURAHAN (DI ISI)'!HJ144</f>
        <v>0</v>
      </c>
      <c r="IB18" s="248">
        <f>'KELURAHAN (DI ISI)'!HK141+'KELURAHAN (DI ISI)'!HK142+'KELURAHAN (DI ISI)'!HK143+'KELURAHAN (DI ISI)'!HK144</f>
        <v>0</v>
      </c>
      <c r="IC18" s="248">
        <f>'KELURAHAN (DI ISI)'!HL141+'KELURAHAN (DI ISI)'!HL142+'KELURAHAN (DI ISI)'!HL143+'KELURAHAN (DI ISI)'!HL144</f>
        <v>0</v>
      </c>
      <c r="ID18" s="248">
        <f>'KELURAHAN (DI ISI)'!HM141+'KELURAHAN (DI ISI)'!HM142+'KELURAHAN (DI ISI)'!HM143+'KELURAHAN (DI ISI)'!HM144</f>
        <v>0</v>
      </c>
      <c r="IE18" s="248">
        <f>'KELURAHAN (DI ISI)'!HN141+'KELURAHAN (DI ISI)'!HN142+'KELURAHAN (DI ISI)'!HN143+'KELURAHAN (DI ISI)'!HN144</f>
        <v>0</v>
      </c>
      <c r="IF18" s="591">
        <f>'KELURAHAN (DI ISI)'!HO141+'KELURAHAN (DI ISI)'!HO142+'KELURAHAN (DI ISI)'!HO143+'KELURAHAN (DI ISI)'!HO144</f>
        <v>0</v>
      </c>
      <c r="IG18" s="591">
        <f>'KELURAHAN (DI ISI)'!HP141+'KELURAHAN (DI ISI)'!HP142+'KELURAHAN (DI ISI)'!HP143+'KELURAHAN (DI ISI)'!HP144</f>
        <v>0</v>
      </c>
      <c r="IK18" s="198">
        <f t="shared" si="21"/>
        <v>30</v>
      </c>
      <c r="IL18" s="198">
        <f t="shared" si="22"/>
        <v>21</v>
      </c>
      <c r="IM18" s="198">
        <f t="shared" si="23"/>
        <v>18</v>
      </c>
      <c r="IN18" s="198">
        <f t="shared" si="24"/>
        <v>16</v>
      </c>
      <c r="IO18" s="198">
        <f t="shared" si="25"/>
        <v>17</v>
      </c>
      <c r="IP18" s="198">
        <f t="shared" si="26"/>
        <v>21</v>
      </c>
      <c r="IQ18" s="574">
        <f t="shared" si="27"/>
        <v>20</v>
      </c>
      <c r="IR18" s="574">
        <f t="shared" si="28"/>
        <v>23</v>
      </c>
      <c r="IS18" s="574">
        <f t="shared" si="29"/>
        <v>25</v>
      </c>
      <c r="IT18" s="574">
        <f t="shared" si="30"/>
        <v>30</v>
      </c>
      <c r="IU18" s="574">
        <f t="shared" si="31"/>
        <v>33</v>
      </c>
      <c r="IV18" s="575">
        <f t="shared" si="32"/>
        <v>29</v>
      </c>
      <c r="IW18" s="583"/>
      <c r="IX18" s="576">
        <f t="shared" si="33"/>
        <v>-29</v>
      </c>
      <c r="IZ18" s="237"/>
      <c r="JA18" s="162">
        <f t="shared" si="34"/>
        <v>-1323</v>
      </c>
      <c r="JB18" s="578"/>
      <c r="JC18" s="579">
        <f t="shared" si="35"/>
        <v>-329</v>
      </c>
      <c r="JD18" s="597"/>
      <c r="JE18" s="585"/>
      <c r="JF18" s="577"/>
      <c r="JG18" s="234">
        <f t="shared" si="36"/>
        <v>-1199</v>
      </c>
      <c r="JH18" s="578"/>
      <c r="JI18" s="579">
        <f t="shared" si="37"/>
        <v>-291</v>
      </c>
      <c r="JJ18" s="247"/>
    </row>
    <row r="19" ht="14.25" customHeight="1">
      <c r="A19" s="158">
        <v>12.0</v>
      </c>
      <c r="B19" s="157" t="s">
        <v>240</v>
      </c>
      <c r="C19" s="253">
        <v>3374130.0</v>
      </c>
      <c r="D19" s="569" t="s">
        <v>244</v>
      </c>
      <c r="E19" s="253"/>
      <c r="F19" s="259">
        <f>'KELURAHAN (DI ISI)'!F153+'KELURAHAN (DI ISI)'!F139+'KELURAHAN (DI ISI)'!F140</f>
        <v>33</v>
      </c>
      <c r="G19" s="259">
        <f>'KELURAHAN (DI ISI)'!G153+'KELURAHAN (DI ISI)'!G139+'KELURAHAN (DI ISI)'!G140</f>
        <v>2530</v>
      </c>
      <c r="H19" s="259">
        <f>'KELURAHAN (DI ISI)'!H153+'KELURAHAN (DI ISI)'!H139+'KELURAHAN (DI ISI)'!H140</f>
        <v>104</v>
      </c>
      <c r="I19" s="491">
        <f t="shared" si="1"/>
        <v>49</v>
      </c>
      <c r="J19" s="491">
        <f t="shared" si="2"/>
        <v>55</v>
      </c>
      <c r="K19" s="491">
        <f>'KELURAHAN (DI ISI)'!I153+'KELURAHAN (DI ISI)'!I139+'KELURAHAN (DI ISI)'!I140</f>
        <v>11</v>
      </c>
      <c r="L19" s="491">
        <f>'KELURAHAN (DI ISI)'!J153+'KELURAHAN (DI ISI)'!J139+'KELURAHAN (DI ISI)'!J140</f>
        <v>9</v>
      </c>
      <c r="M19" s="491">
        <f>'KELURAHAN (DI ISI)'!K153+'KELURAHAN (DI ISI)'!K139+'KELURAHAN (DI ISI)'!K140</f>
        <v>29</v>
      </c>
      <c r="N19" s="491">
        <f>'KELURAHAN (DI ISI)'!L153+'KELURAHAN (DI ISI)'!L139+'KELURAHAN (DI ISI)'!L140</f>
        <v>55</v>
      </c>
      <c r="O19" s="491">
        <f>'KELURAHAN (DI ISI)'!M153+'KELURAHAN (DI ISI)'!M139+'KELURAHAN (DI ISI)'!M140</f>
        <v>0</v>
      </c>
      <c r="P19" s="491">
        <f>'KELURAHAN (DI ISI)'!N153+'KELURAHAN (DI ISI)'!N139+'KELURAHAN (DI ISI)'!N140</f>
        <v>0</v>
      </c>
      <c r="Q19" s="491">
        <f>'KELURAHAN (DI ISI)'!O153+'KELURAHAN (DI ISI)'!O139+'KELURAHAN (DI ISI)'!O140</f>
        <v>104</v>
      </c>
      <c r="R19" s="491">
        <f>'KELURAHAN (DI ISI)'!P153+'KELURAHAN (DI ISI)'!P139+'KELURAHAN (DI ISI)'!P140</f>
        <v>70</v>
      </c>
      <c r="S19" s="491">
        <f t="shared" si="3"/>
        <v>28</v>
      </c>
      <c r="T19" s="491">
        <f t="shared" si="4"/>
        <v>42</v>
      </c>
      <c r="U19" s="491">
        <f>'KELURAHAN (DI ISI)'!Q153+'KELURAHAN (DI ISI)'!Q139+'KELURAHAN (DI ISI)'!Q140</f>
        <v>6</v>
      </c>
      <c r="V19" s="491">
        <f>'KELURAHAN (DI ISI)'!R153+'KELURAHAN (DI ISI)'!R139+'KELURAHAN (DI ISI)'!R140</f>
        <v>2</v>
      </c>
      <c r="W19" s="491">
        <f>'KELURAHAN (DI ISI)'!S153+'KELURAHAN (DI ISI)'!S139+'KELURAHAN (DI ISI)'!S140</f>
        <v>20</v>
      </c>
      <c r="X19" s="491">
        <f>'KELURAHAN (DI ISI)'!T153+'KELURAHAN (DI ISI)'!T139+'KELURAHAN (DI ISI)'!T140</f>
        <v>42</v>
      </c>
      <c r="Y19" s="491">
        <f>'KELURAHAN (DI ISI)'!U153+'KELURAHAN (DI ISI)'!U139+'KELURAHAN (DI ISI)'!U140</f>
        <v>10</v>
      </c>
      <c r="Z19" s="491">
        <f>'KELURAHAN (DI ISI)'!V153+'KELURAHAN (DI ISI)'!V139+'KELURAHAN (DI ISI)'!V140</f>
        <v>52</v>
      </c>
      <c r="AA19" s="491">
        <f>'KELURAHAN (DI ISI)'!W153+'KELURAHAN (DI ISI)'!W139+'KELURAHAN (DI ISI)'!W140</f>
        <v>8</v>
      </c>
      <c r="AB19" s="491">
        <f>'KELURAHAN (DI ISI)'!X153+'KELURAHAN (DI ISI)'!X139+'KELURAHAN (DI ISI)'!X140</f>
        <v>79</v>
      </c>
      <c r="AC19" s="491">
        <f t="shared" si="5"/>
        <v>37</v>
      </c>
      <c r="AD19" s="491">
        <f t="shared" si="6"/>
        <v>42</v>
      </c>
      <c r="AE19" s="491">
        <f>'KELURAHAN (DI ISI)'!Y153+'KELURAHAN (DI ISI)'!Y139+'KELURAHAN (DI ISI)'!Y140</f>
        <v>5</v>
      </c>
      <c r="AF19" s="491">
        <f>'KELURAHAN (DI ISI)'!Z153+'KELURAHAN (DI ISI)'!Z139+'KELURAHAN (DI ISI)'!Z140</f>
        <v>9</v>
      </c>
      <c r="AG19" s="491">
        <f>'KELURAHAN (DI ISI)'!AA153+'KELURAHAN (DI ISI)'!AA139+'KELURAHAN (DI ISI)'!AA140</f>
        <v>23</v>
      </c>
      <c r="AH19" s="491">
        <f>'KELURAHAN (DI ISI)'!AB153+'KELURAHAN (DI ISI)'!AB139+'KELURAHAN (DI ISI)'!AB140</f>
        <v>42</v>
      </c>
      <c r="AI19" s="491">
        <f>'KELURAHAN (DI ISI)'!AC153+'KELURAHAN (DI ISI)'!AC139+'KELURAHAN (DI ISI)'!AC140</f>
        <v>32</v>
      </c>
      <c r="AJ19" s="491">
        <f>'KELURAHAN (DI ISI)'!AD153+'KELURAHAN (DI ISI)'!AD139+'KELURAHAN (DI ISI)'!AD140</f>
        <v>23</v>
      </c>
      <c r="AK19" s="491">
        <f>'KELURAHAN (DI ISI)'!AE153+'KELURAHAN (DI ISI)'!AE139+'KELURAHAN (DI ISI)'!AE140</f>
        <v>24</v>
      </c>
      <c r="AL19" s="491">
        <f>'KELURAHAN (DI ISI)'!AF153+'KELURAHAN (DI ISI)'!AF139+'KELURAHAN (DI ISI)'!AF140</f>
        <v>61</v>
      </c>
      <c r="AM19" s="491">
        <f t="shared" si="7"/>
        <v>21</v>
      </c>
      <c r="AN19" s="491">
        <f t="shared" si="8"/>
        <v>40</v>
      </c>
      <c r="AO19" s="491">
        <f>'KELURAHAN (DI ISI)'!AG153+'KELURAHAN (DI ISI)'!AG139+'KELURAHAN (DI ISI)'!AG140</f>
        <v>4</v>
      </c>
      <c r="AP19" s="491">
        <f>'KELURAHAN (DI ISI)'!AH153+'KELURAHAN (DI ISI)'!AH139+'KELURAHAN (DI ISI)'!AH140</f>
        <v>5</v>
      </c>
      <c r="AQ19" s="491">
        <f>'KELURAHAN (DI ISI)'!AI153+'KELURAHAN (DI ISI)'!AI139+'KELURAHAN (DI ISI)'!AI140</f>
        <v>12</v>
      </c>
      <c r="AR19" s="491">
        <f>'KELURAHAN (DI ISI)'!AJ153+'KELURAHAN (DI ISI)'!AJ139+'KELURAHAN (DI ISI)'!AJ140</f>
        <v>40</v>
      </c>
      <c r="AS19" s="491">
        <f>'KELURAHAN (DI ISI)'!AK153+'KELURAHAN (DI ISI)'!AK139+'KELURAHAN (DI ISI)'!AK140</f>
        <v>13</v>
      </c>
      <c r="AT19" s="491">
        <f>'KELURAHAN (DI ISI)'!AL153+'KELURAHAN (DI ISI)'!AL139+'KELURAHAN (DI ISI)'!AL140</f>
        <v>43</v>
      </c>
      <c r="AU19" s="491">
        <f>'KELURAHAN (DI ISI)'!AM153+'KELURAHAN (DI ISI)'!AM139+'KELURAHAN (DI ISI)'!AM140</f>
        <v>5</v>
      </c>
      <c r="AV19" s="491">
        <f>'KELURAHAN (DI ISI)'!AN153+'KELURAHAN (DI ISI)'!AN139+'KELURAHAN (DI ISI)'!AN140</f>
        <v>47</v>
      </c>
      <c r="AW19" s="491">
        <f t="shared" si="9"/>
        <v>20</v>
      </c>
      <c r="AX19" s="491">
        <f t="shared" si="10"/>
        <v>27</v>
      </c>
      <c r="AY19" s="491">
        <f>'KELURAHAN (DI ISI)'!AO153+'KELURAHAN (DI ISI)'!AO139+'KELURAHAN (DI ISI)'!AO140</f>
        <v>2</v>
      </c>
      <c r="AZ19" s="491">
        <f>'KELURAHAN (DI ISI)'!AP153+'KELURAHAN (DI ISI)'!AP139+'KELURAHAN (DI ISI)'!AP140</f>
        <v>6</v>
      </c>
      <c r="BA19" s="491">
        <f>'KELURAHAN (DI ISI)'!AQ153+'KELURAHAN (DI ISI)'!AQ139+'KELURAHAN (DI ISI)'!AQ140</f>
        <v>12</v>
      </c>
      <c r="BB19" s="491">
        <f>'KELURAHAN (DI ISI)'!AR153+'KELURAHAN (DI ISI)'!AR139+'KELURAHAN (DI ISI)'!AR140</f>
        <v>27</v>
      </c>
      <c r="BC19" s="491">
        <f>'KELURAHAN (DI ISI)'!AS153+'KELURAHAN (DI ISI)'!AS139+'KELURAHAN (DI ISI)'!AS140</f>
        <v>13</v>
      </c>
      <c r="BD19" s="491">
        <f>'KELURAHAN (DI ISI)'!AT153+'KELURAHAN (DI ISI)'!AT139+'KELURAHAN (DI ISI)'!AT140</f>
        <v>21</v>
      </c>
      <c r="BE19" s="491">
        <f>'KELURAHAN (DI ISI)'!AU153+'KELURAHAN (DI ISI)'!AU139+'KELURAHAN (DI ISI)'!AU140</f>
        <v>13</v>
      </c>
      <c r="BF19" s="491">
        <f>'KELURAHAN (DI ISI)'!AV153+'KELURAHAN (DI ISI)'!AV139+'KELURAHAN (DI ISI)'!AV140</f>
        <v>2534</v>
      </c>
      <c r="BG19" s="491">
        <f>'KELURAHAN (DI ISI)'!AW153+'KELURAHAN (DI ISI)'!AW139+'KELURAHAN (DI ISI)'!AW140</f>
        <v>38</v>
      </c>
      <c r="BH19" s="491">
        <f t="shared" si="11"/>
        <v>10</v>
      </c>
      <c r="BI19" s="495">
        <f t="shared" si="12"/>
        <v>15</v>
      </c>
      <c r="BJ19" s="491">
        <f>'KELURAHAN (DI ISI)'!AX153+'KELURAHAN (DI ISI)'!AX139+'KELURAHAN (DI ISI)'!AX140</f>
        <v>2</v>
      </c>
      <c r="BK19" s="491">
        <f>'KELURAHAN (DI ISI)'!AY153+'KELURAHAN (DI ISI)'!AY139+'KELURAHAN (DI ISI)'!AY140</f>
        <v>4</v>
      </c>
      <c r="BL19" s="491">
        <f>'KELURAHAN (DI ISI)'!AZ153+'KELURAHAN (DI ISI)'!AZ139+'KELURAHAN (DI ISI)'!AZ140</f>
        <v>4</v>
      </c>
      <c r="BM19" s="491">
        <f>'KELURAHAN (DI ISI)'!BA153+'KELURAHAN (DI ISI)'!BA139+'KELURAHAN (DI ISI)'!BA140</f>
        <v>15</v>
      </c>
      <c r="BN19" s="491">
        <f>'KELURAHAN (DI ISI)'!BB153+'KELURAHAN (DI ISI)'!BB139+'KELURAHAN (DI ISI)'!BB140</f>
        <v>0</v>
      </c>
      <c r="BO19" s="491">
        <f>'KELURAHAN (DI ISI)'!BC153+'KELURAHAN (DI ISI)'!BC139+'KELURAHAN (DI ISI)'!BC140</f>
        <v>1</v>
      </c>
      <c r="BP19" s="491">
        <f>'KELURAHAN (DI ISI)'!BD153+'KELURAHAN (DI ISI)'!BD139+'KELURAHAN (DI ISI)'!BD140</f>
        <v>5</v>
      </c>
      <c r="BQ19" s="491">
        <f>'KELURAHAN (DI ISI)'!BE153+'KELURAHAN (DI ISI)'!BE139+'KELURAHAN (DI ISI)'!BE140</f>
        <v>7</v>
      </c>
      <c r="BR19" s="491">
        <f>'KELURAHAN (DI ISI)'!BF153+'KELURAHAN (DI ISI)'!BF139+'KELURAHAN (DI ISI)'!BF140</f>
        <v>0</v>
      </c>
      <c r="BS19" s="491">
        <f>'KELURAHAN (DI ISI)'!BG153+'KELURAHAN (DI ISI)'!BG139+'KELURAHAN (DI ISI)'!BG140</f>
        <v>2</v>
      </c>
      <c r="BT19" s="491">
        <f>'KELURAHAN (DI ISI)'!BH153+'KELURAHAN (DI ISI)'!BH139+'KELURAHAN (DI ISI)'!BH140</f>
        <v>7</v>
      </c>
      <c r="BU19" s="491">
        <f>'KELURAHAN (DI ISI)'!BI153+'KELURAHAN (DI ISI)'!BI139+'KELURAHAN (DI ISI)'!BI140</f>
        <v>10</v>
      </c>
      <c r="BV19" s="491">
        <f>'KELURAHAN (DI ISI)'!BJ153+'KELURAHAN (DI ISI)'!BJ139+'KELURAHAN (DI ISI)'!BJ140</f>
        <v>0</v>
      </c>
      <c r="BW19" s="491">
        <f>'KELURAHAN (DI ISI)'!BK153+'KELURAHAN (DI ISI)'!BK139+'KELURAHAN (DI ISI)'!BK140</f>
        <v>0</v>
      </c>
      <c r="BX19" s="491">
        <f>'KELURAHAN (DI ISI)'!BL153+'KELURAHAN (DI ISI)'!BL139+'KELURAHAN (DI ISI)'!BL140</f>
        <v>0</v>
      </c>
      <c r="BY19" s="491">
        <f>'KELURAHAN (DI ISI)'!BM153+'KELURAHAN (DI ISI)'!BM139+'KELURAHAN (DI ISI)'!BM140</f>
        <v>0</v>
      </c>
      <c r="BZ19" s="491">
        <f>'KELURAHAN (DI ISI)'!BN153+'KELURAHAN (DI ISI)'!BN139+'KELURAHAN (DI ISI)'!BN140</f>
        <v>2</v>
      </c>
      <c r="CA19" s="491">
        <f>'KELURAHAN (DI ISI)'!BO153+'KELURAHAN (DI ISI)'!BO139+'KELURAHAN (DI ISI)'!BO140</f>
        <v>0</v>
      </c>
      <c r="CB19" s="491">
        <f>'KELURAHAN (DI ISI)'!BP153+'KELURAHAN (DI ISI)'!BP139+'KELURAHAN (DI ISI)'!BP140</f>
        <v>21</v>
      </c>
      <c r="CC19" s="491">
        <f>'KELURAHAN (DI ISI)'!BQ153+'KELURAHAN (DI ISI)'!BQ139+'KELURAHAN (DI ISI)'!BQ140</f>
        <v>2498</v>
      </c>
      <c r="CD19" s="491">
        <f>'KELURAHAN (DI ISI)'!BR153+'KELURAHAN (DI ISI)'!BR139+'KELURAHAN (DI ISI)'!BR140</f>
        <v>40</v>
      </c>
      <c r="CE19" s="491">
        <f t="shared" si="13"/>
        <v>13</v>
      </c>
      <c r="CF19" s="491">
        <f t="shared" si="14"/>
        <v>21</v>
      </c>
      <c r="CG19" s="491">
        <f>'KELURAHAN (DI ISI)'!BS153+'KELURAHAN (DI ISI)'!BS139+'KELURAHAN (DI ISI)'!BS140</f>
        <v>0</v>
      </c>
      <c r="CH19" s="491">
        <f>'KELURAHAN (DI ISI)'!BT153+'KELURAHAN (DI ISI)'!BT139+'KELURAHAN (DI ISI)'!BT140</f>
        <v>5</v>
      </c>
      <c r="CI19" s="491">
        <f>'KELURAHAN (DI ISI)'!BU153+'KELURAHAN (DI ISI)'!BU139+'KELURAHAN (DI ISI)'!BU140</f>
        <v>8</v>
      </c>
      <c r="CJ19" s="491">
        <f>'KELURAHAN (DI ISI)'!BV153+'KELURAHAN (DI ISI)'!BV139+'KELURAHAN (DI ISI)'!BV140</f>
        <v>21</v>
      </c>
      <c r="CK19" s="491">
        <f>'KELURAHAN (DI ISI)'!BW153+'KELURAHAN (DI ISI)'!BW139+'KELURAHAN (DI ISI)'!BW140</f>
        <v>0</v>
      </c>
      <c r="CL19" s="491">
        <f>'KELURAHAN (DI ISI)'!BX153+'KELURAHAN (DI ISI)'!BX139+'KELURAHAN (DI ISI)'!BX140</f>
        <v>1</v>
      </c>
      <c r="CM19" s="491">
        <f>'KELURAHAN (DI ISI)'!BY153+'KELURAHAN (DI ISI)'!BY139+'KELURAHAN (DI ISI)'!BY140</f>
        <v>1</v>
      </c>
      <c r="CN19" s="491">
        <f>'KELURAHAN (DI ISI)'!BZ153+'KELURAHAN (DI ISI)'!BZ139+'KELURAHAN (DI ISI)'!BZ140</f>
        <v>4</v>
      </c>
      <c r="CO19" s="491">
        <f>'KELURAHAN (DI ISI)'!CA153+'KELURAHAN (DI ISI)'!CA139+'KELURAHAN (DI ISI)'!CA140</f>
        <v>1</v>
      </c>
      <c r="CP19" s="491">
        <f>'KELURAHAN (DI ISI)'!CB153+'KELURAHAN (DI ISI)'!CB139+'KELURAHAN (DI ISI)'!CB140</f>
        <v>1</v>
      </c>
      <c r="CQ19" s="491">
        <f>'KELURAHAN (DI ISI)'!CC153+'KELURAHAN (DI ISI)'!CC139+'KELURAHAN (DI ISI)'!CC140</f>
        <v>1</v>
      </c>
      <c r="CR19" s="491">
        <f>'KELURAHAN (DI ISI)'!CD153+'KELURAHAN (DI ISI)'!CD139+'KELURAHAN (DI ISI)'!CD140</f>
        <v>1</v>
      </c>
      <c r="CS19" s="491">
        <f>'KELURAHAN (DI ISI)'!CE153+'KELURAHAN (DI ISI)'!CE139+'KELURAHAN (DI ISI)'!CE140</f>
        <v>0</v>
      </c>
      <c r="CT19" s="491">
        <f>'KELURAHAN (DI ISI)'!CF153+'KELURAHAN (DI ISI)'!CF139+'KELURAHAN (DI ISI)'!CF140</f>
        <v>0</v>
      </c>
      <c r="CU19" s="491">
        <f>'KELURAHAN (DI ISI)'!CG153+'KELURAHAN (DI ISI)'!CG139+'KELURAHAN (DI ISI)'!CG140</f>
        <v>0</v>
      </c>
      <c r="CV19" s="491">
        <f>'KELURAHAN (DI ISI)'!CH153+'KELURAHAN (DI ISI)'!CH139+'KELURAHAN (DI ISI)'!CH140</f>
        <v>0</v>
      </c>
      <c r="CW19" s="491">
        <f>'KELURAHAN (DI ISI)'!CI153+'KELURAHAN (DI ISI)'!CI139+'KELURAHAN (DI ISI)'!CI140</f>
        <v>0</v>
      </c>
      <c r="CX19" s="491">
        <f>'KELURAHAN (DI ISI)'!CJ153+'KELURAHAN (DI ISI)'!CJ139+'KELURAHAN (DI ISI)'!CJ140</f>
        <v>0</v>
      </c>
      <c r="CY19" s="491">
        <f>'KELURAHAN (DI ISI)'!CK153+'KELURAHAN (DI ISI)'!CK139+'KELURAHAN (DI ISI)'!CK140</f>
        <v>4</v>
      </c>
      <c r="CZ19" s="491">
        <f>'KELURAHAN (DI ISI)'!CL153+'KELURAHAN (DI ISI)'!CL139+'KELURAHAN (DI ISI)'!CL140</f>
        <v>2505</v>
      </c>
      <c r="DA19" s="491">
        <f>'KELURAHAN (DI ISI)'!CM153+'KELURAHAN (DI ISI)'!CM139+'KELURAHAN (DI ISI)'!CM140</f>
        <v>1010</v>
      </c>
      <c r="DB19" s="491">
        <f>'KELURAHAN (DI ISI)'!CN153+'KELURAHAN (DI ISI)'!CN139+'KELURAHAN (DI ISI)'!CN140</f>
        <v>33</v>
      </c>
      <c r="DC19" s="491">
        <f t="shared" si="15"/>
        <v>6</v>
      </c>
      <c r="DD19" s="491">
        <f t="shared" si="16"/>
        <v>20</v>
      </c>
      <c r="DE19" s="491">
        <f>'KELURAHAN (DI ISI)'!CO153+'KELURAHAN (DI ISI)'!CO139+'KELURAHAN (DI ISI)'!CO140</f>
        <v>0</v>
      </c>
      <c r="DF19" s="491">
        <f>'KELURAHAN (DI ISI)'!CP153+'KELURAHAN (DI ISI)'!CP139+'KELURAHAN (DI ISI)'!CP140</f>
        <v>4</v>
      </c>
      <c r="DG19" s="491">
        <f>'KELURAHAN (DI ISI)'!CQ153+'KELURAHAN (DI ISI)'!CQ139+'KELURAHAN (DI ISI)'!CQ140</f>
        <v>2</v>
      </c>
      <c r="DH19" s="491">
        <f>'KELURAHAN (DI ISI)'!CR153+'KELURAHAN (DI ISI)'!CR139+'KELURAHAN (DI ISI)'!CR140</f>
        <v>20</v>
      </c>
      <c r="DI19" s="491">
        <f>'KELURAHAN (DI ISI)'!CS153+'KELURAHAN (DI ISI)'!CS139+'KELURAHAN (DI ISI)'!CS140</f>
        <v>0</v>
      </c>
      <c r="DJ19" s="491">
        <f>'KELURAHAN (DI ISI)'!CT153+'KELURAHAN (DI ISI)'!CT139+'KELURAHAN (DI ISI)'!CT140</f>
        <v>0</v>
      </c>
      <c r="DK19" s="491">
        <f>'KELURAHAN (DI ISI)'!CU153+'KELURAHAN (DI ISI)'!CU139+'KELURAHAN (DI ISI)'!CU140</f>
        <v>2</v>
      </c>
      <c r="DL19" s="491">
        <f>'KELURAHAN (DI ISI)'!CV153+'KELURAHAN (DI ISI)'!CV139+'KELURAHAN (DI ISI)'!CV140</f>
        <v>5</v>
      </c>
      <c r="DM19" s="491">
        <f>'KELURAHAN (DI ISI)'!CW153+'KELURAHAN (DI ISI)'!CW139+'KELURAHAN (DI ISI)'!CW140</f>
        <v>0</v>
      </c>
      <c r="DN19" s="491">
        <f>'KELURAHAN (DI ISI)'!CX153+'KELURAHAN (DI ISI)'!CX139+'KELURAHAN (DI ISI)'!CX140</f>
        <v>2</v>
      </c>
      <c r="DO19" s="491">
        <f>'KELURAHAN (DI ISI)'!CY153+'KELURAHAN (DI ISI)'!CY139+'KELURAHAN (DI ISI)'!CY140</f>
        <v>6</v>
      </c>
      <c r="DP19" s="491">
        <f>'KELURAHAN (DI ISI)'!CZ153+'KELURAHAN (DI ISI)'!CZ139+'KELURAHAN (DI ISI)'!CZ140</f>
        <v>6</v>
      </c>
      <c r="DQ19" s="491">
        <f>'KELURAHAN (DI ISI)'!DA153+'KELURAHAN (DI ISI)'!DA139+'KELURAHAN (DI ISI)'!DA140</f>
        <v>0</v>
      </c>
      <c r="DR19" s="491">
        <f>'KELURAHAN (DI ISI)'!DB153+'KELURAHAN (DI ISI)'!DB139+'KELURAHAN (DI ISI)'!DB140</f>
        <v>0</v>
      </c>
      <c r="DS19" s="491">
        <f>'KELURAHAN (DI ISI)'!DC153+'KELURAHAN (DI ISI)'!DC139+'KELURAHAN (DI ISI)'!DC140</f>
        <v>0</v>
      </c>
      <c r="DT19" s="491">
        <f>'KELURAHAN (DI ISI)'!DD153+'KELURAHAN (DI ISI)'!DD139+'KELURAHAN (DI ISI)'!DD140</f>
        <v>0</v>
      </c>
      <c r="DU19" s="491">
        <f>'KELURAHAN (DI ISI)'!DE153+'KELURAHAN (DI ISI)'!DE139+'KELURAHAN (DI ISI)'!DE140</f>
        <v>0</v>
      </c>
      <c r="DV19" s="491">
        <f>'KELURAHAN (DI ISI)'!DF153+'KELURAHAN (DI ISI)'!DF139+'KELURAHAN (DI ISI)'!DF143</f>
        <v>0</v>
      </c>
      <c r="DW19" s="491">
        <f>'KELURAHAN (DI ISI)'!DG153+'KELURAHAN (DI ISI)'!DG139+'KELURAHAN (DI ISI)'!DG140</f>
        <v>14</v>
      </c>
      <c r="DX19" s="491">
        <f>'KELURAHAN (DI ISI)'!DH153+'KELURAHAN (DI ISI)'!DH139+'KELURAHAN (DI ISI)'!DH140</f>
        <v>2353</v>
      </c>
      <c r="DY19" s="491">
        <f>'KELURAHAN (DI ISI)'!DI153+'KELURAHAN (DI ISI)'!DI139+'KELURAHAN (DI ISI)'!DI140</f>
        <v>953</v>
      </c>
      <c r="DZ19" s="491">
        <f>'KELURAHAN (DI ISI)'!DJ153+'KELURAHAN (DI ISI)'!DJ139+'KELURAHAN (DI ISI)'!DJ140</f>
        <v>2353</v>
      </c>
      <c r="EA19" s="491">
        <f>'KELURAHAN (DI ISI)'!DK153+'KELURAHAN (DI ISI)'!DK139+'KELURAHAN (DI ISI)'!DK140</f>
        <v>953</v>
      </c>
      <c r="EB19" s="491">
        <f>'KELURAHAN (DI ISI)'!DL153+'KELURAHAN (DI ISI)'!DL139+'KELURAHAN (DI ISI)'!DL140</f>
        <v>33</v>
      </c>
      <c r="EC19" s="491">
        <f>'KELURAHAN (DI ISI)'!DM153+'KELURAHAN (DI ISI)'!DM139+'KELURAHAN (DI ISI)'!DM140</f>
        <v>8</v>
      </c>
      <c r="ED19" s="491">
        <f t="shared" si="17"/>
        <v>25</v>
      </c>
      <c r="EE19" s="491">
        <f>'KELURAHAN (DI ISI)'!DO153+'KELURAHAN (DI ISI)'!DO139+'KELURAHAN (DI ISI)'!DO140</f>
        <v>0</v>
      </c>
      <c r="EF19" s="491">
        <f>'KELURAHAN (DI ISI)'!DP153+'KELURAHAN (DI ISI)'!DP139+'KELURAHAN (DI ISI)'!DP140</f>
        <v>3</v>
      </c>
      <c r="EG19" s="491">
        <f>'KELURAHAN (DI ISI)'!DQ153+'KELURAHAN (DI ISI)'!DQ139+'KELURAHAN (DI ISI)'!DQ140</f>
        <v>5</v>
      </c>
      <c r="EH19" s="491">
        <f>'KELURAHAN (DI ISI)'!DR153+'KELURAHAN (DI ISI)'!DR139+'KELURAHAN (DI ISI)'!DR140</f>
        <v>22</v>
      </c>
      <c r="EI19" s="491">
        <f>'KELURAHAN (DI ISI)'!DS153+'KELURAHAN (DI ISI)'!DS139+'KELURAHAN (DI ISI)'!DS140</f>
        <v>0</v>
      </c>
      <c r="EJ19" s="491">
        <f>'KELURAHAN (DI ISI)'!DT153+'KELURAHAN (DI ISI)'!DT139+'KELURAHAN (DI ISI)'!DT140</f>
        <v>0</v>
      </c>
      <c r="EK19" s="491">
        <f>'KELURAHAN (DI ISI)'!DU153+'KELURAHAN (DI ISI)'!DU139+'KELURAHAN (DI ISI)'!DU140</f>
        <v>0</v>
      </c>
      <c r="EL19" s="491">
        <f>'KELURAHAN (DI ISI)'!DV153+'KELURAHAN (DI ISI)'!DV139+'KELURAHAN (DI ISI)'!DV140</f>
        <v>3</v>
      </c>
      <c r="EM19" s="491">
        <f>'KELURAHAN (DI ISI)'!DW153+'KELURAHAN (DI ISI)'!DW139+'KELURAHAN (DI ISI)'!DW140</f>
        <v>0</v>
      </c>
      <c r="EN19" s="491">
        <f>'KELURAHAN (DI ISI)'!DX153+'KELURAHAN (DI ISI)'!DX139+'KELURAHAN (DI ISI)'!DX140</f>
        <v>0</v>
      </c>
      <c r="EO19" s="491">
        <f>'KELURAHAN (DI ISI)'!DY153+'KELURAHAN (DI ISI)'!DY139+'KELURAHAN (DI ISI)'!DY140</f>
        <v>1</v>
      </c>
      <c r="EP19" s="491">
        <f>'KELURAHAN (DI ISI)'!DZ153+'KELURAHAN (DI ISI)'!DZ139+'KELURAHAN (DI ISI)'!DZ140</f>
        <v>2</v>
      </c>
      <c r="EQ19" s="491">
        <f>'KELURAHAN (DI ISI)'!EA153+'KELURAHAN (DI ISI)'!EA139+'KELURAHAN (DI ISI)'!EA140</f>
        <v>0</v>
      </c>
      <c r="ER19" s="491">
        <f>'KELURAHAN (DI ISI)'!EB153+'KELURAHAN (DI ISI)'!EB139+'KELURAHAN (DI ISI)'!EB140</f>
        <v>0</v>
      </c>
      <c r="ES19" s="491">
        <f>'KELURAHAN (DI ISI)'!EC153+'KELURAHAN (DI ISI)'!EC139+'KELURAHAN (DI ISI)'!EC140</f>
        <v>0</v>
      </c>
      <c r="ET19" s="491">
        <f>'KELURAHAN (DI ISI)'!ED153+'KELURAHAN (DI ISI)'!ED139+'KELURAHAN (DI ISI)'!ED140</f>
        <v>0</v>
      </c>
      <c r="EU19" s="491">
        <f>'KELURAHAN (DI ISI)'!EE153+'KELURAHAN (DI ISI)'!EE139+'KELURAHAN (DI ISI)'!EE140</f>
        <v>0</v>
      </c>
      <c r="EV19" s="491">
        <f>'KELURAHAN (DI ISI)'!EF153+'KELURAHAN (DI ISI)'!EF139+'KELURAHAN (DI ISI)'!EF140</f>
        <v>0</v>
      </c>
      <c r="EW19" s="491">
        <f>'KELURAHAN (DI ISI)'!EG153+'KELURAHAN (DI ISI)'!EG139+'KELURAHAN (DI ISI)'!EG140</f>
        <v>3</v>
      </c>
      <c r="EX19" s="491">
        <f>'KELURAHAN (DI ISI)'!EH153+'KELURAHAN (DI ISI)'!EH139+'KELURAHAN (DI ISI)'!EH140</f>
        <v>1</v>
      </c>
      <c r="EY19" s="491">
        <f>'KELURAHAN (DI ISI)'!EI153+'KELURAHAN (DI ISI)'!EI139+'KELURAHAN (DI ISI)'!EI140</f>
        <v>2355</v>
      </c>
      <c r="EZ19" s="491">
        <f>'KELURAHAN (DI ISI)'!EJ153+'KELURAHAN (DI ISI)'!EJ139+'KELURAHAN (DI ISI)'!EJ140</f>
        <v>950</v>
      </c>
      <c r="FA19" s="491">
        <f>'KELURAHAN (DI ISI)'!EK153+'KELURAHAN (DI ISI)'!EK139+'KELURAHAN (DI ISI)'!EK140</f>
        <v>2355</v>
      </c>
      <c r="FB19" s="491">
        <f>'KELURAHAN (DI ISI)'!EL153+'KELURAHAN (DI ISI)'!EL139+'KELURAHAN (DI ISI)'!EL140</f>
        <v>950</v>
      </c>
      <c r="FC19" s="491">
        <f>'KELURAHAN (DI ISI)'!EM153+'KELURAHAN (DI ISI)'!EM139+'KELURAHAN (DI ISI)'!EM140</f>
        <v>32</v>
      </c>
      <c r="FD19" s="491">
        <f>'KELURAHAN (DI ISI)'!EN153+'KELURAHAN (DI ISI)'!EN139+'KELURAHAN (DI ISI)'!EN140</f>
        <v>9</v>
      </c>
      <c r="FE19" s="491">
        <f t="shared" si="18"/>
        <v>23</v>
      </c>
      <c r="FF19" s="491">
        <f>'KELURAHAN (DI ISI)'!EP153+'KELURAHAN (DI ISI)'!EP139+'KELURAHAN (DI ISI)'!EP140</f>
        <v>0</v>
      </c>
      <c r="FG19" s="491">
        <f>'KELURAHAN (DI ISI)'!EQ153+'KELURAHAN (DI ISI)'!EQ139+'KELURAHAN (DI ISI)'!EQ140</f>
        <v>1</v>
      </c>
      <c r="FH19" s="491">
        <f>'KELURAHAN (DI ISI)'!ER153+'KELURAHAN (DI ISI)'!ER139+'KELURAHAN (DI ISI)'!ER140</f>
        <v>7</v>
      </c>
      <c r="FI19" s="491">
        <f>'KELURAHAN (DI ISI)'!ES153+'KELURAHAN (DI ISI)'!ES139+'KELURAHAN (DI ISI)'!ES140</f>
        <v>23</v>
      </c>
      <c r="FJ19" s="491">
        <f>'KELURAHAN (DI ISI)'!ET153+'KELURAHAN (DI ISI)'!ET139+'KELURAHAN (DI ISI)'!ET140</f>
        <v>0</v>
      </c>
      <c r="FK19" s="491">
        <f>'KELURAHAN (DI ISI)'!EU153+'KELURAHAN (DI ISI)'!EU139+'KELURAHAN (DI ISI)'!EU140</f>
        <v>0</v>
      </c>
      <c r="FL19" s="491">
        <f>'KELURAHAN (DI ISI)'!EV153+'KELURAHAN (DI ISI)'!EV139+'KELURAHAN (DI ISI)'!EV140</f>
        <v>1</v>
      </c>
      <c r="FM19" s="491">
        <f>'KELURAHAN (DI ISI)'!EW153+'KELURAHAN (DI ISI)'!EW139+'KELURAHAN (DI ISI)'!EW140</f>
        <v>0</v>
      </c>
      <c r="FN19" s="491">
        <f>'KELURAHAN (DI ISI)'!EX153+'KELURAHAN (DI ISI)'!EX139+'KELURAHAN (DI ISI)'!EX140</f>
        <v>0</v>
      </c>
      <c r="FO19" s="491">
        <f>'KELURAHAN (DI ISI)'!EY153+'KELURAHAN (DI ISI)'!EY139+'KELURAHAN (DI ISI)'!EY140</f>
        <v>0</v>
      </c>
      <c r="FP19" s="491">
        <f>'KELURAHAN (DI ISI)'!EZ153+'KELURAHAN (DI ISI)'!EZ139+'KELURAHAN (DI ISI)'!EZ140</f>
        <v>0</v>
      </c>
      <c r="FQ19" s="491">
        <f>'KELURAHAN (DI ISI)'!FA153+'KELURAHAN (DI ISI)'!FA139+'KELURAHAN (DI ISI)'!FA140</f>
        <v>1</v>
      </c>
      <c r="FR19" s="491">
        <f>'KELURAHAN (DI ISI)'!FB153+'KELURAHAN (DI ISI)'!FB139+'KELURAHAN (DI ISI)'!FB140</f>
        <v>0</v>
      </c>
      <c r="FS19" s="491">
        <f>'KELURAHAN (DI ISI)'!FC153+'KELURAHAN (DI ISI)'!FC139+'KELURAHAN (DI ISI)'!FC140</f>
        <v>0</v>
      </c>
      <c r="FT19" s="491">
        <f>'KELURAHAN (DI ISI)'!FD153+'KELURAHAN (DI ISI)'!FD139+'KELURAHAN (DI ISI)'!FD140</f>
        <v>0</v>
      </c>
      <c r="FU19" s="491">
        <f>'KELURAHAN (DI ISI)'!FE153+'KELURAHAN (DI ISI)'!FE139+'KELURAHAN (DI ISI)'!FE140</f>
        <v>1</v>
      </c>
      <c r="FV19" s="491">
        <f>'KELURAHAN (DI ISI)'!FF153+'KELURAHAN (DI ISI)'!FF139+'KELURAHAN (DI ISI)'!FF140</f>
        <v>0</v>
      </c>
      <c r="FW19" s="491">
        <f>'KELURAHAN (DI ISI)'!FG153+'KELURAHAN (DI ISI)'!FG139+'KELURAHAN (DI ISI)'!FG140</f>
        <v>0</v>
      </c>
      <c r="FX19" s="491">
        <f>'KELURAHAN (DI ISI)'!FH153+'KELURAHAN (DI ISI)'!FH139+'KELURAHAN (DI ISI)'!FH140</f>
        <v>2</v>
      </c>
      <c r="FY19" s="491">
        <f>'KELURAHAN (DI ISI)'!FI153+'KELURAHAN (DI ISI)'!FI139+'KELURAHAN (DI ISI)'!FI140</f>
        <v>0</v>
      </c>
      <c r="FZ19" s="491">
        <f>'KELURAHAN (DI ISI)'!FJ153+'KELURAHAN (DI ISI)'!FJ139+'KELURAHAN (DI ISI)'!FJ140</f>
        <v>2359</v>
      </c>
      <c r="GA19" s="491">
        <f>'KELURAHAN (DI ISI)'!FK153+'KELURAHAN (DI ISI)'!FK139+'KELURAHAN (DI ISI)'!FK140</f>
        <v>961</v>
      </c>
      <c r="GB19" s="491">
        <f>'KELURAHAN (DI ISI)'!FL153+'KELURAHAN (DI ISI)'!FL139+'KELURAHAN (DI ISI)'!FL140</f>
        <v>2359</v>
      </c>
      <c r="GC19" s="491">
        <f>'KELURAHAN (DI ISI)'!FM153+'KELURAHAN (DI ISI)'!FM139+'KELURAHAN (DI ISI)'!FM140</f>
        <v>961</v>
      </c>
      <c r="GD19" s="570">
        <v>2359.0</v>
      </c>
      <c r="GE19" s="571">
        <f>'KELURAHAN (DI ISI)'!FO153+'KELURAHAN (DI ISI)'!FO139+'KELURAHAN (DI ISI)'!FO140</f>
        <v>34</v>
      </c>
      <c r="GF19" s="571">
        <f>'KELURAHAN (DI ISI)'!FP153+'KELURAHAN (DI ISI)'!FP139+'KELURAHAN (DI ISI)'!FP140</f>
        <v>34</v>
      </c>
      <c r="GG19" s="571">
        <f>'KELURAHAN (DI ISI)'!FP153+'KELURAHAN (DI ISI)'!FP139+'KELURAHAN (DI ISI)'!FP140</f>
        <v>34</v>
      </c>
      <c r="GH19" s="571">
        <f>'KELURAHAN (DI ISI)'!FQ153+'KELURAHAN (DI ISI)'!FQ139+'KELURAHAN (DI ISI)'!FQ140</f>
        <v>10</v>
      </c>
      <c r="GI19" s="571">
        <f t="shared" si="19"/>
        <v>24</v>
      </c>
      <c r="GJ19" s="491">
        <f>'KELURAHAN (DI ISI)'!FS153+'KELURAHAN (DI ISI)'!FS139+'KELURAHAN (DI ISI)'!FS140</f>
        <v>0</v>
      </c>
      <c r="GK19" s="491">
        <f>'KELURAHAN (DI ISI)'!FT153+'KELURAHAN (DI ISI)'!FT139+'KELURAHAN (DI ISI)'!FT140</f>
        <v>0</v>
      </c>
      <c r="GL19" s="491">
        <f>'KELURAHAN (DI ISI)'!FU153+'KELURAHAN (DI ISI)'!FU139+'KELURAHAN (DI ISI)'!FU140</f>
        <v>8</v>
      </c>
      <c r="GM19" s="491">
        <f>'KELURAHAN (DI ISI)'!FV153+'KELURAHAN (DI ISI)'!FV139+'KELURAHAN (DI ISI)'!FV140</f>
        <v>23</v>
      </c>
      <c r="GN19" s="491">
        <f>'KELURAHAN (DI ISI)'!FW153+'KELURAHAN (DI ISI)'!FW139+'KELURAHAN (DI ISI)'!FW140</f>
        <v>1</v>
      </c>
      <c r="GO19" s="491">
        <f>'KELURAHAN (DI ISI)'!FX153+'KELURAHAN (DI ISI)'!FX139+'KELURAHAN (DI ISI)'!FX140</f>
        <v>0</v>
      </c>
      <c r="GP19" s="491">
        <f>'KELURAHAN (DI ISI)'!FY153+'KELURAHAN (DI ISI)'!FY139+'KELURAHAN (DI ISI)'!FY140</f>
        <v>1</v>
      </c>
      <c r="GQ19" s="491">
        <f>'KELURAHAN (DI ISI)'!FZ153+'KELURAHAN (DI ISI)'!FZ139+'KELURAHAN (DI ISI)'!FZ140</f>
        <v>1</v>
      </c>
      <c r="GR19" s="491">
        <f>'KELURAHAN (DI ISI)'!GA153+'KELURAHAN (DI ISI)'!GA139+'KELURAHAN (DI ISI)'!GA140</f>
        <v>0</v>
      </c>
      <c r="GS19" s="491">
        <f>'KELURAHAN (DI ISI)'!GB153+'KELURAHAN (DI ISI)'!GB139+'KELURAHAN (DI ISI)'!GB140</f>
        <v>0</v>
      </c>
      <c r="GT19" s="491">
        <f>'KELURAHAN (DI ISI)'!GC153+'KELURAHAN (DI ISI)'!GC139+'KELURAHAN (DI ISI)'!GC140</f>
        <v>0</v>
      </c>
      <c r="GU19" s="491">
        <f>'KELURAHAN (DI ISI)'!GD153+'KELURAHAN (DI ISI)'!GD139+'KELURAHAN (DI ISI)'!GD140</f>
        <v>1</v>
      </c>
      <c r="GV19" s="491">
        <f>'KELURAHAN (DI ISI)'!GE153+'KELURAHAN (DI ISI)'!GE139+'KELURAHAN (DI ISI)'!GE140</f>
        <v>0</v>
      </c>
      <c r="GW19" s="491">
        <f>'KELURAHAN (DI ISI)'!GF153+'KELURAHAN (DI ISI)'!GF139+'KELURAHAN (DI ISI)'!GF140</f>
        <v>0</v>
      </c>
      <c r="GX19" s="491">
        <f>'KELURAHAN (DI ISI)'!GG153+'KELURAHAN (DI ISI)'!GG139+'KELURAHAN (DI ISI)'!GG140</f>
        <v>0</v>
      </c>
      <c r="GY19" s="491">
        <f>'KELURAHAN (DI ISI)'!GH153+'KELURAHAN (DI ISI)'!GH139+'KELURAHAN (DI ISI)'!GH140</f>
        <v>0</v>
      </c>
      <c r="GZ19" s="491">
        <f>'KELURAHAN (DI ISI)'!GI153+'KELURAHAN (DI ISI)'!GI139+'KELURAHAN (DI ISI)'!GI140</f>
        <v>0</v>
      </c>
      <c r="HA19" s="491">
        <f>'KELURAHAN (DI ISI)'!GJ153+'KELURAHAN (DI ISI)'!GJ139+'KELURAHAN (DI ISI)'!GJ140</f>
        <v>0</v>
      </c>
      <c r="HB19" s="572">
        <f>'KELURAHAN (DI ISI)'!GK153+'KELURAHAN (DI ISI)'!GK139+'KELURAHAN (DI ISI)'!GK140</f>
        <v>1</v>
      </c>
      <c r="HC19" s="572">
        <f>'KELURAHAN (DI ISI)'!GL153+'KELURAHAN (DI ISI)'!GL139+'KELURAHAN (DI ISI)'!GL140</f>
        <v>0</v>
      </c>
      <c r="HD19" s="491">
        <f>'KELURAHAN (DI ISI)'!GM153+'KELURAHAN (DI ISI)'!GM139+'KELURAHAN (DI ISI)'!GM140</f>
        <v>2369</v>
      </c>
      <c r="HE19" s="491">
        <f>'KELURAHAN (DI ISI)'!GN153+'KELURAHAN (DI ISI)'!GN139+'KELURAHAN (DI ISI)'!GN140</f>
        <v>959</v>
      </c>
      <c r="HF19" s="491">
        <f>'KELURAHAN (DI ISI)'!GO153+'KELURAHAN (DI ISI)'!GO139+'KELURAHAN (DI ISI)'!GO140</f>
        <v>2369</v>
      </c>
      <c r="HG19" s="491">
        <f>'KELURAHAN (DI ISI)'!GP153+'KELURAHAN (DI ISI)'!GP139+'KELURAHAN (DI ISI)'!GP140</f>
        <v>959</v>
      </c>
      <c r="HH19" s="570">
        <v>2359.0</v>
      </c>
      <c r="HI19" s="225">
        <f>'KELURAHAN (DI ISI)'!GR153+'KELURAHAN (DI ISI)'!GR139+'KELURAHAN (DI ISI)'!GR140</f>
        <v>36</v>
      </c>
      <c r="HJ19" s="225">
        <f>'KELURAHAN (DI ISI)'!GS153+'KELURAHAN (DI ISI)'!GS139+'KELURAHAN (DI ISI)'!GS140</f>
        <v>13</v>
      </c>
      <c r="HK19" s="573">
        <f>'KELURAHAN (DI ISI)'!GT153+'KELURAHAN (DI ISI)'!GT139+'KELURAHAN (DI ISI)'!GT140</f>
        <v>36</v>
      </c>
      <c r="HL19" s="573">
        <f>'KELURAHAN (DI ISI)'!GU153+'KELURAHAN (DI ISI)'!GU139+'KELURAHAN (DI ISI)'!GU140</f>
        <v>13</v>
      </c>
      <c r="HM19" s="573">
        <f t="shared" si="20"/>
        <v>23</v>
      </c>
      <c r="HN19" s="491">
        <f>'KELURAHAN (DI ISI)'!GW153+'KELURAHAN (DI ISI)'!GW139+'KELURAHAN (DI ISI)'!GW140</f>
        <v>1</v>
      </c>
      <c r="HO19" s="491">
        <f>'KELURAHAN (DI ISI)'!GX153+'KELURAHAN (DI ISI)'!GX139+'KELURAHAN (DI ISI)'!GX140</f>
        <v>0</v>
      </c>
      <c r="HP19" s="491">
        <f>'KELURAHAN (DI ISI)'!GY153+'KELURAHAN (DI ISI)'!GY139+'KELURAHAN (DI ISI)'!GY140</f>
        <v>7</v>
      </c>
      <c r="HQ19" s="491">
        <f>'KELURAHAN (DI ISI)'!GZ153+'KELURAHAN (DI ISI)'!GZ139+'KELURAHAN (DI ISI)'!GZ140</f>
        <v>23</v>
      </c>
      <c r="HR19" s="491">
        <f>'KELURAHAN (DI ISI)'!HA153+'KELURAHAN (DI ISI)'!HA139+'KELURAHAN (DI ISI)'!HA140</f>
        <v>0</v>
      </c>
      <c r="HS19" s="491">
        <f>'KELURAHAN (DI ISI)'!HB153+'KELURAHAN (DI ISI)'!HB139+'KELURAHAN (DI ISI)'!HB140</f>
        <v>1</v>
      </c>
      <c r="HT19" s="491">
        <f>'KELURAHAN (DI ISI)'!HC153+'KELURAHAN (DI ISI)'!HC139+'KELURAHAN (DI ISI)'!HC140</f>
        <v>4</v>
      </c>
      <c r="HU19" s="491">
        <f>'KELURAHAN (DI ISI)'!HD153+'KELURAHAN (DI ISI)'!HD139+'KELURAHAN (DI ISI)'!HD140</f>
        <v>0</v>
      </c>
      <c r="HV19" s="491">
        <f>'KELURAHAN (DI ISI)'!HE153+'KELURAHAN (DI ISI)'!HE139+'KELURAHAN (DI ISI)'!HE140</f>
        <v>0</v>
      </c>
      <c r="HW19" s="491">
        <f>'KELURAHAN (DI ISI)'!HF153+'KELURAHAN (DI ISI)'!HF139+'KELURAHAN (DI ISI)'!HF140</f>
        <v>0</v>
      </c>
      <c r="HX19" s="491">
        <f>'KELURAHAN (DI ISI)'!HG153+'KELURAHAN (DI ISI)'!HG139+'KELURAHAN (DI ISI)'!HG140</f>
        <v>3</v>
      </c>
      <c r="HY19" s="491">
        <f>'KELURAHAN (DI ISI)'!HH153+'KELURAHAN (DI ISI)'!HH139+'KELURAHAN (DI ISI)'!HH140</f>
        <v>2</v>
      </c>
      <c r="HZ19" s="491">
        <f>'KELURAHAN (DI ISI)'!HI153+'KELURAHAN (DI ISI)'!HI139+'KELURAHAN (DI ISI)'!HI140</f>
        <v>0</v>
      </c>
      <c r="IA19" s="491">
        <f>'KELURAHAN (DI ISI)'!HJ153+'KELURAHAN (DI ISI)'!HJ139+'KELURAHAN (DI ISI)'!HJ140</f>
        <v>0</v>
      </c>
      <c r="IB19" s="491">
        <f>'KELURAHAN (DI ISI)'!HK153+'KELURAHAN (DI ISI)'!HK139+'KELURAHAN (DI ISI)'!HK140</f>
        <v>0</v>
      </c>
      <c r="IC19" s="491">
        <f>'KELURAHAN (DI ISI)'!HL153+'KELURAHAN (DI ISI)'!HL139+'KELURAHAN (DI ISI)'!HL140</f>
        <v>0</v>
      </c>
      <c r="ID19" s="491">
        <f>'KELURAHAN (DI ISI)'!HM153+'KELURAHAN (DI ISI)'!HM139+'KELURAHAN (DI ISI)'!HM140</f>
        <v>0</v>
      </c>
      <c r="IE19" s="491">
        <f>'KELURAHAN (DI ISI)'!HN153+'KELURAHAN (DI ISI)'!HN139+'KELURAHAN (DI ISI)'!HN140</f>
        <v>0</v>
      </c>
      <c r="IF19" s="573">
        <f>'KELURAHAN (DI ISI)'!HO153+'KELURAHAN (DI ISI)'!HO139+'KELURAHAN (DI ISI)'!HO140</f>
        <v>0</v>
      </c>
      <c r="IG19" s="573">
        <f>'KELURAHAN (DI ISI)'!HP153+'KELURAHAN (DI ISI)'!HP139+'KELURAHAN (DI ISI)'!HP140</f>
        <v>0</v>
      </c>
      <c r="IK19" s="198">
        <f t="shared" si="21"/>
        <v>104</v>
      </c>
      <c r="IL19" s="198">
        <f t="shared" si="22"/>
        <v>70</v>
      </c>
      <c r="IM19" s="198">
        <f t="shared" si="23"/>
        <v>79</v>
      </c>
      <c r="IN19" s="198">
        <f t="shared" si="24"/>
        <v>61</v>
      </c>
      <c r="IO19" s="198">
        <f t="shared" si="25"/>
        <v>47</v>
      </c>
      <c r="IP19" s="198">
        <f t="shared" si="26"/>
        <v>38</v>
      </c>
      <c r="IQ19" s="574">
        <f t="shared" si="27"/>
        <v>40</v>
      </c>
      <c r="IR19" s="574">
        <f t="shared" si="28"/>
        <v>33</v>
      </c>
      <c r="IS19" s="574">
        <f t="shared" si="29"/>
        <v>33</v>
      </c>
      <c r="IT19" s="574">
        <f t="shared" si="30"/>
        <v>32</v>
      </c>
      <c r="IU19" s="574">
        <f t="shared" si="31"/>
        <v>34</v>
      </c>
      <c r="IV19" s="575">
        <f t="shared" si="32"/>
        <v>36</v>
      </c>
      <c r="IW19" s="583"/>
      <c r="IX19" s="576">
        <f t="shared" si="33"/>
        <v>-36</v>
      </c>
      <c r="IZ19" s="577"/>
      <c r="JA19" s="162">
        <f t="shared" si="34"/>
        <v>-2369</v>
      </c>
      <c r="JB19" s="578"/>
      <c r="JC19" s="579">
        <f t="shared" si="35"/>
        <v>-959</v>
      </c>
      <c r="JD19" s="597"/>
      <c r="JE19" s="585"/>
      <c r="JF19" s="577"/>
      <c r="JG19" s="234">
        <f t="shared" si="36"/>
        <v>-2369</v>
      </c>
      <c r="JH19" s="578"/>
      <c r="JI19" s="579">
        <f t="shared" si="37"/>
        <v>-959</v>
      </c>
      <c r="JJ19" s="247"/>
    </row>
    <row r="20" ht="14.25" customHeight="1">
      <c r="A20" s="158">
        <v>13.0</v>
      </c>
      <c r="B20" s="157" t="s">
        <v>240</v>
      </c>
      <c r="C20" s="253">
        <v>3374130.0</v>
      </c>
      <c r="D20" s="569" t="s">
        <v>258</v>
      </c>
      <c r="E20" s="253"/>
      <c r="F20" s="259">
        <f>'KELURAHAN (DI ISI)'!F150+'KELURAHAN (DI ISI)'!F151+'KELURAHAN (DI ISI)'!F152</f>
        <v>18</v>
      </c>
      <c r="G20" s="259">
        <f>'KELURAHAN (DI ISI)'!G150+'KELURAHAN (DI ISI)'!G151+'KELURAHAN (DI ISI)'!G152</f>
        <v>1130</v>
      </c>
      <c r="H20" s="259">
        <f>'KELURAHAN (DI ISI)'!H150+'KELURAHAN (DI ISI)'!H151+'KELURAHAN (DI ISI)'!H152</f>
        <v>28</v>
      </c>
      <c r="I20" s="491">
        <f t="shared" si="1"/>
        <v>7</v>
      </c>
      <c r="J20" s="491">
        <f t="shared" si="2"/>
        <v>21</v>
      </c>
      <c r="K20" s="491">
        <f>'KELURAHAN (DI ISI)'!I150+'KELURAHAN (DI ISI)'!I151+'KELURAHAN (DI ISI)'!I152</f>
        <v>0</v>
      </c>
      <c r="L20" s="491">
        <f>'KELURAHAN (DI ISI)'!J150+'KELURAHAN (DI ISI)'!J151+'KELURAHAN (DI ISI)'!J152</f>
        <v>0</v>
      </c>
      <c r="M20" s="491">
        <f>'KELURAHAN (DI ISI)'!K150+'KELURAHAN (DI ISI)'!K151+'KELURAHAN (DI ISI)'!K152</f>
        <v>7</v>
      </c>
      <c r="N20" s="491">
        <f>'KELURAHAN (DI ISI)'!L150+'KELURAHAN (DI ISI)'!L151+'KELURAHAN (DI ISI)'!L152</f>
        <v>21</v>
      </c>
      <c r="O20" s="491">
        <f>'KELURAHAN (DI ISI)'!M150+'KELURAHAN (DI ISI)'!M151+'KELURAHAN (DI ISI)'!M152</f>
        <v>4</v>
      </c>
      <c r="P20" s="491">
        <f>'KELURAHAN (DI ISI)'!N150+'KELURAHAN (DI ISI)'!N151+'KELURAHAN (DI ISI)'!N152</f>
        <v>0</v>
      </c>
      <c r="Q20" s="491">
        <f>'KELURAHAN (DI ISI)'!O150+'KELURAHAN (DI ISI)'!O151+'KELURAHAN (DI ISI)'!O152</f>
        <v>24</v>
      </c>
      <c r="R20" s="491">
        <f>'KELURAHAN (DI ISI)'!P150+'KELURAHAN (DI ISI)'!P151+'KELURAHAN (DI ISI)'!P152</f>
        <v>31</v>
      </c>
      <c r="S20" s="491">
        <f t="shared" si="3"/>
        <v>8</v>
      </c>
      <c r="T20" s="491">
        <f t="shared" si="4"/>
        <v>23</v>
      </c>
      <c r="U20" s="491">
        <f>'KELURAHAN (DI ISI)'!Q150+'KELURAHAN (DI ISI)'!Q151+'KELURAHAN (DI ISI)'!Q152</f>
        <v>0</v>
      </c>
      <c r="V20" s="491">
        <f>'KELURAHAN (DI ISI)'!R150+'KELURAHAN (DI ISI)'!R151+'KELURAHAN (DI ISI)'!R152</f>
        <v>0</v>
      </c>
      <c r="W20" s="491">
        <f>'KELURAHAN (DI ISI)'!S150+'KELURAHAN (DI ISI)'!S151+'KELURAHAN (DI ISI)'!S152</f>
        <v>8</v>
      </c>
      <c r="X20" s="491">
        <f>'KELURAHAN (DI ISI)'!T150+'KELURAHAN (DI ISI)'!T151+'KELURAHAN (DI ISI)'!T152</f>
        <v>23</v>
      </c>
      <c r="Y20" s="491">
        <f>'KELURAHAN (DI ISI)'!U150+'KELURAHAN (DI ISI)'!U151+'KELURAHAN (DI ISI)'!U152</f>
        <v>7</v>
      </c>
      <c r="Z20" s="491">
        <f>'KELURAHAN (DI ISI)'!V150+'KELURAHAN (DI ISI)'!V151+'KELURAHAN (DI ISI)'!V152</f>
        <v>4</v>
      </c>
      <c r="AA20" s="491">
        <f>'KELURAHAN (DI ISI)'!W150+'KELURAHAN (DI ISI)'!W151+'KELURAHAN (DI ISI)'!W152</f>
        <v>20</v>
      </c>
      <c r="AB20" s="491">
        <f>'KELURAHAN (DI ISI)'!X150+'KELURAHAN (DI ISI)'!X151+'KELURAHAN (DI ISI)'!X152</f>
        <v>32</v>
      </c>
      <c r="AC20" s="491">
        <f t="shared" si="5"/>
        <v>7</v>
      </c>
      <c r="AD20" s="491">
        <f t="shared" si="6"/>
        <v>25</v>
      </c>
      <c r="AE20" s="491">
        <f>'KELURAHAN (DI ISI)'!Y150+'KELURAHAN (DI ISI)'!Y151+'KELURAHAN (DI ISI)'!Y152</f>
        <v>0</v>
      </c>
      <c r="AF20" s="491">
        <f>'KELURAHAN (DI ISI)'!Z150+'KELURAHAN (DI ISI)'!Z151+'KELURAHAN (DI ISI)'!Z152</f>
        <v>1</v>
      </c>
      <c r="AG20" s="491">
        <f>'KELURAHAN (DI ISI)'!AA150+'KELURAHAN (DI ISI)'!AA151+'KELURAHAN (DI ISI)'!AA152</f>
        <v>6</v>
      </c>
      <c r="AH20" s="491">
        <f>'KELURAHAN (DI ISI)'!AB150+'KELURAHAN (DI ISI)'!AB151+'KELURAHAN (DI ISI)'!AB152</f>
        <v>25</v>
      </c>
      <c r="AI20" s="491">
        <f>'KELURAHAN (DI ISI)'!AC150+'KELURAHAN (DI ISI)'!AC151+'KELURAHAN (DI ISI)'!AC152</f>
        <v>1</v>
      </c>
      <c r="AJ20" s="491">
        <f>'KELURAHAN (DI ISI)'!AD150+'KELURAHAN (DI ISI)'!AD151+'KELURAHAN (DI ISI)'!AD152</f>
        <v>0</v>
      </c>
      <c r="AK20" s="491">
        <f>'KELURAHAN (DI ISI)'!AE150+'KELURAHAN (DI ISI)'!AE151+'KELURAHAN (DI ISI)'!AE152</f>
        <v>31</v>
      </c>
      <c r="AL20" s="491">
        <f>'KELURAHAN (DI ISI)'!AF150+'KELURAHAN (DI ISI)'!AF151+'KELURAHAN (DI ISI)'!AF152</f>
        <v>31</v>
      </c>
      <c r="AM20" s="491">
        <f t="shared" si="7"/>
        <v>6</v>
      </c>
      <c r="AN20" s="491">
        <f t="shared" si="8"/>
        <v>25</v>
      </c>
      <c r="AO20" s="491">
        <f>'KELURAHAN (DI ISI)'!AG150+'KELURAHAN (DI ISI)'!AG151+'KELURAHAN (DI ISI)'!AG152</f>
        <v>0</v>
      </c>
      <c r="AP20" s="491">
        <f>'KELURAHAN (DI ISI)'!AH150+'KELURAHAN (DI ISI)'!AH151+'KELURAHAN (DI ISI)'!AH152</f>
        <v>1</v>
      </c>
      <c r="AQ20" s="491">
        <f>'KELURAHAN (DI ISI)'!AI150+'KELURAHAN (DI ISI)'!AI151+'KELURAHAN (DI ISI)'!AI152</f>
        <v>5</v>
      </c>
      <c r="AR20" s="491">
        <f>'KELURAHAN (DI ISI)'!AJ150+'KELURAHAN (DI ISI)'!AJ151+'KELURAHAN (DI ISI)'!AJ152</f>
        <v>25</v>
      </c>
      <c r="AS20" s="491">
        <f>'KELURAHAN (DI ISI)'!AK150+'KELURAHAN (DI ISI)'!AK151+'KELURAHAN (DI ISI)'!AK152</f>
        <v>0</v>
      </c>
      <c r="AT20" s="491">
        <f>'KELURAHAN (DI ISI)'!AL150+'KELURAHAN (DI ISI)'!AL151+'KELURAHAN (DI ISI)'!AL152</f>
        <v>0</v>
      </c>
      <c r="AU20" s="491">
        <f>'KELURAHAN (DI ISI)'!AM150+'KELURAHAN (DI ISI)'!AM151+'KELURAHAN (DI ISI)'!AM152</f>
        <v>31</v>
      </c>
      <c r="AV20" s="491">
        <f>'KELURAHAN (DI ISI)'!AN150+'KELURAHAN (DI ISI)'!AN151+'KELURAHAN (DI ISI)'!AN152</f>
        <v>34</v>
      </c>
      <c r="AW20" s="491">
        <f t="shared" si="9"/>
        <v>6</v>
      </c>
      <c r="AX20" s="491">
        <f t="shared" si="10"/>
        <v>28</v>
      </c>
      <c r="AY20" s="491">
        <f>'KELURAHAN (DI ISI)'!AO150+'KELURAHAN (DI ISI)'!AO151+'KELURAHAN (DI ISI)'!AO152</f>
        <v>0</v>
      </c>
      <c r="AZ20" s="491">
        <f>'KELURAHAN (DI ISI)'!AP150+'KELURAHAN (DI ISI)'!AP151+'KELURAHAN (DI ISI)'!AP152</f>
        <v>1</v>
      </c>
      <c r="BA20" s="491">
        <f>'KELURAHAN (DI ISI)'!AQ150+'KELURAHAN (DI ISI)'!AQ151+'KELURAHAN (DI ISI)'!AQ152</f>
        <v>5</v>
      </c>
      <c r="BB20" s="491">
        <f>'KELURAHAN (DI ISI)'!AR150+'KELURAHAN (DI ISI)'!AR151+'KELURAHAN (DI ISI)'!AR152</f>
        <v>28</v>
      </c>
      <c r="BC20" s="491">
        <f>'KELURAHAN (DI ISI)'!AS150+'KELURAHAN (DI ISI)'!AS151+'KELURAHAN (DI ISI)'!AS152</f>
        <v>2</v>
      </c>
      <c r="BD20" s="491">
        <f>'KELURAHAN (DI ISI)'!AT150+'KELURAHAN (DI ISI)'!AT151+'KELURAHAN (DI ISI)'!AT152</f>
        <v>1</v>
      </c>
      <c r="BE20" s="491">
        <f>'KELURAHAN (DI ISI)'!AU150+'KELURAHAN (DI ISI)'!AU151+'KELURAHAN (DI ISI)'!AU152</f>
        <v>31</v>
      </c>
      <c r="BF20" s="491">
        <f>'KELURAHAN (DI ISI)'!AV150+'KELURAHAN (DI ISI)'!AV151+'KELURAHAN (DI ISI)'!AV152</f>
        <v>1133</v>
      </c>
      <c r="BG20" s="491">
        <f>'KELURAHAN (DI ISI)'!AW150+'KELURAHAN (DI ISI)'!AW151+'KELURAHAN (DI ISI)'!AW152</f>
        <v>29</v>
      </c>
      <c r="BH20" s="491">
        <f t="shared" si="11"/>
        <v>6</v>
      </c>
      <c r="BI20" s="495">
        <f t="shared" si="12"/>
        <v>22</v>
      </c>
      <c r="BJ20" s="491">
        <f>'KELURAHAN (DI ISI)'!AX150+'KELURAHAN (DI ISI)'!AX151+'KELURAHAN (DI ISI)'!AX152</f>
        <v>0</v>
      </c>
      <c r="BK20" s="491">
        <f>'KELURAHAN (DI ISI)'!AY150+'KELURAHAN (DI ISI)'!AY151+'KELURAHAN (DI ISI)'!AY152</f>
        <v>1</v>
      </c>
      <c r="BL20" s="491">
        <f>'KELURAHAN (DI ISI)'!AZ150+'KELURAHAN (DI ISI)'!AZ151+'KELURAHAN (DI ISI)'!AZ152</f>
        <v>5</v>
      </c>
      <c r="BM20" s="491">
        <f>'KELURAHAN (DI ISI)'!BA150+'KELURAHAN (DI ISI)'!BA151+'KELURAHAN (DI ISI)'!BA152</f>
        <v>22</v>
      </c>
      <c r="BN20" s="491">
        <f>'KELURAHAN (DI ISI)'!BB150+'KELURAHAN (DI ISI)'!BB151+'KELURAHAN (DI ISI)'!BB152</f>
        <v>0</v>
      </c>
      <c r="BO20" s="491">
        <f>'KELURAHAN (DI ISI)'!BC150+'KELURAHAN (DI ISI)'!BC151+'KELURAHAN (DI ISI)'!BC152</f>
        <v>0</v>
      </c>
      <c r="BP20" s="491">
        <f>'KELURAHAN (DI ISI)'!BD150+'KELURAHAN (DI ISI)'!BD151+'KELURAHAN (DI ISI)'!BD152</f>
        <v>1</v>
      </c>
      <c r="BQ20" s="491">
        <f>'KELURAHAN (DI ISI)'!BE150+'KELURAHAN (DI ISI)'!BE151+'KELURAHAN (DI ISI)'!BE152</f>
        <v>0</v>
      </c>
      <c r="BR20" s="491">
        <f>'KELURAHAN (DI ISI)'!BF150+'KELURAHAN (DI ISI)'!BF151+'KELURAHAN (DI ISI)'!BF152</f>
        <v>0</v>
      </c>
      <c r="BS20" s="491">
        <f>'KELURAHAN (DI ISI)'!BG150+'KELURAHAN (DI ISI)'!BG151+'KELURAHAN (DI ISI)'!BG152</f>
        <v>0</v>
      </c>
      <c r="BT20" s="491">
        <f>'KELURAHAN (DI ISI)'!BH150+'KELURAHAN (DI ISI)'!BH151+'KELURAHAN (DI ISI)'!BH152</f>
        <v>0</v>
      </c>
      <c r="BU20" s="491">
        <f>'KELURAHAN (DI ISI)'!BI150+'KELURAHAN (DI ISI)'!BI151+'KELURAHAN (DI ISI)'!BI152</f>
        <v>5</v>
      </c>
      <c r="BV20" s="491">
        <f>'KELURAHAN (DI ISI)'!BJ150+'KELURAHAN (DI ISI)'!BJ151+'KELURAHAN (DI ISI)'!BJ152</f>
        <v>0</v>
      </c>
      <c r="BW20" s="491">
        <f>'KELURAHAN (DI ISI)'!BK150+'KELURAHAN (DI ISI)'!BK151+'KELURAHAN (DI ISI)'!BK152</f>
        <v>0</v>
      </c>
      <c r="BX20" s="491">
        <f>'KELURAHAN (DI ISI)'!BL150+'KELURAHAN (DI ISI)'!BL151+'KELURAHAN (DI ISI)'!BL152</f>
        <v>0</v>
      </c>
      <c r="BY20" s="491">
        <f>'KELURAHAN (DI ISI)'!BM150+'KELURAHAN (DI ISI)'!BM151+'KELURAHAN (DI ISI)'!BM152</f>
        <v>0</v>
      </c>
      <c r="BZ20" s="491">
        <f>'KELURAHAN (DI ISI)'!BN150+'KELURAHAN (DI ISI)'!BN151+'KELURAHAN (DI ISI)'!BN152</f>
        <v>1</v>
      </c>
      <c r="CA20" s="491">
        <f>'KELURAHAN (DI ISI)'!BO150+'KELURAHAN (DI ISI)'!BO151+'KELURAHAN (DI ISI)'!BO152</f>
        <v>0</v>
      </c>
      <c r="CB20" s="491">
        <f>'KELURAHAN (DI ISI)'!BP150+'KELURAHAN (DI ISI)'!BP151+'KELURAHAN (DI ISI)'!BP152</f>
        <v>6</v>
      </c>
      <c r="CC20" s="491">
        <f>'KELURAHAN (DI ISI)'!BQ150+'KELURAHAN (DI ISI)'!BQ151+'KELURAHAN (DI ISI)'!BQ152</f>
        <v>1133</v>
      </c>
      <c r="CD20" s="491">
        <f>'KELURAHAN (DI ISI)'!BR150+'KELURAHAN (DI ISI)'!BR151+'KELURAHAN (DI ISI)'!BR152</f>
        <v>28</v>
      </c>
      <c r="CE20" s="491">
        <f t="shared" si="13"/>
        <v>7</v>
      </c>
      <c r="CF20" s="491">
        <f t="shared" si="14"/>
        <v>21</v>
      </c>
      <c r="CG20" s="491">
        <f>'KELURAHAN (DI ISI)'!BS150+'KELURAHAN (DI ISI)'!BS151+'KELURAHAN (DI ISI)'!BS152</f>
        <v>0</v>
      </c>
      <c r="CH20" s="491">
        <f>'KELURAHAN (DI ISI)'!BT150+'KELURAHAN (DI ISI)'!BT151+'KELURAHAN (DI ISI)'!BT152</f>
        <v>1</v>
      </c>
      <c r="CI20" s="491">
        <f>'KELURAHAN (DI ISI)'!BU150+'KELURAHAN (DI ISI)'!BU151+'KELURAHAN (DI ISI)'!BU152</f>
        <v>6</v>
      </c>
      <c r="CJ20" s="491">
        <f>'KELURAHAN (DI ISI)'!BV150+'KELURAHAN (DI ISI)'!BV151+'KELURAHAN (DI ISI)'!BV152</f>
        <v>21</v>
      </c>
      <c r="CK20" s="491">
        <f>'KELURAHAN (DI ISI)'!BW150+'KELURAHAN (DI ISI)'!BW151+'KELURAHAN (DI ISI)'!BW152</f>
        <v>0</v>
      </c>
      <c r="CL20" s="491">
        <f>'KELURAHAN (DI ISI)'!BX150+'KELURAHAN (DI ISI)'!BX151+'KELURAHAN (DI ISI)'!BX152</f>
        <v>0</v>
      </c>
      <c r="CM20" s="491">
        <f>'KELURAHAN (DI ISI)'!BY150+'KELURAHAN (DI ISI)'!BY151+'KELURAHAN (DI ISI)'!BY152</f>
        <v>0</v>
      </c>
      <c r="CN20" s="491">
        <f>'KELURAHAN (DI ISI)'!BZ150+'KELURAHAN (DI ISI)'!BZ151+'KELURAHAN (DI ISI)'!BZ152</f>
        <v>0</v>
      </c>
      <c r="CO20" s="491">
        <f>'KELURAHAN (DI ISI)'!CA150+'KELURAHAN (DI ISI)'!CA151+'KELURAHAN (DI ISI)'!CA152</f>
        <v>0</v>
      </c>
      <c r="CP20" s="491">
        <f>'KELURAHAN (DI ISI)'!CB150+'KELURAHAN (DI ISI)'!CB151+'KELURAHAN (DI ISI)'!CB152</f>
        <v>0</v>
      </c>
      <c r="CQ20" s="491">
        <f>'KELURAHAN (DI ISI)'!CC150+'KELURAHAN (DI ISI)'!CC151+'KELURAHAN (DI ISI)'!CC152</f>
        <v>0</v>
      </c>
      <c r="CR20" s="491">
        <f>'KELURAHAN (DI ISI)'!CD150+'KELURAHAN (DI ISI)'!CD151+'KELURAHAN (DI ISI)'!CD152</f>
        <v>0</v>
      </c>
      <c r="CS20" s="491">
        <f>'KELURAHAN (DI ISI)'!CE150+'KELURAHAN (DI ISI)'!CE151+'KELURAHAN (DI ISI)'!CE152</f>
        <v>0</v>
      </c>
      <c r="CT20" s="491">
        <f>'KELURAHAN (DI ISI)'!CF150+'KELURAHAN (DI ISI)'!CF151+'KELURAHAN (DI ISI)'!CF152</f>
        <v>0</v>
      </c>
      <c r="CU20" s="491">
        <f>'KELURAHAN (DI ISI)'!CG150+'KELURAHAN (DI ISI)'!CG151+'KELURAHAN (DI ISI)'!CG152</f>
        <v>0</v>
      </c>
      <c r="CV20" s="491">
        <f>'KELURAHAN (DI ISI)'!CH150+'KELURAHAN (DI ISI)'!CH151+'KELURAHAN (DI ISI)'!CH152</f>
        <v>1</v>
      </c>
      <c r="CW20" s="491">
        <f>'KELURAHAN (DI ISI)'!CI150+'KELURAHAN (DI ISI)'!CI151+'KELURAHAN (DI ISI)'!CI152</f>
        <v>0</v>
      </c>
      <c r="CX20" s="491">
        <f>'KELURAHAN (DI ISI)'!CJ150+'KELURAHAN (DI ISI)'!CJ151+'KELURAHAN (DI ISI)'!CJ152</f>
        <v>0</v>
      </c>
      <c r="CY20" s="491">
        <f>'KELURAHAN (DI ISI)'!CK150+'KELURAHAN (DI ISI)'!CK151+'KELURAHAN (DI ISI)'!CK152</f>
        <v>1</v>
      </c>
      <c r="CZ20" s="491">
        <f>'KELURAHAN (DI ISI)'!CL150+'KELURAHAN (DI ISI)'!CL151+'KELURAHAN (DI ISI)'!CL152</f>
        <v>1100</v>
      </c>
      <c r="DA20" s="491">
        <f>'KELURAHAN (DI ISI)'!CM150+'KELURAHAN (DI ISI)'!CM151+'KELURAHAN (DI ISI)'!CM152</f>
        <v>457</v>
      </c>
      <c r="DB20" s="491">
        <f>'KELURAHAN (DI ISI)'!CN150+'KELURAHAN (DI ISI)'!CN151+'KELURAHAN (DI ISI)'!CN152</f>
        <v>28</v>
      </c>
      <c r="DC20" s="491">
        <f t="shared" si="15"/>
        <v>7</v>
      </c>
      <c r="DD20" s="491">
        <f t="shared" si="16"/>
        <v>21</v>
      </c>
      <c r="DE20" s="491">
        <f>'KELURAHAN (DI ISI)'!CO150+'KELURAHAN (DI ISI)'!CO151+'KELURAHAN (DI ISI)'!CO152</f>
        <v>0</v>
      </c>
      <c r="DF20" s="491">
        <f>'KELURAHAN (DI ISI)'!CP150+'KELURAHAN (DI ISI)'!CP151+'KELURAHAN (DI ISI)'!CP152</f>
        <v>1</v>
      </c>
      <c r="DG20" s="491">
        <f>'KELURAHAN (DI ISI)'!CQ150+'KELURAHAN (DI ISI)'!CQ151+'KELURAHAN (DI ISI)'!CQ152</f>
        <v>6</v>
      </c>
      <c r="DH20" s="491">
        <f>'KELURAHAN (DI ISI)'!CR150+'KELURAHAN (DI ISI)'!CR151+'KELURAHAN (DI ISI)'!CR152</f>
        <v>21</v>
      </c>
      <c r="DI20" s="491">
        <f>'KELURAHAN (DI ISI)'!CS150+'KELURAHAN (DI ISI)'!CS151+'KELURAHAN (DI ISI)'!CS152</f>
        <v>0</v>
      </c>
      <c r="DJ20" s="491">
        <f>'KELURAHAN (DI ISI)'!CT150+'KELURAHAN (DI ISI)'!CT151+'KELURAHAN (DI ISI)'!CT152</f>
        <v>0</v>
      </c>
      <c r="DK20" s="491">
        <f>'KELURAHAN (DI ISI)'!CU150+'KELURAHAN (DI ISI)'!CU151+'KELURAHAN (DI ISI)'!CU152</f>
        <v>0</v>
      </c>
      <c r="DL20" s="491">
        <f>'KELURAHAN (DI ISI)'!CV150+'KELURAHAN (DI ISI)'!CV151+'KELURAHAN (DI ISI)'!CV152</f>
        <v>0</v>
      </c>
      <c r="DM20" s="491">
        <f>'KELURAHAN (DI ISI)'!CW150+'KELURAHAN (DI ISI)'!CW151+'KELURAHAN (DI ISI)'!CW152</f>
        <v>0</v>
      </c>
      <c r="DN20" s="491">
        <f>'KELURAHAN (DI ISI)'!CX150+'KELURAHAN (DI ISI)'!CX151+'KELURAHAN (DI ISI)'!CX152</f>
        <v>0</v>
      </c>
      <c r="DO20" s="491">
        <f>'KELURAHAN (DI ISI)'!CY150+'KELURAHAN (DI ISI)'!CY151+'KELURAHAN (DI ISI)'!CY152</f>
        <v>0</v>
      </c>
      <c r="DP20" s="491">
        <f>'KELURAHAN (DI ISI)'!CZ150+'KELURAHAN (DI ISI)'!CZ151+'KELURAHAN (DI ISI)'!CZ152</f>
        <v>0</v>
      </c>
      <c r="DQ20" s="491">
        <f>'KELURAHAN (DI ISI)'!DA150+'KELURAHAN (DI ISI)'!DA151+'KELURAHAN (DI ISI)'!DA152</f>
        <v>0</v>
      </c>
      <c r="DR20" s="491">
        <f>'KELURAHAN (DI ISI)'!DB150+'KELURAHAN (DI ISI)'!DB151+'KELURAHAN (DI ISI)'!DB152</f>
        <v>0</v>
      </c>
      <c r="DS20" s="491">
        <f>'KELURAHAN (DI ISI)'!DC150+'KELURAHAN (DI ISI)'!DC151+'KELURAHAN (DI ISI)'!DC152</f>
        <v>0</v>
      </c>
      <c r="DT20" s="491">
        <f>'KELURAHAN (DI ISI)'!DD150+'KELURAHAN (DI ISI)'!DD151+'KELURAHAN (DI ISI)'!DD152</f>
        <v>0</v>
      </c>
      <c r="DU20" s="491">
        <f>'KELURAHAN (DI ISI)'!DE150+'KELURAHAN (DI ISI)'!DE151+'KELURAHAN (DI ISI)'!DE152</f>
        <v>0</v>
      </c>
      <c r="DV20" s="491">
        <f>'KELURAHAN (DI ISI)'!DF150+'KELURAHAN (DI ISI)'!DF151+'KELURAHAN (DI ISI)'!DF152</f>
        <v>0</v>
      </c>
      <c r="DW20" s="491">
        <f>'KELURAHAN (DI ISI)'!DG150+'KELURAHAN (DI ISI)'!DG151+'KELURAHAN (DI ISI)'!DG152</f>
        <v>0</v>
      </c>
      <c r="DX20" s="491">
        <f>'KELURAHAN (DI ISI)'!DH150+'KELURAHAN (DI ISI)'!DH151+'KELURAHAN (DI ISI)'!DH152</f>
        <v>853</v>
      </c>
      <c r="DY20" s="491">
        <f>'KELURAHAN (DI ISI)'!DI150+'KELURAHAN (DI ISI)'!DI151+'KELURAHAN (DI ISI)'!DI152</f>
        <v>309</v>
      </c>
      <c r="DZ20" s="491">
        <f>'KELURAHAN (DI ISI)'!DJ150+'KELURAHAN (DI ISI)'!DJ151+'KELURAHAN (DI ISI)'!DJ152</f>
        <v>853</v>
      </c>
      <c r="EA20" s="491">
        <f>'KELURAHAN (DI ISI)'!DK150+'KELURAHAN (DI ISI)'!DK151+'KELURAHAN (DI ISI)'!DK152</f>
        <v>309</v>
      </c>
      <c r="EB20" s="491">
        <f>'KELURAHAN (DI ISI)'!DL150+'KELURAHAN (DI ISI)'!DL151+'KELURAHAN (DI ISI)'!DL152</f>
        <v>28</v>
      </c>
      <c r="EC20" s="491">
        <f>'KELURAHAN (DI ISI)'!DM150+'KELURAHAN (DI ISI)'!DM151+'KELURAHAN (DI ISI)'!DM152</f>
        <v>13</v>
      </c>
      <c r="ED20" s="491">
        <f t="shared" si="17"/>
        <v>15</v>
      </c>
      <c r="EE20" s="491">
        <f>'KELURAHAN (DI ISI)'!DO150+'KELURAHAN (DI ISI)'!DO151+'KELURAHAN (DI ISI)'!DO152</f>
        <v>0</v>
      </c>
      <c r="EF20" s="491">
        <f>'KELURAHAN (DI ISI)'!DP150+'KELURAHAN (DI ISI)'!DP151+'KELURAHAN (DI ISI)'!DP152</f>
        <v>1</v>
      </c>
      <c r="EG20" s="491">
        <f>'KELURAHAN (DI ISI)'!DQ150+'KELURAHAN (DI ISI)'!DQ151+'KELURAHAN (DI ISI)'!DQ152</f>
        <v>5</v>
      </c>
      <c r="EH20" s="491">
        <f>'KELURAHAN (DI ISI)'!DR150+'KELURAHAN (DI ISI)'!DR151+'KELURAHAN (DI ISI)'!DR152</f>
        <v>15</v>
      </c>
      <c r="EI20" s="491">
        <f>'KELURAHAN (DI ISI)'!DS150+'KELURAHAN (DI ISI)'!DS151+'KELURAHAN (DI ISI)'!DS152</f>
        <v>0</v>
      </c>
      <c r="EJ20" s="491">
        <f>'KELURAHAN (DI ISI)'!DT150+'KELURAHAN (DI ISI)'!DT151+'KELURAHAN (DI ISI)'!DT152</f>
        <v>1</v>
      </c>
      <c r="EK20" s="491">
        <f>'KELURAHAN (DI ISI)'!DU150+'KELURAHAN (DI ISI)'!DU151+'KELURAHAN (DI ISI)'!DU152</f>
        <v>6</v>
      </c>
      <c r="EL20" s="491">
        <f>'KELURAHAN (DI ISI)'!DV150+'KELURAHAN (DI ISI)'!DV151+'KELURAHAN (DI ISI)'!DV152</f>
        <v>0</v>
      </c>
      <c r="EM20" s="491">
        <f>'KELURAHAN (DI ISI)'!DW150+'KELURAHAN (DI ISI)'!DW151+'KELURAHAN (DI ISI)'!DW152</f>
        <v>0</v>
      </c>
      <c r="EN20" s="491">
        <f>'KELURAHAN (DI ISI)'!DX150+'KELURAHAN (DI ISI)'!DX151+'KELURAHAN (DI ISI)'!DX152</f>
        <v>0</v>
      </c>
      <c r="EO20" s="491">
        <f>'KELURAHAN (DI ISI)'!DY150+'KELURAHAN (DI ISI)'!DY151+'KELURAHAN (DI ISI)'!DY152</f>
        <v>1</v>
      </c>
      <c r="EP20" s="491">
        <f>'KELURAHAN (DI ISI)'!DZ150+'KELURAHAN (DI ISI)'!DZ151+'KELURAHAN (DI ISI)'!DZ152</f>
        <v>5</v>
      </c>
      <c r="EQ20" s="491">
        <f>'KELURAHAN (DI ISI)'!EA150+'KELURAHAN (DI ISI)'!EA151+'KELURAHAN (DI ISI)'!EA152</f>
        <v>0</v>
      </c>
      <c r="ER20" s="491">
        <f>'KELURAHAN (DI ISI)'!EB150+'KELURAHAN (DI ISI)'!EB151+'KELURAHAN (DI ISI)'!EB152</f>
        <v>0</v>
      </c>
      <c r="ES20" s="491">
        <f>'KELURAHAN (DI ISI)'!EC150+'KELURAHAN (DI ISI)'!EC151+'KELURAHAN (DI ISI)'!EC152</f>
        <v>0</v>
      </c>
      <c r="ET20" s="491">
        <f>'KELURAHAN (DI ISI)'!ED150+'KELURAHAN (DI ISI)'!ED151+'KELURAHAN (DI ISI)'!ED152</f>
        <v>0</v>
      </c>
      <c r="EU20" s="491">
        <f>'KELURAHAN (DI ISI)'!EE150+'KELURAHAN (DI ISI)'!EE151+'KELURAHAN (DI ISI)'!EE152</f>
        <v>1</v>
      </c>
      <c r="EV20" s="491">
        <f>'KELURAHAN (DI ISI)'!EF150+'KELURAHAN (DI ISI)'!EF151+'KELURAHAN (DI ISI)'!EF152</f>
        <v>0</v>
      </c>
      <c r="EW20" s="491">
        <f>'KELURAHAN (DI ISI)'!EG150+'KELURAHAN (DI ISI)'!EG151+'KELURAHAN (DI ISI)'!EG152</f>
        <v>7</v>
      </c>
      <c r="EX20" s="491">
        <f>'KELURAHAN (DI ISI)'!EH150+'KELURAHAN (DI ISI)'!EH151+'KELURAHAN (DI ISI)'!EH152</f>
        <v>2</v>
      </c>
      <c r="EY20" s="491">
        <f>'KELURAHAN (DI ISI)'!EI150+'KELURAHAN (DI ISI)'!EI151+'KELURAHAN (DI ISI)'!EI152</f>
        <v>854</v>
      </c>
      <c r="EZ20" s="491">
        <f>'KELURAHAN (DI ISI)'!EJ150+'KELURAHAN (DI ISI)'!EJ151+'KELURAHAN (DI ISI)'!EJ152</f>
        <v>302</v>
      </c>
      <c r="FA20" s="491">
        <f>'KELURAHAN (DI ISI)'!EK150+'KELURAHAN (DI ISI)'!EK151+'KELURAHAN (DI ISI)'!EK152</f>
        <v>854</v>
      </c>
      <c r="FB20" s="491">
        <f>'KELURAHAN (DI ISI)'!EL150+'KELURAHAN (DI ISI)'!EL151+'KELURAHAN (DI ISI)'!EL152</f>
        <v>302</v>
      </c>
      <c r="FC20" s="491">
        <f>'KELURAHAN (DI ISI)'!EM150+'KELURAHAN (DI ISI)'!EM151+'KELURAHAN (DI ISI)'!EM152</f>
        <v>30</v>
      </c>
      <c r="FD20" s="491">
        <f>'KELURAHAN (DI ISI)'!EN150+'KELURAHAN (DI ISI)'!EN151+'KELURAHAN (DI ISI)'!EN152</f>
        <v>11</v>
      </c>
      <c r="FE20" s="491">
        <f t="shared" si="18"/>
        <v>19</v>
      </c>
      <c r="FF20" s="491">
        <f>'KELURAHAN (DI ISI)'!EP150+'KELURAHAN (DI ISI)'!EP151+'KELURAHAN (DI ISI)'!EP152</f>
        <v>0</v>
      </c>
      <c r="FG20" s="491">
        <f>'KELURAHAN (DI ISI)'!EQ150+'KELURAHAN (DI ISI)'!EQ151+'KELURAHAN (DI ISI)'!EQ152</f>
        <v>2</v>
      </c>
      <c r="FH20" s="491">
        <f>'KELURAHAN (DI ISI)'!ER150+'KELURAHAN (DI ISI)'!ER151+'KELURAHAN (DI ISI)'!ER152</f>
        <v>7</v>
      </c>
      <c r="FI20" s="491">
        <f>'KELURAHAN (DI ISI)'!ES150+'KELURAHAN (DI ISI)'!ES151+'KELURAHAN (DI ISI)'!ES152</f>
        <v>18</v>
      </c>
      <c r="FJ20" s="491">
        <f>'KELURAHAN (DI ISI)'!ET150+'KELURAHAN (DI ISI)'!ET151+'KELURAHAN (DI ISI)'!ET152</f>
        <v>0</v>
      </c>
      <c r="FK20" s="491">
        <f>'KELURAHAN (DI ISI)'!EU150+'KELURAHAN (DI ISI)'!EU151+'KELURAHAN (DI ISI)'!EU152</f>
        <v>1</v>
      </c>
      <c r="FL20" s="491">
        <f>'KELURAHAN (DI ISI)'!EV150+'KELURAHAN (DI ISI)'!EV151+'KELURAHAN (DI ISI)'!EV152</f>
        <v>1</v>
      </c>
      <c r="FM20" s="491">
        <f>'KELURAHAN (DI ISI)'!EW150+'KELURAHAN (DI ISI)'!EW151+'KELURAHAN (DI ISI)'!EW152</f>
        <v>1</v>
      </c>
      <c r="FN20" s="491">
        <f>'KELURAHAN (DI ISI)'!EX150+'KELURAHAN (DI ISI)'!EX151+'KELURAHAN (DI ISI)'!EX152</f>
        <v>0</v>
      </c>
      <c r="FO20" s="491">
        <f>'KELURAHAN (DI ISI)'!EY150+'KELURAHAN (DI ISI)'!EY151+'KELURAHAN (DI ISI)'!EY152</f>
        <v>0</v>
      </c>
      <c r="FP20" s="491">
        <f>'KELURAHAN (DI ISI)'!EZ150+'KELURAHAN (DI ISI)'!EZ151+'KELURAHAN (DI ISI)'!EZ152</f>
        <v>0</v>
      </c>
      <c r="FQ20" s="491">
        <f>'KELURAHAN (DI ISI)'!FA150+'KELURAHAN (DI ISI)'!FA151+'KELURAHAN (DI ISI)'!FA152</f>
        <v>1</v>
      </c>
      <c r="FR20" s="491">
        <f>'KELURAHAN (DI ISI)'!FB150+'KELURAHAN (DI ISI)'!FB151+'KELURAHAN (DI ISI)'!FB152</f>
        <v>0</v>
      </c>
      <c r="FS20" s="491">
        <f>'KELURAHAN (DI ISI)'!FC150+'KELURAHAN (DI ISI)'!FC151+'KELURAHAN (DI ISI)'!FC152</f>
        <v>0</v>
      </c>
      <c r="FT20" s="491">
        <f>'KELURAHAN (DI ISI)'!FD150+'KELURAHAN (DI ISI)'!FD151+'KELURAHAN (DI ISI)'!FD152</f>
        <v>0</v>
      </c>
      <c r="FU20" s="491">
        <f>'KELURAHAN (DI ISI)'!FE150+'KELURAHAN (DI ISI)'!FE151+'KELURAHAN (DI ISI)'!FE152</f>
        <v>0</v>
      </c>
      <c r="FV20" s="491">
        <f>'KELURAHAN (DI ISI)'!FF150+'KELURAHAN (DI ISI)'!FF151+'KELURAHAN (DI ISI)'!FF152</f>
        <v>0</v>
      </c>
      <c r="FW20" s="491">
        <f>'KELURAHAN (DI ISI)'!FG150+'KELURAHAN (DI ISI)'!FG151+'KELURAHAN (DI ISI)'!FG152</f>
        <v>0</v>
      </c>
      <c r="FX20" s="491">
        <f>'KELURAHAN (DI ISI)'!FH150+'KELURAHAN (DI ISI)'!FH151+'KELURAHAN (DI ISI)'!FH152</f>
        <v>1</v>
      </c>
      <c r="FY20" s="491">
        <f>'KELURAHAN (DI ISI)'!FI150+'KELURAHAN (DI ISI)'!FI151+'KELURAHAN (DI ISI)'!FI152</f>
        <v>0</v>
      </c>
      <c r="FZ20" s="491">
        <f>'KELURAHAN (DI ISI)'!FJ150+'KELURAHAN (DI ISI)'!FJ151+'KELURAHAN (DI ISI)'!FJ152</f>
        <v>851</v>
      </c>
      <c r="GA20" s="491">
        <f>'KELURAHAN (DI ISI)'!FK150+'KELURAHAN (DI ISI)'!FK151+'KELURAHAN (DI ISI)'!FK152</f>
        <v>299</v>
      </c>
      <c r="GB20" s="491">
        <f>'KELURAHAN (DI ISI)'!FL150+'KELURAHAN (DI ISI)'!FL151+'KELURAHAN (DI ISI)'!FL152</f>
        <v>851</v>
      </c>
      <c r="GC20" s="491">
        <f>'KELURAHAN (DI ISI)'!FM150+'KELURAHAN (DI ISI)'!FM151+'KELURAHAN (DI ISI)'!FM152</f>
        <v>299</v>
      </c>
      <c r="GD20" s="570">
        <v>851.0</v>
      </c>
      <c r="GE20" s="571">
        <f>'KELURAHAN (DI ISI)'!FO150+'KELURAHAN (DI ISI)'!FO151+'KELURAHAN (DI ISI)'!FO152</f>
        <v>27</v>
      </c>
      <c r="GF20" s="571">
        <f>'KELURAHAN (DI ISI)'!FP150+'KELURAHAN (DI ISI)'!FP151+'KELURAHAN (DI ISI)'!FP152</f>
        <v>27</v>
      </c>
      <c r="GG20" s="571">
        <f>'KELURAHAN (DI ISI)'!FP150+'KELURAHAN (DI ISI)'!FP151+'KELURAHAN (DI ISI)'!FP152</f>
        <v>27</v>
      </c>
      <c r="GH20" s="571">
        <f>'KELURAHAN (DI ISI)'!FQ150+'KELURAHAN (DI ISI)'!FQ151+'KELURAHAN (DI ISI)'!FQ152</f>
        <v>10</v>
      </c>
      <c r="GI20" s="571">
        <f t="shared" si="19"/>
        <v>17</v>
      </c>
      <c r="GJ20" s="491">
        <f>'KELURAHAN (DI ISI)'!FS150+'KELURAHAN (DI ISI)'!FS151+'KELURAHAN (DI ISI)'!FS152</f>
        <v>0</v>
      </c>
      <c r="GK20" s="491">
        <f>'KELURAHAN (DI ISI)'!FT150+'KELURAHAN (DI ISI)'!FT151+'KELURAHAN (DI ISI)'!FT152</f>
        <v>3</v>
      </c>
      <c r="GL20" s="491">
        <f>'KELURAHAN (DI ISI)'!FU150+'KELURAHAN (DI ISI)'!FU151+'KELURAHAN (DI ISI)'!FU152</f>
        <v>7</v>
      </c>
      <c r="GM20" s="491">
        <f>'KELURAHAN (DI ISI)'!FV150+'KELURAHAN (DI ISI)'!FV151+'KELURAHAN (DI ISI)'!FV152</f>
        <v>16</v>
      </c>
      <c r="GN20" s="491">
        <f>'KELURAHAN (DI ISI)'!FW150+'KELURAHAN (DI ISI)'!FW151+'KELURAHAN (DI ISI)'!FW152</f>
        <v>0</v>
      </c>
      <c r="GO20" s="491">
        <f>'KELURAHAN (DI ISI)'!FX150+'KELURAHAN (DI ISI)'!FX151+'KELURAHAN (DI ISI)'!FX152</f>
        <v>0</v>
      </c>
      <c r="GP20" s="491">
        <f>'KELURAHAN (DI ISI)'!FY150+'KELURAHAN (DI ISI)'!FY151+'KELURAHAN (DI ISI)'!FY152</f>
        <v>0</v>
      </c>
      <c r="GQ20" s="491">
        <f>'KELURAHAN (DI ISI)'!FZ150+'KELURAHAN (DI ISI)'!FZ151+'KELURAHAN (DI ISI)'!FZ152</f>
        <v>1</v>
      </c>
      <c r="GR20" s="491">
        <f>'KELURAHAN (DI ISI)'!GA150+'KELURAHAN (DI ISI)'!GA151+'KELURAHAN (DI ISI)'!GA152</f>
        <v>0</v>
      </c>
      <c r="GS20" s="491">
        <f>'KELURAHAN (DI ISI)'!GB150+'KELURAHAN (DI ISI)'!GB151+'KELURAHAN (DI ISI)'!GB152</f>
        <v>0</v>
      </c>
      <c r="GT20" s="491">
        <f>'KELURAHAN (DI ISI)'!GC150+'KELURAHAN (DI ISI)'!GC151+'KELURAHAN (DI ISI)'!GC152</f>
        <v>0</v>
      </c>
      <c r="GU20" s="491">
        <f>'KELURAHAN (DI ISI)'!GD150+'KELURAHAN (DI ISI)'!GD151+'KELURAHAN (DI ISI)'!GD152</f>
        <v>3</v>
      </c>
      <c r="GV20" s="491">
        <f>'KELURAHAN (DI ISI)'!GE150+'KELURAHAN (DI ISI)'!GE151+'KELURAHAN (DI ISI)'!GE152</f>
        <v>0</v>
      </c>
      <c r="GW20" s="491">
        <f>'KELURAHAN (DI ISI)'!GF150+'KELURAHAN (DI ISI)'!GF151+'KELURAHAN (DI ISI)'!GF152</f>
        <v>0</v>
      </c>
      <c r="GX20" s="491">
        <f>'KELURAHAN (DI ISI)'!GG150+'KELURAHAN (DI ISI)'!GG151+'KELURAHAN (DI ISI)'!GG152</f>
        <v>1</v>
      </c>
      <c r="GY20" s="491">
        <f>'KELURAHAN (DI ISI)'!GH150+'KELURAHAN (DI ISI)'!GH151+'KELURAHAN (DI ISI)'!GH152</f>
        <v>0</v>
      </c>
      <c r="GZ20" s="491">
        <f>'KELURAHAN (DI ISI)'!GI150+'KELURAHAN (DI ISI)'!GI151+'KELURAHAN (DI ISI)'!GI152</f>
        <v>0</v>
      </c>
      <c r="HA20" s="491">
        <f>'KELURAHAN (DI ISI)'!GJ150+'KELURAHAN (DI ISI)'!GJ151+'KELURAHAN (DI ISI)'!GJ152</f>
        <v>0</v>
      </c>
      <c r="HB20" s="572">
        <f>'KELURAHAN (DI ISI)'!GK150+'KELURAHAN (DI ISI)'!GK151+'KELURAHAN (DI ISI)'!GK152</f>
        <v>4</v>
      </c>
      <c r="HC20" s="572">
        <f>'KELURAHAN (DI ISI)'!GL150+'KELURAHAN (DI ISI)'!GL151+'KELURAHAN (DI ISI)'!GL152</f>
        <v>1</v>
      </c>
      <c r="HD20" s="491">
        <f>'KELURAHAN (DI ISI)'!GM150+'KELURAHAN (DI ISI)'!GM151+'KELURAHAN (DI ISI)'!GM152</f>
        <v>854</v>
      </c>
      <c r="HE20" s="491">
        <f>'KELURAHAN (DI ISI)'!GN150+'KELURAHAN (DI ISI)'!GN151+'KELURAHAN (DI ISI)'!GN152</f>
        <v>305</v>
      </c>
      <c r="HF20" s="491">
        <f>'KELURAHAN (DI ISI)'!GO150+'KELURAHAN (DI ISI)'!GO151+'KELURAHAN (DI ISI)'!GO152</f>
        <v>854</v>
      </c>
      <c r="HG20" s="491">
        <f>'KELURAHAN (DI ISI)'!GP150+'KELURAHAN (DI ISI)'!GP151+'KELURAHAN (DI ISI)'!GP152</f>
        <v>305</v>
      </c>
      <c r="HH20" s="570">
        <v>851.0</v>
      </c>
      <c r="HI20" s="225">
        <f>'KELURAHAN (DI ISI)'!GR150+'KELURAHAN (DI ISI)'!GR151+'KELURAHAN (DI ISI)'!GR152</f>
        <v>26</v>
      </c>
      <c r="HJ20" s="225">
        <f>'KELURAHAN (DI ISI)'!GS150+'KELURAHAN (DI ISI)'!GS151+'KELURAHAN (DI ISI)'!GS152</f>
        <v>11</v>
      </c>
      <c r="HK20" s="573">
        <f>'KELURAHAN (DI ISI)'!GT150+'KELURAHAN (DI ISI)'!GT151+'KELURAHAN (DI ISI)'!GT152</f>
        <v>26</v>
      </c>
      <c r="HL20" s="573">
        <f>'KELURAHAN (DI ISI)'!GU150+'KELURAHAN (DI ISI)'!GU151+'KELURAHAN (DI ISI)'!GU152</f>
        <v>11</v>
      </c>
      <c r="HM20" s="573">
        <f t="shared" si="20"/>
        <v>15</v>
      </c>
      <c r="HN20" s="491">
        <f>'KELURAHAN (DI ISI)'!GW150+'KELURAHAN (DI ISI)'!GW151+'KELURAHAN (DI ISI)'!GW152</f>
        <v>0</v>
      </c>
      <c r="HO20" s="491">
        <f>'KELURAHAN (DI ISI)'!GX150+'KELURAHAN (DI ISI)'!GX151+'KELURAHAN (DI ISI)'!GX152</f>
        <v>3</v>
      </c>
      <c r="HP20" s="491">
        <f>'KELURAHAN (DI ISI)'!GY150+'KELURAHAN (DI ISI)'!GY151+'KELURAHAN (DI ISI)'!GY152</f>
        <v>7</v>
      </c>
      <c r="HQ20" s="491">
        <f>'KELURAHAN (DI ISI)'!GZ150+'KELURAHAN (DI ISI)'!GZ151+'KELURAHAN (DI ISI)'!GZ152</f>
        <v>15</v>
      </c>
      <c r="HR20" s="491">
        <f>'KELURAHAN (DI ISI)'!HA150+'KELURAHAN (DI ISI)'!HA151+'KELURAHAN (DI ISI)'!HA152</f>
        <v>0</v>
      </c>
      <c r="HS20" s="491">
        <f>'KELURAHAN (DI ISI)'!HB150+'KELURAHAN (DI ISI)'!HB151+'KELURAHAN (DI ISI)'!HB152</f>
        <v>0</v>
      </c>
      <c r="HT20" s="491">
        <f>'KELURAHAN (DI ISI)'!HC150+'KELURAHAN (DI ISI)'!HC151+'KELURAHAN (DI ISI)'!HC152</f>
        <v>1</v>
      </c>
      <c r="HU20" s="491">
        <f>'KELURAHAN (DI ISI)'!HD150+'KELURAHAN (DI ISI)'!HD151+'KELURAHAN (DI ISI)'!HD152</f>
        <v>0</v>
      </c>
      <c r="HV20" s="491">
        <f>'KELURAHAN (DI ISI)'!HE150+'KELURAHAN (DI ISI)'!HE151+'KELURAHAN (DI ISI)'!HE152</f>
        <v>0</v>
      </c>
      <c r="HW20" s="491">
        <f>'KELURAHAN (DI ISI)'!HF150+'KELURAHAN (DI ISI)'!HF151+'KELURAHAN (DI ISI)'!HF152</f>
        <v>0</v>
      </c>
      <c r="HX20" s="491">
        <f>'KELURAHAN (DI ISI)'!HG150+'KELURAHAN (DI ISI)'!HG151+'KELURAHAN (DI ISI)'!HG152</f>
        <v>0</v>
      </c>
      <c r="HY20" s="491">
        <f>'KELURAHAN (DI ISI)'!HH150+'KELURAHAN (DI ISI)'!HH151+'KELURAHAN (DI ISI)'!HH152</f>
        <v>2</v>
      </c>
      <c r="HZ20" s="491">
        <f>'KELURAHAN (DI ISI)'!HI150+'KELURAHAN (DI ISI)'!HI151+'KELURAHAN (DI ISI)'!HI152</f>
        <v>0</v>
      </c>
      <c r="IA20" s="491">
        <f>'KELURAHAN (DI ISI)'!HJ150+'KELURAHAN (DI ISI)'!HJ151+'KELURAHAN (DI ISI)'!HJ152</f>
        <v>0</v>
      </c>
      <c r="IB20" s="491">
        <f>'KELURAHAN (DI ISI)'!HK150+'KELURAHAN (DI ISI)'!HK151+'KELURAHAN (DI ISI)'!HK152</f>
        <v>0</v>
      </c>
      <c r="IC20" s="491">
        <f>'KELURAHAN (DI ISI)'!HL150+'KELURAHAN (DI ISI)'!HL151+'KELURAHAN (DI ISI)'!HL152</f>
        <v>0</v>
      </c>
      <c r="ID20" s="491">
        <f>'KELURAHAN (DI ISI)'!HM150+'KELURAHAN (DI ISI)'!HM151+'KELURAHAN (DI ISI)'!HM152</f>
        <v>0</v>
      </c>
      <c r="IE20" s="491">
        <f>'KELURAHAN (DI ISI)'!HN150+'KELURAHAN (DI ISI)'!HN151+'KELURAHAN (DI ISI)'!HN152</f>
        <v>0</v>
      </c>
      <c r="IF20" s="573">
        <f>'KELURAHAN (DI ISI)'!HO150+'KELURAHAN (DI ISI)'!HO151+'KELURAHAN (DI ISI)'!HO152</f>
        <v>0</v>
      </c>
      <c r="IG20" s="573">
        <f>'KELURAHAN (DI ISI)'!HP150+'KELURAHAN (DI ISI)'!HP151+'KELURAHAN (DI ISI)'!HP152</f>
        <v>0</v>
      </c>
      <c r="IK20" s="198">
        <f t="shared" si="21"/>
        <v>28</v>
      </c>
      <c r="IL20" s="198">
        <f t="shared" si="22"/>
        <v>31</v>
      </c>
      <c r="IM20" s="198">
        <f t="shared" si="23"/>
        <v>32</v>
      </c>
      <c r="IN20" s="198">
        <f t="shared" si="24"/>
        <v>31</v>
      </c>
      <c r="IO20" s="198">
        <f t="shared" si="25"/>
        <v>34</v>
      </c>
      <c r="IP20" s="198">
        <f t="shared" si="26"/>
        <v>29</v>
      </c>
      <c r="IQ20" s="574">
        <f t="shared" si="27"/>
        <v>28</v>
      </c>
      <c r="IR20" s="574">
        <f t="shared" si="28"/>
        <v>28</v>
      </c>
      <c r="IS20" s="574">
        <f t="shared" si="29"/>
        <v>28</v>
      </c>
      <c r="IT20" s="574">
        <f t="shared" si="30"/>
        <v>30</v>
      </c>
      <c r="IU20" s="574">
        <f t="shared" si="31"/>
        <v>27</v>
      </c>
      <c r="IV20" s="575">
        <f t="shared" si="32"/>
        <v>26</v>
      </c>
      <c r="IW20" s="583"/>
      <c r="IX20" s="576">
        <f t="shared" si="33"/>
        <v>-26</v>
      </c>
      <c r="IZ20" s="237"/>
      <c r="JA20" s="162">
        <f t="shared" si="34"/>
        <v>-854</v>
      </c>
      <c r="JB20" s="578"/>
      <c r="JC20" s="579">
        <f t="shared" si="35"/>
        <v>-305</v>
      </c>
      <c r="JD20" s="596"/>
      <c r="JE20" s="598"/>
      <c r="JF20" s="577"/>
      <c r="JG20" s="234">
        <f t="shared" si="36"/>
        <v>-854</v>
      </c>
      <c r="JH20" s="578"/>
      <c r="JI20" s="579">
        <f t="shared" si="37"/>
        <v>-305</v>
      </c>
      <c r="JJ20" s="593"/>
    </row>
    <row r="21" ht="14.25" customHeight="1">
      <c r="A21" s="158">
        <v>14.0</v>
      </c>
      <c r="B21" s="157" t="s">
        <v>240</v>
      </c>
      <c r="C21" s="253">
        <v>3374130.0</v>
      </c>
      <c r="D21" s="569" t="s">
        <v>328</v>
      </c>
      <c r="E21" s="253"/>
      <c r="F21" s="252">
        <f>'KELURAHAN (DI ISI)'!F138+'KELURAHAN (DI ISI)'!F145</f>
        <v>17</v>
      </c>
      <c r="G21" s="252">
        <f>'KELURAHAN (DI ISI)'!G138+'KELURAHAN (DI ISI)'!G145</f>
        <v>1507</v>
      </c>
      <c r="H21" s="252">
        <f>'KELURAHAN (DI ISI)'!H138+'KELURAHAN (DI ISI)'!H145</f>
        <v>51</v>
      </c>
      <c r="I21" s="491">
        <f t="shared" si="1"/>
        <v>20</v>
      </c>
      <c r="J21" s="491">
        <f t="shared" si="2"/>
        <v>31</v>
      </c>
      <c r="K21" s="248">
        <f>'KELURAHAN (DI ISI)'!I138+'KELURAHAN (DI ISI)'!I145</f>
        <v>3</v>
      </c>
      <c r="L21" s="248">
        <f>'KELURAHAN (DI ISI)'!J138+'KELURAHAN (DI ISI)'!J145</f>
        <v>5</v>
      </c>
      <c r="M21" s="248">
        <f>'KELURAHAN (DI ISI)'!K138+'KELURAHAN (DI ISI)'!K145</f>
        <v>12</v>
      </c>
      <c r="N21" s="248">
        <f>'KELURAHAN (DI ISI)'!L138+'KELURAHAN (DI ISI)'!L145</f>
        <v>31</v>
      </c>
      <c r="O21" s="248">
        <f>'KELURAHAN (DI ISI)'!M138+'KELURAHAN (DI ISI)'!M145</f>
        <v>0</v>
      </c>
      <c r="P21" s="248">
        <f>'KELURAHAN (DI ISI)'!N138+'KELURAHAN (DI ISI)'!N145</f>
        <v>0</v>
      </c>
      <c r="Q21" s="248">
        <f>'KELURAHAN (DI ISI)'!O138+'KELURAHAN (DI ISI)'!O145</f>
        <v>51</v>
      </c>
      <c r="R21" s="248">
        <f>'KELURAHAN (DI ISI)'!P138+'KELURAHAN (DI ISI)'!P145</f>
        <v>47</v>
      </c>
      <c r="S21" s="491">
        <f t="shared" si="3"/>
        <v>16</v>
      </c>
      <c r="T21" s="491">
        <f t="shared" si="4"/>
        <v>31</v>
      </c>
      <c r="U21" s="248">
        <f>'KELURAHAN (DI ISI)'!Q138+'KELURAHAN (DI ISI)'!Q145</f>
        <v>2</v>
      </c>
      <c r="V21" s="248">
        <f>'KELURAHAN (DI ISI)'!R138+'KELURAHAN (DI ISI)'!R145</f>
        <v>4</v>
      </c>
      <c r="W21" s="248">
        <f>'KELURAHAN (DI ISI)'!S138+'KELURAHAN (DI ISI)'!S145</f>
        <v>10</v>
      </c>
      <c r="X21" s="248">
        <f>'KELURAHAN (DI ISI)'!T138+'KELURAHAN (DI ISI)'!T145</f>
        <v>31</v>
      </c>
      <c r="Y21" s="248">
        <f>'KELURAHAN (DI ISI)'!U138+'KELURAHAN (DI ISI)'!U145</f>
        <v>0</v>
      </c>
      <c r="Z21" s="248">
        <f>'KELURAHAN (DI ISI)'!V138+'KELURAHAN (DI ISI)'!V145</f>
        <v>0</v>
      </c>
      <c r="AA21" s="248">
        <f>'KELURAHAN (DI ISI)'!W138+'KELURAHAN (DI ISI)'!W145</f>
        <v>47</v>
      </c>
      <c r="AB21" s="248">
        <f>'KELURAHAN (DI ISI)'!X138+'KELURAHAN (DI ISI)'!X145</f>
        <v>47</v>
      </c>
      <c r="AC21" s="491">
        <f t="shared" si="5"/>
        <v>21</v>
      </c>
      <c r="AD21" s="491">
        <f t="shared" si="6"/>
        <v>26</v>
      </c>
      <c r="AE21" s="248">
        <f>'KELURAHAN (DI ISI)'!Y138+'KELURAHAN (DI ISI)'!Y145</f>
        <v>5</v>
      </c>
      <c r="AF21" s="248">
        <f>'KELURAHAN (DI ISI)'!Z138+'KELURAHAN (DI ISI)'!Z145</f>
        <v>3</v>
      </c>
      <c r="AG21" s="248">
        <f>'KELURAHAN (DI ISI)'!AA138+'KELURAHAN (DI ISI)'!AA145</f>
        <v>13</v>
      </c>
      <c r="AH21" s="248">
        <f>'KELURAHAN (DI ISI)'!AB138+'KELURAHAN (DI ISI)'!AB145</f>
        <v>26</v>
      </c>
      <c r="AI21" s="248">
        <f>'KELURAHAN (DI ISI)'!AC138+'KELURAHAN (DI ISI)'!AC145</f>
        <v>4</v>
      </c>
      <c r="AJ21" s="248">
        <f>'KELURAHAN (DI ISI)'!AD138+'KELURAHAN (DI ISI)'!AD145</f>
        <v>8</v>
      </c>
      <c r="AK21" s="248">
        <f>'KELURAHAN (DI ISI)'!AE138+'KELURAHAN (DI ISI)'!AE145</f>
        <v>35</v>
      </c>
      <c r="AL21" s="248">
        <f>'KELURAHAN (DI ISI)'!AF138+'KELURAHAN (DI ISI)'!AF145</f>
        <v>39</v>
      </c>
      <c r="AM21" s="491">
        <f t="shared" si="7"/>
        <v>16</v>
      </c>
      <c r="AN21" s="491">
        <f t="shared" si="8"/>
        <v>23</v>
      </c>
      <c r="AO21" s="248">
        <f>'KELURAHAN (DI ISI)'!AG138+'KELURAHAN (DI ISI)'!AG145</f>
        <v>2</v>
      </c>
      <c r="AP21" s="248">
        <f>'KELURAHAN (DI ISI)'!AH138+'KELURAHAN (DI ISI)'!AH145</f>
        <v>3</v>
      </c>
      <c r="AQ21" s="248">
        <f>'KELURAHAN (DI ISI)'!AI138+'KELURAHAN (DI ISI)'!AI145</f>
        <v>11</v>
      </c>
      <c r="AR21" s="248">
        <f>'KELURAHAN (DI ISI)'!AJ138+'KELURAHAN (DI ISI)'!AJ145</f>
        <v>23</v>
      </c>
      <c r="AS21" s="248">
        <f>'KELURAHAN (DI ISI)'!AK138+'KELURAHAN (DI ISI)'!AK145</f>
        <v>0</v>
      </c>
      <c r="AT21" s="248">
        <f>'KELURAHAN (DI ISI)'!AL138+'KELURAHAN (DI ISI)'!AL145</f>
        <v>8</v>
      </c>
      <c r="AU21" s="248">
        <f>'KELURAHAN (DI ISI)'!AM138+'KELURAHAN (DI ISI)'!AM145</f>
        <v>31</v>
      </c>
      <c r="AV21" s="248">
        <f>'KELURAHAN (DI ISI)'!AN138+'KELURAHAN (DI ISI)'!AN145</f>
        <v>29</v>
      </c>
      <c r="AW21" s="491">
        <f t="shared" si="9"/>
        <v>9</v>
      </c>
      <c r="AX21" s="491">
        <f t="shared" si="10"/>
        <v>20</v>
      </c>
      <c r="AY21" s="248">
        <f>'KELURAHAN (DI ISI)'!AO138+'KELURAHAN (DI ISI)'!AO145</f>
        <v>1</v>
      </c>
      <c r="AZ21" s="248">
        <f>'KELURAHAN (DI ISI)'!AP138+'KELURAHAN (DI ISI)'!AP145</f>
        <v>2</v>
      </c>
      <c r="BA21" s="248">
        <f>'KELURAHAN (DI ISI)'!AQ138+'KELURAHAN (DI ISI)'!AQ145</f>
        <v>6</v>
      </c>
      <c r="BB21" s="248">
        <f>'KELURAHAN (DI ISI)'!AR138+'KELURAHAN (DI ISI)'!AR145</f>
        <v>20</v>
      </c>
      <c r="BC21" s="248">
        <f>'KELURAHAN (DI ISI)'!AS138+'KELURAHAN (DI ISI)'!AS145</f>
        <v>0</v>
      </c>
      <c r="BD21" s="248">
        <f>'KELURAHAN (DI ISI)'!AT138+'KELURAHAN (DI ISI)'!AT145</f>
        <v>0</v>
      </c>
      <c r="BE21" s="248">
        <f>'KELURAHAN (DI ISI)'!AU138+'KELURAHAN (DI ISI)'!AU145</f>
        <v>29</v>
      </c>
      <c r="BF21" s="248">
        <f>'KELURAHAN (DI ISI)'!AV138+'KELURAHAN (DI ISI)'!AV145</f>
        <v>1463</v>
      </c>
      <c r="BG21" s="248">
        <f>'KELURAHAN (DI ISI)'!AW138+'KELURAHAN (DI ISI)'!AW145</f>
        <v>21</v>
      </c>
      <c r="BH21" s="491">
        <f t="shared" si="11"/>
        <v>7</v>
      </c>
      <c r="BI21" s="495">
        <f t="shared" si="12"/>
        <v>14</v>
      </c>
      <c r="BJ21" s="248">
        <f>'KELURAHAN (DI ISI)'!AX138+'KELURAHAN (DI ISI)'!AX145</f>
        <v>0</v>
      </c>
      <c r="BK21" s="248">
        <f>'KELURAHAN (DI ISI)'!AY138+'KELURAHAN (DI ISI)'!AY145</f>
        <v>5</v>
      </c>
      <c r="BL21" s="248">
        <f>'KELURAHAN (DI ISI)'!AZ138+'KELURAHAN (DI ISI)'!AZ145</f>
        <v>2</v>
      </c>
      <c r="BM21" s="248">
        <f>'KELURAHAN (DI ISI)'!BA138+'KELURAHAN (DI ISI)'!BA145</f>
        <v>14</v>
      </c>
      <c r="BN21" s="248">
        <f>'KELURAHAN (DI ISI)'!BB138+'KELURAHAN (DI ISI)'!BB145</f>
        <v>0</v>
      </c>
      <c r="BO21" s="248">
        <f>'KELURAHAN (DI ISI)'!BC138+'KELURAHAN (DI ISI)'!BC145</f>
        <v>0</v>
      </c>
      <c r="BP21" s="248">
        <f>'KELURAHAN (DI ISI)'!BD138+'KELURAHAN (DI ISI)'!BD145</f>
        <v>0</v>
      </c>
      <c r="BQ21" s="248">
        <f>'KELURAHAN (DI ISI)'!BE138+'KELURAHAN (DI ISI)'!BE145</f>
        <v>0</v>
      </c>
      <c r="BR21" s="248">
        <f>'KELURAHAN (DI ISI)'!BF138+'KELURAHAN (DI ISI)'!BF145</f>
        <v>0</v>
      </c>
      <c r="BS21" s="248">
        <f>'KELURAHAN (DI ISI)'!BG138+'KELURAHAN (DI ISI)'!BG145</f>
        <v>0</v>
      </c>
      <c r="BT21" s="248">
        <f>'KELURAHAN (DI ISI)'!BH138+'KELURAHAN (DI ISI)'!BH145</f>
        <v>0</v>
      </c>
      <c r="BU21" s="248">
        <f>'KELURAHAN (DI ISI)'!BI138+'KELURAHAN (DI ISI)'!BI145</f>
        <v>0</v>
      </c>
      <c r="BV21" s="248">
        <f>'KELURAHAN (DI ISI)'!BJ138+'KELURAHAN (DI ISI)'!BJ145</f>
        <v>0</v>
      </c>
      <c r="BW21" s="248">
        <f>'KELURAHAN (DI ISI)'!BK138+'KELURAHAN (DI ISI)'!BK145</f>
        <v>0</v>
      </c>
      <c r="BX21" s="248">
        <f>'KELURAHAN (DI ISI)'!BL138+'KELURAHAN (DI ISI)'!BL145</f>
        <v>3</v>
      </c>
      <c r="BY21" s="248">
        <f>'KELURAHAN (DI ISI)'!BM138+'KELURAHAN (DI ISI)'!BM145</f>
        <v>6</v>
      </c>
      <c r="BZ21" s="248">
        <f>'KELURAHAN (DI ISI)'!BN138+'KELURAHAN (DI ISI)'!BN145</f>
        <v>0</v>
      </c>
      <c r="CA21" s="248">
        <f>'KELURAHAN (DI ISI)'!BO138+'KELURAHAN (DI ISI)'!BO145</f>
        <v>0</v>
      </c>
      <c r="CB21" s="248">
        <f>'KELURAHAN (DI ISI)'!BP138+'KELURAHAN (DI ISI)'!BP145</f>
        <v>9</v>
      </c>
      <c r="CC21" s="248">
        <f>'KELURAHAN (DI ISI)'!BQ138+'KELURAHAN (DI ISI)'!BQ145</f>
        <v>1564</v>
      </c>
      <c r="CD21" s="248">
        <f>'KELURAHAN (DI ISI)'!BR138+'KELURAHAN (DI ISI)'!BR145</f>
        <v>22</v>
      </c>
      <c r="CE21" s="491">
        <f t="shared" si="13"/>
        <v>5</v>
      </c>
      <c r="CF21" s="491">
        <f t="shared" si="14"/>
        <v>14</v>
      </c>
      <c r="CG21" s="248">
        <f>'KELURAHAN (DI ISI)'!BS138+'KELURAHAN (DI ISI)'!BS145</f>
        <v>0</v>
      </c>
      <c r="CH21" s="248">
        <f>'KELURAHAN (DI ISI)'!BT138+'KELURAHAN (DI ISI)'!BT145</f>
        <v>2</v>
      </c>
      <c r="CI21" s="248">
        <f>'KELURAHAN (DI ISI)'!BU138+'KELURAHAN (DI ISI)'!BU145</f>
        <v>3</v>
      </c>
      <c r="CJ21" s="248">
        <f>'KELURAHAN (DI ISI)'!BV138+'KELURAHAN (DI ISI)'!BV145</f>
        <v>14</v>
      </c>
      <c r="CK21" s="248">
        <f>'KELURAHAN (DI ISI)'!BW138+'KELURAHAN (DI ISI)'!BW145</f>
        <v>0</v>
      </c>
      <c r="CL21" s="248">
        <f>'KELURAHAN (DI ISI)'!BX138+'KELURAHAN (DI ISI)'!BX145</f>
        <v>0</v>
      </c>
      <c r="CM21" s="248">
        <f>'KELURAHAN (DI ISI)'!BY138+'KELURAHAN (DI ISI)'!BY145</f>
        <v>1</v>
      </c>
      <c r="CN21" s="248">
        <f>'KELURAHAN (DI ISI)'!BZ138+'KELURAHAN (DI ISI)'!BZ145</f>
        <v>2</v>
      </c>
      <c r="CO21" s="248">
        <f>'KELURAHAN (DI ISI)'!CA138+'KELURAHAN (DI ISI)'!CA145</f>
        <v>0</v>
      </c>
      <c r="CP21" s="248">
        <f>'KELURAHAN (DI ISI)'!CB138+'KELURAHAN (DI ISI)'!CB145</f>
        <v>1</v>
      </c>
      <c r="CQ21" s="248">
        <f>'KELURAHAN (DI ISI)'!CC138+'KELURAHAN (DI ISI)'!CC145</f>
        <v>1</v>
      </c>
      <c r="CR21" s="248">
        <f>'KELURAHAN (DI ISI)'!CD138+'KELURAHAN (DI ISI)'!CD145</f>
        <v>0</v>
      </c>
      <c r="CS21" s="248">
        <f>'KELURAHAN (DI ISI)'!CE138+'KELURAHAN (DI ISI)'!CE145</f>
        <v>0</v>
      </c>
      <c r="CT21" s="248">
        <f>'KELURAHAN (DI ISI)'!CF138+'KELURAHAN (DI ISI)'!CF145</f>
        <v>0</v>
      </c>
      <c r="CU21" s="248">
        <f>'KELURAHAN (DI ISI)'!CG138+'KELURAHAN (DI ISI)'!CG145</f>
        <v>0</v>
      </c>
      <c r="CV21" s="248">
        <f>'KELURAHAN (DI ISI)'!CH138+'KELURAHAN (DI ISI)'!CH145</f>
        <v>0</v>
      </c>
      <c r="CW21" s="248">
        <f>'KELURAHAN (DI ISI)'!CI138+'KELURAHAN (DI ISI)'!CI145</f>
        <v>0</v>
      </c>
      <c r="CX21" s="248">
        <f>'KELURAHAN (DI ISI)'!CJ138+'KELURAHAN (DI ISI)'!CJ145</f>
        <v>0</v>
      </c>
      <c r="CY21" s="248">
        <f>'KELURAHAN (DI ISI)'!CK138+'KELURAHAN (DI ISI)'!CK145</f>
        <v>2</v>
      </c>
      <c r="CZ21" s="248">
        <f>'KELURAHAN (DI ISI)'!CL138+'KELURAHAN (DI ISI)'!CL145</f>
        <v>1534</v>
      </c>
      <c r="DA21" s="248">
        <f>'KELURAHAN (DI ISI)'!CM138+'KELURAHAN (DI ISI)'!CM145</f>
        <v>448</v>
      </c>
      <c r="DB21" s="248">
        <f>'KELURAHAN (DI ISI)'!CN138+'KELURAHAN (DI ISI)'!CN145</f>
        <v>25</v>
      </c>
      <c r="DC21" s="491">
        <f t="shared" si="15"/>
        <v>3</v>
      </c>
      <c r="DD21" s="491">
        <f t="shared" si="16"/>
        <v>15</v>
      </c>
      <c r="DE21" s="248">
        <f>'KELURAHAN (DI ISI)'!CO138+'KELURAHAN (DI ISI)'!CO145</f>
        <v>0</v>
      </c>
      <c r="DF21" s="248">
        <f>'KELURAHAN (DI ISI)'!CP138+'KELURAHAN (DI ISI)'!CP145</f>
        <v>1</v>
      </c>
      <c r="DG21" s="248">
        <f>'KELURAHAN (DI ISI)'!CQ138+'KELURAHAN (DI ISI)'!CQ145</f>
        <v>2</v>
      </c>
      <c r="DH21" s="248">
        <f>'KELURAHAN (DI ISI)'!CR138+'KELURAHAN (DI ISI)'!CR145</f>
        <v>15</v>
      </c>
      <c r="DI21" s="248">
        <f>'KELURAHAN (DI ISI)'!CS138+'KELURAHAN (DI ISI)'!CS145</f>
        <v>0</v>
      </c>
      <c r="DJ21" s="248">
        <f>'KELURAHAN (DI ISI)'!CT138+'KELURAHAN (DI ISI)'!CT145</f>
        <v>0</v>
      </c>
      <c r="DK21" s="248">
        <f>'KELURAHAN (DI ISI)'!CU138+'KELURAHAN (DI ISI)'!CU145</f>
        <v>1</v>
      </c>
      <c r="DL21" s="248">
        <f>'KELURAHAN (DI ISI)'!CV138+'KELURAHAN (DI ISI)'!CV145</f>
        <v>6</v>
      </c>
      <c r="DM21" s="248">
        <f>'KELURAHAN (DI ISI)'!CW138+'KELURAHAN (DI ISI)'!CW145</f>
        <v>0</v>
      </c>
      <c r="DN21" s="248">
        <f>'KELURAHAN (DI ISI)'!CX138+'KELURAHAN (DI ISI)'!CX145</f>
        <v>1</v>
      </c>
      <c r="DO21" s="248">
        <f>'KELURAHAN (DI ISI)'!CY138+'KELURAHAN (DI ISI)'!CY145</f>
        <v>1</v>
      </c>
      <c r="DP21" s="248">
        <f>'KELURAHAN (DI ISI)'!CZ138+'KELURAHAN (DI ISI)'!CZ145</f>
        <v>2</v>
      </c>
      <c r="DQ21" s="248">
        <f>'KELURAHAN (DI ISI)'!DA138+'KELURAHAN (DI ISI)'!DA145</f>
        <v>0</v>
      </c>
      <c r="DR21" s="248">
        <f>'KELURAHAN (DI ISI)'!DB138+'KELURAHAN (DI ISI)'!DB145</f>
        <v>0</v>
      </c>
      <c r="DS21" s="248">
        <f>'KELURAHAN (DI ISI)'!DC138+'KELURAHAN (DI ISI)'!DC145</f>
        <v>0</v>
      </c>
      <c r="DT21" s="248">
        <f>'KELURAHAN (DI ISI)'!DD138+'KELURAHAN (DI ISI)'!DD145</f>
        <v>0</v>
      </c>
      <c r="DU21" s="248">
        <f>'KELURAHAN (DI ISI)'!DE138+'KELURAHAN (DI ISI)'!DE145</f>
        <v>0</v>
      </c>
      <c r="DV21" s="248">
        <f>'KELURAHAN (DI ISI)'!DF138+'KELURAHAN (DI ISI)'!DF145</f>
        <v>0</v>
      </c>
      <c r="DW21" s="248">
        <f>'KELURAHAN (DI ISI)'!DG138+'KELURAHAN (DI ISI)'!DG145</f>
        <v>4</v>
      </c>
      <c r="DX21" s="248">
        <f>'KELURAHAN (DI ISI)'!DH138+'KELURAHAN (DI ISI)'!DH145</f>
        <v>1453</v>
      </c>
      <c r="DY21" s="248">
        <f>'KELURAHAN (DI ISI)'!DI138+'KELURAHAN (DI ISI)'!DI145</f>
        <v>471</v>
      </c>
      <c r="DZ21" s="248">
        <f>'KELURAHAN (DI ISI)'!DJ138+'KELURAHAN (DI ISI)'!DJ145</f>
        <v>1406</v>
      </c>
      <c r="EA21" s="248">
        <f>'KELURAHAN (DI ISI)'!DK138+'KELURAHAN (DI ISI)'!DK145</f>
        <v>464</v>
      </c>
      <c r="EB21" s="248">
        <f>'KELURAHAN (DI ISI)'!DL138+'KELURAHAN (DI ISI)'!DL145</f>
        <v>27</v>
      </c>
      <c r="EC21" s="248">
        <f>'KELURAHAN (DI ISI)'!DM138+'KELURAHAN (DI ISI)'!DM145</f>
        <v>6</v>
      </c>
      <c r="ED21" s="491">
        <f t="shared" si="17"/>
        <v>21</v>
      </c>
      <c r="EE21" s="248">
        <f>'KELURAHAN (DI ISI)'!DO138+'KELURAHAN (DI ISI)'!DO145</f>
        <v>0</v>
      </c>
      <c r="EF21" s="248">
        <f>'KELURAHAN (DI ISI)'!DP138+'KELURAHAN (DI ISI)'!DP145</f>
        <v>1</v>
      </c>
      <c r="EG21" s="248">
        <f>'KELURAHAN (DI ISI)'!DQ138+'KELURAHAN (DI ISI)'!DQ145</f>
        <v>3</v>
      </c>
      <c r="EH21" s="248">
        <f>'KELURAHAN (DI ISI)'!DR138+'KELURAHAN (DI ISI)'!DR145</f>
        <v>18</v>
      </c>
      <c r="EI21" s="248">
        <f>'KELURAHAN (DI ISI)'!DS138+'KELURAHAN (DI ISI)'!DS145</f>
        <v>1</v>
      </c>
      <c r="EJ21" s="248">
        <f>'KELURAHAN (DI ISI)'!DT138+'KELURAHAN (DI ISI)'!DT145</f>
        <v>1</v>
      </c>
      <c r="EK21" s="248">
        <f>'KELURAHAN (DI ISI)'!DU138+'KELURAHAN (DI ISI)'!DU145</f>
        <v>0</v>
      </c>
      <c r="EL21" s="248">
        <f>'KELURAHAN (DI ISI)'!DV138+'KELURAHAN (DI ISI)'!DV145</f>
        <v>3</v>
      </c>
      <c r="EM21" s="248">
        <f>'KELURAHAN (DI ISI)'!DW138+'KELURAHAN (DI ISI)'!DW145</f>
        <v>0</v>
      </c>
      <c r="EN21" s="248">
        <f>'KELURAHAN (DI ISI)'!DX138+'KELURAHAN (DI ISI)'!DX145</f>
        <v>0</v>
      </c>
      <c r="EO21" s="248">
        <f>'KELURAHAN (DI ISI)'!DY138+'KELURAHAN (DI ISI)'!DY145</f>
        <v>0</v>
      </c>
      <c r="EP21" s="248">
        <f>'KELURAHAN (DI ISI)'!DZ138+'KELURAHAN (DI ISI)'!DZ145</f>
        <v>3</v>
      </c>
      <c r="EQ21" s="248">
        <f>'KELURAHAN (DI ISI)'!EA138+'KELURAHAN (DI ISI)'!EA145</f>
        <v>0</v>
      </c>
      <c r="ER21" s="248">
        <f>'KELURAHAN (DI ISI)'!EB138+'KELURAHAN (DI ISI)'!EB145</f>
        <v>0</v>
      </c>
      <c r="ES21" s="248">
        <f>'KELURAHAN (DI ISI)'!EC138+'KELURAHAN (DI ISI)'!EC145</f>
        <v>0</v>
      </c>
      <c r="ET21" s="248">
        <f>'KELURAHAN (DI ISI)'!ED138+'KELURAHAN (DI ISI)'!ED145</f>
        <v>0</v>
      </c>
      <c r="EU21" s="248">
        <f>'KELURAHAN (DI ISI)'!EE138+'KELURAHAN (DI ISI)'!EE145</f>
        <v>0</v>
      </c>
      <c r="EV21" s="248">
        <f>'KELURAHAN (DI ISI)'!EF138+'KELURAHAN (DI ISI)'!EF145</f>
        <v>0</v>
      </c>
      <c r="EW21" s="248">
        <f>'KELURAHAN (DI ISI)'!EG138+'KELURAHAN (DI ISI)'!EG145</f>
        <v>3</v>
      </c>
      <c r="EX21" s="248">
        <f>'KELURAHAN (DI ISI)'!EH138+'KELURAHAN (DI ISI)'!EH145</f>
        <v>0</v>
      </c>
      <c r="EY21" s="248">
        <f>'KELURAHAN (DI ISI)'!EI138+'KELURAHAN (DI ISI)'!EI145</f>
        <v>1425</v>
      </c>
      <c r="EZ21" s="248">
        <f>'KELURAHAN (DI ISI)'!EJ138+'KELURAHAN (DI ISI)'!EJ145</f>
        <v>461</v>
      </c>
      <c r="FA21" s="248">
        <f>'KELURAHAN (DI ISI)'!EK138+'KELURAHAN (DI ISI)'!EK145</f>
        <v>1425</v>
      </c>
      <c r="FB21" s="248">
        <f>'KELURAHAN (DI ISI)'!EL138+'KELURAHAN (DI ISI)'!EL145</f>
        <v>461</v>
      </c>
      <c r="FC21" s="248">
        <f>'KELURAHAN (DI ISI)'!EM138+'KELURAHAN (DI ISI)'!EM145</f>
        <v>27</v>
      </c>
      <c r="FD21" s="248">
        <f>'KELURAHAN (DI ISI)'!EN138+'KELURAHAN (DI ISI)'!EN145</f>
        <v>5</v>
      </c>
      <c r="FE21" s="491">
        <f t="shared" si="18"/>
        <v>22</v>
      </c>
      <c r="FF21" s="248">
        <f>'KELURAHAN (DI ISI)'!EP138+'KELURAHAN (DI ISI)'!EP145</f>
        <v>0</v>
      </c>
      <c r="FG21" s="248">
        <f>'KELURAHAN (DI ISI)'!EQ138+'KELURAHAN (DI ISI)'!EQ145</f>
        <v>1</v>
      </c>
      <c r="FH21" s="248">
        <f>'KELURAHAN (DI ISI)'!ER138+'KELURAHAN (DI ISI)'!ER145</f>
        <v>4</v>
      </c>
      <c r="FI21" s="248">
        <f>'KELURAHAN (DI ISI)'!ES138+'KELURAHAN (DI ISI)'!ES145</f>
        <v>21</v>
      </c>
      <c r="FJ21" s="248">
        <f>'KELURAHAN (DI ISI)'!ET138+'KELURAHAN (DI ISI)'!ET145</f>
        <v>0</v>
      </c>
      <c r="FK21" s="248">
        <f>'KELURAHAN (DI ISI)'!EU138+'KELURAHAN (DI ISI)'!EU145</f>
        <v>0</v>
      </c>
      <c r="FL21" s="248">
        <f>'KELURAHAN (DI ISI)'!EV138+'KELURAHAN (DI ISI)'!EV145</f>
        <v>0</v>
      </c>
      <c r="FM21" s="248">
        <f>'KELURAHAN (DI ISI)'!EW138+'KELURAHAN (DI ISI)'!EW145</f>
        <v>1</v>
      </c>
      <c r="FN21" s="248">
        <f>'KELURAHAN (DI ISI)'!EX138+'KELURAHAN (DI ISI)'!EX145</f>
        <v>1</v>
      </c>
      <c r="FO21" s="248">
        <f>'KELURAHAN (DI ISI)'!EY138+'KELURAHAN (DI ISI)'!EY145</f>
        <v>0</v>
      </c>
      <c r="FP21" s="248">
        <f>'KELURAHAN (DI ISI)'!EZ138+'KELURAHAN (DI ISI)'!EZ145</f>
        <v>0</v>
      </c>
      <c r="FQ21" s="248">
        <f>'KELURAHAN (DI ISI)'!FA138+'KELURAHAN (DI ISI)'!FA145</f>
        <v>0</v>
      </c>
      <c r="FR21" s="248">
        <f>'KELURAHAN (DI ISI)'!FB138+'KELURAHAN (DI ISI)'!FB145</f>
        <v>0</v>
      </c>
      <c r="FS21" s="248">
        <f>'KELURAHAN (DI ISI)'!FC138+'KELURAHAN (DI ISI)'!FC145</f>
        <v>0</v>
      </c>
      <c r="FT21" s="248">
        <f>'KELURAHAN (DI ISI)'!FD138+'KELURAHAN (DI ISI)'!FD145</f>
        <v>0</v>
      </c>
      <c r="FU21" s="248">
        <f>'KELURAHAN (DI ISI)'!FE138+'KELURAHAN (DI ISI)'!FE145</f>
        <v>0</v>
      </c>
      <c r="FV21" s="248">
        <f>'KELURAHAN (DI ISI)'!FF138+'KELURAHAN (DI ISI)'!FF145</f>
        <v>0</v>
      </c>
      <c r="FW21" s="248">
        <f>'KELURAHAN (DI ISI)'!FG138+'KELURAHAN (DI ISI)'!FG145</f>
        <v>0</v>
      </c>
      <c r="FX21" s="248">
        <f>'KELURAHAN (DI ISI)'!FH138+'KELURAHAN (DI ISI)'!FH145</f>
        <v>1</v>
      </c>
      <c r="FY21" s="248">
        <f>'KELURAHAN (DI ISI)'!FI138+'KELURAHAN (DI ISI)'!FI145</f>
        <v>1</v>
      </c>
      <c r="FZ21" s="248">
        <f>'KELURAHAN (DI ISI)'!FJ138+'KELURAHAN (DI ISI)'!FJ145</f>
        <v>1427</v>
      </c>
      <c r="GA21" s="248">
        <f>'KELURAHAN (DI ISI)'!FK138+'KELURAHAN (DI ISI)'!FK145</f>
        <v>465</v>
      </c>
      <c r="GB21" s="248">
        <f>'KELURAHAN (DI ISI)'!FL138+'KELURAHAN (DI ISI)'!FL145</f>
        <v>1427</v>
      </c>
      <c r="GC21" s="248">
        <f>'KELURAHAN (DI ISI)'!FM138+'KELURAHAN (DI ISI)'!FM145</f>
        <v>465</v>
      </c>
      <c r="GD21" s="587">
        <v>1427.0</v>
      </c>
      <c r="GE21" s="588">
        <f>'KELURAHAN (DI ISI)'!FO138+'KELURAHAN (DI ISI)'!FO145</f>
        <v>25</v>
      </c>
      <c r="GF21" s="588">
        <f>'KELURAHAN (DI ISI)'!FP138+'KELURAHAN (DI ISI)'!FP145</f>
        <v>25</v>
      </c>
      <c r="GG21" s="588">
        <f>'KELURAHAN (DI ISI)'!FP138+'KELURAHAN (DI ISI)'!FP145</f>
        <v>25</v>
      </c>
      <c r="GH21" s="588">
        <f>'KELURAHAN (DI ISI)'!FQ138+'KELURAHAN (DI ISI)'!FQ145</f>
        <v>8</v>
      </c>
      <c r="GI21" s="571">
        <f t="shared" si="19"/>
        <v>17</v>
      </c>
      <c r="GJ21" s="248">
        <f>'KELURAHAN (DI ISI)'!FS138+'KELURAHAN (DI ISI)'!FS145</f>
        <v>0</v>
      </c>
      <c r="GK21" s="248">
        <f>'KELURAHAN (DI ISI)'!FT138+'KELURAHAN (DI ISI)'!FT145</f>
        <v>1</v>
      </c>
      <c r="GL21" s="248">
        <f>'KELURAHAN (DI ISI)'!FU138+'KELURAHAN (DI ISI)'!FU145</f>
        <v>4</v>
      </c>
      <c r="GM21" s="248">
        <f>'KELURAHAN (DI ISI)'!FV138+'KELURAHAN (DI ISI)'!FV145</f>
        <v>16</v>
      </c>
      <c r="GN21" s="248">
        <f>'KELURAHAN (DI ISI)'!FW138+'KELURAHAN (DI ISI)'!FW145</f>
        <v>0</v>
      </c>
      <c r="GO21" s="248">
        <f>'KELURAHAN (DI ISI)'!FX138+'KELURAHAN (DI ISI)'!FX145</f>
        <v>0</v>
      </c>
      <c r="GP21" s="248">
        <f>'KELURAHAN (DI ISI)'!FY138+'KELURAHAN (DI ISI)'!FY145</f>
        <v>3</v>
      </c>
      <c r="GQ21" s="248">
        <f>'KELURAHAN (DI ISI)'!FZ138+'KELURAHAN (DI ISI)'!FZ145</f>
        <v>1</v>
      </c>
      <c r="GR21" s="248">
        <f>'KELURAHAN (DI ISI)'!GA138+'KELURAHAN (DI ISI)'!GA145</f>
        <v>0</v>
      </c>
      <c r="GS21" s="248">
        <f>'KELURAHAN (DI ISI)'!GB138+'KELURAHAN (DI ISI)'!GB145</f>
        <v>0</v>
      </c>
      <c r="GT21" s="248">
        <f>'KELURAHAN (DI ISI)'!GC138+'KELURAHAN (DI ISI)'!GC145</f>
        <v>0</v>
      </c>
      <c r="GU21" s="248">
        <f>'KELURAHAN (DI ISI)'!GD138+'KELURAHAN (DI ISI)'!GD145</f>
        <v>6</v>
      </c>
      <c r="GV21" s="248">
        <f>'KELURAHAN (DI ISI)'!GE138+'KELURAHAN (DI ISI)'!GE145</f>
        <v>0</v>
      </c>
      <c r="GW21" s="248">
        <f>'KELURAHAN (DI ISI)'!GF138+'KELURAHAN (DI ISI)'!GF145</f>
        <v>0</v>
      </c>
      <c r="GX21" s="248">
        <f>'KELURAHAN (DI ISI)'!GG138+'KELURAHAN (DI ISI)'!GG145</f>
        <v>0</v>
      </c>
      <c r="GY21" s="248">
        <f>'KELURAHAN (DI ISI)'!GH138+'KELURAHAN (DI ISI)'!GH145</f>
        <v>0</v>
      </c>
      <c r="GZ21" s="248">
        <f>'KELURAHAN (DI ISI)'!GI138+'KELURAHAN (DI ISI)'!GI145</f>
        <v>0</v>
      </c>
      <c r="HA21" s="248">
        <f>'KELURAHAN (DI ISI)'!GJ138+'KELURAHAN (DI ISI)'!GJ145</f>
        <v>0</v>
      </c>
      <c r="HB21" s="589">
        <f>'KELURAHAN (DI ISI)'!GK138+'KELURAHAN (DI ISI)'!GK145</f>
        <v>6</v>
      </c>
      <c r="HC21" s="589">
        <f>'KELURAHAN (DI ISI)'!GL138+'KELURAHAN (DI ISI)'!GL145</f>
        <v>0</v>
      </c>
      <c r="HD21" s="248">
        <f>'KELURAHAN (DI ISI)'!GM138+'KELURAHAN (DI ISI)'!GM145</f>
        <v>1421</v>
      </c>
      <c r="HE21" s="248">
        <f>'KELURAHAN (DI ISI)'!GN138+'KELURAHAN (DI ISI)'!GN145</f>
        <v>457</v>
      </c>
      <c r="HF21" s="248">
        <f>'KELURAHAN (DI ISI)'!GO138+'KELURAHAN (DI ISI)'!GO145</f>
        <v>1421</v>
      </c>
      <c r="HG21" s="248">
        <f>'KELURAHAN (DI ISI)'!GP138+'KELURAHAN (DI ISI)'!GP145</f>
        <v>457</v>
      </c>
      <c r="HH21" s="587">
        <v>1427.0</v>
      </c>
      <c r="HI21" s="590">
        <f>'KELURAHAN (DI ISI)'!GR138+'KELURAHAN (DI ISI)'!GR145</f>
        <v>25</v>
      </c>
      <c r="HJ21" s="590">
        <f>'KELURAHAN (DI ISI)'!GS138+'KELURAHAN (DI ISI)'!GS145</f>
        <v>9</v>
      </c>
      <c r="HK21" s="591">
        <f>'KELURAHAN (DI ISI)'!GT138+'KELURAHAN (DI ISI)'!GT145</f>
        <v>25</v>
      </c>
      <c r="HL21" s="591">
        <f>'KELURAHAN (DI ISI)'!GU138+'KELURAHAN (DI ISI)'!GU145</f>
        <v>9</v>
      </c>
      <c r="HM21" s="573">
        <f t="shared" si="20"/>
        <v>16</v>
      </c>
      <c r="HN21" s="248">
        <f>'KELURAHAN (DI ISI)'!GW138+'KELURAHAN (DI ISI)'!GW145</f>
        <v>0</v>
      </c>
      <c r="HO21" s="248">
        <f>'KELURAHAN (DI ISI)'!GX138+'KELURAHAN (DI ISI)'!GX145</f>
        <v>0</v>
      </c>
      <c r="HP21" s="248">
        <f>'KELURAHAN (DI ISI)'!GY138+'KELURAHAN (DI ISI)'!GY145</f>
        <v>7</v>
      </c>
      <c r="HQ21" s="248">
        <f>'KELURAHAN (DI ISI)'!GZ138+'KELURAHAN (DI ISI)'!GZ145</f>
        <v>16</v>
      </c>
      <c r="HR21" s="248">
        <f>'KELURAHAN (DI ISI)'!HA138+'KELURAHAN (DI ISI)'!HA145</f>
        <v>0</v>
      </c>
      <c r="HS21" s="248">
        <f>'KELURAHAN (DI ISI)'!HB138+'KELURAHAN (DI ISI)'!HB145</f>
        <v>1</v>
      </c>
      <c r="HT21" s="248">
        <f>'KELURAHAN (DI ISI)'!HC138+'KELURAHAN (DI ISI)'!HC145</f>
        <v>1</v>
      </c>
      <c r="HU21" s="248">
        <f>'KELURAHAN (DI ISI)'!HD138+'KELURAHAN (DI ISI)'!HD145</f>
        <v>0</v>
      </c>
      <c r="HV21" s="248">
        <f>'KELURAHAN (DI ISI)'!HE138+'KELURAHAN (DI ISI)'!HE145</f>
        <v>0</v>
      </c>
      <c r="HW21" s="248">
        <f>'KELURAHAN (DI ISI)'!HF138+'KELURAHAN (DI ISI)'!HF145</f>
        <v>0</v>
      </c>
      <c r="HX21" s="248">
        <f>'KELURAHAN (DI ISI)'!HG138+'KELURAHAN (DI ISI)'!HG145</f>
        <v>0</v>
      </c>
      <c r="HY21" s="248">
        <f>'KELURAHAN (DI ISI)'!HH138+'KELURAHAN (DI ISI)'!HH145</f>
        <v>1</v>
      </c>
      <c r="HZ21" s="248">
        <f>'KELURAHAN (DI ISI)'!HI138+'KELURAHAN (DI ISI)'!HI145</f>
        <v>0</v>
      </c>
      <c r="IA21" s="248">
        <f>'KELURAHAN (DI ISI)'!HJ138+'KELURAHAN (DI ISI)'!HJ145</f>
        <v>0</v>
      </c>
      <c r="IB21" s="248">
        <f>'KELURAHAN (DI ISI)'!HK138+'KELURAHAN (DI ISI)'!HK145</f>
        <v>0</v>
      </c>
      <c r="IC21" s="248">
        <f>'KELURAHAN (DI ISI)'!HL138+'KELURAHAN (DI ISI)'!HL145</f>
        <v>0</v>
      </c>
      <c r="ID21" s="248">
        <f>'KELURAHAN (DI ISI)'!HM138+'KELURAHAN (DI ISI)'!HM145</f>
        <v>0</v>
      </c>
      <c r="IE21" s="248">
        <f>'KELURAHAN (DI ISI)'!HN138+'KELURAHAN (DI ISI)'!HN145</f>
        <v>0</v>
      </c>
      <c r="IF21" s="591">
        <f>'KELURAHAN (DI ISI)'!HO138+'KELURAHAN (DI ISI)'!HO145</f>
        <v>0</v>
      </c>
      <c r="IG21" s="591">
        <f>'KELURAHAN (DI ISI)'!HP138+'KELURAHAN (DI ISI)'!HP145</f>
        <v>0</v>
      </c>
      <c r="IK21" s="198">
        <f t="shared" si="21"/>
        <v>51</v>
      </c>
      <c r="IL21" s="198">
        <f t="shared" si="22"/>
        <v>47</v>
      </c>
      <c r="IM21" s="198">
        <f t="shared" si="23"/>
        <v>47</v>
      </c>
      <c r="IN21" s="198">
        <f t="shared" si="24"/>
        <v>39</v>
      </c>
      <c r="IO21" s="198">
        <f t="shared" si="25"/>
        <v>29</v>
      </c>
      <c r="IP21" s="198">
        <f t="shared" si="26"/>
        <v>21</v>
      </c>
      <c r="IQ21" s="574">
        <f t="shared" si="27"/>
        <v>22</v>
      </c>
      <c r="IR21" s="574">
        <f t="shared" si="28"/>
        <v>25</v>
      </c>
      <c r="IS21" s="574">
        <f t="shared" si="29"/>
        <v>27</v>
      </c>
      <c r="IT21" s="574">
        <f t="shared" si="30"/>
        <v>27</v>
      </c>
      <c r="IU21" s="574">
        <f t="shared" si="31"/>
        <v>25</v>
      </c>
      <c r="IV21" s="575">
        <f t="shared" si="32"/>
        <v>25</v>
      </c>
      <c r="IW21" s="583"/>
      <c r="IX21" s="576">
        <f t="shared" si="33"/>
        <v>-25</v>
      </c>
      <c r="IZ21" s="577"/>
      <c r="JA21" s="162">
        <f t="shared" si="34"/>
        <v>-1421</v>
      </c>
      <c r="JB21" s="578"/>
      <c r="JC21" s="579">
        <f t="shared" si="35"/>
        <v>-457</v>
      </c>
      <c r="JD21" s="584"/>
      <c r="JE21" s="585"/>
      <c r="JF21" s="577"/>
      <c r="JG21" s="234">
        <f t="shared" si="36"/>
        <v>-1421</v>
      </c>
      <c r="JH21" s="578"/>
      <c r="JI21" s="579">
        <f t="shared" si="37"/>
        <v>-457</v>
      </c>
      <c r="JJ21" s="247"/>
    </row>
    <row r="22" ht="14.25" customHeight="1">
      <c r="A22" s="158">
        <v>15.0</v>
      </c>
      <c r="B22" s="157" t="s">
        <v>120</v>
      </c>
      <c r="C22" s="253">
        <v>3374130.0</v>
      </c>
      <c r="D22" s="569" t="s">
        <v>127</v>
      </c>
      <c r="E22" s="253"/>
      <c r="F22" s="252">
        <f>'KELURAHAN (DI ISI)'!F42+'KELURAHAN (DI ISI)'!F43+'KELURAHAN (DI ISI)'!F44+'KELURAHAN (DI ISI)'!F45+'KELURAHAN (DI ISI)'!F46+'KELURAHAN (DI ISI)'!F47+'KELURAHAN (DI ISI)'!F48</f>
        <v>65</v>
      </c>
      <c r="G22" s="252">
        <f>'KELURAHAN (DI ISI)'!G42+'KELURAHAN (DI ISI)'!G43+'KELURAHAN (DI ISI)'!G44+'KELURAHAN (DI ISI)'!G45+'KELURAHAN (DI ISI)'!G46+'KELURAHAN (DI ISI)'!G47+'KELURAHAN (DI ISI)'!G48</f>
        <v>3673</v>
      </c>
      <c r="H22" s="252">
        <f>'KELURAHAN (DI ISI)'!H42+'KELURAHAN (DI ISI)'!H43+'KELURAHAN (DI ISI)'!H44+'KELURAHAN (DI ISI)'!H45+'KELURAHAN (DI ISI)'!H46+'KELURAHAN (DI ISI)'!H47+'KELURAHAN (DI ISI)'!H48</f>
        <v>134</v>
      </c>
      <c r="I22" s="491">
        <f t="shared" si="1"/>
        <v>68</v>
      </c>
      <c r="J22" s="491">
        <f t="shared" si="2"/>
        <v>66</v>
      </c>
      <c r="K22" s="248">
        <f>'KELURAHAN (DI ISI)'!I42+'KELURAHAN (DI ISI)'!I43+'KELURAHAN (DI ISI)'!I44+'KELURAHAN (DI ISI)'!I45+'KELURAHAN (DI ISI)'!I46+'KELURAHAN (DI ISI)'!I47+'KELURAHAN (DI ISI)'!I48</f>
        <v>22</v>
      </c>
      <c r="L22" s="248">
        <f>'KELURAHAN (DI ISI)'!J42+'KELURAHAN (DI ISI)'!J43+'KELURAHAN (DI ISI)'!J44+'KELURAHAN (DI ISI)'!J45+'KELURAHAN (DI ISI)'!J46+'KELURAHAN (DI ISI)'!J47+'KELURAHAN (DI ISI)'!J48</f>
        <v>11</v>
      </c>
      <c r="M22" s="248">
        <f>'KELURAHAN (DI ISI)'!K42+'KELURAHAN (DI ISI)'!K43+'KELURAHAN (DI ISI)'!K44+'KELURAHAN (DI ISI)'!K45+'KELURAHAN (DI ISI)'!K46+'KELURAHAN (DI ISI)'!K47+'KELURAHAN (DI ISI)'!K48</f>
        <v>35</v>
      </c>
      <c r="N22" s="248">
        <f>'KELURAHAN (DI ISI)'!L42+'KELURAHAN (DI ISI)'!L43+'KELURAHAN (DI ISI)'!L44+'KELURAHAN (DI ISI)'!L45+'KELURAHAN (DI ISI)'!L46+'KELURAHAN (DI ISI)'!L47+'KELURAHAN (DI ISI)'!L48</f>
        <v>66</v>
      </c>
      <c r="O22" s="248">
        <f>'KELURAHAN (DI ISI)'!M42+'KELURAHAN (DI ISI)'!M43+'KELURAHAN (DI ISI)'!M44+'KELURAHAN (DI ISI)'!M45+'KELURAHAN (DI ISI)'!M46+'KELURAHAN (DI ISI)'!M47+'KELURAHAN (DI ISI)'!M48</f>
        <v>6</v>
      </c>
      <c r="P22" s="248">
        <f>'KELURAHAN (DI ISI)'!N42+'KELURAHAN (DI ISI)'!N43+'KELURAHAN (DI ISI)'!N44+'KELURAHAN (DI ISI)'!N45+'KELURAHAN (DI ISI)'!N46+'KELURAHAN (DI ISI)'!N47+'KELURAHAN (DI ISI)'!N48</f>
        <v>68</v>
      </c>
      <c r="Q22" s="248">
        <f>'KELURAHAN (DI ISI)'!O42+'KELURAHAN (DI ISI)'!O43+'KELURAHAN (DI ISI)'!O44+'KELURAHAN (DI ISI)'!O45+'KELURAHAN (DI ISI)'!O46+'KELURAHAN (DI ISI)'!O47+'KELURAHAN (DI ISI)'!O48</f>
        <v>60</v>
      </c>
      <c r="R22" s="248">
        <f>'KELURAHAN (DI ISI)'!P42+'KELURAHAN (DI ISI)'!P43+'KELURAHAN (DI ISI)'!P44+'KELURAHAN (DI ISI)'!P45+'KELURAHAN (DI ISI)'!P46+'KELURAHAN (DI ISI)'!P47+'KELURAHAN (DI ISI)'!P48</f>
        <v>36</v>
      </c>
      <c r="S22" s="491">
        <f t="shared" si="3"/>
        <v>20</v>
      </c>
      <c r="T22" s="491">
        <f t="shared" si="4"/>
        <v>16</v>
      </c>
      <c r="U22" s="248">
        <f>'KELURAHAN (DI ISI)'!Q42+'KELURAHAN (DI ISI)'!Q43+'KELURAHAN (DI ISI)'!Q44+'KELURAHAN (DI ISI)'!Q45+'KELURAHAN (DI ISI)'!Q46+'KELURAHAN (DI ISI)'!Q47+'KELURAHAN (DI ISI)'!Q48</f>
        <v>8</v>
      </c>
      <c r="V22" s="248">
        <f>'KELURAHAN (DI ISI)'!R42+'KELURAHAN (DI ISI)'!R43+'KELURAHAN (DI ISI)'!R44+'KELURAHAN (DI ISI)'!R45+'KELURAHAN (DI ISI)'!R46+'KELURAHAN (DI ISI)'!R47+'KELURAHAN (DI ISI)'!R48</f>
        <v>3</v>
      </c>
      <c r="W22" s="248">
        <f>'KELURAHAN (DI ISI)'!S42+'KELURAHAN (DI ISI)'!S43+'KELURAHAN (DI ISI)'!S44+'KELURAHAN (DI ISI)'!S45+'KELURAHAN (DI ISI)'!S46+'KELURAHAN (DI ISI)'!S47+'KELURAHAN (DI ISI)'!S48</f>
        <v>9</v>
      </c>
      <c r="X22" s="248">
        <f>'KELURAHAN (DI ISI)'!T42+'KELURAHAN (DI ISI)'!T43+'KELURAHAN (DI ISI)'!T44+'KELURAHAN (DI ISI)'!T45+'KELURAHAN (DI ISI)'!T46+'KELURAHAN (DI ISI)'!T47+'KELURAHAN (DI ISI)'!T48</f>
        <v>16</v>
      </c>
      <c r="Y22" s="248">
        <f>'KELURAHAN (DI ISI)'!U42+'KELURAHAN (DI ISI)'!U43+'KELURAHAN (DI ISI)'!U44+'KELURAHAN (DI ISI)'!U45+'KELURAHAN (DI ISI)'!U46+'KELURAHAN (DI ISI)'!U47+'KELURAHAN (DI ISI)'!U48</f>
        <v>8</v>
      </c>
      <c r="Z22" s="248">
        <f>'KELURAHAN (DI ISI)'!V42+'KELURAHAN (DI ISI)'!V43+'KELURAHAN (DI ISI)'!V44+'KELURAHAN (DI ISI)'!V45+'KELURAHAN (DI ISI)'!V46+'KELURAHAN (DI ISI)'!V47+'KELURAHAN (DI ISI)'!V48</f>
        <v>4</v>
      </c>
      <c r="AA22" s="248">
        <f>'KELURAHAN (DI ISI)'!W42+'KELURAHAN (DI ISI)'!W43+'KELURAHAN (DI ISI)'!W44+'KELURAHAN (DI ISI)'!W45+'KELURAHAN (DI ISI)'!W46+'KELURAHAN (DI ISI)'!W47+'KELURAHAN (DI ISI)'!W48</f>
        <v>24</v>
      </c>
      <c r="AB22" s="248">
        <f>'KELURAHAN (DI ISI)'!X42+'KELURAHAN (DI ISI)'!X43+'KELURAHAN (DI ISI)'!X44+'KELURAHAN (DI ISI)'!X45+'KELURAHAN (DI ISI)'!X46+'KELURAHAN (DI ISI)'!X47+'KELURAHAN (DI ISI)'!X48</f>
        <v>52</v>
      </c>
      <c r="AC22" s="491">
        <f t="shared" si="5"/>
        <v>24</v>
      </c>
      <c r="AD22" s="491">
        <f t="shared" si="6"/>
        <v>28</v>
      </c>
      <c r="AE22" s="248">
        <f>'KELURAHAN (DI ISI)'!Y42+'KELURAHAN (DI ISI)'!Y43+'KELURAHAN (DI ISI)'!Y44+'KELURAHAN (DI ISI)'!Y45+'KELURAHAN (DI ISI)'!Y46+'KELURAHAN (DI ISI)'!Y47+'KELURAHAN (DI ISI)'!Y48</f>
        <v>6</v>
      </c>
      <c r="AF22" s="248">
        <f>'KELURAHAN (DI ISI)'!Z42+'KELURAHAN (DI ISI)'!Z43+'KELURAHAN (DI ISI)'!Z44+'KELURAHAN (DI ISI)'!Z45+'KELURAHAN (DI ISI)'!Z46+'KELURAHAN (DI ISI)'!Z47+'KELURAHAN (DI ISI)'!Z48</f>
        <v>9</v>
      </c>
      <c r="AG22" s="248">
        <f>'KELURAHAN (DI ISI)'!AA42+'KELURAHAN (DI ISI)'!AA43+'KELURAHAN (DI ISI)'!AA44+'KELURAHAN (DI ISI)'!AA45+'KELURAHAN (DI ISI)'!AA46+'KELURAHAN (DI ISI)'!AA47+'KELURAHAN (DI ISI)'!AA48</f>
        <v>9</v>
      </c>
      <c r="AH22" s="248">
        <f>'KELURAHAN (DI ISI)'!AB42+'KELURAHAN (DI ISI)'!AB43+'KELURAHAN (DI ISI)'!AB44+'KELURAHAN (DI ISI)'!AB45+'KELURAHAN (DI ISI)'!AB46+'KELURAHAN (DI ISI)'!AB47+'KELURAHAN (DI ISI)'!AB48</f>
        <v>28</v>
      </c>
      <c r="AI22" s="248">
        <f>'KELURAHAN (DI ISI)'!AC42+'KELURAHAN (DI ISI)'!AC43+'KELURAHAN (DI ISI)'!AC44+'KELURAHAN (DI ISI)'!AC45+'KELURAHAN (DI ISI)'!AC46+'KELURAHAN (DI ISI)'!AC47+'KELURAHAN (DI ISI)'!AC48</f>
        <v>15</v>
      </c>
      <c r="AJ22" s="248">
        <f>'KELURAHAN (DI ISI)'!AD42+'KELURAHAN (DI ISI)'!AD43+'KELURAHAN (DI ISI)'!AD44+'KELURAHAN (DI ISI)'!AD45+'KELURAHAN (DI ISI)'!AD46+'KELURAHAN (DI ISI)'!AD47+'KELURAHAN (DI ISI)'!AD48</f>
        <v>6</v>
      </c>
      <c r="AK22" s="248">
        <f>'KELURAHAN (DI ISI)'!AE42+'KELURAHAN (DI ISI)'!AE43+'KELURAHAN (DI ISI)'!AE44+'KELURAHAN (DI ISI)'!AE45+'KELURAHAN (DI ISI)'!AE46+'KELURAHAN (DI ISI)'!AE47+'KELURAHAN (DI ISI)'!AE48</f>
        <v>31</v>
      </c>
      <c r="AL22" s="248">
        <f>'KELURAHAN (DI ISI)'!AF42+'KELURAHAN (DI ISI)'!AF43+'KELURAHAN (DI ISI)'!AF44+'KELURAHAN (DI ISI)'!AF45+'KELURAHAN (DI ISI)'!AF46+'KELURAHAN (DI ISI)'!AF47+'KELURAHAN (DI ISI)'!AF48</f>
        <v>66</v>
      </c>
      <c r="AM22" s="491">
        <f t="shared" si="7"/>
        <v>33</v>
      </c>
      <c r="AN22" s="491">
        <f t="shared" si="8"/>
        <v>33</v>
      </c>
      <c r="AO22" s="248">
        <f>'KELURAHAN (DI ISI)'!AG42+'KELURAHAN (DI ISI)'!AG43+'KELURAHAN (DI ISI)'!AG44+'KELURAHAN (DI ISI)'!AG45+'KELURAHAN (DI ISI)'!AG46+'KELURAHAN (DI ISI)'!AG47+'KELURAHAN (DI ISI)'!AG48</f>
        <v>5</v>
      </c>
      <c r="AP22" s="248">
        <f>'KELURAHAN (DI ISI)'!AH42+'KELURAHAN (DI ISI)'!AH43+'KELURAHAN (DI ISI)'!AH44+'KELURAHAN (DI ISI)'!AH45+'KELURAHAN (DI ISI)'!AH46+'KELURAHAN (DI ISI)'!AH47+'KELURAHAN (DI ISI)'!AH48</f>
        <v>13</v>
      </c>
      <c r="AQ22" s="248">
        <f>'KELURAHAN (DI ISI)'!AI42+'KELURAHAN (DI ISI)'!AI43+'KELURAHAN (DI ISI)'!AI44+'KELURAHAN (DI ISI)'!AI45+'KELURAHAN (DI ISI)'!AI46+'KELURAHAN (DI ISI)'!AI47+'KELURAHAN (DI ISI)'!AI48</f>
        <v>15</v>
      </c>
      <c r="AR22" s="248">
        <f>'KELURAHAN (DI ISI)'!AJ42+'KELURAHAN (DI ISI)'!AJ43+'KELURAHAN (DI ISI)'!AJ44+'KELURAHAN (DI ISI)'!AJ45+'KELURAHAN (DI ISI)'!AJ46+'KELURAHAN (DI ISI)'!AJ47+'KELURAHAN (DI ISI)'!AJ48</f>
        <v>33</v>
      </c>
      <c r="AS22" s="248">
        <f>'KELURAHAN (DI ISI)'!AK42+'KELURAHAN (DI ISI)'!AK43+'KELURAHAN (DI ISI)'!AK44+'KELURAHAN (DI ISI)'!AK45+'KELURAHAN (DI ISI)'!AK46+'KELURAHAN (DI ISI)'!AK47+'KELURAHAN (DI ISI)'!AK48</f>
        <v>16</v>
      </c>
      <c r="AT22" s="248">
        <f>'KELURAHAN (DI ISI)'!AL42+'KELURAHAN (DI ISI)'!AL43+'KELURAHAN (DI ISI)'!AL44+'KELURAHAN (DI ISI)'!AL45+'KELURAHAN (DI ISI)'!AL46+'KELURAHAN (DI ISI)'!AL47+'KELURAHAN (DI ISI)'!AL48</f>
        <v>7</v>
      </c>
      <c r="AU22" s="248">
        <f>'KELURAHAN (DI ISI)'!AM42+'KELURAHAN (DI ISI)'!AM43+'KELURAHAN (DI ISI)'!AM44+'KELURAHAN (DI ISI)'!AM45+'KELURAHAN (DI ISI)'!AM46+'KELURAHAN (DI ISI)'!AM47+'KELURAHAN (DI ISI)'!AM48</f>
        <v>43</v>
      </c>
      <c r="AV22" s="248">
        <f>'KELURAHAN (DI ISI)'!AN42+'KELURAHAN (DI ISI)'!AN43+'KELURAHAN (DI ISI)'!AN44+'KELURAHAN (DI ISI)'!AN45+'KELURAHAN (DI ISI)'!AN46+'KELURAHAN (DI ISI)'!AN47+'KELURAHAN (DI ISI)'!AN48</f>
        <v>22</v>
      </c>
      <c r="AW22" s="491">
        <f t="shared" si="9"/>
        <v>12</v>
      </c>
      <c r="AX22" s="491">
        <f t="shared" si="10"/>
        <v>10</v>
      </c>
      <c r="AY22" s="248">
        <f>'KELURAHAN (DI ISI)'!AO42+'KELURAHAN (DI ISI)'!AO43+'KELURAHAN (DI ISI)'!AO44+'KELURAHAN (DI ISI)'!AO45+'KELURAHAN (DI ISI)'!AO46+'KELURAHAN (DI ISI)'!AO47+'KELURAHAN (DI ISI)'!AO48</f>
        <v>1</v>
      </c>
      <c r="AZ22" s="248">
        <f>'KELURAHAN (DI ISI)'!AP42+'KELURAHAN (DI ISI)'!AP43+'KELURAHAN (DI ISI)'!AP44+'KELURAHAN (DI ISI)'!AP45+'KELURAHAN (DI ISI)'!AP46+'KELURAHAN (DI ISI)'!AP47+'KELURAHAN (DI ISI)'!AP48</f>
        <v>5</v>
      </c>
      <c r="BA22" s="248">
        <f>'KELURAHAN (DI ISI)'!AQ42+'KELURAHAN (DI ISI)'!AQ43+'KELURAHAN (DI ISI)'!AQ44+'KELURAHAN (DI ISI)'!AQ45+'KELURAHAN (DI ISI)'!AQ46+'KELURAHAN (DI ISI)'!AQ47+'KELURAHAN (DI ISI)'!AQ48</f>
        <v>6</v>
      </c>
      <c r="BB22" s="248">
        <f>'KELURAHAN (DI ISI)'!AR42+'KELURAHAN (DI ISI)'!AR43+'KELURAHAN (DI ISI)'!AR44+'KELURAHAN (DI ISI)'!AR45+'KELURAHAN (DI ISI)'!AR46+'KELURAHAN (DI ISI)'!AR47+'KELURAHAN (DI ISI)'!AR48</f>
        <v>10</v>
      </c>
      <c r="BC22" s="248">
        <f>'KELURAHAN (DI ISI)'!AS42+'KELURAHAN (DI ISI)'!AS43+'KELURAHAN (DI ISI)'!AS44+'KELURAHAN (DI ISI)'!AS45+'KELURAHAN (DI ISI)'!AS46+'KELURAHAN (DI ISI)'!AS47+'KELURAHAN (DI ISI)'!AS48</f>
        <v>3</v>
      </c>
      <c r="BD22" s="248">
        <f>'KELURAHAN (DI ISI)'!AT42+'KELURAHAN (DI ISI)'!AT43+'KELURAHAN (DI ISI)'!AT44+'KELURAHAN (DI ISI)'!AT45+'KELURAHAN (DI ISI)'!AT46+'KELURAHAN (DI ISI)'!AT47+'KELURAHAN (DI ISI)'!AT48</f>
        <v>0</v>
      </c>
      <c r="BE22" s="248">
        <f>'KELURAHAN (DI ISI)'!AU42+'KELURAHAN (DI ISI)'!AU43+'KELURAHAN (DI ISI)'!AU44+'KELURAHAN (DI ISI)'!AU45+'KELURAHAN (DI ISI)'!AU46+'KELURAHAN (DI ISI)'!AU47+'KELURAHAN (DI ISI)'!AU48</f>
        <v>19</v>
      </c>
      <c r="BF22" s="248">
        <f>'KELURAHAN (DI ISI)'!AV42+'KELURAHAN (DI ISI)'!AV43+'KELURAHAN (DI ISI)'!AV44+'KELURAHAN (DI ISI)'!AV45+'KELURAHAN (DI ISI)'!AV46+'KELURAHAN (DI ISI)'!AV47+'KELURAHAN (DI ISI)'!AV48</f>
        <v>3617</v>
      </c>
      <c r="BG22" s="248">
        <f>'KELURAHAN (DI ISI)'!AW42+'KELURAHAN (DI ISI)'!AW43+'KELURAHAN (DI ISI)'!AW44+'KELURAHAN (DI ISI)'!AW45+'KELURAHAN (DI ISI)'!AW46+'KELURAHAN (DI ISI)'!AW47+'KELURAHAN (DI ISI)'!AW48</f>
        <v>19</v>
      </c>
      <c r="BH22" s="491">
        <f t="shared" si="11"/>
        <v>11</v>
      </c>
      <c r="BI22" s="495">
        <f t="shared" si="12"/>
        <v>6</v>
      </c>
      <c r="BJ22" s="248">
        <f>'KELURAHAN (DI ISI)'!AX42+'KELURAHAN (DI ISI)'!AX43+'KELURAHAN (DI ISI)'!AX44+'KELURAHAN (DI ISI)'!AX45+'KELURAHAN (DI ISI)'!AX46+'KELURAHAN (DI ISI)'!AX47+'KELURAHAN (DI ISI)'!AX48</f>
        <v>0</v>
      </c>
      <c r="BK22" s="248">
        <f>'KELURAHAN (DI ISI)'!AY42+'KELURAHAN (DI ISI)'!AY43+'KELURAHAN (DI ISI)'!AY44+'KELURAHAN (DI ISI)'!AY45+'KELURAHAN (DI ISI)'!AY46+'KELURAHAN (DI ISI)'!AY47+'KELURAHAN (DI ISI)'!AY48</f>
        <v>4</v>
      </c>
      <c r="BL22" s="248">
        <f>'KELURAHAN (DI ISI)'!AZ42+'KELURAHAN (DI ISI)'!AZ43+'KELURAHAN (DI ISI)'!AZ44+'KELURAHAN (DI ISI)'!AZ45+'KELURAHAN (DI ISI)'!AZ46+'KELURAHAN (DI ISI)'!AZ47+'KELURAHAN (DI ISI)'!AZ48</f>
        <v>7</v>
      </c>
      <c r="BM22" s="248">
        <f>'KELURAHAN (DI ISI)'!BA42+'KELURAHAN (DI ISI)'!BA43+'KELURAHAN (DI ISI)'!BA44+'KELURAHAN (DI ISI)'!BA45+'KELURAHAN (DI ISI)'!BA46+'KELURAHAN (DI ISI)'!BA47+'KELURAHAN (DI ISI)'!BA48</f>
        <v>6</v>
      </c>
      <c r="BN22" s="248">
        <f>'KELURAHAN (DI ISI)'!BB42+'KELURAHAN (DI ISI)'!BB43+'KELURAHAN (DI ISI)'!BB44+'KELURAHAN (DI ISI)'!BB45+'KELURAHAN (DI ISI)'!BB46+'KELURAHAN (DI ISI)'!BB47+'KELURAHAN (DI ISI)'!BB48</f>
        <v>2</v>
      </c>
      <c r="BO22" s="248">
        <f>'KELURAHAN (DI ISI)'!BC42+'KELURAHAN (DI ISI)'!BC43+'KELURAHAN (DI ISI)'!BC44+'KELURAHAN (DI ISI)'!BC45+'KELURAHAN (DI ISI)'!BC46+'KELURAHAN (DI ISI)'!BC47+'KELURAHAN (DI ISI)'!BC48</f>
        <v>0</v>
      </c>
      <c r="BP22" s="248">
        <f>'KELURAHAN (DI ISI)'!BD42+'KELURAHAN (DI ISI)'!BD43+'KELURAHAN (DI ISI)'!BD44+'KELURAHAN (DI ISI)'!BD45+'KELURAHAN (DI ISI)'!BD46+'KELURAHAN (DI ISI)'!BD47+'KELURAHAN (DI ISI)'!BD48</f>
        <v>0</v>
      </c>
      <c r="BQ22" s="248">
        <f>'KELURAHAN (DI ISI)'!BE42+'KELURAHAN (DI ISI)'!BE43+'KELURAHAN (DI ISI)'!BE44+'KELURAHAN (DI ISI)'!BE45+'KELURAHAN (DI ISI)'!BE46+'KELURAHAN (DI ISI)'!BE47+'KELURAHAN (DI ISI)'!BE48</f>
        <v>0</v>
      </c>
      <c r="BR22" s="248">
        <f>'KELURAHAN (DI ISI)'!BF42+'KELURAHAN (DI ISI)'!BF43+'KELURAHAN (DI ISI)'!BF44+'KELURAHAN (DI ISI)'!BF45+'KELURAHAN (DI ISI)'!BF46+'KELURAHAN (DI ISI)'!BF47+'KELURAHAN (DI ISI)'!BF48</f>
        <v>0</v>
      </c>
      <c r="BS22" s="248">
        <f>'KELURAHAN (DI ISI)'!BG42+'KELURAHAN (DI ISI)'!BG43+'KELURAHAN (DI ISI)'!BG44+'KELURAHAN (DI ISI)'!BG45+'KELURAHAN (DI ISI)'!BG46+'KELURAHAN (DI ISI)'!BG47+'KELURAHAN (DI ISI)'!BG48</f>
        <v>0</v>
      </c>
      <c r="BT22" s="248">
        <f>'KELURAHAN (DI ISI)'!BH42+'KELURAHAN (DI ISI)'!BH43+'KELURAHAN (DI ISI)'!BH44+'KELURAHAN (DI ISI)'!BH45+'KELURAHAN (DI ISI)'!BH46+'KELURAHAN (DI ISI)'!BH47+'KELURAHAN (DI ISI)'!BH48</f>
        <v>1</v>
      </c>
      <c r="BU22" s="248">
        <f>'KELURAHAN (DI ISI)'!BI42+'KELURAHAN (DI ISI)'!BI43+'KELURAHAN (DI ISI)'!BI44+'KELURAHAN (DI ISI)'!BI45+'KELURAHAN (DI ISI)'!BI46+'KELURAHAN (DI ISI)'!BI47+'KELURAHAN (DI ISI)'!BI48</f>
        <v>4</v>
      </c>
      <c r="BV22" s="248">
        <f>'KELURAHAN (DI ISI)'!BJ42+'KELURAHAN (DI ISI)'!BJ43+'KELURAHAN (DI ISI)'!BJ44+'KELURAHAN (DI ISI)'!BJ45+'KELURAHAN (DI ISI)'!BJ46+'KELURAHAN (DI ISI)'!BJ47+'KELURAHAN (DI ISI)'!BJ48</f>
        <v>0</v>
      </c>
      <c r="BW22" s="248">
        <f>'KELURAHAN (DI ISI)'!BK42+'KELURAHAN (DI ISI)'!BK43+'KELURAHAN (DI ISI)'!BK44+'KELURAHAN (DI ISI)'!BK45+'KELURAHAN (DI ISI)'!BK46+'KELURAHAN (DI ISI)'!BK47+'KELURAHAN (DI ISI)'!BK48</f>
        <v>0</v>
      </c>
      <c r="BX22" s="248">
        <f>'KELURAHAN (DI ISI)'!BL42+'KELURAHAN (DI ISI)'!BL43+'KELURAHAN (DI ISI)'!BL44+'KELURAHAN (DI ISI)'!BL45+'KELURAHAN (DI ISI)'!BL46+'KELURAHAN (DI ISI)'!BL47+'KELURAHAN (DI ISI)'!BL48</f>
        <v>0</v>
      </c>
      <c r="BY22" s="248">
        <f>'KELURAHAN (DI ISI)'!BM42+'KELURAHAN (DI ISI)'!BM43+'KELURAHAN (DI ISI)'!BM44+'KELURAHAN (DI ISI)'!BM45+'KELURAHAN (DI ISI)'!BM46+'KELURAHAN (DI ISI)'!BM47+'KELURAHAN (DI ISI)'!BM48</f>
        <v>0</v>
      </c>
      <c r="BZ22" s="248">
        <f>'KELURAHAN (DI ISI)'!BN42+'KELURAHAN (DI ISI)'!BN43+'KELURAHAN (DI ISI)'!BN44+'KELURAHAN (DI ISI)'!BN45+'KELURAHAN (DI ISI)'!BN46+'KELURAHAN (DI ISI)'!BN47+'KELURAHAN (DI ISI)'!BN48</f>
        <v>0</v>
      </c>
      <c r="CA22" s="248">
        <f>'KELURAHAN (DI ISI)'!BO42+'KELURAHAN (DI ISI)'!BO43+'KELURAHAN (DI ISI)'!BO44+'KELURAHAN (DI ISI)'!BO45+'KELURAHAN (DI ISI)'!BO46+'KELURAHAN (DI ISI)'!BO47+'KELURAHAN (DI ISI)'!BO48</f>
        <v>0</v>
      </c>
      <c r="CB22" s="248">
        <f>'KELURAHAN (DI ISI)'!BP42+'KELURAHAN (DI ISI)'!BP43+'KELURAHAN (DI ISI)'!BP44+'KELURAHAN (DI ISI)'!BP45+'KELURAHAN (DI ISI)'!BP46+'KELURAHAN (DI ISI)'!BP47+'KELURAHAN (DI ISI)'!BP48</f>
        <v>5</v>
      </c>
      <c r="CC22" s="248">
        <f>'KELURAHAN (DI ISI)'!BQ42+'KELURAHAN (DI ISI)'!BQ43+'KELURAHAN (DI ISI)'!BQ44+'KELURAHAN (DI ISI)'!BQ45+'KELURAHAN (DI ISI)'!BQ46+'KELURAHAN (DI ISI)'!BQ47+'KELURAHAN (DI ISI)'!BQ48</f>
        <v>3592</v>
      </c>
      <c r="CD22" s="248">
        <f>'KELURAHAN (DI ISI)'!BR42+'KELURAHAN (DI ISI)'!BR43+'KELURAHAN (DI ISI)'!BR44+'KELURAHAN (DI ISI)'!BR45+'KELURAHAN (DI ISI)'!BR46+'KELURAHAN (DI ISI)'!BR47+'KELURAHAN (DI ISI)'!BR48</f>
        <v>16</v>
      </c>
      <c r="CE22" s="491">
        <f t="shared" si="13"/>
        <v>6</v>
      </c>
      <c r="CF22" s="491">
        <f t="shared" si="14"/>
        <v>1</v>
      </c>
      <c r="CG22" s="248">
        <f>'KELURAHAN (DI ISI)'!BS42+'KELURAHAN (DI ISI)'!BS43+'KELURAHAN (DI ISI)'!BS44+'KELURAHAN (DI ISI)'!BS45+'KELURAHAN (DI ISI)'!BS46+'KELURAHAN (DI ISI)'!BS47+'KELURAHAN (DI ISI)'!BS48</f>
        <v>0</v>
      </c>
      <c r="CH22" s="248">
        <f>'KELURAHAN (DI ISI)'!BT42+'KELURAHAN (DI ISI)'!BT43+'KELURAHAN (DI ISI)'!BT44+'KELURAHAN (DI ISI)'!BT45+'KELURAHAN (DI ISI)'!BT46+'KELURAHAN (DI ISI)'!BT47+'KELURAHAN (DI ISI)'!BT48</f>
        <v>2</v>
      </c>
      <c r="CI22" s="248">
        <f>'KELURAHAN (DI ISI)'!BU42+'KELURAHAN (DI ISI)'!BU43+'KELURAHAN (DI ISI)'!BU44+'KELURAHAN (DI ISI)'!BU45+'KELURAHAN (DI ISI)'!BU46+'KELURAHAN (DI ISI)'!BU47+'KELURAHAN (DI ISI)'!BU48</f>
        <v>4</v>
      </c>
      <c r="CJ22" s="248">
        <f>'KELURAHAN (DI ISI)'!BV42+'KELURAHAN (DI ISI)'!BV43+'KELURAHAN (DI ISI)'!BV44+'KELURAHAN (DI ISI)'!BV45+'KELURAHAN (DI ISI)'!BV46+'KELURAHAN (DI ISI)'!BV47+'KELURAHAN (DI ISI)'!BV48</f>
        <v>1</v>
      </c>
      <c r="CK22" s="248">
        <f>'KELURAHAN (DI ISI)'!BW42+'KELURAHAN (DI ISI)'!BW43+'KELURAHAN (DI ISI)'!BW44+'KELURAHAN (DI ISI)'!BW45+'KELURAHAN (DI ISI)'!BW46+'KELURAHAN (DI ISI)'!BW47+'KELURAHAN (DI ISI)'!BW48</f>
        <v>3</v>
      </c>
      <c r="CL22" s="248">
        <f>'KELURAHAN (DI ISI)'!BX42+'KELURAHAN (DI ISI)'!BX43+'KELURAHAN (DI ISI)'!BX44+'KELURAHAN (DI ISI)'!BX45+'KELURAHAN (DI ISI)'!BX46+'KELURAHAN (DI ISI)'!BX47+'KELURAHAN (DI ISI)'!BX48</f>
        <v>0</v>
      </c>
      <c r="CM22" s="248">
        <f>'KELURAHAN (DI ISI)'!BY42+'KELURAHAN (DI ISI)'!BY43+'KELURAHAN (DI ISI)'!BY44+'KELURAHAN (DI ISI)'!BY45+'KELURAHAN (DI ISI)'!BY46+'KELURAHAN (DI ISI)'!BY47+'KELURAHAN (DI ISI)'!BY48</f>
        <v>0</v>
      </c>
      <c r="CN22" s="248">
        <f>'KELURAHAN (DI ISI)'!BZ42+'KELURAHAN (DI ISI)'!BZ43+'KELURAHAN (DI ISI)'!BZ44+'KELURAHAN (DI ISI)'!BZ45+'KELURAHAN (DI ISI)'!BZ46+'KELURAHAN (DI ISI)'!BZ47+'KELURAHAN (DI ISI)'!BZ48</f>
        <v>6</v>
      </c>
      <c r="CO22" s="248">
        <f>'KELURAHAN (DI ISI)'!CA42+'KELURAHAN (DI ISI)'!CA43+'KELURAHAN (DI ISI)'!CA44+'KELURAHAN (DI ISI)'!CA45+'KELURAHAN (DI ISI)'!CA46+'KELURAHAN (DI ISI)'!CA47+'KELURAHAN (DI ISI)'!CA48</f>
        <v>2</v>
      </c>
      <c r="CP22" s="248">
        <f>'KELURAHAN (DI ISI)'!CB42+'KELURAHAN (DI ISI)'!CB43+'KELURAHAN (DI ISI)'!CB44+'KELURAHAN (DI ISI)'!CB45+'KELURAHAN (DI ISI)'!CB46+'KELURAHAN (DI ISI)'!CB47+'KELURAHAN (DI ISI)'!CB48</f>
        <v>2</v>
      </c>
      <c r="CQ22" s="248">
        <f>'KELURAHAN (DI ISI)'!CC42+'KELURAHAN (DI ISI)'!CC43+'KELURAHAN (DI ISI)'!CC44+'KELURAHAN (DI ISI)'!CC45+'KELURAHAN (DI ISI)'!CC46+'KELURAHAN (DI ISI)'!CC47+'KELURAHAN (DI ISI)'!CC48</f>
        <v>3</v>
      </c>
      <c r="CR22" s="248">
        <f>'KELURAHAN (DI ISI)'!CD42+'KELURAHAN (DI ISI)'!CD43+'KELURAHAN (DI ISI)'!CD44+'KELURAHAN (DI ISI)'!CD45+'KELURAHAN (DI ISI)'!CD46+'KELURAHAN (DI ISI)'!CD47+'KELURAHAN (DI ISI)'!CD48</f>
        <v>5</v>
      </c>
      <c r="CS22" s="248">
        <f>'KELURAHAN (DI ISI)'!CE42+'KELURAHAN (DI ISI)'!CE43+'KELURAHAN (DI ISI)'!CE44+'KELURAHAN (DI ISI)'!CE45+'KELURAHAN (DI ISI)'!CE46+'KELURAHAN (DI ISI)'!CE47+'KELURAHAN (DI ISI)'!CE48</f>
        <v>0</v>
      </c>
      <c r="CT22" s="248">
        <f>'KELURAHAN (DI ISI)'!CF42+'KELURAHAN (DI ISI)'!CF43+'KELURAHAN (DI ISI)'!CF44+'KELURAHAN (DI ISI)'!CF45+'KELURAHAN (DI ISI)'!CF46+'KELURAHAN (DI ISI)'!CF47+'KELURAHAN (DI ISI)'!CF48</f>
        <v>0</v>
      </c>
      <c r="CU22" s="248">
        <f>'KELURAHAN (DI ISI)'!CG42+'KELURAHAN (DI ISI)'!CG43+'KELURAHAN (DI ISI)'!CG44+'KELURAHAN (DI ISI)'!CG45+'KELURAHAN (DI ISI)'!CG46+'KELURAHAN (DI ISI)'!CG47+'KELURAHAN (DI ISI)'!CG48</f>
        <v>0</v>
      </c>
      <c r="CV22" s="248">
        <f>'KELURAHAN (DI ISI)'!CH42+'KELURAHAN (DI ISI)'!CH43+'KELURAHAN (DI ISI)'!CH44+'KELURAHAN (DI ISI)'!CH45+'KELURAHAN (DI ISI)'!CH46+'KELURAHAN (DI ISI)'!CH47+'KELURAHAN (DI ISI)'!CH48</f>
        <v>0</v>
      </c>
      <c r="CW22" s="248">
        <f>'KELURAHAN (DI ISI)'!CI42+'KELURAHAN (DI ISI)'!CI43+'KELURAHAN (DI ISI)'!CI44+'KELURAHAN (DI ISI)'!CI45+'KELURAHAN (DI ISI)'!CI46+'KELURAHAN (DI ISI)'!CI47+'KELURAHAN (DI ISI)'!CI48</f>
        <v>0</v>
      </c>
      <c r="CX22" s="248">
        <f>'KELURAHAN (DI ISI)'!CJ42+'KELURAHAN (DI ISI)'!CJ43+'KELURAHAN (DI ISI)'!CJ44+'KELURAHAN (DI ISI)'!CJ45+'KELURAHAN (DI ISI)'!CJ46+'KELURAHAN (DI ISI)'!CJ47+'KELURAHAN (DI ISI)'!CJ48</f>
        <v>0</v>
      </c>
      <c r="CY22" s="248">
        <f>'KELURAHAN (DI ISI)'!CK42+'KELURAHAN (DI ISI)'!CK43+'KELURAHAN (DI ISI)'!CK44+'KELURAHAN (DI ISI)'!CK45+'KELURAHAN (DI ISI)'!CK46+'KELURAHAN (DI ISI)'!CK47+'KELURAHAN (DI ISI)'!CK48</f>
        <v>12</v>
      </c>
      <c r="CZ22" s="248">
        <f>'KELURAHAN (DI ISI)'!CL42+'KELURAHAN (DI ISI)'!CL43+'KELURAHAN (DI ISI)'!CL44+'KELURAHAN (DI ISI)'!CL45+'KELURAHAN (DI ISI)'!CL46+'KELURAHAN (DI ISI)'!CL47+'KELURAHAN (DI ISI)'!CL48</f>
        <v>3646</v>
      </c>
      <c r="DA22" s="248">
        <f>'KELURAHAN (DI ISI)'!CM42+'KELURAHAN (DI ISI)'!CM43+'KELURAHAN (DI ISI)'!CM44+'KELURAHAN (DI ISI)'!CM45+'KELURAHAN (DI ISI)'!CM46+'KELURAHAN (DI ISI)'!CM47+'KELURAHAN (DI ISI)'!CM48</f>
        <v>1053</v>
      </c>
      <c r="DB22" s="248">
        <f>'KELURAHAN (DI ISI)'!CN42+'KELURAHAN (DI ISI)'!CN43+'KELURAHAN (DI ISI)'!CN44+'KELURAHAN (DI ISI)'!CN45+'KELURAHAN (DI ISI)'!CN46+'KELURAHAN (DI ISI)'!CN47+'KELURAHAN (DI ISI)'!CN48</f>
        <v>26</v>
      </c>
      <c r="DC22" s="491">
        <f t="shared" si="15"/>
        <v>4</v>
      </c>
      <c r="DD22" s="491">
        <f t="shared" si="16"/>
        <v>0</v>
      </c>
      <c r="DE22" s="248">
        <f>'KELURAHAN (DI ISI)'!CO42+'KELURAHAN (DI ISI)'!CO43+'KELURAHAN (DI ISI)'!CO44+'KELURAHAN (DI ISI)'!CO45+'KELURAHAN (DI ISI)'!CO46+'KELURAHAN (DI ISI)'!CO47+'KELURAHAN (DI ISI)'!CO48</f>
        <v>0</v>
      </c>
      <c r="DF22" s="248">
        <f>'KELURAHAN (DI ISI)'!CP42+'KELURAHAN (DI ISI)'!CP43+'KELURAHAN (DI ISI)'!CP44+'KELURAHAN (DI ISI)'!CP45+'KELURAHAN (DI ISI)'!CP46+'KELURAHAN (DI ISI)'!CP47+'KELURAHAN (DI ISI)'!CP48</f>
        <v>0</v>
      </c>
      <c r="DG22" s="248">
        <f>'KELURAHAN (DI ISI)'!CQ42+'KELURAHAN (DI ISI)'!CQ43+'KELURAHAN (DI ISI)'!CQ44+'KELURAHAN (DI ISI)'!CQ45+'KELURAHAN (DI ISI)'!CQ46+'KELURAHAN (DI ISI)'!CQ47+'KELURAHAN (DI ISI)'!CQ48</f>
        <v>4</v>
      </c>
      <c r="DH22" s="248">
        <f>'KELURAHAN (DI ISI)'!CR42+'KELURAHAN (DI ISI)'!CR43+'KELURAHAN (DI ISI)'!CR44+'KELURAHAN (DI ISI)'!CR45+'KELURAHAN (DI ISI)'!CR46+'KELURAHAN (DI ISI)'!CR47+'KELURAHAN (DI ISI)'!CR48</f>
        <v>0</v>
      </c>
      <c r="DI22" s="248">
        <f>'KELURAHAN (DI ISI)'!CS42+'KELURAHAN (DI ISI)'!CS43+'KELURAHAN (DI ISI)'!CS44+'KELURAHAN (DI ISI)'!CS45+'KELURAHAN (DI ISI)'!CS46+'KELURAHAN (DI ISI)'!CS47+'KELURAHAN (DI ISI)'!CS48</f>
        <v>7</v>
      </c>
      <c r="DJ22" s="248">
        <f>'KELURAHAN (DI ISI)'!CT42+'KELURAHAN (DI ISI)'!CT43+'KELURAHAN (DI ISI)'!CT44+'KELURAHAN (DI ISI)'!CT45+'KELURAHAN (DI ISI)'!CT46+'KELURAHAN (DI ISI)'!CT47+'KELURAHAN (DI ISI)'!CT48</f>
        <v>0</v>
      </c>
      <c r="DK22" s="248">
        <f>'KELURAHAN (DI ISI)'!CU42+'KELURAHAN (DI ISI)'!CU43+'KELURAHAN (DI ISI)'!CU44+'KELURAHAN (DI ISI)'!CU45+'KELURAHAN (DI ISI)'!CU46+'KELURAHAN (DI ISI)'!CU47+'KELURAHAN (DI ISI)'!CU48</f>
        <v>9</v>
      </c>
      <c r="DL22" s="248">
        <f>'KELURAHAN (DI ISI)'!CV42+'KELURAHAN (DI ISI)'!CV43+'KELURAHAN (DI ISI)'!CV44+'KELURAHAN (DI ISI)'!CV45+'KELURAHAN (DI ISI)'!CV46+'KELURAHAN (DI ISI)'!CV47+'KELURAHAN (DI ISI)'!CV48</f>
        <v>6</v>
      </c>
      <c r="DM22" s="248">
        <f>'KELURAHAN (DI ISI)'!CW42+'KELURAHAN (DI ISI)'!CW43+'KELURAHAN (DI ISI)'!CW44+'KELURAHAN (DI ISI)'!CW45+'KELURAHAN (DI ISI)'!CW46+'KELURAHAN (DI ISI)'!CW47+'KELURAHAN (DI ISI)'!CW48</f>
        <v>1</v>
      </c>
      <c r="DN22" s="248">
        <f>'KELURAHAN (DI ISI)'!CX42+'KELURAHAN (DI ISI)'!CX43+'KELURAHAN (DI ISI)'!CX44+'KELURAHAN (DI ISI)'!CX45+'KELURAHAN (DI ISI)'!CX46+'KELURAHAN (DI ISI)'!CX47+'KELURAHAN (DI ISI)'!CX48</f>
        <v>3</v>
      </c>
      <c r="DO22" s="248">
        <f>'KELURAHAN (DI ISI)'!CY42+'KELURAHAN (DI ISI)'!CY43+'KELURAHAN (DI ISI)'!CY44+'KELURAHAN (DI ISI)'!CY45+'KELURAHAN (DI ISI)'!CY46+'KELURAHAN (DI ISI)'!CY47+'KELURAHAN (DI ISI)'!CY48</f>
        <v>3</v>
      </c>
      <c r="DP22" s="248">
        <f>'KELURAHAN (DI ISI)'!CZ42+'KELURAHAN (DI ISI)'!CZ43+'KELURAHAN (DI ISI)'!CZ44+'KELURAHAN (DI ISI)'!CZ45+'KELURAHAN (DI ISI)'!CZ46+'KELURAHAN (DI ISI)'!CZ47+'KELURAHAN (DI ISI)'!CZ48</f>
        <v>6</v>
      </c>
      <c r="DQ22" s="248">
        <f>'KELURAHAN (DI ISI)'!DA42+'KELURAHAN (DI ISI)'!DA43+'KELURAHAN (DI ISI)'!DA44+'KELURAHAN (DI ISI)'!DA45+'KELURAHAN (DI ISI)'!DA46+'KELURAHAN (DI ISI)'!DA47+'KELURAHAN (DI ISI)'!DA48</f>
        <v>0</v>
      </c>
      <c r="DR22" s="248">
        <f>'KELURAHAN (DI ISI)'!DB42+'KELURAHAN (DI ISI)'!DB43+'KELURAHAN (DI ISI)'!DB44+'KELURAHAN (DI ISI)'!DB45+'KELURAHAN (DI ISI)'!DB46+'KELURAHAN (DI ISI)'!DB47+'KELURAHAN (DI ISI)'!DB48</f>
        <v>0</v>
      </c>
      <c r="DS22" s="248">
        <f>'KELURAHAN (DI ISI)'!DC42+'KELURAHAN (DI ISI)'!DC43+'KELURAHAN (DI ISI)'!DC44+'KELURAHAN (DI ISI)'!DC45+'KELURAHAN (DI ISI)'!DC46+'KELURAHAN (DI ISI)'!DC47+'KELURAHAN (DI ISI)'!DC48</f>
        <v>0</v>
      </c>
      <c r="DT22" s="248">
        <f>'KELURAHAN (DI ISI)'!DD42+'KELURAHAN (DI ISI)'!DD43+'KELURAHAN (DI ISI)'!DD44+'KELURAHAN (DI ISI)'!DD45+'KELURAHAN (DI ISI)'!DD46+'KELURAHAN (DI ISI)'!DD47+'KELURAHAN (DI ISI)'!DD48</f>
        <v>0</v>
      </c>
      <c r="DU22" s="248">
        <f>'KELURAHAN (DI ISI)'!DE42+'KELURAHAN (DI ISI)'!DE43+'KELURAHAN (DI ISI)'!DE44+'KELURAHAN (DI ISI)'!DE45+'KELURAHAN (DI ISI)'!DE46+'KELURAHAN (DI ISI)'!DE47+'KELURAHAN (DI ISI)'!DE48</f>
        <v>0</v>
      </c>
      <c r="DV22" s="248">
        <f>'KELURAHAN (DI ISI)'!DF42+'KELURAHAN (DI ISI)'!DF43+'KELURAHAN (DI ISI)'!DF44+'KELURAHAN (DI ISI)'!DF45+'KELURAHAN (DI ISI)'!DF46+'KELURAHAN (DI ISI)'!DF47+'KELURAHAN (DI ISI)'!DF48</f>
        <v>0</v>
      </c>
      <c r="DW22" s="248">
        <f>'KELURAHAN (DI ISI)'!DG42+'KELURAHAN (DI ISI)'!DG43+'KELURAHAN (DI ISI)'!DG44+'KELURAHAN (DI ISI)'!DG45+'KELURAHAN (DI ISI)'!DG46+'KELURAHAN (DI ISI)'!DG47+'KELURAHAN (DI ISI)'!DG48</f>
        <v>13</v>
      </c>
      <c r="DX22" s="248">
        <f>'KELURAHAN (DI ISI)'!DH42+'KELURAHAN (DI ISI)'!DH43+'KELURAHAN (DI ISI)'!DH44+'KELURAHAN (DI ISI)'!DH45+'KELURAHAN (DI ISI)'!DH46+'KELURAHAN (DI ISI)'!DH47+'KELURAHAN (DI ISI)'!DH48</f>
        <v>3631</v>
      </c>
      <c r="DY22" s="248">
        <f>'KELURAHAN (DI ISI)'!DI42+'KELURAHAN (DI ISI)'!DI43+'KELURAHAN (DI ISI)'!DI44+'KELURAHAN (DI ISI)'!DI45+'KELURAHAN (DI ISI)'!DI46+'KELURAHAN (DI ISI)'!DI47+'KELURAHAN (DI ISI)'!DI48</f>
        <v>1065</v>
      </c>
      <c r="DZ22" s="248">
        <f>'KELURAHAN (DI ISI)'!DJ42+'KELURAHAN (DI ISI)'!DJ43+'KELURAHAN (DI ISI)'!DJ44+'KELURAHAN (DI ISI)'!DJ45+'KELURAHAN (DI ISI)'!DJ46+'KELURAHAN (DI ISI)'!DJ47+'KELURAHAN (DI ISI)'!DJ48</f>
        <v>3618</v>
      </c>
      <c r="EA22" s="248">
        <f>'KELURAHAN (DI ISI)'!DK42+'KELURAHAN (DI ISI)'!DK43+'KELURAHAN (DI ISI)'!DK44+'KELURAHAN (DI ISI)'!DK45+'KELURAHAN (DI ISI)'!DK46+'KELURAHAN (DI ISI)'!DK47+'KELURAHAN (DI ISI)'!DK48</f>
        <v>1057</v>
      </c>
      <c r="EB22" s="248">
        <f>'KELURAHAN (DI ISI)'!DL42+'KELURAHAN (DI ISI)'!DL43+'KELURAHAN (DI ISI)'!DL44+'KELURAHAN (DI ISI)'!DL45+'KELURAHAN (DI ISI)'!DL46+'KELURAHAN (DI ISI)'!DL47+'KELURAHAN (DI ISI)'!DL48</f>
        <v>26</v>
      </c>
      <c r="EC22" s="248">
        <f>'KELURAHAN (DI ISI)'!DM42+'KELURAHAN (DI ISI)'!DM43+'KELURAHAN (DI ISI)'!DM44+'KELURAHAN (DI ISI)'!DM45+'KELURAHAN (DI ISI)'!DM46+'KELURAHAN (DI ISI)'!DM47+'KELURAHAN (DI ISI)'!DM48</f>
        <v>13</v>
      </c>
      <c r="ED22" s="491">
        <f t="shared" si="17"/>
        <v>13</v>
      </c>
      <c r="EE22" s="248">
        <f>'KELURAHAN (DI ISI)'!DO42+'KELURAHAN (DI ISI)'!DO43+'KELURAHAN (DI ISI)'!DO44+'KELURAHAN (DI ISI)'!DO45+'KELURAHAN (DI ISI)'!DO46+'KELURAHAN (DI ISI)'!DO47+'KELURAHAN (DI ISI)'!DO48</f>
        <v>1</v>
      </c>
      <c r="EF22" s="248">
        <f>'KELURAHAN (DI ISI)'!DP42+'KELURAHAN (DI ISI)'!DP43+'KELURAHAN (DI ISI)'!DP44+'KELURAHAN (DI ISI)'!DP45+'KELURAHAN (DI ISI)'!DP46+'KELURAHAN (DI ISI)'!DP47+'KELURAHAN (DI ISI)'!DP48</f>
        <v>0</v>
      </c>
      <c r="EG22" s="248">
        <f>'KELURAHAN (DI ISI)'!DQ42+'KELURAHAN (DI ISI)'!DQ43+'KELURAHAN (DI ISI)'!DQ44+'KELURAHAN (DI ISI)'!DQ45+'KELURAHAN (DI ISI)'!DQ46+'KELURAHAN (DI ISI)'!DQ47+'KELURAHAN (DI ISI)'!DQ48</f>
        <v>6</v>
      </c>
      <c r="EH22" s="248">
        <f>'KELURAHAN (DI ISI)'!DR42+'KELURAHAN (DI ISI)'!DR43+'KELURAHAN (DI ISI)'!DR44+'KELURAHAN (DI ISI)'!DR45+'KELURAHAN (DI ISI)'!DR46+'KELURAHAN (DI ISI)'!DR47+'KELURAHAN (DI ISI)'!DR48</f>
        <v>4</v>
      </c>
      <c r="EI22" s="248">
        <f>'KELURAHAN (DI ISI)'!DS42+'KELURAHAN (DI ISI)'!DS43+'KELURAHAN (DI ISI)'!DS44+'KELURAHAN (DI ISI)'!DS45+'KELURAHAN (DI ISI)'!DS46+'KELURAHAN (DI ISI)'!DS47+'KELURAHAN (DI ISI)'!DS48</f>
        <v>2</v>
      </c>
      <c r="EJ22" s="248">
        <f>'KELURAHAN (DI ISI)'!DT42+'KELURAHAN (DI ISI)'!DT43+'KELURAHAN (DI ISI)'!DT44+'KELURAHAN (DI ISI)'!DT45+'KELURAHAN (DI ISI)'!DT46+'KELURAHAN (DI ISI)'!DT47+'KELURAHAN (DI ISI)'!DT48</f>
        <v>2</v>
      </c>
      <c r="EK22" s="248">
        <f>'KELURAHAN (DI ISI)'!DU42+'KELURAHAN (DI ISI)'!DU43+'KELURAHAN (DI ISI)'!DU44+'KELURAHAN (DI ISI)'!DU45+'KELURAHAN (DI ISI)'!DU46+'KELURAHAN (DI ISI)'!DU47+'KELURAHAN (DI ISI)'!DU48</f>
        <v>2</v>
      </c>
      <c r="EL22" s="248">
        <f>'KELURAHAN (DI ISI)'!DV42+'KELURAHAN (DI ISI)'!DV43+'KELURAHAN (DI ISI)'!DV44+'KELURAHAN (DI ISI)'!DV45+'KELURAHAN (DI ISI)'!DV46+'KELURAHAN (DI ISI)'!DV47+'KELURAHAN (DI ISI)'!DV48</f>
        <v>9</v>
      </c>
      <c r="EM22" s="248">
        <f>'KELURAHAN (DI ISI)'!DW42+'KELURAHAN (DI ISI)'!DW43+'KELURAHAN (DI ISI)'!DW44+'KELURAHAN (DI ISI)'!DW45+'KELURAHAN (DI ISI)'!DW46+'KELURAHAN (DI ISI)'!DW47+'KELURAHAN (DI ISI)'!DW48</f>
        <v>5</v>
      </c>
      <c r="EN22" s="248">
        <f>'KELURAHAN (DI ISI)'!DX42+'KELURAHAN (DI ISI)'!DX43+'KELURAHAN (DI ISI)'!DX44+'KELURAHAN (DI ISI)'!DX45+'KELURAHAN (DI ISI)'!DX46+'KELURAHAN (DI ISI)'!DX47+'KELURAHAN (DI ISI)'!DX48</f>
        <v>1</v>
      </c>
      <c r="EO22" s="248">
        <f>'KELURAHAN (DI ISI)'!DY42+'KELURAHAN (DI ISI)'!DY43+'KELURAHAN (DI ISI)'!DY44+'KELURAHAN (DI ISI)'!DY45+'KELURAHAN (DI ISI)'!DY46+'KELURAHAN (DI ISI)'!DY47+'KELURAHAN (DI ISI)'!DY48</f>
        <v>7</v>
      </c>
      <c r="EP22" s="248">
        <f>'KELURAHAN (DI ISI)'!DZ42+'KELURAHAN (DI ISI)'!DZ43+'KELURAHAN (DI ISI)'!DZ44+'KELURAHAN (DI ISI)'!DZ45+'KELURAHAN (DI ISI)'!DZ46+'KELURAHAN (DI ISI)'!DZ47+'KELURAHAN (DI ISI)'!DZ48</f>
        <v>2</v>
      </c>
      <c r="EQ22" s="248">
        <f>'KELURAHAN (DI ISI)'!EA42+'KELURAHAN (DI ISI)'!EA43+'KELURAHAN (DI ISI)'!EA44+'KELURAHAN (DI ISI)'!EA45+'KELURAHAN (DI ISI)'!EA46+'KELURAHAN (DI ISI)'!EA47+'KELURAHAN (DI ISI)'!EA48</f>
        <v>0</v>
      </c>
      <c r="ER22" s="248">
        <f>'KELURAHAN (DI ISI)'!EB42+'KELURAHAN (DI ISI)'!EB43+'KELURAHAN (DI ISI)'!EB44+'KELURAHAN (DI ISI)'!EB45+'KELURAHAN (DI ISI)'!EB46+'KELURAHAN (DI ISI)'!EB47+'KELURAHAN (DI ISI)'!EB48</f>
        <v>0</v>
      </c>
      <c r="ES22" s="248">
        <f>'KELURAHAN (DI ISI)'!EC42+'KELURAHAN (DI ISI)'!EC43+'KELURAHAN (DI ISI)'!EC44+'KELURAHAN (DI ISI)'!EC45+'KELURAHAN (DI ISI)'!EC46+'KELURAHAN (DI ISI)'!EC47+'KELURAHAN (DI ISI)'!EC48</f>
        <v>0</v>
      </c>
      <c r="ET22" s="248">
        <f>'KELURAHAN (DI ISI)'!ED42+'KELURAHAN (DI ISI)'!ED43+'KELURAHAN (DI ISI)'!ED44+'KELURAHAN (DI ISI)'!ED45+'KELURAHAN (DI ISI)'!ED46+'KELURAHAN (DI ISI)'!ED47+'KELURAHAN (DI ISI)'!ED48</f>
        <v>0</v>
      </c>
      <c r="EU22" s="248">
        <f>'KELURAHAN (DI ISI)'!EE42+'KELURAHAN (DI ISI)'!EE43+'KELURAHAN (DI ISI)'!EE44+'KELURAHAN (DI ISI)'!EE45+'KELURAHAN (DI ISI)'!EE46+'KELURAHAN (DI ISI)'!EE47+'KELURAHAN (DI ISI)'!EE48</f>
        <v>0</v>
      </c>
      <c r="EV22" s="248">
        <f>'KELURAHAN (DI ISI)'!EF42+'KELURAHAN (DI ISI)'!EF43+'KELURAHAN (DI ISI)'!EF44+'KELURAHAN (DI ISI)'!EF45+'KELURAHAN (DI ISI)'!EF46+'KELURAHAN (DI ISI)'!EF47+'KELURAHAN (DI ISI)'!EF48</f>
        <v>0</v>
      </c>
      <c r="EW22" s="248">
        <f>'KELURAHAN (DI ISI)'!EG42+'KELURAHAN (DI ISI)'!EG43+'KELURAHAN (DI ISI)'!EG44+'KELURAHAN (DI ISI)'!EG45+'KELURAHAN (DI ISI)'!EG46+'KELURAHAN (DI ISI)'!EG47+'KELURAHAN (DI ISI)'!EG48</f>
        <v>15</v>
      </c>
      <c r="EX22" s="248">
        <f>'KELURAHAN (DI ISI)'!EH42+'KELURAHAN (DI ISI)'!EH43+'KELURAHAN (DI ISI)'!EH44+'KELURAHAN (DI ISI)'!EH45+'KELURAHAN (DI ISI)'!EH46+'KELURAHAN (DI ISI)'!EH47+'KELURAHAN (DI ISI)'!EH48</f>
        <v>13</v>
      </c>
      <c r="EY22" s="248">
        <f>'KELURAHAN (DI ISI)'!EI42+'KELURAHAN (DI ISI)'!EI43+'KELURAHAN (DI ISI)'!EI44+'KELURAHAN (DI ISI)'!EI45+'KELURAHAN (DI ISI)'!EI46+'KELURAHAN (DI ISI)'!EI47+'KELURAHAN (DI ISI)'!EI48</f>
        <v>3632</v>
      </c>
      <c r="EZ22" s="248">
        <f>'KELURAHAN (DI ISI)'!EJ42+'KELURAHAN (DI ISI)'!EJ43+'KELURAHAN (DI ISI)'!EJ44+'KELURAHAN (DI ISI)'!EJ45+'KELURAHAN (DI ISI)'!EJ46+'KELURAHAN (DI ISI)'!EJ47+'KELURAHAN (DI ISI)'!EJ48</f>
        <v>1060</v>
      </c>
      <c r="FA22" s="248">
        <f>'KELURAHAN (DI ISI)'!EK42+'KELURAHAN (DI ISI)'!EK43+'KELURAHAN (DI ISI)'!EK44+'KELURAHAN (DI ISI)'!EK45+'KELURAHAN (DI ISI)'!EK46+'KELURAHAN (DI ISI)'!EK47+'KELURAHAN (DI ISI)'!EK48</f>
        <v>3558</v>
      </c>
      <c r="FB22" s="248">
        <f>'KELURAHAN (DI ISI)'!EL42+'KELURAHAN (DI ISI)'!EL43+'KELURAHAN (DI ISI)'!EL44+'KELURAHAN (DI ISI)'!EL45+'KELURAHAN (DI ISI)'!EL46+'KELURAHAN (DI ISI)'!EL47+'KELURAHAN (DI ISI)'!EL48</f>
        <v>1012</v>
      </c>
      <c r="FC22" s="248">
        <f>'KELURAHAN (DI ISI)'!EM42+'KELURAHAN (DI ISI)'!EM43+'KELURAHAN (DI ISI)'!EM44+'KELURAHAN (DI ISI)'!EM45+'KELURAHAN (DI ISI)'!EM46+'KELURAHAN (DI ISI)'!EM47+'KELURAHAN (DI ISI)'!EM48</f>
        <v>33</v>
      </c>
      <c r="FD22" s="248">
        <f>'KELURAHAN (DI ISI)'!EN42+'KELURAHAN (DI ISI)'!EN43+'KELURAHAN (DI ISI)'!EN44+'KELURAHAN (DI ISI)'!EN45+'KELURAHAN (DI ISI)'!EN46+'KELURAHAN (DI ISI)'!EN47+'KELURAHAN (DI ISI)'!EN48</f>
        <v>14</v>
      </c>
      <c r="FE22" s="491">
        <f t="shared" si="18"/>
        <v>19</v>
      </c>
      <c r="FF22" s="248">
        <f>'KELURAHAN (DI ISI)'!EP42+'KELURAHAN (DI ISI)'!EP43+'KELURAHAN (DI ISI)'!EP44+'KELURAHAN (DI ISI)'!EP45+'KELURAHAN (DI ISI)'!EP46+'KELURAHAN (DI ISI)'!EP47+'KELURAHAN (DI ISI)'!EP48</f>
        <v>0</v>
      </c>
      <c r="FG22" s="248">
        <f>'KELURAHAN (DI ISI)'!EQ42+'KELURAHAN (DI ISI)'!EQ43+'KELURAHAN (DI ISI)'!EQ44+'KELURAHAN (DI ISI)'!EQ45+'KELURAHAN (DI ISI)'!EQ46+'KELURAHAN (DI ISI)'!EQ47+'KELURAHAN (DI ISI)'!EQ48</f>
        <v>2</v>
      </c>
      <c r="FH22" s="248">
        <f>'KELURAHAN (DI ISI)'!ER42+'KELURAHAN (DI ISI)'!ER43+'KELURAHAN (DI ISI)'!ER44+'KELURAHAN (DI ISI)'!ER45+'KELURAHAN (DI ISI)'!ER46+'KELURAHAN (DI ISI)'!ER47+'KELURAHAN (DI ISI)'!ER48</f>
        <v>10</v>
      </c>
      <c r="FI22" s="248">
        <f>'KELURAHAN (DI ISI)'!ES42+'KELURAHAN (DI ISI)'!ES43+'KELURAHAN (DI ISI)'!ES44+'KELURAHAN (DI ISI)'!ES45+'KELURAHAN (DI ISI)'!ES46+'KELURAHAN (DI ISI)'!ES47+'KELURAHAN (DI ISI)'!ES48</f>
        <v>14</v>
      </c>
      <c r="FJ22" s="248">
        <f>'KELURAHAN (DI ISI)'!ET42+'KELURAHAN (DI ISI)'!ET43+'KELURAHAN (DI ISI)'!ET44+'KELURAHAN (DI ISI)'!ET45+'KELURAHAN (DI ISI)'!ET46+'KELURAHAN (DI ISI)'!ET47+'KELURAHAN (DI ISI)'!ET48</f>
        <v>2</v>
      </c>
      <c r="FK22" s="248">
        <f>'KELURAHAN (DI ISI)'!EU42+'KELURAHAN (DI ISI)'!EU43+'KELURAHAN (DI ISI)'!EU44+'KELURAHAN (DI ISI)'!EU45+'KELURAHAN (DI ISI)'!EU46+'KELURAHAN (DI ISI)'!EU47+'KELURAHAN (DI ISI)'!EU48</f>
        <v>0</v>
      </c>
      <c r="FL22" s="248">
        <f>'KELURAHAN (DI ISI)'!EV42+'KELURAHAN (DI ISI)'!EV43+'KELURAHAN (DI ISI)'!EV44+'KELURAHAN (DI ISI)'!EV45+'KELURAHAN (DI ISI)'!EV46+'KELURAHAN (DI ISI)'!EV47+'KELURAHAN (DI ISI)'!EV48</f>
        <v>0</v>
      </c>
      <c r="FM22" s="248">
        <f>'KELURAHAN (DI ISI)'!EW42+'KELURAHAN (DI ISI)'!EW43+'KELURAHAN (DI ISI)'!EW44+'KELURAHAN (DI ISI)'!EW45+'KELURAHAN (DI ISI)'!EW46+'KELURAHAN (DI ISI)'!EW47+'KELURAHAN (DI ISI)'!EW48</f>
        <v>5</v>
      </c>
      <c r="FN22" s="248">
        <f>'KELURAHAN (DI ISI)'!EX42+'KELURAHAN (DI ISI)'!EX43+'KELURAHAN (DI ISI)'!EX44+'KELURAHAN (DI ISI)'!EX45+'KELURAHAN (DI ISI)'!EX46+'KELURAHAN (DI ISI)'!EX47+'KELURAHAN (DI ISI)'!EX48</f>
        <v>0</v>
      </c>
      <c r="FO22" s="248">
        <f>'KELURAHAN (DI ISI)'!EY42+'KELURAHAN (DI ISI)'!EY43+'KELURAHAN (DI ISI)'!EY44+'KELURAHAN (DI ISI)'!EY45+'KELURAHAN (DI ISI)'!EY46+'KELURAHAN (DI ISI)'!EY47+'KELURAHAN (DI ISI)'!EY48</f>
        <v>1</v>
      </c>
      <c r="FP22" s="248">
        <f>'KELURAHAN (DI ISI)'!EZ42+'KELURAHAN (DI ISI)'!EZ43+'KELURAHAN (DI ISI)'!EZ44+'KELURAHAN (DI ISI)'!EZ45+'KELURAHAN (DI ISI)'!EZ46+'KELURAHAN (DI ISI)'!EZ47+'KELURAHAN (DI ISI)'!EZ48</f>
        <v>1</v>
      </c>
      <c r="FQ22" s="248">
        <f>'KELURAHAN (DI ISI)'!FA42+'KELURAHAN (DI ISI)'!FA43+'KELURAHAN (DI ISI)'!FA44+'KELURAHAN (DI ISI)'!FA45+'KELURAHAN (DI ISI)'!FA46+'KELURAHAN (DI ISI)'!FA47+'KELURAHAN (DI ISI)'!FA48</f>
        <v>0</v>
      </c>
      <c r="FR22" s="248">
        <f>'KELURAHAN (DI ISI)'!FB42+'KELURAHAN (DI ISI)'!FB43+'KELURAHAN (DI ISI)'!FB44+'KELURAHAN (DI ISI)'!FB45+'KELURAHAN (DI ISI)'!FB46+'KELURAHAN (DI ISI)'!FB47+'KELURAHAN (DI ISI)'!FB48</f>
        <v>0</v>
      </c>
      <c r="FS22" s="248">
        <f>'KELURAHAN (DI ISI)'!FC42+'KELURAHAN (DI ISI)'!FC43+'KELURAHAN (DI ISI)'!FC44+'KELURAHAN (DI ISI)'!FC45+'KELURAHAN (DI ISI)'!FC46+'KELURAHAN (DI ISI)'!FC47+'KELURAHAN (DI ISI)'!FC48</f>
        <v>0</v>
      </c>
      <c r="FT22" s="248">
        <f>'KELURAHAN (DI ISI)'!FD42+'KELURAHAN (DI ISI)'!FD43+'KELURAHAN (DI ISI)'!FD44+'KELURAHAN (DI ISI)'!FD45+'KELURAHAN (DI ISI)'!FD46+'KELURAHAN (DI ISI)'!FD47+'KELURAHAN (DI ISI)'!FD48</f>
        <v>0</v>
      </c>
      <c r="FU22" s="248">
        <f>'KELURAHAN (DI ISI)'!FE42+'KELURAHAN (DI ISI)'!FE43+'KELURAHAN (DI ISI)'!FE44+'KELURAHAN (DI ISI)'!FE45+'KELURAHAN (DI ISI)'!FE46+'KELURAHAN (DI ISI)'!FE47+'KELURAHAN (DI ISI)'!FE48</f>
        <v>0</v>
      </c>
      <c r="FV22" s="248">
        <f>'KELURAHAN (DI ISI)'!FF42+'KELURAHAN (DI ISI)'!FF43+'KELURAHAN (DI ISI)'!FF44+'KELURAHAN (DI ISI)'!FF45+'KELURAHAN (DI ISI)'!FF46+'KELURAHAN (DI ISI)'!FF47+'KELURAHAN (DI ISI)'!FF48</f>
        <v>0</v>
      </c>
      <c r="FW22" s="248">
        <f>'KELURAHAN (DI ISI)'!FG42+'KELURAHAN (DI ISI)'!FG43+'KELURAHAN (DI ISI)'!FG44+'KELURAHAN (DI ISI)'!FG45+'KELURAHAN (DI ISI)'!FG46+'KELURAHAN (DI ISI)'!FG47+'KELURAHAN (DI ISI)'!FG48</f>
        <v>0</v>
      </c>
      <c r="FX22" s="248">
        <f>'KELURAHAN (DI ISI)'!FH42+'KELURAHAN (DI ISI)'!FH43+'KELURAHAN (DI ISI)'!FH44+'KELURAHAN (DI ISI)'!FH45+'KELURAHAN (DI ISI)'!FH46+'KELURAHAN (DI ISI)'!FH47+'KELURAHAN (DI ISI)'!FH48</f>
        <v>2</v>
      </c>
      <c r="FY22" s="248">
        <f>'KELURAHAN (DI ISI)'!FI42+'KELURAHAN (DI ISI)'!FI43+'KELURAHAN (DI ISI)'!FI44+'KELURAHAN (DI ISI)'!FI45+'KELURAHAN (DI ISI)'!FI46+'KELURAHAN (DI ISI)'!FI47+'KELURAHAN (DI ISI)'!FI48</f>
        <v>2</v>
      </c>
      <c r="FZ22" s="248">
        <f>'KELURAHAN (DI ISI)'!FJ42+'KELURAHAN (DI ISI)'!FJ43+'KELURAHAN (DI ISI)'!FJ44+'KELURAHAN (DI ISI)'!FJ45+'KELURAHAN (DI ISI)'!FJ46+'KELURAHAN (DI ISI)'!FJ47+'KELURAHAN (DI ISI)'!FJ48</f>
        <v>3654</v>
      </c>
      <c r="GA22" s="248">
        <f>'KELURAHAN (DI ISI)'!FK42+'KELURAHAN (DI ISI)'!FK43+'KELURAHAN (DI ISI)'!FK44+'KELURAHAN (DI ISI)'!FK45+'KELURAHAN (DI ISI)'!FK46+'KELURAHAN (DI ISI)'!FK47+'KELURAHAN (DI ISI)'!FK48</f>
        <v>1049</v>
      </c>
      <c r="GB22" s="248">
        <f>'KELURAHAN (DI ISI)'!FL42+'KELURAHAN (DI ISI)'!FL43+'KELURAHAN (DI ISI)'!FL44+'KELURAHAN (DI ISI)'!FL45+'KELURAHAN (DI ISI)'!FL46+'KELURAHAN (DI ISI)'!FL47+'KELURAHAN (DI ISI)'!FL48</f>
        <v>3559</v>
      </c>
      <c r="GC22" s="248">
        <f>'KELURAHAN (DI ISI)'!FM42+'KELURAHAN (DI ISI)'!FM43+'KELURAHAN (DI ISI)'!FM44+'KELURAHAN (DI ISI)'!FM45+'KELURAHAN (DI ISI)'!FM46+'KELURAHAN (DI ISI)'!FM47+'KELURAHAN (DI ISI)'!FM48</f>
        <v>1003</v>
      </c>
      <c r="GD22" s="587">
        <v>3559.0</v>
      </c>
      <c r="GE22" s="588">
        <f>'KELURAHAN (DI ISI)'!FO42+'KELURAHAN (DI ISI)'!FO43+'KELURAHAN (DI ISI)'!FO44+'KELURAHAN (DI ISI)'!FO45+'KELURAHAN (DI ISI)'!FO46+'KELURAHAN (DI ISI)'!FO47+'KELURAHAN (DI ISI)'!FO48</f>
        <v>38</v>
      </c>
      <c r="GF22" s="588">
        <f>'KELURAHAN (DI ISI)'!FP42+'KELURAHAN (DI ISI)'!FP43+'KELURAHAN (DI ISI)'!FP44+'KELURAHAN (DI ISI)'!FP45+'KELURAHAN (DI ISI)'!FP46+'KELURAHAN (DI ISI)'!FP47+'KELURAHAN (DI ISI)'!FP48</f>
        <v>38</v>
      </c>
      <c r="GG22" s="588">
        <f>'KELURAHAN (DI ISI)'!FP42+'KELURAHAN (DI ISI)'!FP43+'KELURAHAN (DI ISI)'!FP44+'KELURAHAN (DI ISI)'!FP45+'KELURAHAN (DI ISI)'!FP46+'KELURAHAN (DI ISI)'!FP47+'KELURAHAN (DI ISI)'!FP48</f>
        <v>38</v>
      </c>
      <c r="GH22" s="588">
        <f>'KELURAHAN (DI ISI)'!FQ42+'KELURAHAN (DI ISI)'!FQ43+'KELURAHAN (DI ISI)'!FQ44+'KELURAHAN (DI ISI)'!FQ45+'KELURAHAN (DI ISI)'!FQ46+'KELURAHAN (DI ISI)'!FQ47+'KELURAHAN (DI ISI)'!FQ48</f>
        <v>11</v>
      </c>
      <c r="GI22" s="571">
        <f t="shared" si="19"/>
        <v>27</v>
      </c>
      <c r="GJ22" s="248">
        <f>'KELURAHAN (DI ISI)'!FS42+'KELURAHAN (DI ISI)'!FS43+'KELURAHAN (DI ISI)'!FS44+'KELURAHAN (DI ISI)'!FS45+'KELURAHAN (DI ISI)'!FS46+'KELURAHAN (DI ISI)'!FS47+'KELURAHAN (DI ISI)'!FS48</f>
        <v>2</v>
      </c>
      <c r="GK22" s="248">
        <f>'KELURAHAN (DI ISI)'!FT42+'KELURAHAN (DI ISI)'!FT43+'KELURAHAN (DI ISI)'!FT44+'KELURAHAN (DI ISI)'!FT45+'KELURAHAN (DI ISI)'!FT46+'KELURAHAN (DI ISI)'!FT47+'KELURAHAN (DI ISI)'!FT48</f>
        <v>3</v>
      </c>
      <c r="GL22" s="248">
        <f>'KELURAHAN (DI ISI)'!FU42+'KELURAHAN (DI ISI)'!FU43+'KELURAHAN (DI ISI)'!FU44+'KELURAHAN (DI ISI)'!FU45+'KELURAHAN (DI ISI)'!FU46+'KELURAHAN (DI ISI)'!FU47+'KELURAHAN (DI ISI)'!FU48</f>
        <v>6</v>
      </c>
      <c r="GM22" s="248">
        <f>'KELURAHAN (DI ISI)'!FV42+'KELURAHAN (DI ISI)'!FV43+'KELURAHAN (DI ISI)'!FV44+'KELURAHAN (DI ISI)'!FV45+'KELURAHAN (DI ISI)'!FV46+'KELURAHAN (DI ISI)'!FV47+'KELURAHAN (DI ISI)'!FV48</f>
        <v>22</v>
      </c>
      <c r="GN22" s="248">
        <f>'KELURAHAN (DI ISI)'!FW42+'KELURAHAN (DI ISI)'!FW43+'KELURAHAN (DI ISI)'!FW44+'KELURAHAN (DI ISI)'!FW45+'KELURAHAN (DI ISI)'!FW46+'KELURAHAN (DI ISI)'!FW47+'KELURAHAN (DI ISI)'!FW48</f>
        <v>0</v>
      </c>
      <c r="GO22" s="248">
        <f>'KELURAHAN (DI ISI)'!FX42+'KELURAHAN (DI ISI)'!FX43+'KELURAHAN (DI ISI)'!FX44+'KELURAHAN (DI ISI)'!FX45+'KELURAHAN (DI ISI)'!FX46+'KELURAHAN (DI ISI)'!FX47+'KELURAHAN (DI ISI)'!FX48</f>
        <v>0</v>
      </c>
      <c r="GP22" s="248">
        <f>'KELURAHAN (DI ISI)'!FY42+'KELURAHAN (DI ISI)'!FY43+'KELURAHAN (DI ISI)'!FY44+'KELURAHAN (DI ISI)'!FY45+'KELURAHAN (DI ISI)'!FY46+'KELURAHAN (DI ISI)'!FY47+'KELURAHAN (DI ISI)'!FY48</f>
        <v>0</v>
      </c>
      <c r="GQ22" s="248">
        <f>'KELURAHAN (DI ISI)'!FZ42+'KELURAHAN (DI ISI)'!FZ43+'KELURAHAN (DI ISI)'!FZ44+'KELURAHAN (DI ISI)'!FZ45+'KELURAHAN (DI ISI)'!FZ46+'KELURAHAN (DI ISI)'!FZ47+'KELURAHAN (DI ISI)'!FZ48</f>
        <v>5</v>
      </c>
      <c r="GR22" s="248">
        <f>'KELURAHAN (DI ISI)'!GA42+'KELURAHAN (DI ISI)'!GA43+'KELURAHAN (DI ISI)'!GA44+'KELURAHAN (DI ISI)'!GA45+'KELURAHAN (DI ISI)'!GA46+'KELURAHAN (DI ISI)'!GA47+'KELURAHAN (DI ISI)'!GA48</f>
        <v>0</v>
      </c>
      <c r="GS22" s="248">
        <f>'KELURAHAN (DI ISI)'!GB42+'KELURAHAN (DI ISI)'!GB43+'KELURAHAN (DI ISI)'!GB44+'KELURAHAN (DI ISI)'!GB45+'KELURAHAN (DI ISI)'!GB46+'KELURAHAN (DI ISI)'!GB47+'KELURAHAN (DI ISI)'!GB48</f>
        <v>0</v>
      </c>
      <c r="GT22" s="248">
        <f>'KELURAHAN (DI ISI)'!GC42+'KELURAHAN (DI ISI)'!GC43+'KELURAHAN (DI ISI)'!GC44+'KELURAHAN (DI ISI)'!GC45+'KELURAHAN (DI ISI)'!GC46+'KELURAHAN (DI ISI)'!GC47+'KELURAHAN (DI ISI)'!GC48</f>
        <v>0</v>
      </c>
      <c r="GU22" s="248">
        <f>'KELURAHAN (DI ISI)'!GD42+'KELURAHAN (DI ISI)'!GD43+'KELURAHAN (DI ISI)'!GD44+'KELURAHAN (DI ISI)'!GD45+'KELURAHAN (DI ISI)'!GD46+'KELURAHAN (DI ISI)'!GD47+'KELURAHAN (DI ISI)'!GD48</f>
        <v>0</v>
      </c>
      <c r="GV22" s="248">
        <f>'KELURAHAN (DI ISI)'!GE42+'KELURAHAN (DI ISI)'!GE43+'KELURAHAN (DI ISI)'!GE44+'KELURAHAN (DI ISI)'!GE45+'KELURAHAN (DI ISI)'!GE46+'KELURAHAN (DI ISI)'!GE47+'KELURAHAN (DI ISI)'!GE48</f>
        <v>0</v>
      </c>
      <c r="GW22" s="248">
        <f>'KELURAHAN (DI ISI)'!GF42+'KELURAHAN (DI ISI)'!GF43+'KELURAHAN (DI ISI)'!GF44+'KELURAHAN (DI ISI)'!GF45+'KELURAHAN (DI ISI)'!GF46+'KELURAHAN (DI ISI)'!GF47+'KELURAHAN (DI ISI)'!GF48</f>
        <v>0</v>
      </c>
      <c r="GX22" s="248">
        <f>'KELURAHAN (DI ISI)'!GG42+'KELURAHAN (DI ISI)'!GG43+'KELURAHAN (DI ISI)'!GG44+'KELURAHAN (DI ISI)'!GG45+'KELURAHAN (DI ISI)'!GG46+'KELURAHAN (DI ISI)'!GG47+'KELURAHAN (DI ISI)'!GG48</f>
        <v>0</v>
      </c>
      <c r="GY22" s="248">
        <f>'KELURAHAN (DI ISI)'!GH42+'KELURAHAN (DI ISI)'!GH43+'KELURAHAN (DI ISI)'!GH44+'KELURAHAN (DI ISI)'!GH45+'KELURAHAN (DI ISI)'!GH46+'KELURAHAN (DI ISI)'!GH47+'KELURAHAN (DI ISI)'!GH48</f>
        <v>0</v>
      </c>
      <c r="GZ22" s="248">
        <f>'KELURAHAN (DI ISI)'!GI42+'KELURAHAN (DI ISI)'!GI43+'KELURAHAN (DI ISI)'!GI44+'KELURAHAN (DI ISI)'!GI45+'KELURAHAN (DI ISI)'!GI46+'KELURAHAN (DI ISI)'!GI47+'KELURAHAN (DI ISI)'!GI48</f>
        <v>0</v>
      </c>
      <c r="HA22" s="248">
        <f>'KELURAHAN (DI ISI)'!GJ42+'KELURAHAN (DI ISI)'!GJ43+'KELURAHAN (DI ISI)'!GJ44+'KELURAHAN (DI ISI)'!GJ45+'KELURAHAN (DI ISI)'!GJ46+'KELURAHAN (DI ISI)'!GJ47+'KELURAHAN (DI ISI)'!GJ48</f>
        <v>0</v>
      </c>
      <c r="HB22" s="589">
        <f>'KELURAHAN (DI ISI)'!GK42+'KELURAHAN (DI ISI)'!GK43+'KELURAHAN (DI ISI)'!GK44+'KELURAHAN (DI ISI)'!GK45+'KELURAHAN (DI ISI)'!GK46+'KELURAHAN (DI ISI)'!GK47+'KELURAHAN (DI ISI)'!GK48</f>
        <v>0</v>
      </c>
      <c r="HC22" s="589">
        <f>'KELURAHAN (DI ISI)'!GL42+'KELURAHAN (DI ISI)'!GL43+'KELURAHAN (DI ISI)'!GL44+'KELURAHAN (DI ISI)'!GL45+'KELURAHAN (DI ISI)'!GL46+'KELURAHAN (DI ISI)'!GL47+'KELURAHAN (DI ISI)'!GL48</f>
        <v>0</v>
      </c>
      <c r="HD22" s="248">
        <f>'KELURAHAN (DI ISI)'!GM42+'KELURAHAN (DI ISI)'!GM43+'KELURAHAN (DI ISI)'!GM44+'KELURAHAN (DI ISI)'!GM45+'KELURAHAN (DI ISI)'!GM46+'KELURAHAN (DI ISI)'!GM47+'KELURAHAN (DI ISI)'!GM48</f>
        <v>3644</v>
      </c>
      <c r="HE22" s="248">
        <f>'KELURAHAN (DI ISI)'!GN42+'KELURAHAN (DI ISI)'!GN43+'KELURAHAN (DI ISI)'!GN44+'KELURAHAN (DI ISI)'!GN45+'KELURAHAN (DI ISI)'!GN46+'KELURAHAN (DI ISI)'!GN47+'KELURAHAN (DI ISI)'!GN48</f>
        <v>1050</v>
      </c>
      <c r="HF22" s="248">
        <f>'KELURAHAN (DI ISI)'!GO42+'KELURAHAN (DI ISI)'!GO43+'KELURAHAN (DI ISI)'!GO44+'KELURAHAN (DI ISI)'!GO45+'KELURAHAN (DI ISI)'!GO46+'KELURAHAN (DI ISI)'!GO47+'KELURAHAN (DI ISI)'!GO48</f>
        <v>3569</v>
      </c>
      <c r="HG22" s="248">
        <f>'KELURAHAN (DI ISI)'!GP42+'KELURAHAN (DI ISI)'!GP43+'KELURAHAN (DI ISI)'!GP44+'KELURAHAN (DI ISI)'!GP45+'KELURAHAN (DI ISI)'!GP46+'KELURAHAN (DI ISI)'!GP47+'KELURAHAN (DI ISI)'!GP48</f>
        <v>997</v>
      </c>
      <c r="HH22" s="587">
        <v>3559.0</v>
      </c>
      <c r="HI22" s="590">
        <f>'KELURAHAN (DI ISI)'!GR42+'KELURAHAN (DI ISI)'!GR43+'KELURAHAN (DI ISI)'!GR44+'KELURAHAN (DI ISI)'!GR45+'KELURAHAN (DI ISI)'!GR46+'KELURAHAN (DI ISI)'!GR47+'KELURAHAN (DI ISI)'!GR48</f>
        <v>39</v>
      </c>
      <c r="HJ22" s="590">
        <f>'KELURAHAN (DI ISI)'!GS42+'KELURAHAN (DI ISI)'!GS43+'KELURAHAN (DI ISI)'!GS44+'KELURAHAN (DI ISI)'!GS45+'KELURAHAN (DI ISI)'!GS46+'KELURAHAN (DI ISI)'!GS47+'KELURAHAN (DI ISI)'!GS48</f>
        <v>8</v>
      </c>
      <c r="HK22" s="591">
        <f>'KELURAHAN (DI ISI)'!GT42+'KELURAHAN (DI ISI)'!GT43+'KELURAHAN (DI ISI)'!GT44+'KELURAHAN (DI ISI)'!GT45+'KELURAHAN (DI ISI)'!GT46+'KELURAHAN (DI ISI)'!GT47+'KELURAHAN (DI ISI)'!GT48</f>
        <v>39</v>
      </c>
      <c r="HL22" s="591">
        <f>'KELURAHAN (DI ISI)'!GU42+'KELURAHAN (DI ISI)'!GU43+'KELURAHAN (DI ISI)'!GU44+'KELURAHAN (DI ISI)'!GU45+'KELURAHAN (DI ISI)'!GU46+'KELURAHAN (DI ISI)'!GU47+'KELURAHAN (DI ISI)'!GU48</f>
        <v>8</v>
      </c>
      <c r="HM22" s="573">
        <f t="shared" si="20"/>
        <v>31</v>
      </c>
      <c r="HN22" s="248">
        <f>'KELURAHAN (DI ISI)'!GW42+'KELURAHAN (DI ISI)'!GW43+'KELURAHAN (DI ISI)'!GW44+'KELURAHAN (DI ISI)'!GW45+'KELURAHAN (DI ISI)'!GW46+'KELURAHAN (DI ISI)'!GW47+'KELURAHAN (DI ISI)'!GW48</f>
        <v>0</v>
      </c>
      <c r="HO22" s="248">
        <f>'KELURAHAN (DI ISI)'!GX42+'KELURAHAN (DI ISI)'!GX43+'KELURAHAN (DI ISI)'!GX44+'KELURAHAN (DI ISI)'!GX45+'KELURAHAN (DI ISI)'!GX46+'KELURAHAN (DI ISI)'!GX47+'KELURAHAN (DI ISI)'!GX48</f>
        <v>2</v>
      </c>
      <c r="HP22" s="248">
        <f>'KELURAHAN (DI ISI)'!GY42+'KELURAHAN (DI ISI)'!GY43+'KELURAHAN (DI ISI)'!GY44+'KELURAHAN (DI ISI)'!GY45+'KELURAHAN (DI ISI)'!GY46+'KELURAHAN (DI ISI)'!GY47+'KELURAHAN (DI ISI)'!GY48</f>
        <v>6</v>
      </c>
      <c r="HQ22" s="248">
        <f>'KELURAHAN (DI ISI)'!GZ42+'KELURAHAN (DI ISI)'!GZ43+'KELURAHAN (DI ISI)'!GZ44+'KELURAHAN (DI ISI)'!GZ45+'KELURAHAN (DI ISI)'!GZ46+'KELURAHAN (DI ISI)'!GZ47+'KELURAHAN (DI ISI)'!GZ48</f>
        <v>27</v>
      </c>
      <c r="HR22" s="248">
        <f>'KELURAHAN (DI ISI)'!HA42+'KELURAHAN (DI ISI)'!HA43+'KELURAHAN (DI ISI)'!HA44+'KELURAHAN (DI ISI)'!HA45+'KELURAHAN (DI ISI)'!HA46+'KELURAHAN (DI ISI)'!HA47+'KELURAHAN (DI ISI)'!HA48</f>
        <v>0</v>
      </c>
      <c r="HS22" s="248">
        <f>'KELURAHAN (DI ISI)'!HB42+'KELURAHAN (DI ISI)'!HB43+'KELURAHAN (DI ISI)'!HB44+'KELURAHAN (DI ISI)'!HB45+'KELURAHAN (DI ISI)'!HB46+'KELURAHAN (DI ISI)'!HB47+'KELURAHAN (DI ISI)'!HB48</f>
        <v>0</v>
      </c>
      <c r="HT22" s="248">
        <f>'KELURAHAN (DI ISI)'!HC42+'KELURAHAN (DI ISI)'!HC43+'KELURAHAN (DI ISI)'!HC44+'KELURAHAN (DI ISI)'!HC45+'KELURAHAN (DI ISI)'!HC46+'KELURAHAN (DI ISI)'!HC47+'KELURAHAN (DI ISI)'!HC48</f>
        <v>0</v>
      </c>
      <c r="HU22" s="248">
        <f>'KELURAHAN (DI ISI)'!HD42+'KELURAHAN (DI ISI)'!HD43+'KELURAHAN (DI ISI)'!HD44+'KELURAHAN (DI ISI)'!HD45+'KELURAHAN (DI ISI)'!HD46+'KELURAHAN (DI ISI)'!HD47+'KELURAHAN (DI ISI)'!HD48</f>
        <v>4</v>
      </c>
      <c r="HV22" s="248">
        <f>'KELURAHAN (DI ISI)'!HE42+'KELURAHAN (DI ISI)'!HE43+'KELURAHAN (DI ISI)'!HE44+'KELURAHAN (DI ISI)'!HE45+'KELURAHAN (DI ISI)'!HE46+'KELURAHAN (DI ISI)'!HE47+'KELURAHAN (DI ISI)'!HE48</f>
        <v>2</v>
      </c>
      <c r="HW22" s="248">
        <f>'KELURAHAN (DI ISI)'!HF42+'KELURAHAN (DI ISI)'!HF43+'KELURAHAN (DI ISI)'!HF44+'KELURAHAN (DI ISI)'!HF45+'KELURAHAN (DI ISI)'!HF46+'KELURAHAN (DI ISI)'!HF47+'KELURAHAN (DI ISI)'!HF48</f>
        <v>0</v>
      </c>
      <c r="HX22" s="248">
        <f>'KELURAHAN (DI ISI)'!HG42+'KELURAHAN (DI ISI)'!HG43+'KELURAHAN (DI ISI)'!HG44+'KELURAHAN (DI ISI)'!HG45+'KELURAHAN (DI ISI)'!HG46+'KELURAHAN (DI ISI)'!HG47+'KELURAHAN (DI ISI)'!HG48</f>
        <v>1</v>
      </c>
      <c r="HY22" s="248">
        <f>'KELURAHAN (DI ISI)'!HH42+'KELURAHAN (DI ISI)'!HH43+'KELURAHAN (DI ISI)'!HH44+'KELURAHAN (DI ISI)'!HH45+'KELURAHAN (DI ISI)'!HH46+'KELURAHAN (DI ISI)'!HH47+'KELURAHAN (DI ISI)'!HH48</f>
        <v>0</v>
      </c>
      <c r="HZ22" s="248">
        <f>'KELURAHAN (DI ISI)'!HI42+'KELURAHAN (DI ISI)'!HI43+'KELURAHAN (DI ISI)'!HI44+'KELURAHAN (DI ISI)'!HI45+'KELURAHAN (DI ISI)'!HI46+'KELURAHAN (DI ISI)'!HI47+'KELURAHAN (DI ISI)'!HI48</f>
        <v>0</v>
      </c>
      <c r="IA22" s="248">
        <f>'KELURAHAN (DI ISI)'!HJ42+'KELURAHAN (DI ISI)'!HJ43+'KELURAHAN (DI ISI)'!HJ44+'KELURAHAN (DI ISI)'!HJ45+'KELURAHAN (DI ISI)'!HJ46+'KELURAHAN (DI ISI)'!HJ47+'KELURAHAN (DI ISI)'!HJ48</f>
        <v>0</v>
      </c>
      <c r="IB22" s="248">
        <f>'KELURAHAN (DI ISI)'!HK42+'KELURAHAN (DI ISI)'!HK43+'KELURAHAN (DI ISI)'!HK44+'KELURAHAN (DI ISI)'!HK45+'KELURAHAN (DI ISI)'!HK46+'KELURAHAN (DI ISI)'!HK47+'KELURAHAN (DI ISI)'!HK48</f>
        <v>0</v>
      </c>
      <c r="IC22" s="248">
        <f>'KELURAHAN (DI ISI)'!HL42+'KELURAHAN (DI ISI)'!HL43+'KELURAHAN (DI ISI)'!HL44+'KELURAHAN (DI ISI)'!HL45+'KELURAHAN (DI ISI)'!HL46+'KELURAHAN (DI ISI)'!HL47+'KELURAHAN (DI ISI)'!HL48</f>
        <v>0</v>
      </c>
      <c r="ID22" s="248">
        <f>'KELURAHAN (DI ISI)'!HM42+'KELURAHAN (DI ISI)'!HM43+'KELURAHAN (DI ISI)'!HM44+'KELURAHAN (DI ISI)'!HM45+'KELURAHAN (DI ISI)'!HM46+'KELURAHAN (DI ISI)'!HM47+'KELURAHAN (DI ISI)'!HM48</f>
        <v>0</v>
      </c>
      <c r="IE22" s="248">
        <f>'KELURAHAN (DI ISI)'!HN42+'KELURAHAN (DI ISI)'!HN43+'KELURAHAN (DI ISI)'!HN44+'KELURAHAN (DI ISI)'!HN45+'KELURAHAN (DI ISI)'!HN46+'KELURAHAN (DI ISI)'!HN47+'KELURAHAN (DI ISI)'!HN48</f>
        <v>0</v>
      </c>
      <c r="IF22" s="591">
        <f>'KELURAHAN (DI ISI)'!HO42+'KELURAHAN (DI ISI)'!HO43+'KELURAHAN (DI ISI)'!HO44+'KELURAHAN (DI ISI)'!HO45+'KELURAHAN (DI ISI)'!HO46+'KELURAHAN (DI ISI)'!HO47+'KELURAHAN (DI ISI)'!HO48</f>
        <v>3</v>
      </c>
      <c r="IG22" s="591">
        <f>'KELURAHAN (DI ISI)'!HP42+'KELURAHAN (DI ISI)'!HP43+'KELURAHAN (DI ISI)'!HP44+'KELURAHAN (DI ISI)'!HP45+'KELURAHAN (DI ISI)'!HP46+'KELURAHAN (DI ISI)'!HP47+'KELURAHAN (DI ISI)'!HP48</f>
        <v>3</v>
      </c>
      <c r="IK22" s="198">
        <f t="shared" si="21"/>
        <v>134</v>
      </c>
      <c r="IL22" s="198">
        <f t="shared" si="22"/>
        <v>36</v>
      </c>
      <c r="IM22" s="198">
        <f t="shared" si="23"/>
        <v>52</v>
      </c>
      <c r="IN22" s="198">
        <f t="shared" si="24"/>
        <v>66</v>
      </c>
      <c r="IO22" s="198">
        <f t="shared" si="25"/>
        <v>22</v>
      </c>
      <c r="IP22" s="198">
        <f t="shared" si="26"/>
        <v>19</v>
      </c>
      <c r="IQ22" s="574">
        <f t="shared" si="27"/>
        <v>16</v>
      </c>
      <c r="IR22" s="574">
        <f t="shared" si="28"/>
        <v>26</v>
      </c>
      <c r="IS22" s="574">
        <f t="shared" si="29"/>
        <v>26</v>
      </c>
      <c r="IT22" s="574">
        <f t="shared" si="30"/>
        <v>33</v>
      </c>
      <c r="IU22" s="574">
        <f t="shared" si="31"/>
        <v>38</v>
      </c>
      <c r="IV22" s="575">
        <f t="shared" si="32"/>
        <v>39</v>
      </c>
      <c r="IW22" s="583"/>
      <c r="IX22" s="576">
        <f t="shared" si="33"/>
        <v>-39</v>
      </c>
      <c r="IZ22" s="577"/>
      <c r="JA22" s="162">
        <f t="shared" si="34"/>
        <v>-3644</v>
      </c>
      <c r="JB22" s="578"/>
      <c r="JC22" s="579">
        <f t="shared" si="35"/>
        <v>-1050</v>
      </c>
      <c r="JD22" s="597"/>
      <c r="JE22" s="585"/>
      <c r="JF22" s="577"/>
      <c r="JG22" s="234">
        <f t="shared" si="36"/>
        <v>-3569</v>
      </c>
      <c r="JH22" s="578"/>
      <c r="JI22" s="579">
        <f t="shared" si="37"/>
        <v>-997</v>
      </c>
      <c r="JJ22" s="247"/>
    </row>
    <row r="23" ht="14.25" customHeight="1">
      <c r="A23" s="158">
        <v>16.0</v>
      </c>
      <c r="B23" s="157" t="s">
        <v>171</v>
      </c>
      <c r="C23" s="253">
        <v>3374120.0</v>
      </c>
      <c r="D23" s="569" t="s">
        <v>329</v>
      </c>
      <c r="E23" s="253"/>
      <c r="F23" s="259">
        <f>'KELURAHAN (DI ISI)'!F85+'KELURAHAN (DI ISI)'!F87+'KELURAHAN (DI ISI)'!F88</f>
        <v>32</v>
      </c>
      <c r="G23" s="259">
        <f>'KELURAHAN (DI ISI)'!G85+'KELURAHAN (DI ISI)'!G87+'KELURAHAN (DI ISI)'!G88</f>
        <v>0</v>
      </c>
      <c r="H23" s="259">
        <f>'KELURAHAN (DI ISI)'!H85+'KELURAHAN (DI ISI)'!H87+'KELURAHAN (DI ISI)'!H88</f>
        <v>29</v>
      </c>
      <c r="I23" s="491">
        <f t="shared" si="1"/>
        <v>7</v>
      </c>
      <c r="J23" s="491">
        <f t="shared" si="2"/>
        <v>22</v>
      </c>
      <c r="K23" s="491">
        <f>'KELURAHAN (DI ISI)'!I85+'KELURAHAN (DI ISI)'!I87+'KELURAHAN (DI ISI)'!I88</f>
        <v>0</v>
      </c>
      <c r="L23" s="491">
        <f>'KELURAHAN (DI ISI)'!J85+'KELURAHAN (DI ISI)'!J87+'KELURAHAN (DI ISI)'!J88</f>
        <v>0</v>
      </c>
      <c r="M23" s="491">
        <f>'KELURAHAN (DI ISI)'!K85+'KELURAHAN (DI ISI)'!K87+'KELURAHAN (DI ISI)'!K88</f>
        <v>7</v>
      </c>
      <c r="N23" s="491">
        <f>'KELURAHAN (DI ISI)'!L85+'KELURAHAN (DI ISI)'!L87+'KELURAHAN (DI ISI)'!L88</f>
        <v>22</v>
      </c>
      <c r="O23" s="491">
        <f>'KELURAHAN (DI ISI)'!M85+'KELURAHAN (DI ISI)'!M87+'KELURAHAN (DI ISI)'!M88</f>
        <v>0</v>
      </c>
      <c r="P23" s="491">
        <f>'KELURAHAN (DI ISI)'!N85+'KELURAHAN (DI ISI)'!N87+'KELURAHAN (DI ISI)'!N88</f>
        <v>0</v>
      </c>
      <c r="Q23" s="491">
        <f>'KELURAHAN (DI ISI)'!O85+'KELURAHAN (DI ISI)'!O87+'KELURAHAN (DI ISI)'!O88</f>
        <v>29</v>
      </c>
      <c r="R23" s="491">
        <f>'KELURAHAN (DI ISI)'!P85+'KELURAHAN (DI ISI)'!P87+'KELURAHAN (DI ISI)'!P88</f>
        <v>35</v>
      </c>
      <c r="S23" s="491">
        <f t="shared" si="3"/>
        <v>7</v>
      </c>
      <c r="T23" s="491">
        <f t="shared" si="4"/>
        <v>28</v>
      </c>
      <c r="U23" s="491">
        <f>'KELURAHAN (DI ISI)'!Q85+'KELURAHAN (DI ISI)'!Q87+'KELURAHAN (DI ISI)'!Q88</f>
        <v>0</v>
      </c>
      <c r="V23" s="491">
        <f>'KELURAHAN (DI ISI)'!R85+'KELURAHAN (DI ISI)'!R87+'KELURAHAN (DI ISI)'!R88</f>
        <v>0</v>
      </c>
      <c r="W23" s="491">
        <f>'KELURAHAN (DI ISI)'!S85+'KELURAHAN (DI ISI)'!S87+'KELURAHAN (DI ISI)'!S88</f>
        <v>7</v>
      </c>
      <c r="X23" s="491">
        <f>'KELURAHAN (DI ISI)'!T85+'KELURAHAN (DI ISI)'!T87+'KELURAHAN (DI ISI)'!T88</f>
        <v>28</v>
      </c>
      <c r="Y23" s="491">
        <f>'KELURAHAN (DI ISI)'!U85+'KELURAHAN (DI ISI)'!U87+'KELURAHAN (DI ISI)'!U88</f>
        <v>6</v>
      </c>
      <c r="Z23" s="491">
        <f>'KELURAHAN (DI ISI)'!V85+'KELURAHAN (DI ISI)'!V87+'KELURAHAN (DI ISI)'!V88</f>
        <v>0</v>
      </c>
      <c r="AA23" s="491">
        <f>'KELURAHAN (DI ISI)'!W85+'KELURAHAN (DI ISI)'!W87+'KELURAHAN (DI ISI)'!W88</f>
        <v>29</v>
      </c>
      <c r="AB23" s="491">
        <f>'KELURAHAN (DI ISI)'!X85+'KELURAHAN (DI ISI)'!X87+'KELURAHAN (DI ISI)'!X88</f>
        <v>36</v>
      </c>
      <c r="AC23" s="491">
        <f t="shared" si="5"/>
        <v>7</v>
      </c>
      <c r="AD23" s="491">
        <f t="shared" si="6"/>
        <v>29</v>
      </c>
      <c r="AE23" s="491">
        <f>'KELURAHAN (DI ISI)'!Y85+'KELURAHAN (DI ISI)'!Y87+'KELURAHAN (DI ISI)'!Y88</f>
        <v>0</v>
      </c>
      <c r="AF23" s="491">
        <f>'KELURAHAN (DI ISI)'!Z85+'KELURAHAN (DI ISI)'!Z87+'KELURAHAN (DI ISI)'!Z88</f>
        <v>0</v>
      </c>
      <c r="AG23" s="491">
        <f>'KELURAHAN (DI ISI)'!AA85+'KELURAHAN (DI ISI)'!AA87+'KELURAHAN (DI ISI)'!AA88</f>
        <v>7</v>
      </c>
      <c r="AH23" s="491">
        <f>'KELURAHAN (DI ISI)'!AB85+'KELURAHAN (DI ISI)'!AB87+'KELURAHAN (DI ISI)'!AB88</f>
        <v>29</v>
      </c>
      <c r="AI23" s="491">
        <f>'KELURAHAN (DI ISI)'!AC85+'KELURAHAN (DI ISI)'!AC87+'KELURAHAN (DI ISI)'!AC88</f>
        <v>1</v>
      </c>
      <c r="AJ23" s="491">
        <f>'KELURAHAN (DI ISI)'!AD85+'KELURAHAN (DI ISI)'!AD87+'KELURAHAN (DI ISI)'!AD88</f>
        <v>0</v>
      </c>
      <c r="AK23" s="491">
        <f>'KELURAHAN (DI ISI)'!AE85+'KELURAHAN (DI ISI)'!AE87+'KELURAHAN (DI ISI)'!AE88</f>
        <v>35</v>
      </c>
      <c r="AL23" s="491">
        <f>'KELURAHAN (DI ISI)'!AF85+'KELURAHAN (DI ISI)'!AF87+'KELURAHAN (DI ISI)'!AF88</f>
        <v>38</v>
      </c>
      <c r="AM23" s="491">
        <f t="shared" si="7"/>
        <v>8</v>
      </c>
      <c r="AN23" s="491">
        <f t="shared" si="8"/>
        <v>30</v>
      </c>
      <c r="AO23" s="491">
        <f>'KELURAHAN (DI ISI)'!AG85+'KELURAHAN (DI ISI)'!AG87+'KELURAHAN (DI ISI)'!AG88</f>
        <v>0</v>
      </c>
      <c r="AP23" s="491">
        <f>'KELURAHAN (DI ISI)'!AH85+'KELURAHAN (DI ISI)'!AH87+'KELURAHAN (DI ISI)'!AH88</f>
        <v>0</v>
      </c>
      <c r="AQ23" s="491">
        <f>'KELURAHAN (DI ISI)'!AI85+'KELURAHAN (DI ISI)'!AI87+'KELURAHAN (DI ISI)'!AI88</f>
        <v>8</v>
      </c>
      <c r="AR23" s="491">
        <f>'KELURAHAN (DI ISI)'!AJ85+'KELURAHAN (DI ISI)'!AJ87+'KELURAHAN (DI ISI)'!AJ88</f>
        <v>30</v>
      </c>
      <c r="AS23" s="491">
        <f>'KELURAHAN (DI ISI)'!AK85+'KELURAHAN (DI ISI)'!AK87+'KELURAHAN (DI ISI)'!AK88</f>
        <v>2</v>
      </c>
      <c r="AT23" s="491">
        <f>'KELURAHAN (DI ISI)'!AL85+'KELURAHAN (DI ISI)'!AL87+'KELURAHAN (DI ISI)'!AL88</f>
        <v>0</v>
      </c>
      <c r="AU23" s="491">
        <f>'KELURAHAN (DI ISI)'!AM85+'KELURAHAN (DI ISI)'!AM87+'KELURAHAN (DI ISI)'!AM88</f>
        <v>36</v>
      </c>
      <c r="AV23" s="491">
        <f>'KELURAHAN (DI ISI)'!AN85+'KELURAHAN (DI ISI)'!AN87+'KELURAHAN (DI ISI)'!AN88</f>
        <v>35</v>
      </c>
      <c r="AW23" s="491">
        <f t="shared" si="9"/>
        <v>8</v>
      </c>
      <c r="AX23" s="491">
        <f t="shared" si="10"/>
        <v>27</v>
      </c>
      <c r="AY23" s="491">
        <f>'KELURAHAN (DI ISI)'!AO85+'KELURAHAN (DI ISI)'!AO87+'KELURAHAN (DI ISI)'!AO88</f>
        <v>0</v>
      </c>
      <c r="AZ23" s="491">
        <f>'KELURAHAN (DI ISI)'!AP85+'KELURAHAN (DI ISI)'!AP87+'KELURAHAN (DI ISI)'!AP88</f>
        <v>0</v>
      </c>
      <c r="BA23" s="491">
        <f>'KELURAHAN (DI ISI)'!AQ85+'KELURAHAN (DI ISI)'!AQ87+'KELURAHAN (DI ISI)'!AQ88</f>
        <v>8</v>
      </c>
      <c r="BB23" s="491">
        <f>'KELURAHAN (DI ISI)'!AR85+'KELURAHAN (DI ISI)'!AR87+'KELURAHAN (DI ISI)'!AR88</f>
        <v>27</v>
      </c>
      <c r="BC23" s="491">
        <f>'KELURAHAN (DI ISI)'!AS85+'KELURAHAN (DI ISI)'!AS87+'KELURAHAN (DI ISI)'!AS88</f>
        <v>3</v>
      </c>
      <c r="BD23" s="491">
        <f>'KELURAHAN (DI ISI)'!AT85+'KELURAHAN (DI ISI)'!AT87+'KELURAHAN (DI ISI)'!AT88</f>
        <v>4</v>
      </c>
      <c r="BE23" s="491">
        <f>'KELURAHAN (DI ISI)'!AU85+'KELURAHAN (DI ISI)'!AU87+'KELURAHAN (DI ISI)'!AU88</f>
        <v>28</v>
      </c>
      <c r="BF23" s="491">
        <f>'KELURAHAN (DI ISI)'!AV85+'KELURAHAN (DI ISI)'!AV87+'KELURAHAN (DI ISI)'!AV88</f>
        <v>2518</v>
      </c>
      <c r="BG23" s="491">
        <f>'KELURAHAN (DI ISI)'!AW85+'KELURAHAN (DI ISI)'!AW87+'KELURAHAN (DI ISI)'!AW88</f>
        <v>36</v>
      </c>
      <c r="BH23" s="491">
        <f t="shared" si="11"/>
        <v>8</v>
      </c>
      <c r="BI23" s="495">
        <f t="shared" si="12"/>
        <v>27</v>
      </c>
      <c r="BJ23" s="491">
        <f>'KELURAHAN (DI ISI)'!AX85+'KELURAHAN (DI ISI)'!AX87+'KELURAHAN (DI ISI)'!AX88</f>
        <v>0</v>
      </c>
      <c r="BK23" s="491">
        <f>'KELURAHAN (DI ISI)'!AY85+'KELURAHAN (DI ISI)'!AY87+'KELURAHAN (DI ISI)'!AY88</f>
        <v>0</v>
      </c>
      <c r="BL23" s="491">
        <f>'KELURAHAN (DI ISI)'!AZ85+'KELURAHAN (DI ISI)'!AZ87+'KELURAHAN (DI ISI)'!AZ88</f>
        <v>8</v>
      </c>
      <c r="BM23" s="491">
        <f>'KELURAHAN (DI ISI)'!BA85+'KELURAHAN (DI ISI)'!BA87+'KELURAHAN (DI ISI)'!BA88</f>
        <v>27</v>
      </c>
      <c r="BN23" s="491">
        <f>'KELURAHAN (DI ISI)'!BB85+'KELURAHAN (DI ISI)'!BB87+'KELURAHAN (DI ISI)'!BB88</f>
        <v>0</v>
      </c>
      <c r="BO23" s="491">
        <f>'KELURAHAN (DI ISI)'!BC85+'KELURAHAN (DI ISI)'!BC87+'KELURAHAN (DI ISI)'!BC88</f>
        <v>0</v>
      </c>
      <c r="BP23" s="491">
        <f>'KELURAHAN (DI ISI)'!BD85+'KELURAHAN (DI ISI)'!BD87+'KELURAHAN (DI ISI)'!BD88</f>
        <v>1</v>
      </c>
      <c r="BQ23" s="491">
        <f>'KELURAHAN (DI ISI)'!BE85+'KELURAHAN (DI ISI)'!BE87+'KELURAHAN (DI ISI)'!BE88</f>
        <v>0</v>
      </c>
      <c r="BR23" s="491">
        <f>'KELURAHAN (DI ISI)'!BF85+'KELURAHAN (DI ISI)'!BF87+'KELURAHAN (DI ISI)'!BF88</f>
        <v>0</v>
      </c>
      <c r="BS23" s="491">
        <f>'KELURAHAN (DI ISI)'!BG85+'KELURAHAN (DI ISI)'!BG87+'KELURAHAN (DI ISI)'!BG88</f>
        <v>0</v>
      </c>
      <c r="BT23" s="491">
        <f>'KELURAHAN (DI ISI)'!BH85+'KELURAHAN (DI ISI)'!BH87+'KELURAHAN (DI ISI)'!BH88</f>
        <v>0</v>
      </c>
      <c r="BU23" s="491">
        <f>'KELURAHAN (DI ISI)'!BI85+'KELURAHAN (DI ISI)'!BI87+'KELURAHAN (DI ISI)'!BI88</f>
        <v>0</v>
      </c>
      <c r="BV23" s="491">
        <f>'KELURAHAN (DI ISI)'!BJ85+'KELURAHAN (DI ISI)'!BJ87+'KELURAHAN (DI ISI)'!BJ88</f>
        <v>0</v>
      </c>
      <c r="BW23" s="491">
        <f>'KELURAHAN (DI ISI)'!BK85+'KELURAHAN (DI ISI)'!BK87+'KELURAHAN (DI ISI)'!BK88</f>
        <v>0</v>
      </c>
      <c r="BX23" s="491">
        <f>'KELURAHAN (DI ISI)'!BL85+'KELURAHAN (DI ISI)'!BL87+'KELURAHAN (DI ISI)'!BL88</f>
        <v>0</v>
      </c>
      <c r="BY23" s="491">
        <f>'KELURAHAN (DI ISI)'!BM85+'KELURAHAN (DI ISI)'!BM87+'KELURAHAN (DI ISI)'!BM88</f>
        <v>0</v>
      </c>
      <c r="BZ23" s="491">
        <f>'KELURAHAN (DI ISI)'!BN85+'KELURAHAN (DI ISI)'!BN87+'KELURAHAN (DI ISI)'!BN88</f>
        <v>0</v>
      </c>
      <c r="CA23" s="491">
        <f>'KELURAHAN (DI ISI)'!BO85+'KELURAHAN (DI ISI)'!BO87+'KELURAHAN (DI ISI)'!BO88</f>
        <v>0</v>
      </c>
      <c r="CB23" s="491">
        <f>'KELURAHAN (DI ISI)'!BP85+'KELURAHAN (DI ISI)'!BP87+'KELURAHAN (DI ISI)'!BP88</f>
        <v>0</v>
      </c>
      <c r="CC23" s="491">
        <f>'KELURAHAN (DI ISI)'!BQ85+'KELURAHAN (DI ISI)'!BQ87+'KELURAHAN (DI ISI)'!BQ88</f>
        <v>2517</v>
      </c>
      <c r="CD23" s="491">
        <f>'KELURAHAN (DI ISI)'!BR85+'KELURAHAN (DI ISI)'!BR87+'KELURAHAN (DI ISI)'!BR88</f>
        <v>36</v>
      </c>
      <c r="CE23" s="491">
        <f t="shared" si="13"/>
        <v>10</v>
      </c>
      <c r="CF23" s="491">
        <f t="shared" si="14"/>
        <v>26</v>
      </c>
      <c r="CG23" s="491">
        <f>'KELURAHAN (DI ISI)'!BS85+'KELURAHAN (DI ISI)'!BS87+'KELURAHAN (DI ISI)'!BS88</f>
        <v>0</v>
      </c>
      <c r="CH23" s="491">
        <f>'KELURAHAN (DI ISI)'!BT85+'KELURAHAN (DI ISI)'!BT87+'KELURAHAN (DI ISI)'!BT88</f>
        <v>0</v>
      </c>
      <c r="CI23" s="491">
        <f>'KELURAHAN (DI ISI)'!BU85+'KELURAHAN (DI ISI)'!BU87+'KELURAHAN (DI ISI)'!BU88</f>
        <v>10</v>
      </c>
      <c r="CJ23" s="491">
        <f>'KELURAHAN (DI ISI)'!BV85+'KELURAHAN (DI ISI)'!BV87+'KELURAHAN (DI ISI)'!BV88</f>
        <v>26</v>
      </c>
      <c r="CK23" s="491">
        <f>'KELURAHAN (DI ISI)'!BW85+'KELURAHAN (DI ISI)'!BW87+'KELURAHAN (DI ISI)'!BW88</f>
        <v>0</v>
      </c>
      <c r="CL23" s="491">
        <f>'KELURAHAN (DI ISI)'!BX85+'KELURAHAN (DI ISI)'!BX87+'KELURAHAN (DI ISI)'!BX88</f>
        <v>0</v>
      </c>
      <c r="CM23" s="491">
        <f>'KELURAHAN (DI ISI)'!BY85+'KELURAHAN (DI ISI)'!BY87+'KELURAHAN (DI ISI)'!BY88</f>
        <v>0</v>
      </c>
      <c r="CN23" s="491">
        <f>'KELURAHAN (DI ISI)'!BZ85+'KELURAHAN (DI ISI)'!BZ87+'KELURAHAN (DI ISI)'!BZ88</f>
        <v>0</v>
      </c>
      <c r="CO23" s="491">
        <f>'KELURAHAN (DI ISI)'!CA85+'KELURAHAN (DI ISI)'!CA87+'KELURAHAN (DI ISI)'!CA88</f>
        <v>0</v>
      </c>
      <c r="CP23" s="491">
        <f>'KELURAHAN (DI ISI)'!CB85+'KELURAHAN (DI ISI)'!CB87+'KELURAHAN (DI ISI)'!CB88</f>
        <v>0</v>
      </c>
      <c r="CQ23" s="491">
        <f>'KELURAHAN (DI ISI)'!CC85+'KELURAHAN (DI ISI)'!CC87+'KELURAHAN (DI ISI)'!CC88</f>
        <v>0</v>
      </c>
      <c r="CR23" s="491">
        <f>'KELURAHAN (DI ISI)'!CD85+'KELURAHAN (DI ISI)'!CD87+'KELURAHAN (DI ISI)'!CD88</f>
        <v>0</v>
      </c>
      <c r="CS23" s="491">
        <f>'KELURAHAN (DI ISI)'!CE85+'KELURAHAN (DI ISI)'!CE87+'KELURAHAN (DI ISI)'!CE88</f>
        <v>0</v>
      </c>
      <c r="CT23" s="491">
        <f>'KELURAHAN (DI ISI)'!CF85+'KELURAHAN (DI ISI)'!CF87+'KELURAHAN (DI ISI)'!CF88</f>
        <v>0</v>
      </c>
      <c r="CU23" s="491">
        <f>'KELURAHAN (DI ISI)'!CG85+'KELURAHAN (DI ISI)'!CG87+'KELURAHAN (DI ISI)'!CG88</f>
        <v>0</v>
      </c>
      <c r="CV23" s="491">
        <f>'KELURAHAN (DI ISI)'!CH85+'KELURAHAN (DI ISI)'!CH87+'KELURAHAN (DI ISI)'!CH88</f>
        <v>0</v>
      </c>
      <c r="CW23" s="491">
        <f>'KELURAHAN (DI ISI)'!CI85+'KELURAHAN (DI ISI)'!CI87+'KELURAHAN (DI ISI)'!CI88</f>
        <v>0</v>
      </c>
      <c r="CX23" s="491">
        <f>'KELURAHAN (DI ISI)'!CJ85+'KELURAHAN (DI ISI)'!CJ87+'KELURAHAN (DI ISI)'!CJ88</f>
        <v>0</v>
      </c>
      <c r="CY23" s="491">
        <f>'KELURAHAN (DI ISI)'!CK85+'KELURAHAN (DI ISI)'!CK87+'KELURAHAN (DI ISI)'!CK88</f>
        <v>0</v>
      </c>
      <c r="CZ23" s="491">
        <f>'KELURAHAN (DI ISI)'!CL85+'KELURAHAN (DI ISI)'!CL87+'KELURAHAN (DI ISI)'!CL88</f>
        <v>2533</v>
      </c>
      <c r="DA23" s="491">
        <f>'KELURAHAN (DI ISI)'!CM85+'KELURAHAN (DI ISI)'!CM87+'KELURAHAN (DI ISI)'!CM88</f>
        <v>692</v>
      </c>
      <c r="DB23" s="491">
        <f>'KELURAHAN (DI ISI)'!CN85+'KELURAHAN (DI ISI)'!CN87+'KELURAHAN (DI ISI)'!CN88</f>
        <v>36</v>
      </c>
      <c r="DC23" s="491">
        <f t="shared" si="15"/>
        <v>10</v>
      </c>
      <c r="DD23" s="491">
        <f t="shared" si="16"/>
        <v>24</v>
      </c>
      <c r="DE23" s="491">
        <f>'KELURAHAN (DI ISI)'!CO85+'KELURAHAN (DI ISI)'!CO87+'KELURAHAN (DI ISI)'!CO88</f>
        <v>0</v>
      </c>
      <c r="DF23" s="491">
        <f>'KELURAHAN (DI ISI)'!CP85+'KELURAHAN (DI ISI)'!CP87+'KELURAHAN (DI ISI)'!CP88</f>
        <v>0</v>
      </c>
      <c r="DG23" s="491">
        <f>'KELURAHAN (DI ISI)'!CQ85+'KELURAHAN (DI ISI)'!CQ87+'KELURAHAN (DI ISI)'!CQ88</f>
        <v>10</v>
      </c>
      <c r="DH23" s="491">
        <f>'KELURAHAN (DI ISI)'!CR85+'KELURAHAN (DI ISI)'!CR87+'KELURAHAN (DI ISI)'!CR88</f>
        <v>24</v>
      </c>
      <c r="DI23" s="491">
        <f>'KELURAHAN (DI ISI)'!CS85+'KELURAHAN (DI ISI)'!CS87+'KELURAHAN (DI ISI)'!CS88</f>
        <v>0</v>
      </c>
      <c r="DJ23" s="491">
        <f>'KELURAHAN (DI ISI)'!CT85+'KELURAHAN (DI ISI)'!CT87+'KELURAHAN (DI ISI)'!CT88</f>
        <v>1</v>
      </c>
      <c r="DK23" s="491">
        <f>'KELURAHAN (DI ISI)'!CU85+'KELURAHAN (DI ISI)'!CU87+'KELURAHAN (DI ISI)'!CU88</f>
        <v>1</v>
      </c>
      <c r="DL23" s="491">
        <f>'KELURAHAN (DI ISI)'!CV85+'KELURAHAN (DI ISI)'!CV87+'KELURAHAN (DI ISI)'!CV88</f>
        <v>0</v>
      </c>
      <c r="DM23" s="491">
        <f>'KELURAHAN (DI ISI)'!CW85+'KELURAHAN (DI ISI)'!CW87+'KELURAHAN (DI ISI)'!CW88</f>
        <v>0</v>
      </c>
      <c r="DN23" s="491">
        <f>'KELURAHAN (DI ISI)'!CX85+'KELURAHAN (DI ISI)'!CX87+'KELURAHAN (DI ISI)'!CX88</f>
        <v>0</v>
      </c>
      <c r="DO23" s="491">
        <f>'KELURAHAN (DI ISI)'!CY85+'KELURAHAN (DI ISI)'!CY87+'KELURAHAN (DI ISI)'!CY88</f>
        <v>0</v>
      </c>
      <c r="DP23" s="491">
        <f>'KELURAHAN (DI ISI)'!CZ85+'KELURAHAN (DI ISI)'!CZ87+'KELURAHAN (DI ISI)'!CZ88</f>
        <v>0</v>
      </c>
      <c r="DQ23" s="491">
        <f>'KELURAHAN (DI ISI)'!DA85+'KELURAHAN (DI ISI)'!DA87+'KELURAHAN (DI ISI)'!DA88</f>
        <v>0</v>
      </c>
      <c r="DR23" s="491">
        <f>'KELURAHAN (DI ISI)'!DB85+'KELURAHAN (DI ISI)'!DB87+'KELURAHAN (DI ISI)'!DB88</f>
        <v>0</v>
      </c>
      <c r="DS23" s="491">
        <f>'KELURAHAN (DI ISI)'!DC85+'KELURAHAN (DI ISI)'!DC87+'KELURAHAN (DI ISI)'!DC88</f>
        <v>1</v>
      </c>
      <c r="DT23" s="491">
        <f>'KELURAHAN (DI ISI)'!DD85+'KELURAHAN (DI ISI)'!DD87+'KELURAHAN (DI ISI)'!DD88</f>
        <v>1</v>
      </c>
      <c r="DU23" s="491">
        <f>'KELURAHAN (DI ISI)'!DE85+'KELURAHAN (DI ISI)'!DE87+'KELURAHAN (DI ISI)'!DE88</f>
        <v>0</v>
      </c>
      <c r="DV23" s="491">
        <f>'KELURAHAN (DI ISI)'!DF85+'KELURAHAN (DI ISI)'!DF87+'KELURAHAN (DI ISI)'!DF88</f>
        <v>0</v>
      </c>
      <c r="DW23" s="491">
        <f>'KELURAHAN (DI ISI)'!DG85+'KELURAHAN (DI ISI)'!DG87+'KELURAHAN (DI ISI)'!DG88</f>
        <v>2</v>
      </c>
      <c r="DX23" s="491">
        <f>'KELURAHAN (DI ISI)'!DH85+'KELURAHAN (DI ISI)'!DH87+'KELURAHAN (DI ISI)'!DH88</f>
        <v>2390</v>
      </c>
      <c r="DY23" s="491">
        <f>'KELURAHAN (DI ISI)'!DI85+'KELURAHAN (DI ISI)'!DI87+'KELURAHAN (DI ISI)'!DI88</f>
        <v>751</v>
      </c>
      <c r="DZ23" s="491">
        <f>'KELURAHAN (DI ISI)'!DJ85+'KELURAHAN (DI ISI)'!DJ87+'KELURAHAN (DI ISI)'!DJ88</f>
        <v>2119</v>
      </c>
      <c r="EA23" s="491">
        <f>'KELURAHAN (DI ISI)'!DK85+'KELURAHAN (DI ISI)'!DK87+'KELURAHAN (DI ISI)'!DK88</f>
        <v>681</v>
      </c>
      <c r="EB23" s="491">
        <f>'KELURAHAN (DI ISI)'!DL85+'KELURAHAN (DI ISI)'!DL87+'KELURAHAN (DI ISI)'!DL88</f>
        <v>36</v>
      </c>
      <c r="EC23" s="491">
        <f>'KELURAHAN (DI ISI)'!DM85+'KELURAHAN (DI ISI)'!DM87+'KELURAHAN (DI ISI)'!DM88</f>
        <v>6</v>
      </c>
      <c r="ED23" s="491">
        <f t="shared" si="17"/>
        <v>30</v>
      </c>
      <c r="EE23" s="491">
        <f>'KELURAHAN (DI ISI)'!DO85+'KELURAHAN (DI ISI)'!DO87+'KELURAHAN (DI ISI)'!DO88</f>
        <v>0</v>
      </c>
      <c r="EF23" s="491">
        <f>'KELURAHAN (DI ISI)'!DP85+'KELURAHAN (DI ISI)'!DP87+'KELURAHAN (DI ISI)'!DP88</f>
        <v>0</v>
      </c>
      <c r="EG23" s="491">
        <f>'KELURAHAN (DI ISI)'!DQ85+'KELURAHAN (DI ISI)'!DQ87+'KELURAHAN (DI ISI)'!DQ88</f>
        <v>6</v>
      </c>
      <c r="EH23" s="491">
        <f>'KELURAHAN (DI ISI)'!DR85+'KELURAHAN (DI ISI)'!DR87+'KELURAHAN (DI ISI)'!DR88</f>
        <v>29</v>
      </c>
      <c r="EI23" s="491">
        <f>'KELURAHAN (DI ISI)'!DS85+'KELURAHAN (DI ISI)'!DS87+'KELURAHAN (DI ISI)'!DS88</f>
        <v>0</v>
      </c>
      <c r="EJ23" s="491">
        <f>'KELURAHAN (DI ISI)'!DT85+'KELURAHAN (DI ISI)'!DT87+'KELURAHAN (DI ISI)'!DT88</f>
        <v>0</v>
      </c>
      <c r="EK23" s="491">
        <f>'KELURAHAN (DI ISI)'!DU85+'KELURAHAN (DI ISI)'!DU87+'KELURAHAN (DI ISI)'!DU88</f>
        <v>0</v>
      </c>
      <c r="EL23" s="491">
        <f>'KELURAHAN (DI ISI)'!DV85+'KELURAHAN (DI ISI)'!DV87+'KELURAHAN (DI ISI)'!DV88</f>
        <v>1</v>
      </c>
      <c r="EM23" s="491">
        <f>'KELURAHAN (DI ISI)'!DW85+'KELURAHAN (DI ISI)'!DW87+'KELURAHAN (DI ISI)'!DW88</f>
        <v>0</v>
      </c>
      <c r="EN23" s="491">
        <f>'KELURAHAN (DI ISI)'!DX85+'KELURAHAN (DI ISI)'!DX87+'KELURAHAN (DI ISI)'!DX88</f>
        <v>0</v>
      </c>
      <c r="EO23" s="491">
        <f>'KELURAHAN (DI ISI)'!DY85+'KELURAHAN (DI ISI)'!DY87+'KELURAHAN (DI ISI)'!DY88</f>
        <v>0</v>
      </c>
      <c r="EP23" s="491">
        <f>'KELURAHAN (DI ISI)'!DZ85+'KELURAHAN (DI ISI)'!DZ87+'KELURAHAN (DI ISI)'!DZ88</f>
        <v>0</v>
      </c>
      <c r="EQ23" s="491">
        <f>'KELURAHAN (DI ISI)'!EA85+'KELURAHAN (DI ISI)'!EA87+'KELURAHAN (DI ISI)'!EA88</f>
        <v>0</v>
      </c>
      <c r="ER23" s="491">
        <f>'KELURAHAN (DI ISI)'!EB85+'KELURAHAN (DI ISI)'!EB87+'KELURAHAN (DI ISI)'!EB88</f>
        <v>0</v>
      </c>
      <c r="ES23" s="491">
        <f>'KELURAHAN (DI ISI)'!EC85+'KELURAHAN (DI ISI)'!EC87+'KELURAHAN (DI ISI)'!EC88</f>
        <v>0</v>
      </c>
      <c r="ET23" s="491">
        <f>'KELURAHAN (DI ISI)'!ED85+'KELURAHAN (DI ISI)'!ED87+'KELURAHAN (DI ISI)'!ED88</f>
        <v>0</v>
      </c>
      <c r="EU23" s="491">
        <f>'KELURAHAN (DI ISI)'!EE85+'KELURAHAN (DI ISI)'!EE87+'KELURAHAN (DI ISI)'!EE88</f>
        <v>0</v>
      </c>
      <c r="EV23" s="491">
        <f>'KELURAHAN (DI ISI)'!EF85+'KELURAHAN (DI ISI)'!EF87+'KELURAHAN (DI ISI)'!EF88</f>
        <v>0</v>
      </c>
      <c r="EW23" s="491">
        <f>'KELURAHAN (DI ISI)'!EG85+'KELURAHAN (DI ISI)'!EG87+'KELURAHAN (DI ISI)'!EG88</f>
        <v>0</v>
      </c>
      <c r="EX23" s="491">
        <f>'KELURAHAN (DI ISI)'!EH85+'KELURAHAN (DI ISI)'!EH87+'KELURAHAN (DI ISI)'!EH88</f>
        <v>0</v>
      </c>
      <c r="EY23" s="491">
        <f>'KELURAHAN (DI ISI)'!EI85+'KELURAHAN (DI ISI)'!EI87+'KELURAHAN (DI ISI)'!EI88</f>
        <v>2333</v>
      </c>
      <c r="EZ23" s="491">
        <f>'KELURAHAN (DI ISI)'!EJ85+'KELURAHAN (DI ISI)'!EJ87+'KELURAHAN (DI ISI)'!EJ88</f>
        <v>753</v>
      </c>
      <c r="FA23" s="491">
        <f>'KELURAHAN (DI ISI)'!EK85+'KELURAHAN (DI ISI)'!EK87+'KELURAHAN (DI ISI)'!EK88</f>
        <v>2141</v>
      </c>
      <c r="FB23" s="491">
        <f>'KELURAHAN (DI ISI)'!EL85+'KELURAHAN (DI ISI)'!EL87+'KELURAHAN (DI ISI)'!EL88</f>
        <v>704</v>
      </c>
      <c r="FC23" s="491">
        <f>'KELURAHAN (DI ISI)'!EM85+'KELURAHAN (DI ISI)'!EM87+'KELURAHAN (DI ISI)'!EM88</f>
        <v>32</v>
      </c>
      <c r="FD23" s="491">
        <f>'KELURAHAN (DI ISI)'!EN85+'KELURAHAN (DI ISI)'!EN87+'KELURAHAN (DI ISI)'!EN88</f>
        <v>6</v>
      </c>
      <c r="FE23" s="491">
        <f t="shared" si="18"/>
        <v>26</v>
      </c>
      <c r="FF23" s="491">
        <f>'KELURAHAN (DI ISI)'!EP85+'KELURAHAN (DI ISI)'!EP87+'KELURAHAN (DI ISI)'!EP88</f>
        <v>0</v>
      </c>
      <c r="FG23" s="491">
        <f>'KELURAHAN (DI ISI)'!EQ85+'KELURAHAN (DI ISI)'!EQ87+'KELURAHAN (DI ISI)'!EQ88</f>
        <v>0</v>
      </c>
      <c r="FH23" s="491">
        <f>'KELURAHAN (DI ISI)'!ER85+'KELURAHAN (DI ISI)'!ER87+'KELURAHAN (DI ISI)'!ER88</f>
        <v>5</v>
      </c>
      <c r="FI23" s="491">
        <f>'KELURAHAN (DI ISI)'!ES85+'KELURAHAN (DI ISI)'!ES87+'KELURAHAN (DI ISI)'!ES88</f>
        <v>25</v>
      </c>
      <c r="FJ23" s="491">
        <f>'KELURAHAN (DI ISI)'!ET85+'KELURAHAN (DI ISI)'!ET87+'KELURAHAN (DI ISI)'!ET88</f>
        <v>0</v>
      </c>
      <c r="FK23" s="491">
        <f>'KELURAHAN (DI ISI)'!EU85+'KELURAHAN (DI ISI)'!EU87+'KELURAHAN (DI ISI)'!EU88</f>
        <v>1</v>
      </c>
      <c r="FL23" s="491">
        <f>'KELURAHAN (DI ISI)'!EV85+'KELURAHAN (DI ISI)'!EV87+'KELURAHAN (DI ISI)'!EV88</f>
        <v>0</v>
      </c>
      <c r="FM23" s="491">
        <f>'KELURAHAN (DI ISI)'!EW85+'KELURAHAN (DI ISI)'!EW87+'KELURAHAN (DI ISI)'!EW88</f>
        <v>1</v>
      </c>
      <c r="FN23" s="491">
        <f>'KELURAHAN (DI ISI)'!EX85+'KELURAHAN (DI ISI)'!EX87+'KELURAHAN (DI ISI)'!EX88</f>
        <v>0</v>
      </c>
      <c r="FO23" s="491">
        <f>'KELURAHAN (DI ISI)'!EY85+'KELURAHAN (DI ISI)'!EY87+'KELURAHAN (DI ISI)'!EY88</f>
        <v>0</v>
      </c>
      <c r="FP23" s="491">
        <f>'KELURAHAN (DI ISI)'!EZ85+'KELURAHAN (DI ISI)'!EZ87+'KELURAHAN (DI ISI)'!EZ88</f>
        <v>0</v>
      </c>
      <c r="FQ23" s="491">
        <f>'KELURAHAN (DI ISI)'!FA85+'KELURAHAN (DI ISI)'!FA87+'KELURAHAN (DI ISI)'!FA88</f>
        <v>4</v>
      </c>
      <c r="FR23" s="491">
        <f>'KELURAHAN (DI ISI)'!FB85+'KELURAHAN (DI ISI)'!FB87+'KELURAHAN (DI ISI)'!FB88</f>
        <v>0</v>
      </c>
      <c r="FS23" s="491">
        <f>'KELURAHAN (DI ISI)'!FC85+'KELURAHAN (DI ISI)'!FC87+'KELURAHAN (DI ISI)'!FC88</f>
        <v>0</v>
      </c>
      <c r="FT23" s="491">
        <f>'KELURAHAN (DI ISI)'!FD85+'KELURAHAN (DI ISI)'!FD87+'KELURAHAN (DI ISI)'!FD88</f>
        <v>0</v>
      </c>
      <c r="FU23" s="491">
        <f>'KELURAHAN (DI ISI)'!FE85+'KELURAHAN (DI ISI)'!FE87+'KELURAHAN (DI ISI)'!FE88</f>
        <v>0</v>
      </c>
      <c r="FV23" s="491">
        <f>'KELURAHAN (DI ISI)'!FF85+'KELURAHAN (DI ISI)'!FF87+'KELURAHAN (DI ISI)'!FF88</f>
        <v>1</v>
      </c>
      <c r="FW23" s="491">
        <f>'KELURAHAN (DI ISI)'!FG85+'KELURAHAN (DI ISI)'!FG87+'KELURAHAN (DI ISI)'!FG88</f>
        <v>0</v>
      </c>
      <c r="FX23" s="491">
        <f>'KELURAHAN (DI ISI)'!FH85+'KELURAHAN (DI ISI)'!FH87+'KELURAHAN (DI ISI)'!FH88</f>
        <v>5</v>
      </c>
      <c r="FY23" s="491">
        <f>'KELURAHAN (DI ISI)'!FI85+'KELURAHAN (DI ISI)'!FI87+'KELURAHAN (DI ISI)'!FI88</f>
        <v>0</v>
      </c>
      <c r="FZ23" s="491">
        <f>'KELURAHAN (DI ISI)'!FJ85+'KELURAHAN (DI ISI)'!FJ87+'KELURAHAN (DI ISI)'!FJ88</f>
        <v>2264</v>
      </c>
      <c r="GA23" s="491">
        <f>'KELURAHAN (DI ISI)'!FK85+'KELURAHAN (DI ISI)'!FK87+'KELURAHAN (DI ISI)'!FK88</f>
        <v>719</v>
      </c>
      <c r="GB23" s="491">
        <f>'KELURAHAN (DI ISI)'!FL85+'KELURAHAN (DI ISI)'!FL87+'KELURAHAN (DI ISI)'!FL88</f>
        <v>2080</v>
      </c>
      <c r="GC23" s="491">
        <f>'KELURAHAN (DI ISI)'!FM85+'KELURAHAN (DI ISI)'!FM87+'KELURAHAN (DI ISI)'!FM88</f>
        <v>672</v>
      </c>
      <c r="GD23" s="570">
        <v>2080.0</v>
      </c>
      <c r="GE23" s="571">
        <f>'KELURAHAN (DI ISI)'!FO85+'KELURAHAN (DI ISI)'!FO87+'KELURAHAN (DI ISI)'!FO88</f>
        <v>30</v>
      </c>
      <c r="GF23" s="571">
        <f>'KELURAHAN (DI ISI)'!FP85+'KELURAHAN (DI ISI)'!FP87+'KELURAHAN (DI ISI)'!FP88</f>
        <v>30</v>
      </c>
      <c r="GG23" s="571">
        <f>'KELURAHAN (DI ISI)'!FP85+'KELURAHAN (DI ISI)'!FP87+'KELURAHAN (DI ISI)'!FP88</f>
        <v>30</v>
      </c>
      <c r="GH23" s="571">
        <f>'KELURAHAN (DI ISI)'!FQ85+'KELURAHAN (DI ISI)'!FQ87+'KELURAHAN (DI ISI)'!FQ88</f>
        <v>6</v>
      </c>
      <c r="GI23" s="571">
        <f t="shared" si="19"/>
        <v>24</v>
      </c>
      <c r="GJ23" s="491">
        <f>'KELURAHAN (DI ISI)'!FS85+'KELURAHAN (DI ISI)'!FS87+'KELURAHAN (DI ISI)'!FS88</f>
        <v>0</v>
      </c>
      <c r="GK23" s="491">
        <f>'KELURAHAN (DI ISI)'!FT85+'KELURAHAN (DI ISI)'!FT87+'KELURAHAN (DI ISI)'!FT88</f>
        <v>0</v>
      </c>
      <c r="GL23" s="491">
        <f>'KELURAHAN (DI ISI)'!FU85+'KELURAHAN (DI ISI)'!FU87+'KELURAHAN (DI ISI)'!FU88</f>
        <v>6</v>
      </c>
      <c r="GM23" s="491">
        <f>'KELURAHAN (DI ISI)'!FV85+'KELURAHAN (DI ISI)'!FV87+'KELURAHAN (DI ISI)'!FV88</f>
        <v>24</v>
      </c>
      <c r="GN23" s="491">
        <f>'KELURAHAN (DI ISI)'!FW85+'KELURAHAN (DI ISI)'!FW87+'KELURAHAN (DI ISI)'!FW88</f>
        <v>0</v>
      </c>
      <c r="GO23" s="491">
        <f>'KELURAHAN (DI ISI)'!FX85+'KELURAHAN (DI ISI)'!FX87+'KELURAHAN (DI ISI)'!FX88</f>
        <v>0</v>
      </c>
      <c r="GP23" s="491">
        <f>'KELURAHAN (DI ISI)'!FY85+'KELURAHAN (DI ISI)'!FY87+'KELURAHAN (DI ISI)'!FY88</f>
        <v>0</v>
      </c>
      <c r="GQ23" s="491">
        <f>'KELURAHAN (DI ISI)'!FZ85+'KELURAHAN (DI ISI)'!FZ87+'KELURAHAN (DI ISI)'!FZ88</f>
        <v>0</v>
      </c>
      <c r="GR23" s="491">
        <f>'KELURAHAN (DI ISI)'!GA85+'KELURAHAN (DI ISI)'!GA87+'KELURAHAN (DI ISI)'!GA88</f>
        <v>0</v>
      </c>
      <c r="GS23" s="491">
        <f>'KELURAHAN (DI ISI)'!GB85+'KELURAHAN (DI ISI)'!GB87+'KELURAHAN (DI ISI)'!GB88</f>
        <v>0</v>
      </c>
      <c r="GT23" s="491">
        <f>'KELURAHAN (DI ISI)'!GC85+'KELURAHAN (DI ISI)'!GC87+'KELURAHAN (DI ISI)'!GC88</f>
        <v>0</v>
      </c>
      <c r="GU23" s="491">
        <f>'KELURAHAN (DI ISI)'!GD85+'KELURAHAN (DI ISI)'!GD87+'KELURAHAN (DI ISI)'!GD88</f>
        <v>1</v>
      </c>
      <c r="GV23" s="491">
        <f>'KELURAHAN (DI ISI)'!GE85+'KELURAHAN (DI ISI)'!GE87+'KELURAHAN (DI ISI)'!GE88</f>
        <v>0</v>
      </c>
      <c r="GW23" s="491">
        <f>'KELURAHAN (DI ISI)'!GF85+'KELURAHAN (DI ISI)'!GF87+'KELURAHAN (DI ISI)'!GF88</f>
        <v>0</v>
      </c>
      <c r="GX23" s="491">
        <f>'KELURAHAN (DI ISI)'!GG85+'KELURAHAN (DI ISI)'!GG87+'KELURAHAN (DI ISI)'!GG88</f>
        <v>0</v>
      </c>
      <c r="GY23" s="491">
        <f>'KELURAHAN (DI ISI)'!GH85+'KELURAHAN (DI ISI)'!GH87+'KELURAHAN (DI ISI)'!GH88</f>
        <v>0</v>
      </c>
      <c r="GZ23" s="491">
        <f>'KELURAHAN (DI ISI)'!GI85+'KELURAHAN (DI ISI)'!GI87+'KELURAHAN (DI ISI)'!GI88</f>
        <v>1</v>
      </c>
      <c r="HA23" s="491">
        <f>'KELURAHAN (DI ISI)'!GJ85+'KELURAHAN (DI ISI)'!GJ87+'KELURAHAN (DI ISI)'!GJ88</f>
        <v>0</v>
      </c>
      <c r="HB23" s="572">
        <f>'KELURAHAN (DI ISI)'!GK85+'KELURAHAN (DI ISI)'!GK87+'KELURAHAN (DI ISI)'!GK88</f>
        <v>2</v>
      </c>
      <c r="HC23" s="572">
        <f>'KELURAHAN (DI ISI)'!GL85+'KELURAHAN (DI ISI)'!GL87+'KELURAHAN (DI ISI)'!GL88</f>
        <v>0</v>
      </c>
      <c r="HD23" s="491">
        <f>'KELURAHAN (DI ISI)'!GM85+'KELURAHAN (DI ISI)'!GM87+'KELURAHAN (DI ISI)'!GM88</f>
        <v>2253</v>
      </c>
      <c r="HE23" s="491">
        <f>'KELURAHAN (DI ISI)'!GN85+'KELURAHAN (DI ISI)'!GN87+'KELURAHAN (DI ISI)'!GN88</f>
        <v>813</v>
      </c>
      <c r="HF23" s="491">
        <f>'KELURAHAN (DI ISI)'!GO85+'KELURAHAN (DI ISI)'!GO87+'KELURAHAN (DI ISI)'!GO88</f>
        <v>2055</v>
      </c>
      <c r="HG23" s="491">
        <f>'KELURAHAN (DI ISI)'!GP85+'KELURAHAN (DI ISI)'!GP87+'KELURAHAN (DI ISI)'!GP88</f>
        <v>661</v>
      </c>
      <c r="HH23" s="570">
        <v>2080.0</v>
      </c>
      <c r="HI23" s="225">
        <f>'KELURAHAN (DI ISI)'!GR85+'KELURAHAN (DI ISI)'!GR87+'KELURAHAN (DI ISI)'!GR88</f>
        <v>28</v>
      </c>
      <c r="HJ23" s="225">
        <f>'KELURAHAN (DI ISI)'!GS85+'KELURAHAN (DI ISI)'!GS87+'KELURAHAN (DI ISI)'!GS88</f>
        <v>4</v>
      </c>
      <c r="HK23" s="573">
        <f>'KELURAHAN (DI ISI)'!GT85+'KELURAHAN (DI ISI)'!GT87+'KELURAHAN (DI ISI)'!GT88</f>
        <v>28</v>
      </c>
      <c r="HL23" s="573">
        <f>'KELURAHAN (DI ISI)'!GU85+'KELURAHAN (DI ISI)'!GU87+'KELURAHAN (DI ISI)'!GU88</f>
        <v>4</v>
      </c>
      <c r="HM23" s="573">
        <f t="shared" si="20"/>
        <v>24</v>
      </c>
      <c r="HN23" s="491">
        <f>'KELURAHAN (DI ISI)'!GW85+'KELURAHAN (DI ISI)'!GW87+'KELURAHAN (DI ISI)'!GW88</f>
        <v>0</v>
      </c>
      <c r="HO23" s="491">
        <f>'KELURAHAN (DI ISI)'!GX85+'KELURAHAN (DI ISI)'!GX87+'KELURAHAN (DI ISI)'!GX88</f>
        <v>1</v>
      </c>
      <c r="HP23" s="491">
        <f>'KELURAHAN (DI ISI)'!GY85+'KELURAHAN (DI ISI)'!GY87+'KELURAHAN (DI ISI)'!GY88</f>
        <v>3</v>
      </c>
      <c r="HQ23" s="491">
        <f>'KELURAHAN (DI ISI)'!GZ85+'KELURAHAN (DI ISI)'!GZ87+'KELURAHAN (DI ISI)'!GZ88</f>
        <v>24</v>
      </c>
      <c r="HR23" s="491">
        <f>'KELURAHAN (DI ISI)'!HA85+'KELURAHAN (DI ISI)'!HA87+'KELURAHAN (DI ISI)'!HA88</f>
        <v>0</v>
      </c>
      <c r="HS23" s="491">
        <f>'KELURAHAN (DI ISI)'!HB85+'KELURAHAN (DI ISI)'!HB87+'KELURAHAN (DI ISI)'!HB88</f>
        <v>0</v>
      </c>
      <c r="HT23" s="491">
        <f>'KELURAHAN (DI ISI)'!HC85+'KELURAHAN (DI ISI)'!HC87+'KELURAHAN (DI ISI)'!HC88</f>
        <v>0</v>
      </c>
      <c r="HU23" s="491">
        <f>'KELURAHAN (DI ISI)'!HD85+'KELURAHAN (DI ISI)'!HD87+'KELURAHAN (DI ISI)'!HD88</f>
        <v>0</v>
      </c>
      <c r="HV23" s="491">
        <f>'KELURAHAN (DI ISI)'!HE85+'KELURAHAN (DI ISI)'!HE87+'KELURAHAN (DI ISI)'!HE88</f>
        <v>0</v>
      </c>
      <c r="HW23" s="491">
        <f>'KELURAHAN (DI ISI)'!HF85+'KELURAHAN (DI ISI)'!HF87+'KELURAHAN (DI ISI)'!HF88</f>
        <v>0</v>
      </c>
      <c r="HX23" s="491">
        <f>'KELURAHAN (DI ISI)'!HG85+'KELURAHAN (DI ISI)'!HG87+'KELURAHAN (DI ISI)'!HG88</f>
        <v>0</v>
      </c>
      <c r="HY23" s="491">
        <f>'KELURAHAN (DI ISI)'!HH85+'KELURAHAN (DI ISI)'!HH87+'KELURAHAN (DI ISI)'!HH88</f>
        <v>1</v>
      </c>
      <c r="HZ23" s="491">
        <f>'KELURAHAN (DI ISI)'!HI85+'KELURAHAN (DI ISI)'!HI87+'KELURAHAN (DI ISI)'!HI88</f>
        <v>0</v>
      </c>
      <c r="IA23" s="491">
        <f>'KELURAHAN (DI ISI)'!HJ85+'KELURAHAN (DI ISI)'!HJ87+'KELURAHAN (DI ISI)'!HJ88</f>
        <v>0</v>
      </c>
      <c r="IB23" s="491">
        <f>'KELURAHAN (DI ISI)'!HK85+'KELURAHAN (DI ISI)'!HK87+'KELURAHAN (DI ISI)'!HK88</f>
        <v>0</v>
      </c>
      <c r="IC23" s="491">
        <f>'KELURAHAN (DI ISI)'!HL85+'KELURAHAN (DI ISI)'!HL87+'KELURAHAN (DI ISI)'!HL88</f>
        <v>0</v>
      </c>
      <c r="ID23" s="491">
        <f>'KELURAHAN (DI ISI)'!HM85+'KELURAHAN (DI ISI)'!HM87+'KELURAHAN (DI ISI)'!HM88</f>
        <v>1</v>
      </c>
      <c r="IE23" s="491">
        <f>'KELURAHAN (DI ISI)'!HN85+'KELURAHAN (DI ISI)'!HN87+'KELURAHAN (DI ISI)'!HN88</f>
        <v>0</v>
      </c>
      <c r="IF23" s="573">
        <f>'KELURAHAN (DI ISI)'!HO85+'KELURAHAN (DI ISI)'!HO87+'KELURAHAN (DI ISI)'!HO88</f>
        <v>2</v>
      </c>
      <c r="IG23" s="573">
        <f>'KELURAHAN (DI ISI)'!HP85+'KELURAHAN (DI ISI)'!HP87+'KELURAHAN (DI ISI)'!HP88</f>
        <v>0</v>
      </c>
      <c r="IK23" s="198">
        <f t="shared" si="21"/>
        <v>29</v>
      </c>
      <c r="IL23" s="198">
        <f t="shared" si="22"/>
        <v>35</v>
      </c>
      <c r="IM23" s="198">
        <f t="shared" si="23"/>
        <v>36</v>
      </c>
      <c r="IN23" s="198">
        <f t="shared" si="24"/>
        <v>38</v>
      </c>
      <c r="IO23" s="198">
        <f t="shared" si="25"/>
        <v>35</v>
      </c>
      <c r="IP23" s="198">
        <f t="shared" si="26"/>
        <v>36</v>
      </c>
      <c r="IQ23" s="574">
        <f t="shared" si="27"/>
        <v>36</v>
      </c>
      <c r="IR23" s="574">
        <f t="shared" si="28"/>
        <v>36</v>
      </c>
      <c r="IS23" s="574">
        <f t="shared" si="29"/>
        <v>36</v>
      </c>
      <c r="IT23" s="574">
        <f t="shared" si="30"/>
        <v>32</v>
      </c>
      <c r="IU23" s="574">
        <f t="shared" si="31"/>
        <v>30</v>
      </c>
      <c r="IV23" s="575">
        <f t="shared" si="32"/>
        <v>28</v>
      </c>
      <c r="IW23" s="583"/>
      <c r="IX23" s="576">
        <f t="shared" si="33"/>
        <v>-28</v>
      </c>
      <c r="IZ23" s="577"/>
      <c r="JA23" s="162">
        <f t="shared" si="34"/>
        <v>-2253</v>
      </c>
      <c r="JB23" s="578"/>
      <c r="JC23" s="579">
        <f t="shared" si="35"/>
        <v>-813</v>
      </c>
      <c r="JD23" s="597"/>
      <c r="JE23" s="585"/>
      <c r="JF23" s="577"/>
      <c r="JG23" s="234">
        <f t="shared" si="36"/>
        <v>-2055</v>
      </c>
      <c r="JH23" s="578"/>
      <c r="JI23" s="579">
        <f t="shared" si="37"/>
        <v>-661</v>
      </c>
      <c r="JJ23" s="247"/>
    </row>
    <row r="24" ht="14.25" customHeight="1">
      <c r="A24" s="158">
        <v>17.0</v>
      </c>
      <c r="B24" s="157" t="s">
        <v>171</v>
      </c>
      <c r="C24" s="253">
        <v>3374120.0</v>
      </c>
      <c r="D24" s="569" t="s">
        <v>330</v>
      </c>
      <c r="E24" s="253"/>
      <c r="F24" s="259">
        <f>'KELURAHAN (DI ISI)'!F84+'KELURAHAN (DI ISI)'!F86+'KELURAHAN (DI ISI)'!F89+'KELURAHAN (DI ISI)'!F90</f>
        <v>33</v>
      </c>
      <c r="G24" s="259">
        <f>'KELURAHAN (DI ISI)'!G84+'KELURAHAN (DI ISI)'!G86+'KELURAHAN (DI ISI)'!G89+'KELURAHAN (DI ISI)'!G90</f>
        <v>0</v>
      </c>
      <c r="H24" s="259">
        <f>'KELURAHAN (DI ISI)'!H84+'KELURAHAN (DI ISI)'!H86+'KELURAHAN (DI ISI)'!H89+'KELURAHAN (DI ISI)'!H90</f>
        <v>8</v>
      </c>
      <c r="I24" s="491">
        <f t="shared" si="1"/>
        <v>5</v>
      </c>
      <c r="J24" s="491">
        <f t="shared" si="2"/>
        <v>3</v>
      </c>
      <c r="K24" s="491">
        <f>'KELURAHAN (DI ISI)'!I84+'KELURAHAN (DI ISI)'!I86+'KELURAHAN (DI ISI)'!I89+'KELURAHAN (DI ISI)'!I90</f>
        <v>1</v>
      </c>
      <c r="L24" s="491">
        <f>'KELURAHAN (DI ISI)'!J84+'KELURAHAN (DI ISI)'!J86+'KELURAHAN (DI ISI)'!J89+'KELURAHAN (DI ISI)'!J90</f>
        <v>0</v>
      </c>
      <c r="M24" s="491">
        <f>'KELURAHAN (DI ISI)'!K84+'KELURAHAN (DI ISI)'!K86+'KELURAHAN (DI ISI)'!K89+'KELURAHAN (DI ISI)'!K90</f>
        <v>4</v>
      </c>
      <c r="N24" s="491">
        <f>'KELURAHAN (DI ISI)'!L84+'KELURAHAN (DI ISI)'!L86+'KELURAHAN (DI ISI)'!L89+'KELURAHAN (DI ISI)'!L90</f>
        <v>3</v>
      </c>
      <c r="O24" s="491">
        <f>'KELURAHAN (DI ISI)'!M84+'KELURAHAN (DI ISI)'!M86+'KELURAHAN (DI ISI)'!M89+'KELURAHAN (DI ISI)'!M90</f>
        <v>0</v>
      </c>
      <c r="P24" s="491">
        <f>'KELURAHAN (DI ISI)'!N84+'KELURAHAN (DI ISI)'!N86+'KELURAHAN (DI ISI)'!N89+'KELURAHAN (DI ISI)'!N90</f>
        <v>2</v>
      </c>
      <c r="Q24" s="491">
        <f>'KELURAHAN (DI ISI)'!O84+'KELURAHAN (DI ISI)'!O86+'KELURAHAN (DI ISI)'!O89+'KELURAHAN (DI ISI)'!O90</f>
        <v>6</v>
      </c>
      <c r="R24" s="491">
        <f>'KELURAHAN (DI ISI)'!P84+'KELURAHAN (DI ISI)'!P86+'KELURAHAN (DI ISI)'!P89+'KELURAHAN (DI ISI)'!P90</f>
        <v>7</v>
      </c>
      <c r="S24" s="491">
        <f t="shared" si="3"/>
        <v>3</v>
      </c>
      <c r="T24" s="491">
        <f t="shared" si="4"/>
        <v>4</v>
      </c>
      <c r="U24" s="491">
        <f>'KELURAHAN (DI ISI)'!Q84+'KELURAHAN (DI ISI)'!Q86+'KELURAHAN (DI ISI)'!Q89+'KELURAHAN (DI ISI)'!Q90</f>
        <v>0</v>
      </c>
      <c r="V24" s="491">
        <f>'KELURAHAN (DI ISI)'!R84+'KELURAHAN (DI ISI)'!R86+'KELURAHAN (DI ISI)'!R89+'KELURAHAN (DI ISI)'!R90</f>
        <v>0</v>
      </c>
      <c r="W24" s="491">
        <f>'KELURAHAN (DI ISI)'!S84+'KELURAHAN (DI ISI)'!S86+'KELURAHAN (DI ISI)'!S89+'KELURAHAN (DI ISI)'!S90</f>
        <v>3</v>
      </c>
      <c r="X24" s="491">
        <f>'KELURAHAN (DI ISI)'!T84+'KELURAHAN (DI ISI)'!T86+'KELURAHAN (DI ISI)'!T89+'KELURAHAN (DI ISI)'!T90</f>
        <v>4</v>
      </c>
      <c r="Y24" s="491">
        <f>'KELURAHAN (DI ISI)'!U84+'KELURAHAN (DI ISI)'!U86+'KELURAHAN (DI ISI)'!U89+'KELURAHAN (DI ISI)'!U90</f>
        <v>1</v>
      </c>
      <c r="Z24" s="491">
        <f>'KELURAHAN (DI ISI)'!V84+'KELURAHAN (DI ISI)'!V86+'KELURAHAN (DI ISI)'!V89+'KELURAHAN (DI ISI)'!V90</f>
        <v>4</v>
      </c>
      <c r="AA24" s="491">
        <f>'KELURAHAN (DI ISI)'!W84+'KELURAHAN (DI ISI)'!W86+'KELURAHAN (DI ISI)'!W89+'KELURAHAN (DI ISI)'!W90</f>
        <v>2</v>
      </c>
      <c r="AB24" s="491">
        <f>'KELURAHAN (DI ISI)'!X84+'KELURAHAN (DI ISI)'!X86+'KELURAHAN (DI ISI)'!X89+'KELURAHAN (DI ISI)'!X90</f>
        <v>3</v>
      </c>
      <c r="AC24" s="491">
        <f t="shared" si="5"/>
        <v>1</v>
      </c>
      <c r="AD24" s="491">
        <f t="shared" si="6"/>
        <v>2</v>
      </c>
      <c r="AE24" s="491">
        <f>'KELURAHAN (DI ISI)'!Y84+'KELURAHAN (DI ISI)'!Y86+'KELURAHAN (DI ISI)'!Y89+'KELURAHAN (DI ISI)'!Y90</f>
        <v>0</v>
      </c>
      <c r="AF24" s="491">
        <f>'KELURAHAN (DI ISI)'!Z84+'KELURAHAN (DI ISI)'!Z86+'KELURAHAN (DI ISI)'!Z89+'KELURAHAN (DI ISI)'!Z90</f>
        <v>0</v>
      </c>
      <c r="AG24" s="491">
        <f>'KELURAHAN (DI ISI)'!AA84+'KELURAHAN (DI ISI)'!AA86+'KELURAHAN (DI ISI)'!AA89+'KELURAHAN (DI ISI)'!AA90</f>
        <v>1</v>
      </c>
      <c r="AH24" s="491">
        <f>'KELURAHAN (DI ISI)'!AB84+'KELURAHAN (DI ISI)'!AB86+'KELURAHAN (DI ISI)'!AB89+'KELURAHAN (DI ISI)'!AB90</f>
        <v>2</v>
      </c>
      <c r="AI24" s="491">
        <f>'KELURAHAN (DI ISI)'!AC84+'KELURAHAN (DI ISI)'!AC86+'KELURAHAN (DI ISI)'!AC89+'KELURAHAN (DI ISI)'!AC90</f>
        <v>0</v>
      </c>
      <c r="AJ24" s="491">
        <f>'KELURAHAN (DI ISI)'!AD84+'KELURAHAN (DI ISI)'!AD86+'KELURAHAN (DI ISI)'!AD89+'KELURAHAN (DI ISI)'!AD90</f>
        <v>0</v>
      </c>
      <c r="AK24" s="491">
        <f>'KELURAHAN (DI ISI)'!AE84+'KELURAHAN (DI ISI)'!AE86+'KELURAHAN (DI ISI)'!AE89+'KELURAHAN (DI ISI)'!AE90</f>
        <v>3</v>
      </c>
      <c r="AL24" s="491">
        <f>'KELURAHAN (DI ISI)'!AF84+'KELURAHAN (DI ISI)'!AF86+'KELURAHAN (DI ISI)'!AF89+'KELURAHAN (DI ISI)'!AF90</f>
        <v>4</v>
      </c>
      <c r="AM24" s="491">
        <f t="shared" si="7"/>
        <v>1</v>
      </c>
      <c r="AN24" s="491">
        <f t="shared" si="8"/>
        <v>3</v>
      </c>
      <c r="AO24" s="491">
        <f>'KELURAHAN (DI ISI)'!AG84+'KELURAHAN (DI ISI)'!AG86+'KELURAHAN (DI ISI)'!AG89+'KELURAHAN (DI ISI)'!AG90</f>
        <v>0</v>
      </c>
      <c r="AP24" s="491">
        <f>'KELURAHAN (DI ISI)'!AH84+'KELURAHAN (DI ISI)'!AH86+'KELURAHAN (DI ISI)'!AH89+'KELURAHAN (DI ISI)'!AH90</f>
        <v>0</v>
      </c>
      <c r="AQ24" s="491">
        <f>'KELURAHAN (DI ISI)'!AI84+'KELURAHAN (DI ISI)'!AI86+'KELURAHAN (DI ISI)'!AI89+'KELURAHAN (DI ISI)'!AI90</f>
        <v>1</v>
      </c>
      <c r="AR24" s="491">
        <f>'KELURAHAN (DI ISI)'!AJ84+'KELURAHAN (DI ISI)'!AJ86+'KELURAHAN (DI ISI)'!AJ89+'KELURAHAN (DI ISI)'!AJ90</f>
        <v>3</v>
      </c>
      <c r="AS24" s="491">
        <f>'KELURAHAN (DI ISI)'!AK84+'KELURAHAN (DI ISI)'!AK86+'KELURAHAN (DI ISI)'!AK89+'KELURAHAN (DI ISI)'!AK90</f>
        <v>0</v>
      </c>
      <c r="AT24" s="491">
        <f>'KELURAHAN (DI ISI)'!AL84+'KELURAHAN (DI ISI)'!AL86+'KELURAHAN (DI ISI)'!AL89+'KELURAHAN (DI ISI)'!AL90</f>
        <v>1</v>
      </c>
      <c r="AU24" s="491">
        <f>'KELURAHAN (DI ISI)'!AM84+'KELURAHAN (DI ISI)'!AM86+'KELURAHAN (DI ISI)'!AM89+'KELURAHAN (DI ISI)'!AM90</f>
        <v>3</v>
      </c>
      <c r="AV24" s="491">
        <f>'KELURAHAN (DI ISI)'!AN84+'KELURAHAN (DI ISI)'!AN86+'KELURAHAN (DI ISI)'!AN89+'KELURAHAN (DI ISI)'!AN90</f>
        <v>3</v>
      </c>
      <c r="AW24" s="491">
        <f t="shared" si="9"/>
        <v>1</v>
      </c>
      <c r="AX24" s="491">
        <f t="shared" si="10"/>
        <v>2</v>
      </c>
      <c r="AY24" s="491">
        <f>'KELURAHAN (DI ISI)'!AO84+'KELURAHAN (DI ISI)'!AO86+'KELURAHAN (DI ISI)'!AO89+'KELURAHAN (DI ISI)'!AO90</f>
        <v>0</v>
      </c>
      <c r="AZ24" s="491">
        <f>'KELURAHAN (DI ISI)'!AP84+'KELURAHAN (DI ISI)'!AP86+'KELURAHAN (DI ISI)'!AP89+'KELURAHAN (DI ISI)'!AP90</f>
        <v>0</v>
      </c>
      <c r="BA24" s="491">
        <f>'KELURAHAN (DI ISI)'!AQ84+'KELURAHAN (DI ISI)'!AQ86+'KELURAHAN (DI ISI)'!AQ89+'KELURAHAN (DI ISI)'!AQ90</f>
        <v>1</v>
      </c>
      <c r="BB24" s="491">
        <f>'KELURAHAN (DI ISI)'!AR84+'KELURAHAN (DI ISI)'!AR86+'KELURAHAN (DI ISI)'!AR89+'KELURAHAN (DI ISI)'!AR90</f>
        <v>2</v>
      </c>
      <c r="BC24" s="491">
        <f>'KELURAHAN (DI ISI)'!AS84+'KELURAHAN (DI ISI)'!AS86+'KELURAHAN (DI ISI)'!AS89+'KELURAHAN (DI ISI)'!AS90</f>
        <v>0</v>
      </c>
      <c r="BD24" s="491">
        <f>'KELURAHAN (DI ISI)'!AT84+'KELURAHAN (DI ISI)'!AT86+'KELURAHAN (DI ISI)'!AT89+'KELURAHAN (DI ISI)'!AT90</f>
        <v>0</v>
      </c>
      <c r="BE24" s="491">
        <f>'KELURAHAN (DI ISI)'!AU84+'KELURAHAN (DI ISI)'!AU86+'KELURAHAN (DI ISI)'!AU89+'KELURAHAN (DI ISI)'!AU90</f>
        <v>3</v>
      </c>
      <c r="BF24" s="491">
        <f>'KELURAHAN (DI ISI)'!AV84+'KELURAHAN (DI ISI)'!AV86+'KELURAHAN (DI ISI)'!AV89+'KELURAHAN (DI ISI)'!AV90</f>
        <v>1654</v>
      </c>
      <c r="BG24" s="491">
        <f>'KELURAHAN (DI ISI)'!AW84+'KELURAHAN (DI ISI)'!AW86+'KELURAHAN (DI ISI)'!AW89+'KELURAHAN (DI ISI)'!AW90</f>
        <v>2</v>
      </c>
      <c r="BH24" s="491">
        <f t="shared" si="11"/>
        <v>1</v>
      </c>
      <c r="BI24" s="495">
        <f t="shared" si="12"/>
        <v>1</v>
      </c>
      <c r="BJ24" s="491">
        <f>'KELURAHAN (DI ISI)'!AX84+'KELURAHAN (DI ISI)'!AX86+'KELURAHAN (DI ISI)'!AX89+'KELURAHAN (DI ISI)'!AX90</f>
        <v>0</v>
      </c>
      <c r="BK24" s="491">
        <f>'KELURAHAN (DI ISI)'!AY84+'KELURAHAN (DI ISI)'!AY86+'KELURAHAN (DI ISI)'!AY89+'KELURAHAN (DI ISI)'!AY90</f>
        <v>0</v>
      </c>
      <c r="BL24" s="491">
        <f>'KELURAHAN (DI ISI)'!AZ84+'KELURAHAN (DI ISI)'!AZ86+'KELURAHAN (DI ISI)'!AZ89+'KELURAHAN (DI ISI)'!AZ90</f>
        <v>1</v>
      </c>
      <c r="BM24" s="491">
        <f>'KELURAHAN (DI ISI)'!BA84+'KELURAHAN (DI ISI)'!BA86+'KELURAHAN (DI ISI)'!BA89+'KELURAHAN (DI ISI)'!BA90</f>
        <v>1</v>
      </c>
      <c r="BN24" s="491">
        <f>'KELURAHAN (DI ISI)'!BB84+'KELURAHAN (DI ISI)'!BB86+'KELURAHAN (DI ISI)'!BB89+'KELURAHAN (DI ISI)'!BB90</f>
        <v>0</v>
      </c>
      <c r="BO24" s="491">
        <f>'KELURAHAN (DI ISI)'!BC84+'KELURAHAN (DI ISI)'!BC86+'KELURAHAN (DI ISI)'!BC89+'KELURAHAN (DI ISI)'!BC90</f>
        <v>0</v>
      </c>
      <c r="BP24" s="491">
        <f>'KELURAHAN (DI ISI)'!BD84+'KELURAHAN (DI ISI)'!BD86+'KELURAHAN (DI ISI)'!BD89+'KELURAHAN (DI ISI)'!BD90</f>
        <v>0</v>
      </c>
      <c r="BQ24" s="491">
        <f>'KELURAHAN (DI ISI)'!BE84+'KELURAHAN (DI ISI)'!BE86+'KELURAHAN (DI ISI)'!BE89+'KELURAHAN (DI ISI)'!BE90</f>
        <v>0</v>
      </c>
      <c r="BR24" s="491">
        <f>'KELURAHAN (DI ISI)'!BF84+'KELURAHAN (DI ISI)'!BF86+'KELURAHAN (DI ISI)'!BF89+'KELURAHAN (DI ISI)'!BF90</f>
        <v>0</v>
      </c>
      <c r="BS24" s="491">
        <f>'KELURAHAN (DI ISI)'!BG84+'KELURAHAN (DI ISI)'!BG86+'KELURAHAN (DI ISI)'!BG89+'KELURAHAN (DI ISI)'!BG90</f>
        <v>0</v>
      </c>
      <c r="BT24" s="491">
        <f>'KELURAHAN (DI ISI)'!BH84+'KELURAHAN (DI ISI)'!BH86+'KELURAHAN (DI ISI)'!BH89+'KELURAHAN (DI ISI)'!BH90</f>
        <v>0</v>
      </c>
      <c r="BU24" s="491">
        <f>'KELURAHAN (DI ISI)'!BI84+'KELURAHAN (DI ISI)'!BI86+'KELURAHAN (DI ISI)'!BI89+'KELURAHAN (DI ISI)'!BI90</f>
        <v>1</v>
      </c>
      <c r="BV24" s="491">
        <f>'KELURAHAN (DI ISI)'!BJ84+'KELURAHAN (DI ISI)'!BJ86+'KELURAHAN (DI ISI)'!BJ89+'KELURAHAN (DI ISI)'!BJ90</f>
        <v>0</v>
      </c>
      <c r="BW24" s="491">
        <f>'KELURAHAN (DI ISI)'!BK84+'KELURAHAN (DI ISI)'!BK86+'KELURAHAN (DI ISI)'!BK89+'KELURAHAN (DI ISI)'!BK90</f>
        <v>0</v>
      </c>
      <c r="BX24" s="491">
        <f>'KELURAHAN (DI ISI)'!BL84+'KELURAHAN (DI ISI)'!BL86+'KELURAHAN (DI ISI)'!BL89+'KELURAHAN (DI ISI)'!BL90</f>
        <v>0</v>
      </c>
      <c r="BY24" s="491">
        <f>'KELURAHAN (DI ISI)'!BM84+'KELURAHAN (DI ISI)'!BM86+'KELURAHAN (DI ISI)'!BM89+'KELURAHAN (DI ISI)'!BM90</f>
        <v>0</v>
      </c>
      <c r="BZ24" s="491">
        <f>'KELURAHAN (DI ISI)'!BN84+'KELURAHAN (DI ISI)'!BN86+'KELURAHAN (DI ISI)'!BN89+'KELURAHAN (DI ISI)'!BN90</f>
        <v>0</v>
      </c>
      <c r="CA24" s="491">
        <f>'KELURAHAN (DI ISI)'!BO84+'KELURAHAN (DI ISI)'!BO86+'KELURAHAN (DI ISI)'!BO89+'KELURAHAN (DI ISI)'!BO90</f>
        <v>0</v>
      </c>
      <c r="CB24" s="491">
        <f>'KELURAHAN (DI ISI)'!BP84+'KELURAHAN (DI ISI)'!BP86+'KELURAHAN (DI ISI)'!BP89+'KELURAHAN (DI ISI)'!BP90</f>
        <v>1</v>
      </c>
      <c r="CC24" s="491">
        <f>'KELURAHAN (DI ISI)'!BQ84+'KELURAHAN (DI ISI)'!BQ86+'KELURAHAN (DI ISI)'!BQ89+'KELURAHAN (DI ISI)'!BQ90</f>
        <v>1607</v>
      </c>
      <c r="CD24" s="491">
        <f>'KELURAHAN (DI ISI)'!BR84+'KELURAHAN (DI ISI)'!BR86+'KELURAHAN (DI ISI)'!BR89+'KELURAHAN (DI ISI)'!BR90</f>
        <v>3</v>
      </c>
      <c r="CE24" s="491">
        <f t="shared" si="13"/>
        <v>0</v>
      </c>
      <c r="CF24" s="491">
        <f t="shared" si="14"/>
        <v>1</v>
      </c>
      <c r="CG24" s="491">
        <f>'KELURAHAN (DI ISI)'!BS84+'KELURAHAN (DI ISI)'!BS86+'KELURAHAN (DI ISI)'!BS89+'KELURAHAN (DI ISI)'!BS90</f>
        <v>0</v>
      </c>
      <c r="CH24" s="491">
        <f>'KELURAHAN (DI ISI)'!BT84+'KELURAHAN (DI ISI)'!BT86+'KELURAHAN (DI ISI)'!BT89+'KELURAHAN (DI ISI)'!BT90</f>
        <v>0</v>
      </c>
      <c r="CI24" s="491">
        <f>'KELURAHAN (DI ISI)'!BU84+'KELURAHAN (DI ISI)'!BU86+'KELURAHAN (DI ISI)'!BU89+'KELURAHAN (DI ISI)'!BU90</f>
        <v>0</v>
      </c>
      <c r="CJ24" s="491">
        <f>'KELURAHAN (DI ISI)'!BV84+'KELURAHAN (DI ISI)'!BV86+'KELURAHAN (DI ISI)'!BV89+'KELURAHAN (DI ISI)'!BV90</f>
        <v>1</v>
      </c>
      <c r="CK24" s="491">
        <f>'KELURAHAN (DI ISI)'!BW84+'KELURAHAN (DI ISI)'!BW86+'KELURAHAN (DI ISI)'!BW89+'KELURAHAN (DI ISI)'!BW90</f>
        <v>0</v>
      </c>
      <c r="CL24" s="491">
        <f>'KELURAHAN (DI ISI)'!BX84+'KELURAHAN (DI ISI)'!BX86+'KELURAHAN (DI ISI)'!BX89+'KELURAHAN (DI ISI)'!BX90</f>
        <v>0</v>
      </c>
      <c r="CM24" s="491">
        <f>'KELURAHAN (DI ISI)'!BY84+'KELURAHAN (DI ISI)'!BY86+'KELURAHAN (DI ISI)'!BY89+'KELURAHAN (DI ISI)'!BY90</f>
        <v>2</v>
      </c>
      <c r="CN24" s="491">
        <f>'KELURAHAN (DI ISI)'!BZ84+'KELURAHAN (DI ISI)'!BZ86+'KELURAHAN (DI ISI)'!BZ89+'KELURAHAN (DI ISI)'!BZ90</f>
        <v>0</v>
      </c>
      <c r="CO24" s="491">
        <f>'KELURAHAN (DI ISI)'!CA84+'KELURAHAN (DI ISI)'!CA86+'KELURAHAN (DI ISI)'!CA89+'KELURAHAN (DI ISI)'!CA90</f>
        <v>0</v>
      </c>
      <c r="CP24" s="491">
        <f>'KELURAHAN (DI ISI)'!CB84+'KELURAHAN (DI ISI)'!CB86+'KELURAHAN (DI ISI)'!CB89+'KELURAHAN (DI ISI)'!CB90</f>
        <v>0</v>
      </c>
      <c r="CQ24" s="491">
        <f>'KELURAHAN (DI ISI)'!CC84+'KELURAHAN (DI ISI)'!CC86+'KELURAHAN (DI ISI)'!CC89+'KELURAHAN (DI ISI)'!CC90</f>
        <v>0</v>
      </c>
      <c r="CR24" s="491">
        <f>'KELURAHAN (DI ISI)'!CD84+'KELURAHAN (DI ISI)'!CD86+'KELURAHAN (DI ISI)'!CD89+'KELURAHAN (DI ISI)'!CD90</f>
        <v>0</v>
      </c>
      <c r="CS24" s="491">
        <f>'KELURAHAN (DI ISI)'!CE84+'KELURAHAN (DI ISI)'!CE86+'KELURAHAN (DI ISI)'!CE89+'KELURAHAN (DI ISI)'!CE90</f>
        <v>0</v>
      </c>
      <c r="CT24" s="491">
        <f>'KELURAHAN (DI ISI)'!CF84+'KELURAHAN (DI ISI)'!CF86+'KELURAHAN (DI ISI)'!CF89+'KELURAHAN (DI ISI)'!CF90</f>
        <v>0</v>
      </c>
      <c r="CU24" s="491">
        <f>'KELURAHAN (DI ISI)'!CG84+'KELURAHAN (DI ISI)'!CG86+'KELURAHAN (DI ISI)'!CG89+'KELURAHAN (DI ISI)'!CG90</f>
        <v>0</v>
      </c>
      <c r="CV24" s="491">
        <f>'KELURAHAN (DI ISI)'!CH84+'KELURAHAN (DI ISI)'!CH86+'KELURAHAN (DI ISI)'!CH89+'KELURAHAN (DI ISI)'!CH90</f>
        <v>1</v>
      </c>
      <c r="CW24" s="491">
        <f>'KELURAHAN (DI ISI)'!CI84+'KELURAHAN (DI ISI)'!CI86+'KELURAHAN (DI ISI)'!CI89+'KELURAHAN (DI ISI)'!CI90</f>
        <v>0</v>
      </c>
      <c r="CX24" s="491">
        <f>'KELURAHAN (DI ISI)'!CJ84+'KELURAHAN (DI ISI)'!CJ86+'KELURAHAN (DI ISI)'!CJ89+'KELURAHAN (DI ISI)'!CJ90</f>
        <v>0</v>
      </c>
      <c r="CY24" s="491">
        <f>'KELURAHAN (DI ISI)'!CK84+'KELURAHAN (DI ISI)'!CK86+'KELURAHAN (DI ISI)'!CK89+'KELURAHAN (DI ISI)'!CK90</f>
        <v>1</v>
      </c>
      <c r="CZ24" s="491">
        <f>'KELURAHAN (DI ISI)'!CL84+'KELURAHAN (DI ISI)'!CL86+'KELURAHAN (DI ISI)'!CL89+'KELURAHAN (DI ISI)'!CL90</f>
        <v>1590</v>
      </c>
      <c r="DA24" s="491">
        <f>'KELURAHAN (DI ISI)'!CM84+'KELURAHAN (DI ISI)'!CM86+'KELURAHAN (DI ISI)'!CM89+'KELURAHAN (DI ISI)'!CM90</f>
        <v>674</v>
      </c>
      <c r="DB24" s="491">
        <f>'KELURAHAN (DI ISI)'!CN84+'KELURAHAN (DI ISI)'!CN86+'KELURAHAN (DI ISI)'!CN89+'KELURAHAN (DI ISI)'!CN90</f>
        <v>3</v>
      </c>
      <c r="DC24" s="491">
        <f t="shared" si="15"/>
        <v>2</v>
      </c>
      <c r="DD24" s="491">
        <f t="shared" si="16"/>
        <v>0</v>
      </c>
      <c r="DE24" s="491">
        <f>'KELURAHAN (DI ISI)'!CO84+'KELURAHAN (DI ISI)'!CO86+'KELURAHAN (DI ISI)'!CO89+'KELURAHAN (DI ISI)'!CO90</f>
        <v>0</v>
      </c>
      <c r="DF24" s="491">
        <f>'KELURAHAN (DI ISI)'!CP84+'KELURAHAN (DI ISI)'!CP86+'KELURAHAN (DI ISI)'!CP89+'KELURAHAN (DI ISI)'!CP90</f>
        <v>0</v>
      </c>
      <c r="DG24" s="491">
        <f>'KELURAHAN (DI ISI)'!CQ84+'KELURAHAN (DI ISI)'!CQ86+'KELURAHAN (DI ISI)'!CQ89+'KELURAHAN (DI ISI)'!CQ90</f>
        <v>2</v>
      </c>
      <c r="DH24" s="491">
        <f>'KELURAHAN (DI ISI)'!CR84+'KELURAHAN (DI ISI)'!CR86+'KELURAHAN (DI ISI)'!CR89+'KELURAHAN (DI ISI)'!CR90</f>
        <v>0</v>
      </c>
      <c r="DI24" s="491">
        <f>'KELURAHAN (DI ISI)'!CS84+'KELURAHAN (DI ISI)'!CS86+'KELURAHAN (DI ISI)'!CS89+'KELURAHAN (DI ISI)'!CS90</f>
        <v>0</v>
      </c>
      <c r="DJ24" s="491">
        <f>'KELURAHAN (DI ISI)'!CT84+'KELURAHAN (DI ISI)'!CT86+'KELURAHAN (DI ISI)'!CT89+'KELURAHAN (DI ISI)'!CT90</f>
        <v>0</v>
      </c>
      <c r="DK24" s="491">
        <f>'KELURAHAN (DI ISI)'!CU84+'KELURAHAN (DI ISI)'!CU86+'KELURAHAN (DI ISI)'!CU89+'KELURAHAN (DI ISI)'!CU90</f>
        <v>1</v>
      </c>
      <c r="DL24" s="491">
        <f>'KELURAHAN (DI ISI)'!CV84+'KELURAHAN (DI ISI)'!CV86+'KELURAHAN (DI ISI)'!CV89+'KELURAHAN (DI ISI)'!CV90</f>
        <v>0</v>
      </c>
      <c r="DM24" s="491">
        <f>'KELURAHAN (DI ISI)'!CW84+'KELURAHAN (DI ISI)'!CW86+'KELURAHAN (DI ISI)'!CW89+'KELURAHAN (DI ISI)'!CW90</f>
        <v>0</v>
      </c>
      <c r="DN24" s="491">
        <f>'KELURAHAN (DI ISI)'!CX84+'KELURAHAN (DI ISI)'!CX86+'KELURAHAN (DI ISI)'!CX89+'KELURAHAN (DI ISI)'!CX90</f>
        <v>0</v>
      </c>
      <c r="DO24" s="491">
        <f>'KELURAHAN (DI ISI)'!CY84+'KELURAHAN (DI ISI)'!CY86+'KELURAHAN (DI ISI)'!CY89+'KELURAHAN (DI ISI)'!CY90</f>
        <v>0</v>
      </c>
      <c r="DP24" s="491">
        <f>'KELURAHAN (DI ISI)'!CZ84+'KELURAHAN (DI ISI)'!CZ86+'KELURAHAN (DI ISI)'!CZ89+'KELURAHAN (DI ISI)'!CZ90</f>
        <v>0</v>
      </c>
      <c r="DQ24" s="491">
        <f>'KELURAHAN (DI ISI)'!DA84+'KELURAHAN (DI ISI)'!DA86+'KELURAHAN (DI ISI)'!DA89+'KELURAHAN (DI ISI)'!DA90</f>
        <v>0</v>
      </c>
      <c r="DR24" s="491">
        <f>'KELURAHAN (DI ISI)'!DB84+'KELURAHAN (DI ISI)'!DB86+'KELURAHAN (DI ISI)'!DB89+'KELURAHAN (DI ISI)'!DB90</f>
        <v>0</v>
      </c>
      <c r="DS24" s="491">
        <f>'KELURAHAN (DI ISI)'!DC84+'KELURAHAN (DI ISI)'!DC86+'KELURAHAN (DI ISI)'!DC89+'KELURAHAN (DI ISI)'!DC90</f>
        <v>0</v>
      </c>
      <c r="DT24" s="491">
        <f>'KELURAHAN (DI ISI)'!DD84+'KELURAHAN (DI ISI)'!DD86+'KELURAHAN (DI ISI)'!DD89+'KELURAHAN (DI ISI)'!DD90</f>
        <v>1</v>
      </c>
      <c r="DU24" s="491">
        <f>'KELURAHAN (DI ISI)'!DE84+'KELURAHAN (DI ISI)'!DE86+'KELURAHAN (DI ISI)'!DE89+'KELURAHAN (DI ISI)'!DE90</f>
        <v>0</v>
      </c>
      <c r="DV24" s="491">
        <f>'KELURAHAN (DI ISI)'!DF84+'KELURAHAN (DI ISI)'!DF86+'KELURAHAN (DI ISI)'!DF89+'KELURAHAN (DI ISI)'!DF90</f>
        <v>0</v>
      </c>
      <c r="DW24" s="491">
        <f>'KELURAHAN (DI ISI)'!DG84+'KELURAHAN (DI ISI)'!DG86+'KELURAHAN (DI ISI)'!DG89+'KELURAHAN (DI ISI)'!DG90</f>
        <v>1</v>
      </c>
      <c r="DX24" s="491">
        <f>'KELURAHAN (DI ISI)'!DH84+'KELURAHAN (DI ISI)'!DH86+'KELURAHAN (DI ISI)'!DH89+'KELURAHAN (DI ISI)'!DH90</f>
        <v>1583</v>
      </c>
      <c r="DY24" s="491">
        <f>'KELURAHAN (DI ISI)'!DI84+'KELURAHAN (DI ISI)'!DI86+'KELURAHAN (DI ISI)'!DI89+'KELURAHAN (DI ISI)'!DI90</f>
        <v>602</v>
      </c>
      <c r="DZ24" s="491">
        <f>'KELURAHAN (DI ISI)'!DJ84+'KELURAHAN (DI ISI)'!DJ86+'KELURAHAN (DI ISI)'!DJ89+'KELURAHAN (DI ISI)'!DJ90</f>
        <v>1581</v>
      </c>
      <c r="EA24" s="491">
        <f>'KELURAHAN (DI ISI)'!DK84+'KELURAHAN (DI ISI)'!DK86+'KELURAHAN (DI ISI)'!DK89+'KELURAHAN (DI ISI)'!DK90</f>
        <v>597</v>
      </c>
      <c r="EB24" s="491">
        <f>'KELURAHAN (DI ISI)'!DL84+'KELURAHAN (DI ISI)'!DL86+'KELURAHAN (DI ISI)'!DL89+'KELURAHAN (DI ISI)'!DL90</f>
        <v>3</v>
      </c>
      <c r="EC24" s="491">
        <f>'KELURAHAN (DI ISI)'!DM84+'KELURAHAN (DI ISI)'!DM86+'KELURAHAN (DI ISI)'!DM89+'KELURAHAN (DI ISI)'!DM90</f>
        <v>2</v>
      </c>
      <c r="ED24" s="491">
        <f t="shared" si="17"/>
        <v>1</v>
      </c>
      <c r="EE24" s="491">
        <f>'KELURAHAN (DI ISI)'!DO84+'KELURAHAN (DI ISI)'!DO86+'KELURAHAN (DI ISI)'!DO89+'KELURAHAN (DI ISI)'!DO90</f>
        <v>0</v>
      </c>
      <c r="EF24" s="491">
        <f>'KELURAHAN (DI ISI)'!DP84+'KELURAHAN (DI ISI)'!DP86+'KELURAHAN (DI ISI)'!DP89+'KELURAHAN (DI ISI)'!DP90</f>
        <v>0</v>
      </c>
      <c r="EG24" s="491">
        <f>'KELURAHAN (DI ISI)'!DQ84+'KELURAHAN (DI ISI)'!DQ86+'KELURAHAN (DI ISI)'!DQ89+'KELURAHAN (DI ISI)'!DQ90</f>
        <v>2</v>
      </c>
      <c r="EH24" s="491">
        <f>'KELURAHAN (DI ISI)'!DR84+'KELURAHAN (DI ISI)'!DR86+'KELURAHAN (DI ISI)'!DR89+'KELURAHAN (DI ISI)'!DR90</f>
        <v>0</v>
      </c>
      <c r="EI24" s="491">
        <f>'KELURAHAN (DI ISI)'!DS84+'KELURAHAN (DI ISI)'!DS86+'KELURAHAN (DI ISI)'!DS89+'KELURAHAN (DI ISI)'!DS90</f>
        <v>0</v>
      </c>
      <c r="EJ24" s="491">
        <f>'KELURAHAN (DI ISI)'!DT84+'KELURAHAN (DI ISI)'!DT86+'KELURAHAN (DI ISI)'!DT89+'KELURAHAN (DI ISI)'!DT90</f>
        <v>0</v>
      </c>
      <c r="EK24" s="491">
        <f>'KELURAHAN (DI ISI)'!DU84+'KELURAHAN (DI ISI)'!DU86+'KELURAHAN (DI ISI)'!DU89+'KELURAHAN (DI ISI)'!DU90</f>
        <v>0</v>
      </c>
      <c r="EL24" s="491">
        <f>'KELURAHAN (DI ISI)'!DV84+'KELURAHAN (DI ISI)'!DV86+'KELURAHAN (DI ISI)'!DV89+'KELURAHAN (DI ISI)'!DV90</f>
        <v>1</v>
      </c>
      <c r="EM24" s="491">
        <f>'KELURAHAN (DI ISI)'!DW84+'KELURAHAN (DI ISI)'!DW86+'KELURAHAN (DI ISI)'!DW89+'KELURAHAN (DI ISI)'!DW90</f>
        <v>0</v>
      </c>
      <c r="EN24" s="491">
        <f>'KELURAHAN (DI ISI)'!DX84+'KELURAHAN (DI ISI)'!DX86+'KELURAHAN (DI ISI)'!DX89+'KELURAHAN (DI ISI)'!DX90</f>
        <v>0</v>
      </c>
      <c r="EO24" s="491">
        <f>'KELURAHAN (DI ISI)'!DY84+'KELURAHAN (DI ISI)'!DY86+'KELURAHAN (DI ISI)'!DY89+'KELURAHAN (DI ISI)'!DY90</f>
        <v>1</v>
      </c>
      <c r="EP24" s="491">
        <f>'KELURAHAN (DI ISI)'!DZ84+'KELURAHAN (DI ISI)'!DZ86+'KELURAHAN (DI ISI)'!DZ89+'KELURAHAN (DI ISI)'!DZ90</f>
        <v>0</v>
      </c>
      <c r="EQ24" s="491">
        <f>'KELURAHAN (DI ISI)'!EA84+'KELURAHAN (DI ISI)'!EA86+'KELURAHAN (DI ISI)'!EA89+'KELURAHAN (DI ISI)'!EA90</f>
        <v>0</v>
      </c>
      <c r="ER24" s="491">
        <f>'KELURAHAN (DI ISI)'!EB84+'KELURAHAN (DI ISI)'!EB86+'KELURAHAN (DI ISI)'!EB89+'KELURAHAN (DI ISI)'!EB90</f>
        <v>0</v>
      </c>
      <c r="ES24" s="491">
        <f>'KELURAHAN (DI ISI)'!EC84+'KELURAHAN (DI ISI)'!EC86+'KELURAHAN (DI ISI)'!EC89+'KELURAHAN (DI ISI)'!EC90</f>
        <v>0</v>
      </c>
      <c r="ET24" s="491">
        <f>'KELURAHAN (DI ISI)'!ED84+'KELURAHAN (DI ISI)'!ED86+'KELURAHAN (DI ISI)'!ED89+'KELURAHAN (DI ISI)'!ED90</f>
        <v>0</v>
      </c>
      <c r="EU24" s="491">
        <f>'KELURAHAN (DI ISI)'!EE84+'KELURAHAN (DI ISI)'!EE86+'KELURAHAN (DI ISI)'!EE89+'KELURAHAN (DI ISI)'!EE90</f>
        <v>0</v>
      </c>
      <c r="EV24" s="491">
        <f>'KELURAHAN (DI ISI)'!EF84+'KELURAHAN (DI ISI)'!EF86+'KELURAHAN (DI ISI)'!EF89+'KELURAHAN (DI ISI)'!EF90</f>
        <v>0</v>
      </c>
      <c r="EW24" s="491">
        <f>'KELURAHAN (DI ISI)'!EG84+'KELURAHAN (DI ISI)'!EG86+'KELURAHAN (DI ISI)'!EG89+'KELURAHAN (DI ISI)'!EG90</f>
        <v>1</v>
      </c>
      <c r="EX24" s="491">
        <f>'KELURAHAN (DI ISI)'!EH84+'KELURAHAN (DI ISI)'!EH86+'KELURAHAN (DI ISI)'!EH89+'KELURAHAN (DI ISI)'!EH90</f>
        <v>1</v>
      </c>
      <c r="EY24" s="491">
        <f>'KELURAHAN (DI ISI)'!EI84+'KELURAHAN (DI ISI)'!EI86+'KELURAHAN (DI ISI)'!EI89+'KELURAHAN (DI ISI)'!EI90</f>
        <v>1583</v>
      </c>
      <c r="EZ24" s="491">
        <f>'KELURAHAN (DI ISI)'!EJ84+'KELURAHAN (DI ISI)'!EJ86+'KELURAHAN (DI ISI)'!EJ89+'KELURAHAN (DI ISI)'!EJ90</f>
        <v>602</v>
      </c>
      <c r="FA24" s="491">
        <f>'KELURAHAN (DI ISI)'!EK84+'KELURAHAN (DI ISI)'!EK86+'KELURAHAN (DI ISI)'!EK89+'KELURAHAN (DI ISI)'!EK90</f>
        <v>1581</v>
      </c>
      <c r="FB24" s="491">
        <f>'KELURAHAN (DI ISI)'!EL84+'KELURAHAN (DI ISI)'!EL86+'KELURAHAN (DI ISI)'!EL89+'KELURAHAN (DI ISI)'!EL90</f>
        <v>602</v>
      </c>
      <c r="FC24" s="491">
        <f>'KELURAHAN (DI ISI)'!EM84+'KELURAHAN (DI ISI)'!EM86+'KELURAHAN (DI ISI)'!EM89+'KELURAHAN (DI ISI)'!EM90</f>
        <v>5</v>
      </c>
      <c r="FD24" s="491">
        <f>'KELURAHAN (DI ISI)'!EN84+'KELURAHAN (DI ISI)'!EN86+'KELURAHAN (DI ISI)'!EN89+'KELURAHAN (DI ISI)'!EN90</f>
        <v>3</v>
      </c>
      <c r="FE24" s="491">
        <f t="shared" si="18"/>
        <v>2</v>
      </c>
      <c r="FF24" s="491">
        <f>'KELURAHAN (DI ISI)'!EP84+'KELURAHAN (DI ISI)'!EP86+'KELURAHAN (DI ISI)'!EP89+'KELURAHAN (DI ISI)'!EP90</f>
        <v>0</v>
      </c>
      <c r="FG24" s="491">
        <f>'KELURAHAN (DI ISI)'!EQ84+'KELURAHAN (DI ISI)'!EQ86+'KELURAHAN (DI ISI)'!EQ89+'KELURAHAN (DI ISI)'!EQ90</f>
        <v>0</v>
      </c>
      <c r="FH24" s="491">
        <f>'KELURAHAN (DI ISI)'!ER84+'KELURAHAN (DI ISI)'!ER86+'KELURAHAN (DI ISI)'!ER89+'KELURAHAN (DI ISI)'!ER90</f>
        <v>2</v>
      </c>
      <c r="FI24" s="491">
        <f>'KELURAHAN (DI ISI)'!ES84+'KELURAHAN (DI ISI)'!ES86+'KELURAHAN (DI ISI)'!ES89+'KELURAHAN (DI ISI)'!ES90</f>
        <v>1</v>
      </c>
      <c r="FJ24" s="491">
        <f>'KELURAHAN (DI ISI)'!ET84+'KELURAHAN (DI ISI)'!ET86+'KELURAHAN (DI ISI)'!ET89+'KELURAHAN (DI ISI)'!ET90</f>
        <v>0</v>
      </c>
      <c r="FK24" s="491">
        <f>'KELURAHAN (DI ISI)'!EU84+'KELURAHAN (DI ISI)'!EU86+'KELURAHAN (DI ISI)'!EU89+'KELURAHAN (DI ISI)'!EU90</f>
        <v>0</v>
      </c>
      <c r="FL24" s="491">
        <f>'KELURAHAN (DI ISI)'!EV84+'KELURAHAN (DI ISI)'!EV86+'KELURAHAN (DI ISI)'!EV89+'KELURAHAN (DI ISI)'!EV90</f>
        <v>1</v>
      </c>
      <c r="FM24" s="491">
        <f>'KELURAHAN (DI ISI)'!EW84+'KELURAHAN (DI ISI)'!EW86+'KELURAHAN (DI ISI)'!EW89+'KELURAHAN (DI ISI)'!EW90</f>
        <v>1</v>
      </c>
      <c r="FN24" s="491">
        <f>'KELURAHAN (DI ISI)'!EX84+'KELURAHAN (DI ISI)'!EX86+'KELURAHAN (DI ISI)'!EX89+'KELURAHAN (DI ISI)'!EX90</f>
        <v>0</v>
      </c>
      <c r="FO24" s="491">
        <f>'KELURAHAN (DI ISI)'!EY84+'KELURAHAN (DI ISI)'!EY86+'KELURAHAN (DI ISI)'!EY89+'KELURAHAN (DI ISI)'!EY90</f>
        <v>0</v>
      </c>
      <c r="FP24" s="491">
        <f>'KELURAHAN (DI ISI)'!EZ84+'KELURAHAN (DI ISI)'!EZ86+'KELURAHAN (DI ISI)'!EZ89+'KELURAHAN (DI ISI)'!EZ90</f>
        <v>0</v>
      </c>
      <c r="FQ24" s="491">
        <f>'KELURAHAN (DI ISI)'!FA84+'KELURAHAN (DI ISI)'!FA86+'KELURAHAN (DI ISI)'!FA89+'KELURAHAN (DI ISI)'!FA90</f>
        <v>0</v>
      </c>
      <c r="FR24" s="491">
        <f>'KELURAHAN (DI ISI)'!FB84+'KELURAHAN (DI ISI)'!FB86+'KELURAHAN (DI ISI)'!FB89+'KELURAHAN (DI ISI)'!FB90</f>
        <v>0</v>
      </c>
      <c r="FS24" s="491">
        <f>'KELURAHAN (DI ISI)'!FC84+'KELURAHAN (DI ISI)'!FC86+'KELURAHAN (DI ISI)'!FC89+'KELURAHAN (DI ISI)'!FC90</f>
        <v>0</v>
      </c>
      <c r="FT24" s="491">
        <f>'KELURAHAN (DI ISI)'!FD84+'KELURAHAN (DI ISI)'!FD86+'KELURAHAN (DI ISI)'!FD89+'KELURAHAN (DI ISI)'!FD90</f>
        <v>0</v>
      </c>
      <c r="FU24" s="491">
        <f>'KELURAHAN (DI ISI)'!FE84+'KELURAHAN (DI ISI)'!FE86+'KELURAHAN (DI ISI)'!FE89+'KELURAHAN (DI ISI)'!FE90</f>
        <v>0</v>
      </c>
      <c r="FV24" s="491">
        <f>'KELURAHAN (DI ISI)'!FF84+'KELURAHAN (DI ISI)'!FF86+'KELURAHAN (DI ISI)'!FF89+'KELURAHAN (DI ISI)'!FF90</f>
        <v>0</v>
      </c>
      <c r="FW24" s="491">
        <f>'KELURAHAN (DI ISI)'!FG84+'KELURAHAN (DI ISI)'!FG86+'KELURAHAN (DI ISI)'!FG89+'KELURAHAN (DI ISI)'!FG90</f>
        <v>0</v>
      </c>
      <c r="FX24" s="491">
        <f>'KELURAHAN (DI ISI)'!FH84+'KELURAHAN (DI ISI)'!FH86+'KELURAHAN (DI ISI)'!FH89+'KELURAHAN (DI ISI)'!FH90</f>
        <v>0</v>
      </c>
      <c r="FY24" s="491">
        <f>'KELURAHAN (DI ISI)'!FI84+'KELURAHAN (DI ISI)'!FI86+'KELURAHAN (DI ISI)'!FI89+'KELURAHAN (DI ISI)'!FI90</f>
        <v>0</v>
      </c>
      <c r="FZ24" s="491">
        <f>'KELURAHAN (DI ISI)'!FJ84+'KELURAHAN (DI ISI)'!FJ86+'KELURAHAN (DI ISI)'!FJ89+'KELURAHAN (DI ISI)'!FJ90</f>
        <v>1644</v>
      </c>
      <c r="GA24" s="491">
        <f>'KELURAHAN (DI ISI)'!FK84+'KELURAHAN (DI ISI)'!FK86+'KELURAHAN (DI ISI)'!FK89+'KELURAHAN (DI ISI)'!FK90</f>
        <v>655</v>
      </c>
      <c r="GB24" s="491">
        <f>'KELURAHAN (DI ISI)'!FL84+'KELURAHAN (DI ISI)'!FL86+'KELURAHAN (DI ISI)'!FL89+'KELURAHAN (DI ISI)'!FL90</f>
        <v>1641</v>
      </c>
      <c r="GC24" s="491">
        <f>'KELURAHAN (DI ISI)'!FM84+'KELURAHAN (DI ISI)'!FM86+'KELURAHAN (DI ISI)'!FM89+'KELURAHAN (DI ISI)'!FM90</f>
        <v>655</v>
      </c>
      <c r="GD24" s="570">
        <v>1641.0</v>
      </c>
      <c r="GE24" s="571">
        <f>'KELURAHAN (DI ISI)'!FO84+'KELURAHAN (DI ISI)'!FO86+'KELURAHAN (DI ISI)'!FO89+'KELURAHAN (DI ISI)'!FO90</f>
        <v>5</v>
      </c>
      <c r="GF24" s="571">
        <f>'KELURAHAN (DI ISI)'!FP84+'KELURAHAN (DI ISI)'!FP86+'KELURAHAN (DI ISI)'!FP89+'KELURAHAN (DI ISI)'!FP90</f>
        <v>5</v>
      </c>
      <c r="GG24" s="571">
        <f>'KELURAHAN (DI ISI)'!FP84+'KELURAHAN (DI ISI)'!FP86+'KELURAHAN (DI ISI)'!FP89+'KELURAHAN (DI ISI)'!FP90</f>
        <v>5</v>
      </c>
      <c r="GH24" s="571">
        <f>'KELURAHAN (DI ISI)'!FQ84+'KELURAHAN (DI ISI)'!FQ86+'KELURAHAN (DI ISI)'!FQ89+'KELURAHAN (DI ISI)'!FQ90</f>
        <v>2</v>
      </c>
      <c r="GI24" s="571">
        <f t="shared" si="19"/>
        <v>3</v>
      </c>
      <c r="GJ24" s="491">
        <f>'KELURAHAN (DI ISI)'!FS84+'KELURAHAN (DI ISI)'!FS86+'KELURAHAN (DI ISI)'!FS89+'KELURAHAN (DI ISI)'!FS90</f>
        <v>0</v>
      </c>
      <c r="GK24" s="491">
        <f>'KELURAHAN (DI ISI)'!FT84+'KELURAHAN (DI ISI)'!FT86+'KELURAHAN (DI ISI)'!FT89+'KELURAHAN (DI ISI)'!FT90</f>
        <v>0</v>
      </c>
      <c r="GL24" s="491">
        <f>'KELURAHAN (DI ISI)'!FU84+'KELURAHAN (DI ISI)'!FU86+'KELURAHAN (DI ISI)'!FU89+'KELURAHAN (DI ISI)'!FU90</f>
        <v>2</v>
      </c>
      <c r="GM24" s="491">
        <f>'KELURAHAN (DI ISI)'!FV84+'KELURAHAN (DI ISI)'!FV86+'KELURAHAN (DI ISI)'!FV89+'KELURAHAN (DI ISI)'!FV90</f>
        <v>3</v>
      </c>
      <c r="GN24" s="491">
        <f>'KELURAHAN (DI ISI)'!FW84+'KELURAHAN (DI ISI)'!FW86+'KELURAHAN (DI ISI)'!FW89+'KELURAHAN (DI ISI)'!FW90</f>
        <v>0</v>
      </c>
      <c r="GO24" s="491">
        <f>'KELURAHAN (DI ISI)'!FX84+'KELURAHAN (DI ISI)'!FX86+'KELURAHAN (DI ISI)'!FX89+'KELURAHAN (DI ISI)'!FX90</f>
        <v>0</v>
      </c>
      <c r="GP24" s="491">
        <f>'KELURAHAN (DI ISI)'!FY84+'KELURAHAN (DI ISI)'!FY86+'KELURAHAN (DI ISI)'!FY89+'KELURAHAN (DI ISI)'!FY90</f>
        <v>0</v>
      </c>
      <c r="GQ24" s="491">
        <f>'KELURAHAN (DI ISI)'!FZ84+'KELURAHAN (DI ISI)'!FZ86+'KELURAHAN (DI ISI)'!FZ89+'KELURAHAN (DI ISI)'!FZ90</f>
        <v>0</v>
      </c>
      <c r="GR24" s="491">
        <f>'KELURAHAN (DI ISI)'!GA84+'KELURAHAN (DI ISI)'!GA86+'KELURAHAN (DI ISI)'!GA89+'KELURAHAN (DI ISI)'!GA90</f>
        <v>0</v>
      </c>
      <c r="GS24" s="491">
        <f>'KELURAHAN (DI ISI)'!GB84+'KELURAHAN (DI ISI)'!GB86+'KELURAHAN (DI ISI)'!GB89+'KELURAHAN (DI ISI)'!GB90</f>
        <v>0</v>
      </c>
      <c r="GT24" s="491">
        <f>'KELURAHAN (DI ISI)'!GC84+'KELURAHAN (DI ISI)'!GC86+'KELURAHAN (DI ISI)'!GC89+'KELURAHAN (DI ISI)'!GC90</f>
        <v>0</v>
      </c>
      <c r="GU24" s="491">
        <f>'KELURAHAN (DI ISI)'!GD84+'KELURAHAN (DI ISI)'!GD86+'KELURAHAN (DI ISI)'!GD89+'KELURAHAN (DI ISI)'!GD90</f>
        <v>0</v>
      </c>
      <c r="GV24" s="491">
        <f>'KELURAHAN (DI ISI)'!GE84+'KELURAHAN (DI ISI)'!GE86+'KELURAHAN (DI ISI)'!GE89+'KELURAHAN (DI ISI)'!GE90</f>
        <v>0</v>
      </c>
      <c r="GW24" s="491">
        <f>'KELURAHAN (DI ISI)'!GF84+'KELURAHAN (DI ISI)'!GF86+'KELURAHAN (DI ISI)'!GF89+'KELURAHAN (DI ISI)'!GF90</f>
        <v>0</v>
      </c>
      <c r="GX24" s="491">
        <f>'KELURAHAN (DI ISI)'!GG84+'KELURAHAN (DI ISI)'!GG86+'KELURAHAN (DI ISI)'!GG89+'KELURAHAN (DI ISI)'!GG90</f>
        <v>0</v>
      </c>
      <c r="GY24" s="491">
        <f>'KELURAHAN (DI ISI)'!GH84+'KELURAHAN (DI ISI)'!GH86+'KELURAHAN (DI ISI)'!GH89+'KELURAHAN (DI ISI)'!GH90</f>
        <v>0</v>
      </c>
      <c r="GZ24" s="491">
        <f>'KELURAHAN (DI ISI)'!GI84+'KELURAHAN (DI ISI)'!GI86+'KELURAHAN (DI ISI)'!GI89+'KELURAHAN (DI ISI)'!GI90</f>
        <v>0</v>
      </c>
      <c r="HA24" s="491">
        <f>'KELURAHAN (DI ISI)'!GJ84+'KELURAHAN (DI ISI)'!GJ86+'KELURAHAN (DI ISI)'!GJ89+'KELURAHAN (DI ISI)'!GJ90</f>
        <v>0</v>
      </c>
      <c r="HB24" s="572">
        <f>'KELURAHAN (DI ISI)'!GK84+'KELURAHAN (DI ISI)'!GK86+'KELURAHAN (DI ISI)'!GK89+'KELURAHAN (DI ISI)'!GK90</f>
        <v>0</v>
      </c>
      <c r="HC24" s="572">
        <f>'KELURAHAN (DI ISI)'!GL84+'KELURAHAN (DI ISI)'!GL86+'KELURAHAN (DI ISI)'!GL89+'KELURAHAN (DI ISI)'!GL90</f>
        <v>0</v>
      </c>
      <c r="HD24" s="491">
        <f>'KELURAHAN (DI ISI)'!GM84+'KELURAHAN (DI ISI)'!GM86+'KELURAHAN (DI ISI)'!GM89+'KELURAHAN (DI ISI)'!GM90</f>
        <v>1569</v>
      </c>
      <c r="HE24" s="491">
        <f>'KELURAHAN (DI ISI)'!GN84+'KELURAHAN (DI ISI)'!GN86+'KELURAHAN (DI ISI)'!GN89+'KELURAHAN (DI ISI)'!GN90</f>
        <v>431</v>
      </c>
      <c r="HF24" s="491">
        <f>'KELURAHAN (DI ISI)'!GO84+'KELURAHAN (DI ISI)'!GO86+'KELURAHAN (DI ISI)'!GO89+'KELURAHAN (DI ISI)'!GO90</f>
        <v>1568</v>
      </c>
      <c r="HG24" s="491">
        <f>'KELURAHAN (DI ISI)'!GP84+'KELURAHAN (DI ISI)'!GP86+'KELURAHAN (DI ISI)'!GP89+'KELURAHAN (DI ISI)'!GP90</f>
        <v>431</v>
      </c>
      <c r="HH24" s="570">
        <v>1641.0</v>
      </c>
      <c r="HI24" s="225">
        <f>'KELURAHAN (DI ISI)'!GR84+'KELURAHAN (DI ISI)'!GR86+'KELURAHAN (DI ISI)'!GR89+'KELURAHAN (DI ISI)'!GR90</f>
        <v>6</v>
      </c>
      <c r="HJ24" s="225">
        <f>'KELURAHAN (DI ISI)'!GS84+'KELURAHAN (DI ISI)'!GS86+'KELURAHAN (DI ISI)'!GS89+'KELURAHAN (DI ISI)'!GS90</f>
        <v>1</v>
      </c>
      <c r="HK24" s="573">
        <f>'KELURAHAN (DI ISI)'!GT84+'KELURAHAN (DI ISI)'!GT86+'KELURAHAN (DI ISI)'!GT89+'KELURAHAN (DI ISI)'!GT90</f>
        <v>6</v>
      </c>
      <c r="HL24" s="573">
        <f>'KELURAHAN (DI ISI)'!GU84+'KELURAHAN (DI ISI)'!GU86+'KELURAHAN (DI ISI)'!GU89+'KELURAHAN (DI ISI)'!GU90</f>
        <v>1</v>
      </c>
      <c r="HM24" s="573">
        <f t="shared" si="20"/>
        <v>5</v>
      </c>
      <c r="HN24" s="491">
        <f>'KELURAHAN (DI ISI)'!GW84+'KELURAHAN (DI ISI)'!GW86+'KELURAHAN (DI ISI)'!GW89+'KELURAHAN (DI ISI)'!GW90</f>
        <v>0</v>
      </c>
      <c r="HO24" s="491">
        <f>'KELURAHAN (DI ISI)'!GX84+'KELURAHAN (DI ISI)'!GX86+'KELURAHAN (DI ISI)'!GX89+'KELURAHAN (DI ISI)'!GX90</f>
        <v>0</v>
      </c>
      <c r="HP24" s="491">
        <f>'KELURAHAN (DI ISI)'!GY84+'KELURAHAN (DI ISI)'!GY86+'KELURAHAN (DI ISI)'!GY89+'KELURAHAN (DI ISI)'!GY90</f>
        <v>1</v>
      </c>
      <c r="HQ24" s="491">
        <f>'KELURAHAN (DI ISI)'!GZ84+'KELURAHAN (DI ISI)'!GZ86+'KELURAHAN (DI ISI)'!GZ89+'KELURAHAN (DI ISI)'!GZ90</f>
        <v>4</v>
      </c>
      <c r="HR24" s="491">
        <f>'KELURAHAN (DI ISI)'!HA84+'KELURAHAN (DI ISI)'!HA86+'KELURAHAN (DI ISI)'!HA89+'KELURAHAN (DI ISI)'!HA90</f>
        <v>0</v>
      </c>
      <c r="HS24" s="491">
        <f>'KELURAHAN (DI ISI)'!HB84+'KELURAHAN (DI ISI)'!HB86+'KELURAHAN (DI ISI)'!HB89+'KELURAHAN (DI ISI)'!HB90</f>
        <v>0</v>
      </c>
      <c r="HT24" s="491">
        <f>'KELURAHAN (DI ISI)'!HC84+'KELURAHAN (DI ISI)'!HC86+'KELURAHAN (DI ISI)'!HC89+'KELURAHAN (DI ISI)'!HC90</f>
        <v>0</v>
      </c>
      <c r="HU24" s="491">
        <f>'KELURAHAN (DI ISI)'!HD84+'KELURAHAN (DI ISI)'!HD86+'KELURAHAN (DI ISI)'!HD89+'KELURAHAN (DI ISI)'!HD90</f>
        <v>1</v>
      </c>
      <c r="HV24" s="491">
        <f>'KELURAHAN (DI ISI)'!HE84+'KELURAHAN (DI ISI)'!HE86+'KELURAHAN (DI ISI)'!HE89+'KELURAHAN (DI ISI)'!HE90</f>
        <v>0</v>
      </c>
      <c r="HW24" s="491">
        <f>'KELURAHAN (DI ISI)'!HF84+'KELURAHAN (DI ISI)'!HF86+'KELURAHAN (DI ISI)'!HF89+'KELURAHAN (DI ISI)'!HF90</f>
        <v>0</v>
      </c>
      <c r="HX24" s="491">
        <f>'KELURAHAN (DI ISI)'!HG84+'KELURAHAN (DI ISI)'!HG86+'KELURAHAN (DI ISI)'!HG89+'KELURAHAN (DI ISI)'!HG90</f>
        <v>0</v>
      </c>
      <c r="HY24" s="491">
        <f>'KELURAHAN (DI ISI)'!HH84+'KELURAHAN (DI ISI)'!HH86+'KELURAHAN (DI ISI)'!HH89+'KELURAHAN (DI ISI)'!HH90</f>
        <v>0</v>
      </c>
      <c r="HZ24" s="491">
        <f>'KELURAHAN (DI ISI)'!HI84+'KELURAHAN (DI ISI)'!HI86+'KELURAHAN (DI ISI)'!HI89+'KELURAHAN (DI ISI)'!HI90</f>
        <v>0</v>
      </c>
      <c r="IA24" s="491">
        <f>'KELURAHAN (DI ISI)'!HJ84+'KELURAHAN (DI ISI)'!HJ86+'KELURAHAN (DI ISI)'!HJ89+'KELURAHAN (DI ISI)'!HJ90</f>
        <v>0</v>
      </c>
      <c r="IB24" s="491">
        <f>'KELURAHAN (DI ISI)'!HK84+'KELURAHAN (DI ISI)'!HK86+'KELURAHAN (DI ISI)'!HK89+'KELURAHAN (DI ISI)'!HK90</f>
        <v>0</v>
      </c>
      <c r="IC24" s="491">
        <f>'KELURAHAN (DI ISI)'!HL84+'KELURAHAN (DI ISI)'!HL86+'KELURAHAN (DI ISI)'!HL89+'KELURAHAN (DI ISI)'!HL90</f>
        <v>0</v>
      </c>
      <c r="ID24" s="491">
        <f>'KELURAHAN (DI ISI)'!HM84+'KELURAHAN (DI ISI)'!HM86+'KELURAHAN (DI ISI)'!HM89+'KELURAHAN (DI ISI)'!HM90</f>
        <v>0</v>
      </c>
      <c r="IE24" s="491">
        <f>'KELURAHAN (DI ISI)'!HN84+'KELURAHAN (DI ISI)'!HN86+'KELURAHAN (DI ISI)'!HN89+'KELURAHAN (DI ISI)'!HN90</f>
        <v>0</v>
      </c>
      <c r="IF24" s="573">
        <f>'KELURAHAN (DI ISI)'!HO84+'KELURAHAN (DI ISI)'!HO86+'KELURAHAN (DI ISI)'!HO89+'KELURAHAN (DI ISI)'!HO90</f>
        <v>0</v>
      </c>
      <c r="IG24" s="573">
        <f>'KELURAHAN (DI ISI)'!HP84+'KELURAHAN (DI ISI)'!HP86+'KELURAHAN (DI ISI)'!HP89+'KELURAHAN (DI ISI)'!HP90</f>
        <v>0</v>
      </c>
      <c r="IK24" s="198">
        <f t="shared" si="21"/>
        <v>8</v>
      </c>
      <c r="IL24" s="198">
        <f t="shared" si="22"/>
        <v>7</v>
      </c>
      <c r="IM24" s="198">
        <f t="shared" si="23"/>
        <v>3</v>
      </c>
      <c r="IN24" s="198">
        <f t="shared" si="24"/>
        <v>4</v>
      </c>
      <c r="IO24" s="198">
        <f t="shared" si="25"/>
        <v>3</v>
      </c>
      <c r="IP24" s="198">
        <f t="shared" si="26"/>
        <v>2</v>
      </c>
      <c r="IQ24" s="574">
        <f t="shared" si="27"/>
        <v>3</v>
      </c>
      <c r="IR24" s="574">
        <f t="shared" si="28"/>
        <v>3</v>
      </c>
      <c r="IS24" s="574">
        <f t="shared" si="29"/>
        <v>3</v>
      </c>
      <c r="IT24" s="574">
        <f t="shared" si="30"/>
        <v>5</v>
      </c>
      <c r="IU24" s="574">
        <f t="shared" si="31"/>
        <v>5</v>
      </c>
      <c r="IV24" s="575">
        <f t="shared" si="32"/>
        <v>6</v>
      </c>
      <c r="IW24" s="583"/>
      <c r="IX24" s="576">
        <f t="shared" si="33"/>
        <v>-6</v>
      </c>
      <c r="IY24" s="593"/>
      <c r="IZ24" s="237"/>
      <c r="JA24" s="162">
        <f t="shared" si="34"/>
        <v>-1569</v>
      </c>
      <c r="JB24" s="578"/>
      <c r="JC24" s="579">
        <f t="shared" si="35"/>
        <v>-431</v>
      </c>
      <c r="JD24" s="584"/>
      <c r="JE24" s="594"/>
      <c r="JF24" s="577"/>
      <c r="JG24" s="234">
        <f t="shared" si="36"/>
        <v>-1568</v>
      </c>
      <c r="JH24" s="578"/>
      <c r="JI24" s="579">
        <f t="shared" si="37"/>
        <v>-431</v>
      </c>
      <c r="JJ24" s="247"/>
    </row>
    <row r="25" ht="14.25" customHeight="1">
      <c r="A25" s="158">
        <v>18.0</v>
      </c>
      <c r="B25" s="157" t="s">
        <v>181</v>
      </c>
      <c r="C25" s="253">
        <v>3374120.0</v>
      </c>
      <c r="D25" s="569" t="s">
        <v>331</v>
      </c>
      <c r="E25" s="253"/>
      <c r="F25" s="259">
        <f>'KELURAHAN (DI ISI)'!F91+'KELURAHAN (DI ISI)'!F92+'KELURAHAN (DI ISI)'!F93+'KELURAHAN (DI ISI)'!F94+'KELURAHAN (DI ISI)'!F95+'KELURAHAN (DI ISI)'!F96+'KELURAHAN (DI ISI)'!F97+'KELURAHAN (DI ISI)'!F98</f>
        <v>48</v>
      </c>
      <c r="G25" s="259">
        <f>'KELURAHAN (DI ISI)'!G91+'KELURAHAN (DI ISI)'!G92+'KELURAHAN (DI ISI)'!G93+'KELURAHAN (DI ISI)'!G94+'KELURAHAN (DI ISI)'!G95+'KELURAHAN (DI ISI)'!G96+'KELURAHAN (DI ISI)'!G97+'KELURAHAN (DI ISI)'!G98</f>
        <v>2307</v>
      </c>
      <c r="H25" s="491">
        <f>'KELURAHAN (DI ISI)'!H91+'KELURAHAN (DI ISI)'!H92+'KELURAHAN (DI ISI)'!H93+'KELURAHAN (DI ISI)'!H94+'KELURAHAN (DI ISI)'!H95+'KELURAHAN (DI ISI)'!H96+'KELURAHAN (DI ISI)'!H97+'KELURAHAN (DI ISI)'!H98</f>
        <v>51</v>
      </c>
      <c r="I25" s="491">
        <f t="shared" si="1"/>
        <v>14</v>
      </c>
      <c r="J25" s="491">
        <f t="shared" si="2"/>
        <v>37</v>
      </c>
      <c r="K25" s="491">
        <f>'KELURAHAN (DI ISI)'!I91+'KELURAHAN (DI ISI)'!I92+'KELURAHAN (DI ISI)'!I93+'KELURAHAN (DI ISI)'!I94+'KELURAHAN (DI ISI)'!I95+'KELURAHAN (DI ISI)'!I96+'KELURAHAN (DI ISI)'!I97+'KELURAHAN (DI ISI)'!I98</f>
        <v>0</v>
      </c>
      <c r="L25" s="491">
        <f>'KELURAHAN (DI ISI)'!J91+'KELURAHAN (DI ISI)'!J92+'KELURAHAN (DI ISI)'!J93+'KELURAHAN (DI ISI)'!J94+'KELURAHAN (DI ISI)'!J95+'KELURAHAN (DI ISI)'!J96+'KELURAHAN (DI ISI)'!J97+'KELURAHAN (DI ISI)'!J98</f>
        <v>2</v>
      </c>
      <c r="M25" s="491">
        <f>'KELURAHAN (DI ISI)'!K91+'KELURAHAN (DI ISI)'!K92+'KELURAHAN (DI ISI)'!K93+'KELURAHAN (DI ISI)'!K94+'KELURAHAN (DI ISI)'!K95+'KELURAHAN (DI ISI)'!K96+'KELURAHAN (DI ISI)'!K97+'KELURAHAN (DI ISI)'!K98</f>
        <v>12</v>
      </c>
      <c r="N25" s="491">
        <f>'KELURAHAN (DI ISI)'!L91+'KELURAHAN (DI ISI)'!L92+'KELURAHAN (DI ISI)'!L93+'KELURAHAN (DI ISI)'!L94+'KELURAHAN (DI ISI)'!L95+'KELURAHAN (DI ISI)'!L96+'KELURAHAN (DI ISI)'!L97+'KELURAHAN (DI ISI)'!L98</f>
        <v>37</v>
      </c>
      <c r="O25" s="491">
        <f>'KELURAHAN (DI ISI)'!M91+'KELURAHAN (DI ISI)'!M92+'KELURAHAN (DI ISI)'!M93+'KELURAHAN (DI ISI)'!M94+'KELURAHAN (DI ISI)'!M95+'KELURAHAN (DI ISI)'!M96+'KELURAHAN (DI ISI)'!M97+'KELURAHAN (DI ISI)'!M98</f>
        <v>0</v>
      </c>
      <c r="P25" s="491">
        <f>'KELURAHAN (DI ISI)'!N91+'KELURAHAN (DI ISI)'!N92+'KELURAHAN (DI ISI)'!N93+'KELURAHAN (DI ISI)'!N94+'KELURAHAN (DI ISI)'!N95+'KELURAHAN (DI ISI)'!N96+'KELURAHAN (DI ISI)'!N97+'KELURAHAN (DI ISI)'!N98</f>
        <v>0</v>
      </c>
      <c r="Q25" s="491">
        <f>'KELURAHAN (DI ISI)'!O91+'KELURAHAN (DI ISI)'!O92+'KELURAHAN (DI ISI)'!O93+'KELURAHAN (DI ISI)'!O94+'KELURAHAN (DI ISI)'!O95+'KELURAHAN (DI ISI)'!O96+'KELURAHAN (DI ISI)'!O97+'KELURAHAN (DI ISI)'!O98</f>
        <v>51</v>
      </c>
      <c r="R25" s="491">
        <f>'KELURAHAN (DI ISI)'!P91+'KELURAHAN (DI ISI)'!P92+'KELURAHAN (DI ISI)'!P93+'KELURAHAN (DI ISI)'!P94+'KELURAHAN (DI ISI)'!P95+'KELURAHAN (DI ISI)'!P96+'KELURAHAN (DI ISI)'!P97+'KELURAHAN (DI ISI)'!P98</f>
        <v>51</v>
      </c>
      <c r="S25" s="491">
        <f t="shared" si="3"/>
        <v>14</v>
      </c>
      <c r="T25" s="491">
        <f t="shared" si="4"/>
        <v>37</v>
      </c>
      <c r="U25" s="491">
        <f>'KELURAHAN (DI ISI)'!Q91+'KELURAHAN (DI ISI)'!Q92+'KELURAHAN (DI ISI)'!Q93+'KELURAHAN (DI ISI)'!Q94+'KELURAHAN (DI ISI)'!Q95+'KELURAHAN (DI ISI)'!Q96+'KELURAHAN (DI ISI)'!Q97+'KELURAHAN (DI ISI)'!Q98</f>
        <v>0</v>
      </c>
      <c r="V25" s="491">
        <f>'KELURAHAN (DI ISI)'!R91+'KELURAHAN (DI ISI)'!R92+'KELURAHAN (DI ISI)'!R93+'KELURAHAN (DI ISI)'!R94+'KELURAHAN (DI ISI)'!R95+'KELURAHAN (DI ISI)'!R96+'KELURAHAN (DI ISI)'!R97+'KELURAHAN (DI ISI)'!R98</f>
        <v>2</v>
      </c>
      <c r="W25" s="491">
        <f>'KELURAHAN (DI ISI)'!S91+'KELURAHAN (DI ISI)'!S92+'KELURAHAN (DI ISI)'!S93+'KELURAHAN (DI ISI)'!S94+'KELURAHAN (DI ISI)'!S95+'KELURAHAN (DI ISI)'!S96+'KELURAHAN (DI ISI)'!S97+'KELURAHAN (DI ISI)'!S98</f>
        <v>12</v>
      </c>
      <c r="X25" s="491">
        <f>'KELURAHAN (DI ISI)'!T91+'KELURAHAN (DI ISI)'!T92+'KELURAHAN (DI ISI)'!T93+'KELURAHAN (DI ISI)'!T94+'KELURAHAN (DI ISI)'!T95+'KELURAHAN (DI ISI)'!T96+'KELURAHAN (DI ISI)'!T97+'KELURAHAN (DI ISI)'!T98</f>
        <v>37</v>
      </c>
      <c r="Y25" s="491">
        <f>'KELURAHAN (DI ISI)'!U91+'KELURAHAN (DI ISI)'!U92+'KELURAHAN (DI ISI)'!U93+'KELURAHAN (DI ISI)'!U94+'KELURAHAN (DI ISI)'!U95+'KELURAHAN (DI ISI)'!U96+'KELURAHAN (DI ISI)'!U97+'KELURAHAN (DI ISI)'!U98</f>
        <v>0</v>
      </c>
      <c r="Z25" s="491">
        <f>'KELURAHAN (DI ISI)'!V91+'KELURAHAN (DI ISI)'!V92+'KELURAHAN (DI ISI)'!V93+'KELURAHAN (DI ISI)'!V94+'KELURAHAN (DI ISI)'!V95+'KELURAHAN (DI ISI)'!V96+'KELURAHAN (DI ISI)'!V97+'KELURAHAN (DI ISI)'!V98</f>
        <v>0</v>
      </c>
      <c r="AA25" s="491">
        <f>'KELURAHAN (DI ISI)'!W91+'KELURAHAN (DI ISI)'!W92+'KELURAHAN (DI ISI)'!W93+'KELURAHAN (DI ISI)'!W94+'KELURAHAN (DI ISI)'!W95+'KELURAHAN (DI ISI)'!W96+'KELURAHAN (DI ISI)'!W97+'KELURAHAN (DI ISI)'!W98</f>
        <v>51</v>
      </c>
      <c r="AB25" s="491">
        <f>'KELURAHAN (DI ISI)'!X91+'KELURAHAN (DI ISI)'!X92+'KELURAHAN (DI ISI)'!X93+'KELURAHAN (DI ISI)'!X94+'KELURAHAN (DI ISI)'!X95+'KELURAHAN (DI ISI)'!X96+'KELURAHAN (DI ISI)'!X97+'KELURAHAN (DI ISI)'!X98</f>
        <v>53</v>
      </c>
      <c r="AC25" s="491">
        <f t="shared" si="5"/>
        <v>14</v>
      </c>
      <c r="AD25" s="491">
        <f t="shared" si="6"/>
        <v>39</v>
      </c>
      <c r="AE25" s="491">
        <f>'KELURAHAN (DI ISI)'!Y91+'KELURAHAN (DI ISI)'!Y92+'KELURAHAN (DI ISI)'!Y93+'KELURAHAN (DI ISI)'!Y94+'KELURAHAN (DI ISI)'!Y95+'KELURAHAN (DI ISI)'!Y96+'KELURAHAN (DI ISI)'!Y97+'KELURAHAN (DI ISI)'!Y98</f>
        <v>3</v>
      </c>
      <c r="AF25" s="491">
        <f>'KELURAHAN (DI ISI)'!Z91+'KELURAHAN (DI ISI)'!Z92+'KELURAHAN (DI ISI)'!Z93+'KELURAHAN (DI ISI)'!Z94+'KELURAHAN (DI ISI)'!Z95+'KELURAHAN (DI ISI)'!Z96+'KELURAHAN (DI ISI)'!Z97+'KELURAHAN (DI ISI)'!Z98</f>
        <v>1</v>
      </c>
      <c r="AG25" s="491">
        <f>'KELURAHAN (DI ISI)'!AA91+'KELURAHAN (DI ISI)'!AA92+'KELURAHAN (DI ISI)'!AA93+'KELURAHAN (DI ISI)'!AA94+'KELURAHAN (DI ISI)'!AA95+'KELURAHAN (DI ISI)'!AA96+'KELURAHAN (DI ISI)'!AA97+'KELURAHAN (DI ISI)'!AA98</f>
        <v>10</v>
      </c>
      <c r="AH25" s="491">
        <f>'KELURAHAN (DI ISI)'!AB91+'KELURAHAN (DI ISI)'!AB92+'KELURAHAN (DI ISI)'!AB93+'KELURAHAN (DI ISI)'!AB94+'KELURAHAN (DI ISI)'!AB95+'KELURAHAN (DI ISI)'!AB96+'KELURAHAN (DI ISI)'!AB97+'KELURAHAN (DI ISI)'!AB98</f>
        <v>39</v>
      </c>
      <c r="AI25" s="491">
        <f>'KELURAHAN (DI ISI)'!AC91+'KELURAHAN (DI ISI)'!AC92+'KELURAHAN (DI ISI)'!AC93+'KELURAHAN (DI ISI)'!AC94+'KELURAHAN (DI ISI)'!AC95+'KELURAHAN (DI ISI)'!AC96+'KELURAHAN (DI ISI)'!AC97+'KELURAHAN (DI ISI)'!AC98</f>
        <v>6</v>
      </c>
      <c r="AJ25" s="491">
        <f>'KELURAHAN (DI ISI)'!AD91+'KELURAHAN (DI ISI)'!AD92+'KELURAHAN (DI ISI)'!AD93+'KELURAHAN (DI ISI)'!AD94+'KELURAHAN (DI ISI)'!AD95+'KELURAHAN (DI ISI)'!AD96+'KELURAHAN (DI ISI)'!AD97+'KELURAHAN (DI ISI)'!AD98</f>
        <v>4</v>
      </c>
      <c r="AK25" s="491">
        <f>'KELURAHAN (DI ISI)'!AE91+'KELURAHAN (DI ISI)'!AE92+'KELURAHAN (DI ISI)'!AE93+'KELURAHAN (DI ISI)'!AE94+'KELURAHAN (DI ISI)'!AE95+'KELURAHAN (DI ISI)'!AE96+'KELURAHAN (DI ISI)'!AE97+'KELURAHAN (DI ISI)'!AE98</f>
        <v>43</v>
      </c>
      <c r="AL25" s="491">
        <f>'KELURAHAN (DI ISI)'!AF91+'KELURAHAN (DI ISI)'!AF92+'KELURAHAN (DI ISI)'!AF93+'KELURAHAN (DI ISI)'!AF94+'KELURAHAN (DI ISI)'!AF95+'KELURAHAN (DI ISI)'!AF96+'KELURAHAN (DI ISI)'!AF97+'KELURAHAN (DI ISI)'!AF98</f>
        <v>50</v>
      </c>
      <c r="AM25" s="491">
        <f t="shared" si="7"/>
        <v>18</v>
      </c>
      <c r="AN25" s="491">
        <f t="shared" si="8"/>
        <v>32</v>
      </c>
      <c r="AO25" s="491">
        <f>'KELURAHAN (DI ISI)'!AG91+'KELURAHAN (DI ISI)'!AG92+'KELURAHAN (DI ISI)'!AG93+'KELURAHAN (DI ISI)'!AG94+'KELURAHAN (DI ISI)'!AG95+'KELURAHAN (DI ISI)'!AG96+'KELURAHAN (DI ISI)'!AG97+'KELURAHAN (DI ISI)'!AG98</f>
        <v>2</v>
      </c>
      <c r="AP25" s="491">
        <f>'KELURAHAN (DI ISI)'!AH91+'KELURAHAN (DI ISI)'!AH92+'KELURAHAN (DI ISI)'!AH93+'KELURAHAN (DI ISI)'!AH94+'KELURAHAN (DI ISI)'!AH95+'KELURAHAN (DI ISI)'!AH96+'KELURAHAN (DI ISI)'!AH97+'KELURAHAN (DI ISI)'!AH98</f>
        <v>4</v>
      </c>
      <c r="AQ25" s="491">
        <f>'KELURAHAN (DI ISI)'!AI91+'KELURAHAN (DI ISI)'!AI92+'KELURAHAN (DI ISI)'!AI93+'KELURAHAN (DI ISI)'!AI94+'KELURAHAN (DI ISI)'!AI95+'KELURAHAN (DI ISI)'!AI96+'KELURAHAN (DI ISI)'!AI97+'KELURAHAN (DI ISI)'!AI98</f>
        <v>12</v>
      </c>
      <c r="AR25" s="491">
        <f>'KELURAHAN (DI ISI)'!AJ91+'KELURAHAN (DI ISI)'!AJ92+'KELURAHAN (DI ISI)'!AJ93+'KELURAHAN (DI ISI)'!AJ94+'KELURAHAN (DI ISI)'!AJ95+'KELURAHAN (DI ISI)'!AJ96+'KELURAHAN (DI ISI)'!AJ97+'KELURAHAN (DI ISI)'!AJ98</f>
        <v>32</v>
      </c>
      <c r="AS25" s="491">
        <f>'KELURAHAN (DI ISI)'!AK91+'KELURAHAN (DI ISI)'!AK92+'KELURAHAN (DI ISI)'!AK93+'KELURAHAN (DI ISI)'!AK94+'KELURAHAN (DI ISI)'!AK95+'KELURAHAN (DI ISI)'!AK96+'KELURAHAN (DI ISI)'!AK97+'KELURAHAN (DI ISI)'!AK98</f>
        <v>1</v>
      </c>
      <c r="AT25" s="491">
        <f>'KELURAHAN (DI ISI)'!AL91+'KELURAHAN (DI ISI)'!AL92+'KELURAHAN (DI ISI)'!AL93+'KELURAHAN (DI ISI)'!AL94+'KELURAHAN (DI ISI)'!AL95+'KELURAHAN (DI ISI)'!AL96+'KELURAHAN (DI ISI)'!AL97+'KELURAHAN (DI ISI)'!AL98</f>
        <v>3</v>
      </c>
      <c r="AU25" s="491">
        <f>'KELURAHAN (DI ISI)'!AM91+'KELURAHAN (DI ISI)'!AM92+'KELURAHAN (DI ISI)'!AM93+'KELURAHAN (DI ISI)'!AM94+'KELURAHAN (DI ISI)'!AM95+'KELURAHAN (DI ISI)'!AM96+'KELURAHAN (DI ISI)'!AM97+'KELURAHAN (DI ISI)'!AM98</f>
        <v>46</v>
      </c>
      <c r="AV25" s="491">
        <f>'KELURAHAN (DI ISI)'!AN91+'KELURAHAN (DI ISI)'!AN92+'KELURAHAN (DI ISI)'!AN93+'KELURAHAN (DI ISI)'!AN94+'KELURAHAN (DI ISI)'!AN95+'KELURAHAN (DI ISI)'!AN96+'KELURAHAN (DI ISI)'!AN97+'KELURAHAN (DI ISI)'!AN98</f>
        <v>39</v>
      </c>
      <c r="AW25" s="491">
        <f t="shared" si="9"/>
        <v>16</v>
      </c>
      <c r="AX25" s="491">
        <f t="shared" si="10"/>
        <v>23</v>
      </c>
      <c r="AY25" s="491">
        <f>'KELURAHAN (DI ISI)'!AO91+'KELURAHAN (DI ISI)'!AO92+'KELURAHAN (DI ISI)'!AO93+'KELURAHAN (DI ISI)'!AO94+'KELURAHAN (DI ISI)'!AO95+'KELURAHAN (DI ISI)'!AO96+'KELURAHAN (DI ISI)'!AO97+'KELURAHAN (DI ISI)'!AO98</f>
        <v>1</v>
      </c>
      <c r="AZ25" s="491">
        <f>'KELURAHAN (DI ISI)'!AP91+'KELURAHAN (DI ISI)'!AP92+'KELURAHAN (DI ISI)'!AP93+'KELURAHAN (DI ISI)'!AP94+'KELURAHAN (DI ISI)'!AP95+'KELURAHAN (DI ISI)'!AP96+'KELURAHAN (DI ISI)'!AP97+'KELURAHAN (DI ISI)'!AP98</f>
        <v>4</v>
      </c>
      <c r="BA25" s="491">
        <f>'KELURAHAN (DI ISI)'!AQ91+'KELURAHAN (DI ISI)'!AQ92+'KELURAHAN (DI ISI)'!AQ93+'KELURAHAN (DI ISI)'!AQ94+'KELURAHAN (DI ISI)'!AQ95+'KELURAHAN (DI ISI)'!AQ96+'KELURAHAN (DI ISI)'!AQ97+'KELURAHAN (DI ISI)'!AQ98</f>
        <v>11</v>
      </c>
      <c r="BB25" s="491">
        <f>'KELURAHAN (DI ISI)'!AR91+'KELURAHAN (DI ISI)'!AR92+'KELURAHAN (DI ISI)'!AR93+'KELURAHAN (DI ISI)'!AR94+'KELURAHAN (DI ISI)'!AR95+'KELURAHAN (DI ISI)'!AR96+'KELURAHAN (DI ISI)'!AR97+'KELURAHAN (DI ISI)'!AR98</f>
        <v>23</v>
      </c>
      <c r="BC25" s="491">
        <f>'KELURAHAN (DI ISI)'!AS91+'KELURAHAN (DI ISI)'!AS92+'KELURAHAN (DI ISI)'!AS93+'KELURAHAN (DI ISI)'!AS94+'KELURAHAN (DI ISI)'!AS95+'KELURAHAN (DI ISI)'!AS96+'KELURAHAN (DI ISI)'!AS97+'KELURAHAN (DI ISI)'!AS98</f>
        <v>0</v>
      </c>
      <c r="BD25" s="491">
        <f>'KELURAHAN (DI ISI)'!AT91+'KELURAHAN (DI ISI)'!AT92+'KELURAHAN (DI ISI)'!AT93+'KELURAHAN (DI ISI)'!AT94+'KELURAHAN (DI ISI)'!AT95+'KELURAHAN (DI ISI)'!AT96+'KELURAHAN (DI ISI)'!AT97+'KELURAHAN (DI ISI)'!AT98</f>
        <v>1</v>
      </c>
      <c r="BE25" s="491">
        <f>'KELURAHAN (DI ISI)'!AU91+'KELURAHAN (DI ISI)'!AU92+'KELURAHAN (DI ISI)'!AU93+'KELURAHAN (DI ISI)'!AU94+'KELURAHAN (DI ISI)'!AU95+'KELURAHAN (DI ISI)'!AU96+'KELURAHAN (DI ISI)'!AU97+'KELURAHAN (DI ISI)'!AU98</f>
        <v>38</v>
      </c>
      <c r="BF25" s="491">
        <f>'KELURAHAN (DI ISI)'!AV91+'KELURAHAN (DI ISI)'!AV92+'KELURAHAN (DI ISI)'!AV93+'KELURAHAN (DI ISI)'!AV94+'KELURAHAN (DI ISI)'!AV95+'KELURAHAN (DI ISI)'!AV96+'KELURAHAN (DI ISI)'!AV97+'KELURAHAN (DI ISI)'!AV98</f>
        <v>2265</v>
      </c>
      <c r="BG25" s="491">
        <f>'KELURAHAN (DI ISI)'!AW91+'KELURAHAN (DI ISI)'!AW92+'KELURAHAN (DI ISI)'!AW93+'KELURAHAN (DI ISI)'!AW94+'KELURAHAN (DI ISI)'!AW95+'KELURAHAN (DI ISI)'!AW96+'KELURAHAN (DI ISI)'!AW97+'KELURAHAN (DI ISI)'!AW98</f>
        <v>45</v>
      </c>
      <c r="BH25" s="491">
        <f t="shared" si="11"/>
        <v>6</v>
      </c>
      <c r="BI25" s="495">
        <f t="shared" si="12"/>
        <v>38</v>
      </c>
      <c r="BJ25" s="491">
        <f>'KELURAHAN (DI ISI)'!AX91+'KELURAHAN (DI ISI)'!AX92+'KELURAHAN (DI ISI)'!AX93+'KELURAHAN (DI ISI)'!AX94+'KELURAHAN (DI ISI)'!AX95+'KELURAHAN (DI ISI)'!AX96+'KELURAHAN (DI ISI)'!AX97+'KELURAHAN (DI ISI)'!AX98</f>
        <v>1</v>
      </c>
      <c r="BK25" s="491">
        <f>'KELURAHAN (DI ISI)'!AY91+'KELURAHAN (DI ISI)'!AY92+'KELURAHAN (DI ISI)'!AY93+'KELURAHAN (DI ISI)'!AY94+'KELURAHAN (DI ISI)'!AY95+'KELURAHAN (DI ISI)'!AY96+'KELURAHAN (DI ISI)'!AY97+'KELURAHAN (DI ISI)'!AY98</f>
        <v>0</v>
      </c>
      <c r="BL25" s="491">
        <f>'KELURAHAN (DI ISI)'!AZ91+'KELURAHAN (DI ISI)'!AZ92+'KELURAHAN (DI ISI)'!AZ93+'KELURAHAN (DI ISI)'!AZ94+'KELURAHAN (DI ISI)'!AZ95+'KELURAHAN (DI ISI)'!AZ96+'KELURAHAN (DI ISI)'!AZ97+'KELURAHAN (DI ISI)'!AZ98</f>
        <v>5</v>
      </c>
      <c r="BM25" s="491">
        <f>'KELURAHAN (DI ISI)'!BA91+'KELURAHAN (DI ISI)'!BA92+'KELURAHAN (DI ISI)'!BA93+'KELURAHAN (DI ISI)'!BA94+'KELURAHAN (DI ISI)'!BA95+'KELURAHAN (DI ISI)'!BA96+'KELURAHAN (DI ISI)'!BA97+'KELURAHAN (DI ISI)'!BA98</f>
        <v>38</v>
      </c>
      <c r="BN25" s="491">
        <f>'KELURAHAN (DI ISI)'!BB91+'KELURAHAN (DI ISI)'!BB92+'KELURAHAN (DI ISI)'!BB93+'KELURAHAN (DI ISI)'!BB94+'KELURAHAN (DI ISI)'!BB95+'KELURAHAN (DI ISI)'!BB96+'KELURAHAN (DI ISI)'!BB97+'KELURAHAN (DI ISI)'!BB98</f>
        <v>0</v>
      </c>
      <c r="BO25" s="491">
        <f>'KELURAHAN (DI ISI)'!BC91+'KELURAHAN (DI ISI)'!BC92+'KELURAHAN (DI ISI)'!BC93+'KELURAHAN (DI ISI)'!BC94+'KELURAHAN (DI ISI)'!BC95+'KELURAHAN (DI ISI)'!BC96+'KELURAHAN (DI ISI)'!BC97+'KELURAHAN (DI ISI)'!BC98</f>
        <v>1</v>
      </c>
      <c r="BP25" s="491">
        <f>'KELURAHAN (DI ISI)'!BD91+'KELURAHAN (DI ISI)'!BD92+'KELURAHAN (DI ISI)'!BD93+'KELURAHAN (DI ISI)'!BD94+'KELURAHAN (DI ISI)'!BD95+'KELURAHAN (DI ISI)'!BD96+'KELURAHAN (DI ISI)'!BD97+'KELURAHAN (DI ISI)'!BD98</f>
        <v>0</v>
      </c>
      <c r="BQ25" s="491">
        <f>'KELURAHAN (DI ISI)'!BE91+'KELURAHAN (DI ISI)'!BE92+'KELURAHAN (DI ISI)'!BE93+'KELURAHAN (DI ISI)'!BE94+'KELURAHAN (DI ISI)'!BE95+'KELURAHAN (DI ISI)'!BE96+'KELURAHAN (DI ISI)'!BE97+'KELURAHAN (DI ISI)'!BE98</f>
        <v>0</v>
      </c>
      <c r="BR25" s="491">
        <f>'KELURAHAN (DI ISI)'!BF91+'KELURAHAN (DI ISI)'!BF92+'KELURAHAN (DI ISI)'!BF93+'KELURAHAN (DI ISI)'!BF94+'KELURAHAN (DI ISI)'!BF95+'KELURAHAN (DI ISI)'!BF96+'KELURAHAN (DI ISI)'!BF97+'KELURAHAN (DI ISI)'!BF98</f>
        <v>0</v>
      </c>
      <c r="BS25" s="491">
        <f>'KELURAHAN (DI ISI)'!BG91+'KELURAHAN (DI ISI)'!BG92+'KELURAHAN (DI ISI)'!BG93+'KELURAHAN (DI ISI)'!BG94+'KELURAHAN (DI ISI)'!BG95+'KELURAHAN (DI ISI)'!BG96+'KELURAHAN (DI ISI)'!BG97+'KELURAHAN (DI ISI)'!BG98</f>
        <v>0</v>
      </c>
      <c r="BT25" s="491">
        <f>'KELURAHAN (DI ISI)'!BH91+'KELURAHAN (DI ISI)'!BH92+'KELURAHAN (DI ISI)'!BH93+'KELURAHAN (DI ISI)'!BH94+'KELURAHAN (DI ISI)'!BH95+'KELURAHAN (DI ISI)'!BH96+'KELURAHAN (DI ISI)'!BH97+'KELURAHAN (DI ISI)'!BH98</f>
        <v>0</v>
      </c>
      <c r="BU25" s="491">
        <f>'KELURAHAN (DI ISI)'!BI91+'KELURAHAN (DI ISI)'!BI92+'KELURAHAN (DI ISI)'!BI93+'KELURAHAN (DI ISI)'!BI94+'KELURAHAN (DI ISI)'!BI95+'KELURAHAN (DI ISI)'!BI96+'KELURAHAN (DI ISI)'!BI97+'KELURAHAN (DI ISI)'!BI98</f>
        <v>0</v>
      </c>
      <c r="BV25" s="491">
        <f>'KELURAHAN (DI ISI)'!BJ91+'KELURAHAN (DI ISI)'!BJ92+'KELURAHAN (DI ISI)'!BJ93+'KELURAHAN (DI ISI)'!BJ94+'KELURAHAN (DI ISI)'!BJ95+'KELURAHAN (DI ISI)'!BJ96+'KELURAHAN (DI ISI)'!BJ97+'KELURAHAN (DI ISI)'!BJ98</f>
        <v>0</v>
      </c>
      <c r="BW25" s="491">
        <f>'KELURAHAN (DI ISI)'!BK91+'KELURAHAN (DI ISI)'!BK92+'KELURAHAN (DI ISI)'!BK93+'KELURAHAN (DI ISI)'!BK94+'KELURAHAN (DI ISI)'!BK95+'KELURAHAN (DI ISI)'!BK96+'KELURAHAN (DI ISI)'!BK97+'KELURAHAN (DI ISI)'!BK98</f>
        <v>0</v>
      </c>
      <c r="BX25" s="491">
        <f>'KELURAHAN (DI ISI)'!BL91+'KELURAHAN (DI ISI)'!BL92+'KELURAHAN (DI ISI)'!BL93+'KELURAHAN (DI ISI)'!BL94+'KELURAHAN (DI ISI)'!BL95+'KELURAHAN (DI ISI)'!BL96+'KELURAHAN (DI ISI)'!BL97+'KELURAHAN (DI ISI)'!BL98</f>
        <v>0</v>
      </c>
      <c r="BY25" s="491">
        <f>'KELURAHAN (DI ISI)'!BM91+'KELURAHAN (DI ISI)'!BM92+'KELURAHAN (DI ISI)'!BM93+'KELURAHAN (DI ISI)'!BM94+'KELURAHAN (DI ISI)'!BM95+'KELURAHAN (DI ISI)'!BM96+'KELURAHAN (DI ISI)'!BM97+'KELURAHAN (DI ISI)'!BM98</f>
        <v>0</v>
      </c>
      <c r="BZ25" s="491">
        <f>'KELURAHAN (DI ISI)'!BN91+'KELURAHAN (DI ISI)'!BN92+'KELURAHAN (DI ISI)'!BN93+'KELURAHAN (DI ISI)'!BN94+'KELURAHAN (DI ISI)'!BN95+'KELURAHAN (DI ISI)'!BN96+'KELURAHAN (DI ISI)'!BN97+'KELURAHAN (DI ISI)'!BN98</f>
        <v>0</v>
      </c>
      <c r="CA25" s="491">
        <f>'KELURAHAN (DI ISI)'!BO91+'KELURAHAN (DI ISI)'!BO92+'KELURAHAN (DI ISI)'!BO93+'KELURAHAN (DI ISI)'!BO94+'KELURAHAN (DI ISI)'!BO95+'KELURAHAN (DI ISI)'!BO96+'KELURAHAN (DI ISI)'!BO97+'KELURAHAN (DI ISI)'!BO98</f>
        <v>0</v>
      </c>
      <c r="CB25" s="491">
        <f>'KELURAHAN (DI ISI)'!BP91+'KELURAHAN (DI ISI)'!BP92+'KELURAHAN (DI ISI)'!BP93+'KELURAHAN (DI ISI)'!BP94+'KELURAHAN (DI ISI)'!BP95+'KELURAHAN (DI ISI)'!BP96+'KELURAHAN (DI ISI)'!BP97+'KELURAHAN (DI ISI)'!BP98</f>
        <v>0</v>
      </c>
      <c r="CC25" s="491">
        <f>'KELURAHAN (DI ISI)'!BQ91+'KELURAHAN (DI ISI)'!BQ92+'KELURAHAN (DI ISI)'!BQ93+'KELURAHAN (DI ISI)'!BQ94+'KELURAHAN (DI ISI)'!BQ95+'KELURAHAN (DI ISI)'!BQ96+'KELURAHAN (DI ISI)'!BQ97+'KELURAHAN (DI ISI)'!BQ98</f>
        <v>2283</v>
      </c>
      <c r="CD25" s="491">
        <f>'KELURAHAN (DI ISI)'!BR91+'KELURAHAN (DI ISI)'!BR92+'KELURAHAN (DI ISI)'!BR93+'KELURAHAN (DI ISI)'!BR94+'KELURAHAN (DI ISI)'!BR95+'KELURAHAN (DI ISI)'!BR96+'KELURAHAN (DI ISI)'!BR97+'KELURAHAN (DI ISI)'!BR98</f>
        <v>43</v>
      </c>
      <c r="CE25" s="491">
        <f t="shared" si="13"/>
        <v>3</v>
      </c>
      <c r="CF25" s="491">
        <f t="shared" si="14"/>
        <v>39</v>
      </c>
      <c r="CG25" s="491">
        <f>'KELURAHAN (DI ISI)'!BS91+'KELURAHAN (DI ISI)'!BS92+'KELURAHAN (DI ISI)'!BS93+'KELURAHAN (DI ISI)'!BS94+'KELURAHAN (DI ISI)'!BS95+'KELURAHAN (DI ISI)'!BS96+'KELURAHAN (DI ISI)'!BS97+'KELURAHAN (DI ISI)'!BS98</f>
        <v>0</v>
      </c>
      <c r="CH25" s="491">
        <f>'KELURAHAN (DI ISI)'!BT91+'KELURAHAN (DI ISI)'!BT92+'KELURAHAN (DI ISI)'!BT93+'KELURAHAN (DI ISI)'!BT94+'KELURAHAN (DI ISI)'!BT95+'KELURAHAN (DI ISI)'!BT96+'KELURAHAN (DI ISI)'!BT97+'KELURAHAN (DI ISI)'!BT98</f>
        <v>1</v>
      </c>
      <c r="CI25" s="491">
        <f>'KELURAHAN (DI ISI)'!BU91+'KELURAHAN (DI ISI)'!BU92+'KELURAHAN (DI ISI)'!BU93+'KELURAHAN (DI ISI)'!BU94+'KELURAHAN (DI ISI)'!BU95+'KELURAHAN (DI ISI)'!BU96+'KELURAHAN (DI ISI)'!BU97+'KELURAHAN (DI ISI)'!BU98</f>
        <v>2</v>
      </c>
      <c r="CJ25" s="491">
        <f>'KELURAHAN (DI ISI)'!BV91+'KELURAHAN (DI ISI)'!BV92+'KELURAHAN (DI ISI)'!BV93+'KELURAHAN (DI ISI)'!BV94+'KELURAHAN (DI ISI)'!BV95+'KELURAHAN (DI ISI)'!BV96+'KELURAHAN (DI ISI)'!BV97+'KELURAHAN (DI ISI)'!BV98</f>
        <v>39</v>
      </c>
      <c r="CK25" s="491">
        <f>'KELURAHAN (DI ISI)'!BW91+'KELURAHAN (DI ISI)'!BW92+'KELURAHAN (DI ISI)'!BW93+'KELURAHAN (DI ISI)'!BW94+'KELURAHAN (DI ISI)'!BW95+'KELURAHAN (DI ISI)'!BW96+'KELURAHAN (DI ISI)'!BW97+'KELURAHAN (DI ISI)'!BW98</f>
        <v>0</v>
      </c>
      <c r="CL25" s="491">
        <f>'KELURAHAN (DI ISI)'!BX91+'KELURAHAN (DI ISI)'!BX92+'KELURAHAN (DI ISI)'!BX93+'KELURAHAN (DI ISI)'!BX94+'KELURAHAN (DI ISI)'!BX95+'KELURAHAN (DI ISI)'!BX96+'KELURAHAN (DI ISI)'!BX97+'KELURAHAN (DI ISI)'!BX98</f>
        <v>0</v>
      </c>
      <c r="CM25" s="491">
        <f>'KELURAHAN (DI ISI)'!BY91+'KELURAHAN (DI ISI)'!BY92+'KELURAHAN (DI ISI)'!BY93+'KELURAHAN (DI ISI)'!BY94+'KELURAHAN (DI ISI)'!BY95+'KELURAHAN (DI ISI)'!BY96+'KELURAHAN (DI ISI)'!BY97+'KELURAHAN (DI ISI)'!BY98</f>
        <v>0</v>
      </c>
      <c r="CN25" s="491">
        <f>'KELURAHAN (DI ISI)'!BZ91+'KELURAHAN (DI ISI)'!BZ92+'KELURAHAN (DI ISI)'!BZ93+'KELURAHAN (DI ISI)'!BZ94+'KELURAHAN (DI ISI)'!BZ95+'KELURAHAN (DI ISI)'!BZ96+'KELURAHAN (DI ISI)'!BZ97+'KELURAHAN (DI ISI)'!BZ98</f>
        <v>1</v>
      </c>
      <c r="CO25" s="491">
        <f>'KELURAHAN (DI ISI)'!CA91+'KELURAHAN (DI ISI)'!CA92+'KELURAHAN (DI ISI)'!CA93+'KELURAHAN (DI ISI)'!CA94+'KELURAHAN (DI ISI)'!CA95+'KELURAHAN (DI ISI)'!CA96+'KELURAHAN (DI ISI)'!CA97+'KELURAHAN (DI ISI)'!CA98</f>
        <v>0</v>
      </c>
      <c r="CP25" s="491">
        <f>'KELURAHAN (DI ISI)'!CB91+'KELURAHAN (DI ISI)'!CB92+'KELURAHAN (DI ISI)'!CB93+'KELURAHAN (DI ISI)'!CB94+'KELURAHAN (DI ISI)'!CB95+'KELURAHAN (DI ISI)'!CB96+'KELURAHAN (DI ISI)'!CB97+'KELURAHAN (DI ISI)'!CB98</f>
        <v>0</v>
      </c>
      <c r="CQ25" s="491">
        <f>'KELURAHAN (DI ISI)'!CC91+'KELURAHAN (DI ISI)'!CC92+'KELURAHAN (DI ISI)'!CC93+'KELURAHAN (DI ISI)'!CC94+'KELURAHAN (DI ISI)'!CC95+'KELURAHAN (DI ISI)'!CC96+'KELURAHAN (DI ISI)'!CC97+'KELURAHAN (DI ISI)'!CC98</f>
        <v>0</v>
      </c>
      <c r="CR25" s="491">
        <f>'KELURAHAN (DI ISI)'!CD91+'KELURAHAN (DI ISI)'!CD92+'KELURAHAN (DI ISI)'!CD93+'KELURAHAN (DI ISI)'!CD94+'KELURAHAN (DI ISI)'!CD95+'KELURAHAN (DI ISI)'!CD96+'KELURAHAN (DI ISI)'!CD97+'KELURAHAN (DI ISI)'!CD98</f>
        <v>0</v>
      </c>
      <c r="CS25" s="491">
        <f>'KELURAHAN (DI ISI)'!CE91+'KELURAHAN (DI ISI)'!CE92+'KELURAHAN (DI ISI)'!CE93+'KELURAHAN (DI ISI)'!CE94+'KELURAHAN (DI ISI)'!CE95+'KELURAHAN (DI ISI)'!CE96+'KELURAHAN (DI ISI)'!CE97+'KELURAHAN (DI ISI)'!CE98</f>
        <v>0</v>
      </c>
      <c r="CT25" s="491">
        <f>'KELURAHAN (DI ISI)'!CF91+'KELURAHAN (DI ISI)'!CF92+'KELURAHAN (DI ISI)'!CF93+'KELURAHAN (DI ISI)'!CF94+'KELURAHAN (DI ISI)'!CF95+'KELURAHAN (DI ISI)'!CF96+'KELURAHAN (DI ISI)'!CF97+'KELURAHAN (DI ISI)'!CF98</f>
        <v>0</v>
      </c>
      <c r="CU25" s="491">
        <f>'KELURAHAN (DI ISI)'!CG91+'KELURAHAN (DI ISI)'!CG92+'KELURAHAN (DI ISI)'!CG93+'KELURAHAN (DI ISI)'!CG94+'KELURAHAN (DI ISI)'!CG95+'KELURAHAN (DI ISI)'!CG96+'KELURAHAN (DI ISI)'!CG97+'KELURAHAN (DI ISI)'!CG98</f>
        <v>0</v>
      </c>
      <c r="CV25" s="491">
        <f>'KELURAHAN (DI ISI)'!CH91+'KELURAHAN (DI ISI)'!CH92+'KELURAHAN (DI ISI)'!CH93+'KELURAHAN (DI ISI)'!CH94+'KELURAHAN (DI ISI)'!CH95+'KELURAHAN (DI ISI)'!CH96+'KELURAHAN (DI ISI)'!CH97+'KELURAHAN (DI ISI)'!CH98</f>
        <v>0</v>
      </c>
      <c r="CW25" s="491">
        <f>'KELURAHAN (DI ISI)'!CI91+'KELURAHAN (DI ISI)'!CI92+'KELURAHAN (DI ISI)'!CI93+'KELURAHAN (DI ISI)'!CI94+'KELURAHAN (DI ISI)'!CI95+'KELURAHAN (DI ISI)'!CI96+'KELURAHAN (DI ISI)'!CI97+'KELURAHAN (DI ISI)'!CI98</f>
        <v>0</v>
      </c>
      <c r="CX25" s="491">
        <f>'KELURAHAN (DI ISI)'!CJ91+'KELURAHAN (DI ISI)'!CJ92+'KELURAHAN (DI ISI)'!CJ93+'KELURAHAN (DI ISI)'!CJ94+'KELURAHAN (DI ISI)'!CJ95+'KELURAHAN (DI ISI)'!CJ96+'KELURAHAN (DI ISI)'!CJ97+'KELURAHAN (DI ISI)'!CJ98</f>
        <v>0</v>
      </c>
      <c r="CY25" s="491">
        <f>'KELURAHAN (DI ISI)'!CK91+'KELURAHAN (DI ISI)'!CK92+'KELURAHAN (DI ISI)'!CK93+'KELURAHAN (DI ISI)'!CK94+'KELURAHAN (DI ISI)'!CK95+'KELURAHAN (DI ISI)'!CK96+'KELURAHAN (DI ISI)'!CK97+'KELURAHAN (DI ISI)'!CK98</f>
        <v>0</v>
      </c>
      <c r="CZ25" s="491">
        <f>'KELURAHAN (DI ISI)'!CL91+'KELURAHAN (DI ISI)'!CL92+'KELURAHAN (DI ISI)'!CL93+'KELURAHAN (DI ISI)'!CL94+'KELURAHAN (DI ISI)'!CL95+'KELURAHAN (DI ISI)'!CL96+'KELURAHAN (DI ISI)'!CL97+'KELURAHAN (DI ISI)'!CL98</f>
        <v>2277</v>
      </c>
      <c r="DA25" s="491">
        <f>'KELURAHAN (DI ISI)'!CM91+'KELURAHAN (DI ISI)'!CM92+'KELURAHAN (DI ISI)'!CM93+'KELURAHAN (DI ISI)'!CM94+'KELURAHAN (DI ISI)'!CM95+'KELURAHAN (DI ISI)'!CM96+'KELURAHAN (DI ISI)'!CM97+'KELURAHAN (DI ISI)'!CM98</f>
        <v>799</v>
      </c>
      <c r="DB25" s="491">
        <f>'KELURAHAN (DI ISI)'!CN91+'KELURAHAN (DI ISI)'!CN92+'KELURAHAN (DI ISI)'!CN93+'KELURAHAN (DI ISI)'!CN94+'KELURAHAN (DI ISI)'!CN95+'KELURAHAN (DI ISI)'!CN96+'KELURAHAN (DI ISI)'!CN97+'KELURAHAN (DI ISI)'!CN98</f>
        <v>42</v>
      </c>
      <c r="DC25" s="491">
        <f t="shared" si="15"/>
        <v>3</v>
      </c>
      <c r="DD25" s="491">
        <f t="shared" si="16"/>
        <v>32</v>
      </c>
      <c r="DE25" s="491">
        <f>'KELURAHAN (DI ISI)'!CO91+'KELURAHAN (DI ISI)'!CO92+'KELURAHAN (DI ISI)'!CO93+'KELURAHAN (DI ISI)'!CO94+'KELURAHAN (DI ISI)'!CO95+'KELURAHAN (DI ISI)'!CO96+'KELURAHAN (DI ISI)'!CO97+'KELURAHAN (DI ISI)'!CO98</f>
        <v>0</v>
      </c>
      <c r="DF25" s="491">
        <f>'KELURAHAN (DI ISI)'!CP91+'KELURAHAN (DI ISI)'!CP92+'KELURAHAN (DI ISI)'!CP93+'KELURAHAN (DI ISI)'!CP94+'KELURAHAN (DI ISI)'!CP95+'KELURAHAN (DI ISI)'!CP96+'KELURAHAN (DI ISI)'!CP97+'KELURAHAN (DI ISI)'!CP98</f>
        <v>1</v>
      </c>
      <c r="DG25" s="491">
        <f>'KELURAHAN (DI ISI)'!CQ91+'KELURAHAN (DI ISI)'!CQ92+'KELURAHAN (DI ISI)'!CQ93+'KELURAHAN (DI ISI)'!CQ94+'KELURAHAN (DI ISI)'!CQ95+'KELURAHAN (DI ISI)'!CQ96+'KELURAHAN (DI ISI)'!CQ97+'KELURAHAN (DI ISI)'!CQ98</f>
        <v>2</v>
      </c>
      <c r="DH25" s="491">
        <f>'KELURAHAN (DI ISI)'!CR91+'KELURAHAN (DI ISI)'!CR92+'KELURAHAN (DI ISI)'!CR93+'KELURAHAN (DI ISI)'!CR94+'KELURAHAN (DI ISI)'!CR95+'KELURAHAN (DI ISI)'!CR96+'KELURAHAN (DI ISI)'!CR97+'KELURAHAN (DI ISI)'!CR98</f>
        <v>32</v>
      </c>
      <c r="DI25" s="491">
        <f>'KELURAHAN (DI ISI)'!CS91+'KELURAHAN (DI ISI)'!CS92+'KELURAHAN (DI ISI)'!CS93+'KELURAHAN (DI ISI)'!CS94+'KELURAHAN (DI ISI)'!CS95+'KELURAHAN (DI ISI)'!CS96+'KELURAHAN (DI ISI)'!CS97+'KELURAHAN (DI ISI)'!CS98</f>
        <v>1</v>
      </c>
      <c r="DJ25" s="491">
        <f>'KELURAHAN (DI ISI)'!CT91+'KELURAHAN (DI ISI)'!CT92+'KELURAHAN (DI ISI)'!CT93+'KELURAHAN (DI ISI)'!CT94+'KELURAHAN (DI ISI)'!CT95+'KELURAHAN (DI ISI)'!CT96+'KELURAHAN (DI ISI)'!CT97+'KELURAHAN (DI ISI)'!CT98</f>
        <v>1</v>
      </c>
      <c r="DK25" s="491">
        <f>'KELURAHAN (DI ISI)'!CU91+'KELURAHAN (DI ISI)'!CU92+'KELURAHAN (DI ISI)'!CU93+'KELURAHAN (DI ISI)'!CU94+'KELURAHAN (DI ISI)'!CU95+'KELURAHAN (DI ISI)'!CU96+'KELURAHAN (DI ISI)'!CU97+'KELURAHAN (DI ISI)'!CU98</f>
        <v>3</v>
      </c>
      <c r="DL25" s="491">
        <f>'KELURAHAN (DI ISI)'!CV91+'KELURAHAN (DI ISI)'!CV92+'KELURAHAN (DI ISI)'!CV93+'KELURAHAN (DI ISI)'!CV94+'KELURAHAN (DI ISI)'!CV95+'KELURAHAN (DI ISI)'!CV96+'KELURAHAN (DI ISI)'!CV97+'KELURAHAN (DI ISI)'!CV98</f>
        <v>2</v>
      </c>
      <c r="DM25" s="491">
        <f>'KELURAHAN (DI ISI)'!CW91+'KELURAHAN (DI ISI)'!CW92+'KELURAHAN (DI ISI)'!CW93+'KELURAHAN (DI ISI)'!CW94+'KELURAHAN (DI ISI)'!CW95+'KELURAHAN (DI ISI)'!CW96+'KELURAHAN (DI ISI)'!CW97+'KELURAHAN (DI ISI)'!CW98</f>
        <v>0</v>
      </c>
      <c r="DN25" s="491">
        <f>'KELURAHAN (DI ISI)'!CX91+'KELURAHAN (DI ISI)'!CX92+'KELURAHAN (DI ISI)'!CX93+'KELURAHAN (DI ISI)'!CX94+'KELURAHAN (DI ISI)'!CX95+'KELURAHAN (DI ISI)'!CX96+'KELURAHAN (DI ISI)'!CX97+'KELURAHAN (DI ISI)'!CX98</f>
        <v>0</v>
      </c>
      <c r="DO25" s="491">
        <f>'KELURAHAN (DI ISI)'!CY91+'KELURAHAN (DI ISI)'!CY92+'KELURAHAN (DI ISI)'!CY93+'KELURAHAN (DI ISI)'!CY94+'KELURAHAN (DI ISI)'!CY95+'KELURAHAN (DI ISI)'!CY96+'KELURAHAN (DI ISI)'!CY97+'KELURAHAN (DI ISI)'!CY98</f>
        <v>0</v>
      </c>
      <c r="DP25" s="491">
        <f>'KELURAHAN (DI ISI)'!CZ91+'KELURAHAN (DI ISI)'!CZ92+'KELURAHAN (DI ISI)'!CZ93+'KELURAHAN (DI ISI)'!CZ94+'KELURAHAN (DI ISI)'!CZ95+'KELURAHAN (DI ISI)'!CZ96+'KELURAHAN (DI ISI)'!CZ97+'KELURAHAN (DI ISI)'!CZ98</f>
        <v>8</v>
      </c>
      <c r="DQ25" s="491">
        <f>'KELURAHAN (DI ISI)'!DA91+'KELURAHAN (DI ISI)'!DA92+'KELURAHAN (DI ISI)'!DA93+'KELURAHAN (DI ISI)'!DA94+'KELURAHAN (DI ISI)'!DA95+'KELURAHAN (DI ISI)'!DA96+'KELURAHAN (DI ISI)'!DA97+'KELURAHAN (DI ISI)'!DA98</f>
        <v>0</v>
      </c>
      <c r="DR25" s="491">
        <f>'KELURAHAN (DI ISI)'!DB91+'KELURAHAN (DI ISI)'!DB92+'KELURAHAN (DI ISI)'!DB93+'KELURAHAN (DI ISI)'!DB94+'KELURAHAN (DI ISI)'!DB95+'KELURAHAN (DI ISI)'!DB96+'KELURAHAN (DI ISI)'!DB97+'KELURAHAN (DI ISI)'!DB98</f>
        <v>0</v>
      </c>
      <c r="DS25" s="491">
        <f>'KELURAHAN (DI ISI)'!DC91+'KELURAHAN (DI ISI)'!DC92+'KELURAHAN (DI ISI)'!DC93+'KELURAHAN (DI ISI)'!DC94+'KELURAHAN (DI ISI)'!DC95+'KELURAHAN (DI ISI)'!DC96+'KELURAHAN (DI ISI)'!DC97+'KELURAHAN (DI ISI)'!DC98</f>
        <v>0</v>
      </c>
      <c r="DT25" s="491">
        <f>'KELURAHAN (DI ISI)'!DD91+'KELURAHAN (DI ISI)'!DD92+'KELURAHAN (DI ISI)'!DD93+'KELURAHAN (DI ISI)'!DD94+'KELURAHAN (DI ISI)'!DD95+'KELURAHAN (DI ISI)'!DD96+'KELURAHAN (DI ISI)'!DD97+'KELURAHAN (DI ISI)'!DD98</f>
        <v>0</v>
      </c>
      <c r="DU25" s="491">
        <f>'KELURAHAN (DI ISI)'!DE91+'KELURAHAN (DI ISI)'!DE92+'KELURAHAN (DI ISI)'!DE93+'KELURAHAN (DI ISI)'!DE94+'KELURAHAN (DI ISI)'!DE95+'KELURAHAN (DI ISI)'!DE96+'KELURAHAN (DI ISI)'!DE97+'KELURAHAN (DI ISI)'!DE98</f>
        <v>0</v>
      </c>
      <c r="DV25" s="491">
        <f>'KELURAHAN (DI ISI)'!DF91+'KELURAHAN (DI ISI)'!DF92+'KELURAHAN (DI ISI)'!DF93+'KELURAHAN (DI ISI)'!DF94+'KELURAHAN (DI ISI)'!DF95+'KELURAHAN (DI ISI)'!DF96+'KELURAHAN (DI ISI)'!DF97+'KELURAHAN (DI ISI)'!DF98</f>
        <v>0</v>
      </c>
      <c r="DW25" s="491">
        <f>'KELURAHAN (DI ISI)'!DG91+'KELURAHAN (DI ISI)'!DG92+'KELURAHAN (DI ISI)'!DG93+'KELURAHAN (DI ISI)'!DG94+'KELURAHAN (DI ISI)'!DG95+'KELURAHAN (DI ISI)'!DG96+'KELURAHAN (DI ISI)'!DG97+'KELURAHAN (DI ISI)'!DG98</f>
        <v>8</v>
      </c>
      <c r="DX25" s="491">
        <f>'KELURAHAN (DI ISI)'!DH91+'KELURAHAN (DI ISI)'!DH92+'KELURAHAN (DI ISI)'!DH93+'KELURAHAN (DI ISI)'!DH94+'KELURAHAN (DI ISI)'!DH95+'KELURAHAN (DI ISI)'!DH96+'KELURAHAN (DI ISI)'!DH97+'KELURAHAN (DI ISI)'!DH98</f>
        <v>2176</v>
      </c>
      <c r="DY25" s="491">
        <f>'KELURAHAN (DI ISI)'!DI91+'KELURAHAN (DI ISI)'!DI92+'KELURAHAN (DI ISI)'!DI93+'KELURAHAN (DI ISI)'!DI94+'KELURAHAN (DI ISI)'!DI95+'KELURAHAN (DI ISI)'!DI96+'KELURAHAN (DI ISI)'!DI97+'KELURAHAN (DI ISI)'!DI98</f>
        <v>673</v>
      </c>
      <c r="DZ25" s="491">
        <f>'KELURAHAN (DI ISI)'!DJ91+'KELURAHAN (DI ISI)'!DJ92+'KELURAHAN (DI ISI)'!DJ93+'KELURAHAN (DI ISI)'!DJ94+'KELURAHAN (DI ISI)'!DJ95+'KELURAHAN (DI ISI)'!DJ96+'KELURAHAN (DI ISI)'!DJ97+'KELURAHAN (DI ISI)'!DJ98</f>
        <v>1981</v>
      </c>
      <c r="EA25" s="491">
        <f>'KELURAHAN (DI ISI)'!DK91+'KELURAHAN (DI ISI)'!DK92+'KELURAHAN (DI ISI)'!DK93+'KELURAHAN (DI ISI)'!DK94+'KELURAHAN (DI ISI)'!DK95+'KELURAHAN (DI ISI)'!DK96+'KELURAHAN (DI ISI)'!DK97+'KELURAHAN (DI ISI)'!DK98</f>
        <v>673</v>
      </c>
      <c r="EB25" s="491">
        <f>'KELURAHAN (DI ISI)'!DL91+'KELURAHAN (DI ISI)'!DL92+'KELURAHAN (DI ISI)'!DL93+'KELURAHAN (DI ISI)'!DL94+'KELURAHAN (DI ISI)'!DL95+'KELURAHAN (DI ISI)'!DL96+'KELURAHAN (DI ISI)'!DL97+'KELURAHAN (DI ISI)'!DL98</f>
        <v>46</v>
      </c>
      <c r="EC25" s="491">
        <f>'KELURAHAN (DI ISI)'!DM91+'KELURAHAN (DI ISI)'!DM92+'KELURAHAN (DI ISI)'!DM93+'KELURAHAN (DI ISI)'!DM94+'KELURAHAN (DI ISI)'!DM95+'KELURAHAN (DI ISI)'!DM96+'KELURAHAN (DI ISI)'!DM97+'KELURAHAN (DI ISI)'!DM98</f>
        <v>5</v>
      </c>
      <c r="ED25" s="491">
        <f t="shared" si="17"/>
        <v>41</v>
      </c>
      <c r="EE25" s="491">
        <f>'KELURAHAN (DI ISI)'!DO91+'KELURAHAN (DI ISI)'!DO92+'KELURAHAN (DI ISI)'!DO93+'KELURAHAN (DI ISI)'!DO94+'KELURAHAN (DI ISI)'!DO95+'KELURAHAN (DI ISI)'!DO96+'KELURAHAN (DI ISI)'!DO97+'KELURAHAN (DI ISI)'!DO98</f>
        <v>0</v>
      </c>
      <c r="EF25" s="491">
        <f>'KELURAHAN (DI ISI)'!DP91+'KELURAHAN (DI ISI)'!DP92+'KELURAHAN (DI ISI)'!DP93+'KELURAHAN (DI ISI)'!DP94+'KELURAHAN (DI ISI)'!DP95+'KELURAHAN (DI ISI)'!DP96+'KELURAHAN (DI ISI)'!DP97+'KELURAHAN (DI ISI)'!DP98</f>
        <v>1</v>
      </c>
      <c r="EG25" s="491">
        <f>'KELURAHAN (DI ISI)'!DQ91+'KELURAHAN (DI ISI)'!DQ92+'KELURAHAN (DI ISI)'!DQ93+'KELURAHAN (DI ISI)'!DQ94+'KELURAHAN (DI ISI)'!DQ95+'KELURAHAN (DI ISI)'!DQ96+'KELURAHAN (DI ISI)'!DQ97+'KELURAHAN (DI ISI)'!DQ98</f>
        <v>4</v>
      </c>
      <c r="EH25" s="491">
        <f>'KELURAHAN (DI ISI)'!DR91+'KELURAHAN (DI ISI)'!DR92+'KELURAHAN (DI ISI)'!DR93+'KELURAHAN (DI ISI)'!DR94+'KELURAHAN (DI ISI)'!DR95+'KELURAHAN (DI ISI)'!DR96+'KELURAHAN (DI ISI)'!DR97+'KELURAHAN (DI ISI)'!DR98</f>
        <v>40</v>
      </c>
      <c r="EI25" s="491">
        <f>'KELURAHAN (DI ISI)'!DS91+'KELURAHAN (DI ISI)'!DS92+'KELURAHAN (DI ISI)'!DS93+'KELURAHAN (DI ISI)'!DS94+'KELURAHAN (DI ISI)'!DS95+'KELURAHAN (DI ISI)'!DS96+'KELURAHAN (DI ISI)'!DS97+'KELURAHAN (DI ISI)'!DS98</f>
        <v>0</v>
      </c>
      <c r="EJ25" s="491">
        <f>'KELURAHAN (DI ISI)'!DT91+'KELURAHAN (DI ISI)'!DT92+'KELURAHAN (DI ISI)'!DT93+'KELURAHAN (DI ISI)'!DT94+'KELURAHAN (DI ISI)'!DT95+'KELURAHAN (DI ISI)'!DT96+'KELURAHAN (DI ISI)'!DT97+'KELURAHAN (DI ISI)'!DT98</f>
        <v>0</v>
      </c>
      <c r="EK25" s="491">
        <f>'KELURAHAN (DI ISI)'!DU91+'KELURAHAN (DI ISI)'!DU92+'KELURAHAN (DI ISI)'!DU93+'KELURAHAN (DI ISI)'!DU94+'KELURAHAN (DI ISI)'!DU95+'KELURAHAN (DI ISI)'!DU96+'KELURAHAN (DI ISI)'!DU97+'KELURAHAN (DI ISI)'!DU98</f>
        <v>0</v>
      </c>
      <c r="EL25" s="491">
        <f>'KELURAHAN (DI ISI)'!DV91+'KELURAHAN (DI ISI)'!DV92+'KELURAHAN (DI ISI)'!DV93+'KELURAHAN (DI ISI)'!DV94+'KELURAHAN (DI ISI)'!DV95+'KELURAHAN (DI ISI)'!DV96+'KELURAHAN (DI ISI)'!DV97+'KELURAHAN (DI ISI)'!DV98</f>
        <v>1</v>
      </c>
      <c r="EM25" s="491">
        <f>'KELURAHAN (DI ISI)'!DW91+'KELURAHAN (DI ISI)'!DW92+'KELURAHAN (DI ISI)'!DW93+'KELURAHAN (DI ISI)'!DW94+'KELURAHAN (DI ISI)'!DW95+'KELURAHAN (DI ISI)'!DW96+'KELURAHAN (DI ISI)'!DW97+'KELURAHAN (DI ISI)'!DW98</f>
        <v>0</v>
      </c>
      <c r="EN25" s="491">
        <f>'KELURAHAN (DI ISI)'!DX91+'KELURAHAN (DI ISI)'!DX92+'KELURAHAN (DI ISI)'!DX93+'KELURAHAN (DI ISI)'!DX94+'KELURAHAN (DI ISI)'!DX95+'KELURAHAN (DI ISI)'!DX96+'KELURAHAN (DI ISI)'!DX97+'KELURAHAN (DI ISI)'!DX98</f>
        <v>0</v>
      </c>
      <c r="EO25" s="491">
        <f>'KELURAHAN (DI ISI)'!DY91+'KELURAHAN (DI ISI)'!DY92+'KELURAHAN (DI ISI)'!DY93+'KELURAHAN (DI ISI)'!DY94+'KELURAHAN (DI ISI)'!DY95+'KELURAHAN (DI ISI)'!DY96+'KELURAHAN (DI ISI)'!DY97+'KELURAHAN (DI ISI)'!DY98</f>
        <v>0</v>
      </c>
      <c r="EP25" s="491">
        <f>'KELURAHAN (DI ISI)'!DZ91+'KELURAHAN (DI ISI)'!DZ92+'KELURAHAN (DI ISI)'!DZ93+'KELURAHAN (DI ISI)'!DZ94+'KELURAHAN (DI ISI)'!DZ95+'KELURAHAN (DI ISI)'!DZ96+'KELURAHAN (DI ISI)'!DZ97+'KELURAHAN (DI ISI)'!DZ98</f>
        <v>0</v>
      </c>
      <c r="EQ25" s="491">
        <f>'KELURAHAN (DI ISI)'!EA91+'KELURAHAN (DI ISI)'!EA92+'KELURAHAN (DI ISI)'!EA93+'KELURAHAN (DI ISI)'!EA94+'KELURAHAN (DI ISI)'!EA95+'KELURAHAN (DI ISI)'!EA96+'KELURAHAN (DI ISI)'!EA97+'KELURAHAN (DI ISI)'!EA98</f>
        <v>0</v>
      </c>
      <c r="ER25" s="491">
        <f>'KELURAHAN (DI ISI)'!EB91+'KELURAHAN (DI ISI)'!EB92+'KELURAHAN (DI ISI)'!EB93+'KELURAHAN (DI ISI)'!EB94+'KELURAHAN (DI ISI)'!EB95+'KELURAHAN (DI ISI)'!EB96+'KELURAHAN (DI ISI)'!EB97+'KELURAHAN (DI ISI)'!EB98</f>
        <v>0</v>
      </c>
      <c r="ES25" s="491">
        <f>'KELURAHAN (DI ISI)'!EC91+'KELURAHAN (DI ISI)'!EC92+'KELURAHAN (DI ISI)'!EC93+'KELURAHAN (DI ISI)'!EC94+'KELURAHAN (DI ISI)'!EC95+'KELURAHAN (DI ISI)'!EC96+'KELURAHAN (DI ISI)'!EC97+'KELURAHAN (DI ISI)'!EC98</f>
        <v>0</v>
      </c>
      <c r="ET25" s="491">
        <f>'KELURAHAN (DI ISI)'!ED91+'KELURAHAN (DI ISI)'!ED92+'KELURAHAN (DI ISI)'!ED93+'KELURAHAN (DI ISI)'!ED94+'KELURAHAN (DI ISI)'!ED95+'KELURAHAN (DI ISI)'!ED96+'KELURAHAN (DI ISI)'!ED97+'KELURAHAN (DI ISI)'!ED98</f>
        <v>0</v>
      </c>
      <c r="EU25" s="491">
        <f>'KELURAHAN (DI ISI)'!EE91+'KELURAHAN (DI ISI)'!EE92+'KELURAHAN (DI ISI)'!EE93+'KELURAHAN (DI ISI)'!EE94+'KELURAHAN (DI ISI)'!EE95+'KELURAHAN (DI ISI)'!EE96+'KELURAHAN (DI ISI)'!EE97+'KELURAHAN (DI ISI)'!EE98</f>
        <v>0</v>
      </c>
      <c r="EV25" s="491">
        <f>'KELURAHAN (DI ISI)'!EF91+'KELURAHAN (DI ISI)'!EF92+'KELURAHAN (DI ISI)'!EF93+'KELURAHAN (DI ISI)'!EF94+'KELURAHAN (DI ISI)'!EF95+'KELURAHAN (DI ISI)'!EF96+'KELURAHAN (DI ISI)'!EF97+'KELURAHAN (DI ISI)'!EF98</f>
        <v>0</v>
      </c>
      <c r="EW25" s="491">
        <f>'KELURAHAN (DI ISI)'!EG91+'KELURAHAN (DI ISI)'!EG92+'KELURAHAN (DI ISI)'!EG93+'KELURAHAN (DI ISI)'!EG94+'KELURAHAN (DI ISI)'!EG95+'KELURAHAN (DI ISI)'!EG96+'KELURAHAN (DI ISI)'!EG97+'KELURAHAN (DI ISI)'!EG98</f>
        <v>0</v>
      </c>
      <c r="EX25" s="491">
        <f>'KELURAHAN (DI ISI)'!EH91+'KELURAHAN (DI ISI)'!EH92+'KELURAHAN (DI ISI)'!EH93+'KELURAHAN (DI ISI)'!EH94+'KELURAHAN (DI ISI)'!EH95+'KELURAHAN (DI ISI)'!EH96+'KELURAHAN (DI ISI)'!EH97+'KELURAHAN (DI ISI)'!EH98</f>
        <v>0</v>
      </c>
      <c r="EY25" s="491">
        <f>'KELURAHAN (DI ISI)'!EI91+'KELURAHAN (DI ISI)'!EI92+'KELURAHAN (DI ISI)'!EI93+'KELURAHAN (DI ISI)'!EI94+'KELURAHAN (DI ISI)'!EI95+'KELURAHAN (DI ISI)'!EI96+'KELURAHAN (DI ISI)'!EI97+'KELURAHAN (DI ISI)'!EI98</f>
        <v>2188</v>
      </c>
      <c r="EZ25" s="491">
        <f>'KELURAHAN (DI ISI)'!EJ91+'KELURAHAN (DI ISI)'!EJ92+'KELURAHAN (DI ISI)'!EJ93+'KELURAHAN (DI ISI)'!EJ94+'KELURAHAN (DI ISI)'!EJ95+'KELURAHAN (DI ISI)'!EJ96+'KELURAHAN (DI ISI)'!EJ97+'KELURAHAN (DI ISI)'!EJ98</f>
        <v>682</v>
      </c>
      <c r="FA25" s="491">
        <f>'KELURAHAN (DI ISI)'!EK91+'KELURAHAN (DI ISI)'!EK92+'KELURAHAN (DI ISI)'!EK93+'KELURAHAN (DI ISI)'!EK94+'KELURAHAN (DI ISI)'!EK95+'KELURAHAN (DI ISI)'!EK96+'KELURAHAN (DI ISI)'!EK97+'KELURAHAN (DI ISI)'!EK98</f>
        <v>2014</v>
      </c>
      <c r="FB25" s="491">
        <f>'KELURAHAN (DI ISI)'!EL91+'KELURAHAN (DI ISI)'!EL92+'KELURAHAN (DI ISI)'!EL93+'KELURAHAN (DI ISI)'!EL94+'KELURAHAN (DI ISI)'!EL95+'KELURAHAN (DI ISI)'!EL96+'KELURAHAN (DI ISI)'!EL97+'KELURAHAN (DI ISI)'!EL98</f>
        <v>614</v>
      </c>
      <c r="FC25" s="491">
        <f>'KELURAHAN (DI ISI)'!EM91+'KELURAHAN (DI ISI)'!EM92+'KELURAHAN (DI ISI)'!EM93+'KELURAHAN (DI ISI)'!EM94+'KELURAHAN (DI ISI)'!EM95+'KELURAHAN (DI ISI)'!EM96+'KELURAHAN (DI ISI)'!EM97+'KELURAHAN (DI ISI)'!EM98</f>
        <v>41</v>
      </c>
      <c r="FD25" s="491">
        <f>'KELURAHAN (DI ISI)'!EN91+'KELURAHAN (DI ISI)'!EN92+'KELURAHAN (DI ISI)'!EN93+'KELURAHAN (DI ISI)'!EN94+'KELURAHAN (DI ISI)'!EN95+'KELURAHAN (DI ISI)'!EN96+'KELURAHAN (DI ISI)'!EN97+'KELURAHAN (DI ISI)'!EN98</f>
        <v>3</v>
      </c>
      <c r="FE25" s="491">
        <f t="shared" si="18"/>
        <v>38</v>
      </c>
      <c r="FF25" s="491">
        <f>'KELURAHAN (DI ISI)'!EP91+'KELURAHAN (DI ISI)'!EP92+'KELURAHAN (DI ISI)'!EP93+'KELURAHAN (DI ISI)'!EP94+'KELURAHAN (DI ISI)'!EP95+'KELURAHAN (DI ISI)'!EP96+'KELURAHAN (DI ISI)'!EP97+'KELURAHAN (DI ISI)'!EP98</f>
        <v>0</v>
      </c>
      <c r="FG25" s="491">
        <f>'KELURAHAN (DI ISI)'!EQ91+'KELURAHAN (DI ISI)'!EQ92+'KELURAHAN (DI ISI)'!EQ93+'KELURAHAN (DI ISI)'!EQ94+'KELURAHAN (DI ISI)'!EQ95+'KELURAHAN (DI ISI)'!EQ96+'KELURAHAN (DI ISI)'!EQ97+'KELURAHAN (DI ISI)'!EQ98</f>
        <v>1</v>
      </c>
      <c r="FH25" s="491">
        <f>'KELURAHAN (DI ISI)'!ER91+'KELURAHAN (DI ISI)'!ER92+'KELURAHAN (DI ISI)'!ER93+'KELURAHAN (DI ISI)'!ER94+'KELURAHAN (DI ISI)'!ER95+'KELURAHAN (DI ISI)'!ER96+'KELURAHAN (DI ISI)'!ER97+'KELURAHAN (DI ISI)'!ER98</f>
        <v>2</v>
      </c>
      <c r="FI25" s="491">
        <f>'KELURAHAN (DI ISI)'!ES91+'KELURAHAN (DI ISI)'!ES92+'KELURAHAN (DI ISI)'!ES93+'KELURAHAN (DI ISI)'!ES94+'KELURAHAN (DI ISI)'!ES95+'KELURAHAN (DI ISI)'!ES96+'KELURAHAN (DI ISI)'!ES97+'KELURAHAN (DI ISI)'!ES98</f>
        <v>36</v>
      </c>
      <c r="FJ25" s="491">
        <f>'KELURAHAN (DI ISI)'!ET91+'KELURAHAN (DI ISI)'!ET92+'KELURAHAN (DI ISI)'!ET93+'KELURAHAN (DI ISI)'!ET94+'KELURAHAN (DI ISI)'!ET95+'KELURAHAN (DI ISI)'!ET96+'KELURAHAN (DI ISI)'!ET97+'KELURAHAN (DI ISI)'!ET98</f>
        <v>0</v>
      </c>
      <c r="FK25" s="491">
        <f>'KELURAHAN (DI ISI)'!EU91+'KELURAHAN (DI ISI)'!EU92+'KELURAHAN (DI ISI)'!EU93+'KELURAHAN (DI ISI)'!EU94+'KELURAHAN (DI ISI)'!EU95+'KELURAHAN (DI ISI)'!EU96+'KELURAHAN (DI ISI)'!EU97+'KELURAHAN (DI ISI)'!EU98</f>
        <v>0</v>
      </c>
      <c r="FL25" s="491">
        <f>'KELURAHAN (DI ISI)'!EV91+'KELURAHAN (DI ISI)'!EV92+'KELURAHAN (DI ISI)'!EV93+'KELURAHAN (DI ISI)'!EV94+'KELURAHAN (DI ISI)'!EV95+'KELURAHAN (DI ISI)'!EV96+'KELURAHAN (DI ISI)'!EV97+'KELURAHAN (DI ISI)'!EV98</f>
        <v>0</v>
      </c>
      <c r="FM25" s="491">
        <f>'KELURAHAN (DI ISI)'!EW91+'KELURAHAN (DI ISI)'!EW92+'KELURAHAN (DI ISI)'!EW93+'KELURAHAN (DI ISI)'!EW94+'KELURAHAN (DI ISI)'!EW95+'KELURAHAN (DI ISI)'!EW96+'KELURAHAN (DI ISI)'!EW97+'KELURAHAN (DI ISI)'!EW98</f>
        <v>2</v>
      </c>
      <c r="FN25" s="491">
        <f>'KELURAHAN (DI ISI)'!EX91+'KELURAHAN (DI ISI)'!EX92+'KELURAHAN (DI ISI)'!EX93+'KELURAHAN (DI ISI)'!EX94+'KELURAHAN (DI ISI)'!EX95+'KELURAHAN (DI ISI)'!EX96+'KELURAHAN (DI ISI)'!EX97+'KELURAHAN (DI ISI)'!EX98</f>
        <v>0</v>
      </c>
      <c r="FO25" s="491">
        <f>'KELURAHAN (DI ISI)'!EY91+'KELURAHAN (DI ISI)'!EY92+'KELURAHAN (DI ISI)'!EY93+'KELURAHAN (DI ISI)'!EY94+'KELURAHAN (DI ISI)'!EY95+'KELURAHAN (DI ISI)'!EY96+'KELURAHAN (DI ISI)'!EY97+'KELURAHAN (DI ISI)'!EY98</f>
        <v>0</v>
      </c>
      <c r="FP25" s="491">
        <f>'KELURAHAN (DI ISI)'!EZ91+'KELURAHAN (DI ISI)'!EZ92+'KELURAHAN (DI ISI)'!EZ93+'KELURAHAN (DI ISI)'!EZ94+'KELURAHAN (DI ISI)'!EZ95+'KELURAHAN (DI ISI)'!EZ96+'KELURAHAN (DI ISI)'!EZ97+'KELURAHAN (DI ISI)'!EZ98</f>
        <v>1</v>
      </c>
      <c r="FQ25" s="491">
        <f>'KELURAHAN (DI ISI)'!FA91+'KELURAHAN (DI ISI)'!FA92+'KELURAHAN (DI ISI)'!FA93+'KELURAHAN (DI ISI)'!FA94+'KELURAHAN (DI ISI)'!FA95+'KELURAHAN (DI ISI)'!FA96+'KELURAHAN (DI ISI)'!FA97+'KELURAHAN (DI ISI)'!FA98</f>
        <v>5</v>
      </c>
      <c r="FR25" s="491">
        <f>'KELURAHAN (DI ISI)'!FB91+'KELURAHAN (DI ISI)'!FB92+'KELURAHAN (DI ISI)'!FB93+'KELURAHAN (DI ISI)'!FB94+'KELURAHAN (DI ISI)'!FB95+'KELURAHAN (DI ISI)'!FB96+'KELURAHAN (DI ISI)'!FB97+'KELURAHAN (DI ISI)'!FB98</f>
        <v>0</v>
      </c>
      <c r="FS25" s="491">
        <f>'KELURAHAN (DI ISI)'!FC91+'KELURAHAN (DI ISI)'!FC92+'KELURAHAN (DI ISI)'!FC93+'KELURAHAN (DI ISI)'!FC94+'KELURAHAN (DI ISI)'!FC95+'KELURAHAN (DI ISI)'!FC96+'KELURAHAN (DI ISI)'!FC97+'KELURAHAN (DI ISI)'!FC98</f>
        <v>0</v>
      </c>
      <c r="FT25" s="491">
        <f>'KELURAHAN (DI ISI)'!FD91+'KELURAHAN (DI ISI)'!FD92+'KELURAHAN (DI ISI)'!FD93+'KELURAHAN (DI ISI)'!FD94+'KELURAHAN (DI ISI)'!FD95+'KELURAHAN (DI ISI)'!FD96+'KELURAHAN (DI ISI)'!FD97+'KELURAHAN (DI ISI)'!FD98</f>
        <v>0</v>
      </c>
      <c r="FU25" s="491">
        <f>'KELURAHAN (DI ISI)'!FE91+'KELURAHAN (DI ISI)'!FE92+'KELURAHAN (DI ISI)'!FE93+'KELURAHAN (DI ISI)'!FE94+'KELURAHAN (DI ISI)'!FE95+'KELURAHAN (DI ISI)'!FE96+'KELURAHAN (DI ISI)'!FE97+'KELURAHAN (DI ISI)'!FE98</f>
        <v>0</v>
      </c>
      <c r="FV25" s="491">
        <f>'KELURAHAN (DI ISI)'!FF91+'KELURAHAN (DI ISI)'!FF92+'KELURAHAN (DI ISI)'!FF93+'KELURAHAN (DI ISI)'!FF94+'KELURAHAN (DI ISI)'!FF95+'KELURAHAN (DI ISI)'!FF96+'KELURAHAN (DI ISI)'!FF97+'KELURAHAN (DI ISI)'!FF98</f>
        <v>0</v>
      </c>
      <c r="FW25" s="491">
        <f>'KELURAHAN (DI ISI)'!FG91+'KELURAHAN (DI ISI)'!FG92+'KELURAHAN (DI ISI)'!FG93+'KELURAHAN (DI ISI)'!FG94+'KELURAHAN (DI ISI)'!FG95+'KELURAHAN (DI ISI)'!FG96+'KELURAHAN (DI ISI)'!FG97+'KELURAHAN (DI ISI)'!FG98</f>
        <v>0</v>
      </c>
      <c r="FX25" s="491">
        <f>'KELURAHAN (DI ISI)'!FH91+'KELURAHAN (DI ISI)'!FH92+'KELURAHAN (DI ISI)'!FH93+'KELURAHAN (DI ISI)'!FH94+'KELURAHAN (DI ISI)'!FH95+'KELURAHAN (DI ISI)'!FH96+'KELURAHAN (DI ISI)'!FH97+'KELURAHAN (DI ISI)'!FH98</f>
        <v>6</v>
      </c>
      <c r="FY25" s="491">
        <f>'KELURAHAN (DI ISI)'!FI91+'KELURAHAN (DI ISI)'!FI92+'KELURAHAN (DI ISI)'!FI93+'KELURAHAN (DI ISI)'!FI94+'KELURAHAN (DI ISI)'!FI95+'KELURAHAN (DI ISI)'!FI96+'KELURAHAN (DI ISI)'!FI97+'KELURAHAN (DI ISI)'!FI98</f>
        <v>1</v>
      </c>
      <c r="FZ25" s="491">
        <f>'KELURAHAN (DI ISI)'!FJ91+'KELURAHAN (DI ISI)'!FJ92+'KELURAHAN (DI ISI)'!FJ93+'KELURAHAN (DI ISI)'!FJ94+'KELURAHAN (DI ISI)'!FJ95+'KELURAHAN (DI ISI)'!FJ96+'KELURAHAN (DI ISI)'!FJ97+'KELURAHAN (DI ISI)'!FJ98</f>
        <v>2156</v>
      </c>
      <c r="GA25" s="491">
        <f>'KELURAHAN (DI ISI)'!FK91+'KELURAHAN (DI ISI)'!FK92+'KELURAHAN (DI ISI)'!FK93+'KELURAHAN (DI ISI)'!FK94+'KELURAHAN (DI ISI)'!FK95+'KELURAHAN (DI ISI)'!FK96+'KELURAHAN (DI ISI)'!FK97+'KELURAHAN (DI ISI)'!FK98</f>
        <v>681</v>
      </c>
      <c r="GB25" s="491">
        <f>'KELURAHAN (DI ISI)'!FL91+'KELURAHAN (DI ISI)'!FL92+'KELURAHAN (DI ISI)'!FL93+'KELURAHAN (DI ISI)'!FL94+'KELURAHAN (DI ISI)'!FL95+'KELURAHAN (DI ISI)'!FL96+'KELURAHAN (DI ISI)'!FL97+'KELURAHAN (DI ISI)'!FL98</f>
        <v>2010</v>
      </c>
      <c r="GC25" s="491">
        <f>'KELURAHAN (DI ISI)'!FM91+'KELURAHAN (DI ISI)'!FM92+'KELURAHAN (DI ISI)'!FM93+'KELURAHAN (DI ISI)'!FM94+'KELURAHAN (DI ISI)'!FM95+'KELURAHAN (DI ISI)'!FM96+'KELURAHAN (DI ISI)'!FM97+'KELURAHAN (DI ISI)'!FM98</f>
        <v>622</v>
      </c>
      <c r="GD25" s="570">
        <v>2010.0</v>
      </c>
      <c r="GE25" s="571">
        <f>'KELURAHAN (DI ISI)'!FO91+'KELURAHAN (DI ISI)'!FO92+'KELURAHAN (DI ISI)'!FO93+'KELURAHAN (DI ISI)'!FO94+'KELURAHAN (DI ISI)'!FO95+'KELURAHAN (DI ISI)'!FO96+'KELURAHAN (DI ISI)'!FO97+'KELURAHAN (DI ISI)'!FO98</f>
        <v>42</v>
      </c>
      <c r="GF25" s="571">
        <f>'KELURAHAN (DI ISI)'!FP91+'KELURAHAN (DI ISI)'!FP92+'KELURAHAN (DI ISI)'!FP93+'KELURAHAN (DI ISI)'!FP94+'KELURAHAN (DI ISI)'!FP95+'KELURAHAN (DI ISI)'!FP96+'KELURAHAN (DI ISI)'!FP97+'KELURAHAN (DI ISI)'!FP98</f>
        <v>42</v>
      </c>
      <c r="GG25" s="571">
        <f>'KELURAHAN (DI ISI)'!FP91+'KELURAHAN (DI ISI)'!FP92+'KELURAHAN (DI ISI)'!FP93+'KELURAHAN (DI ISI)'!FP94+'KELURAHAN (DI ISI)'!FP95+'KELURAHAN (DI ISI)'!FP96+'KELURAHAN (DI ISI)'!FP97+'KELURAHAN (DI ISI)'!FP98</f>
        <v>42</v>
      </c>
      <c r="GH25" s="571">
        <f>'KELURAHAN (DI ISI)'!FQ91+'KELURAHAN (DI ISI)'!FQ92+'KELURAHAN (DI ISI)'!FQ93+'KELURAHAN (DI ISI)'!FQ94+'KELURAHAN (DI ISI)'!FQ95+'KELURAHAN (DI ISI)'!FQ96+'KELURAHAN (DI ISI)'!FQ97+'KELURAHAN (DI ISI)'!FQ98</f>
        <v>4</v>
      </c>
      <c r="GI25" s="571">
        <f t="shared" si="19"/>
        <v>38</v>
      </c>
      <c r="GJ25" s="491">
        <f>'KELURAHAN (DI ISI)'!FS91+'KELURAHAN (DI ISI)'!FS92+'KELURAHAN (DI ISI)'!FS93+'KELURAHAN (DI ISI)'!FS94+'KELURAHAN (DI ISI)'!FS95+'KELURAHAN (DI ISI)'!FS96+'KELURAHAN (DI ISI)'!FS97+'KELURAHAN (DI ISI)'!FS98</f>
        <v>0</v>
      </c>
      <c r="GK25" s="491">
        <f>'KELURAHAN (DI ISI)'!FT91+'KELURAHAN (DI ISI)'!FT92+'KELURAHAN (DI ISI)'!FT93+'KELURAHAN (DI ISI)'!FT94+'KELURAHAN (DI ISI)'!FT95+'KELURAHAN (DI ISI)'!FT96+'KELURAHAN (DI ISI)'!FT97+'KELURAHAN (DI ISI)'!FT98</f>
        <v>0</v>
      </c>
      <c r="GL25" s="491">
        <f>'KELURAHAN (DI ISI)'!FU91+'KELURAHAN (DI ISI)'!FU92+'KELURAHAN (DI ISI)'!FU93+'KELURAHAN (DI ISI)'!FU94+'KELURAHAN (DI ISI)'!FU95+'KELURAHAN (DI ISI)'!FU96+'KELURAHAN (DI ISI)'!FU97+'KELURAHAN (DI ISI)'!FU98</f>
        <v>3</v>
      </c>
      <c r="GM25" s="491">
        <f>'KELURAHAN (DI ISI)'!FV91+'KELURAHAN (DI ISI)'!FV92+'KELURAHAN (DI ISI)'!FV93+'KELURAHAN (DI ISI)'!FV94+'KELURAHAN (DI ISI)'!FV95+'KELURAHAN (DI ISI)'!FV96+'KELURAHAN (DI ISI)'!FV97+'KELURAHAN (DI ISI)'!FV98</f>
        <v>37</v>
      </c>
      <c r="GN25" s="491">
        <f>'KELURAHAN (DI ISI)'!FW91+'KELURAHAN (DI ISI)'!FW92+'KELURAHAN (DI ISI)'!FW93+'KELURAHAN (DI ISI)'!FW94+'KELURAHAN (DI ISI)'!FW95+'KELURAHAN (DI ISI)'!FW96+'KELURAHAN (DI ISI)'!FW97+'KELURAHAN (DI ISI)'!FW98</f>
        <v>1</v>
      </c>
      <c r="GO25" s="491">
        <f>'KELURAHAN (DI ISI)'!FX91+'KELURAHAN (DI ISI)'!FX92+'KELURAHAN (DI ISI)'!FX93+'KELURAHAN (DI ISI)'!FX94+'KELURAHAN (DI ISI)'!FX95+'KELURAHAN (DI ISI)'!FX96+'KELURAHAN (DI ISI)'!FX97+'KELURAHAN (DI ISI)'!FX98</f>
        <v>0</v>
      </c>
      <c r="GP25" s="491">
        <f>'KELURAHAN (DI ISI)'!FY91+'KELURAHAN (DI ISI)'!FY92+'KELURAHAN (DI ISI)'!FY93+'KELURAHAN (DI ISI)'!FY94+'KELURAHAN (DI ISI)'!FY95+'KELURAHAN (DI ISI)'!FY96+'KELURAHAN (DI ISI)'!FY97+'KELURAHAN (DI ISI)'!FY98</f>
        <v>0</v>
      </c>
      <c r="GQ25" s="491">
        <f>'KELURAHAN (DI ISI)'!FZ91+'KELURAHAN (DI ISI)'!FZ92+'KELURAHAN (DI ISI)'!FZ93+'KELURAHAN (DI ISI)'!FZ94+'KELURAHAN (DI ISI)'!FZ95+'KELURAHAN (DI ISI)'!FZ96+'KELURAHAN (DI ISI)'!FZ97+'KELURAHAN (DI ISI)'!FZ98</f>
        <v>1</v>
      </c>
      <c r="GR25" s="491">
        <f>'KELURAHAN (DI ISI)'!GA91+'KELURAHAN (DI ISI)'!GA92+'KELURAHAN (DI ISI)'!GA93+'KELURAHAN (DI ISI)'!GA94+'KELURAHAN (DI ISI)'!GA95+'KELURAHAN (DI ISI)'!GA96+'KELURAHAN (DI ISI)'!GA97+'KELURAHAN (DI ISI)'!GA98</f>
        <v>0</v>
      </c>
      <c r="GS25" s="491">
        <f>'KELURAHAN (DI ISI)'!GB91+'KELURAHAN (DI ISI)'!GB92+'KELURAHAN (DI ISI)'!GB93+'KELURAHAN (DI ISI)'!GB94+'KELURAHAN (DI ISI)'!GB95+'KELURAHAN (DI ISI)'!GB96+'KELURAHAN (DI ISI)'!GB97+'KELURAHAN (DI ISI)'!GB98</f>
        <v>0</v>
      </c>
      <c r="GT25" s="491">
        <f>'KELURAHAN (DI ISI)'!GC91+'KELURAHAN (DI ISI)'!GC92+'KELURAHAN (DI ISI)'!GC93+'KELURAHAN (DI ISI)'!GC94+'KELURAHAN (DI ISI)'!GC95+'KELURAHAN (DI ISI)'!GC96+'KELURAHAN (DI ISI)'!GC97+'KELURAHAN (DI ISI)'!GC98</f>
        <v>0</v>
      </c>
      <c r="GU25" s="491">
        <f>'KELURAHAN (DI ISI)'!GD91+'KELURAHAN (DI ISI)'!GD92+'KELURAHAN (DI ISI)'!GD93+'KELURAHAN (DI ISI)'!GD94+'KELURAHAN (DI ISI)'!GD95+'KELURAHAN (DI ISI)'!GD96+'KELURAHAN (DI ISI)'!GD97+'KELURAHAN (DI ISI)'!GD98</f>
        <v>0</v>
      </c>
      <c r="GV25" s="491">
        <f>'KELURAHAN (DI ISI)'!GE91+'KELURAHAN (DI ISI)'!GE92+'KELURAHAN (DI ISI)'!GE93+'KELURAHAN (DI ISI)'!GE94+'KELURAHAN (DI ISI)'!GE95+'KELURAHAN (DI ISI)'!GE96+'KELURAHAN (DI ISI)'!GE97+'KELURAHAN (DI ISI)'!GE98</f>
        <v>0</v>
      </c>
      <c r="GW25" s="491">
        <f>'KELURAHAN (DI ISI)'!GF91+'KELURAHAN (DI ISI)'!GF92+'KELURAHAN (DI ISI)'!GF93+'KELURAHAN (DI ISI)'!GF94+'KELURAHAN (DI ISI)'!GF95+'KELURAHAN (DI ISI)'!GF96+'KELURAHAN (DI ISI)'!GF97+'KELURAHAN (DI ISI)'!GF98</f>
        <v>0</v>
      </c>
      <c r="GX25" s="491">
        <f>'KELURAHAN (DI ISI)'!GG91+'KELURAHAN (DI ISI)'!GG92+'KELURAHAN (DI ISI)'!GG93+'KELURAHAN (DI ISI)'!GG94+'KELURAHAN (DI ISI)'!GG95+'KELURAHAN (DI ISI)'!GG96+'KELURAHAN (DI ISI)'!GG97+'KELURAHAN (DI ISI)'!GG98</f>
        <v>0</v>
      </c>
      <c r="GY25" s="491">
        <f>'KELURAHAN (DI ISI)'!GH91+'KELURAHAN (DI ISI)'!GH92+'KELURAHAN (DI ISI)'!GH93+'KELURAHAN (DI ISI)'!GH94+'KELURAHAN (DI ISI)'!GH95+'KELURAHAN (DI ISI)'!GH96+'KELURAHAN (DI ISI)'!GH97+'KELURAHAN (DI ISI)'!GH98</f>
        <v>0</v>
      </c>
      <c r="GZ25" s="491">
        <f>'KELURAHAN (DI ISI)'!GI91+'KELURAHAN (DI ISI)'!GI92+'KELURAHAN (DI ISI)'!GI93+'KELURAHAN (DI ISI)'!GI94+'KELURAHAN (DI ISI)'!GI95+'KELURAHAN (DI ISI)'!GI96+'KELURAHAN (DI ISI)'!GI97+'KELURAHAN (DI ISI)'!GI98</f>
        <v>1</v>
      </c>
      <c r="HA25" s="491">
        <f>'KELURAHAN (DI ISI)'!GJ91+'KELURAHAN (DI ISI)'!GJ92+'KELURAHAN (DI ISI)'!GJ93+'KELURAHAN (DI ISI)'!GJ94+'KELURAHAN (DI ISI)'!GJ95+'KELURAHAN (DI ISI)'!GJ96+'KELURAHAN (DI ISI)'!GJ97+'KELURAHAN (DI ISI)'!GJ98</f>
        <v>0</v>
      </c>
      <c r="HB25" s="572">
        <f>'KELURAHAN (DI ISI)'!GK91+'KELURAHAN (DI ISI)'!GK92+'KELURAHAN (DI ISI)'!GK93+'KELURAHAN (DI ISI)'!GK94+'KELURAHAN (DI ISI)'!GK95+'KELURAHAN (DI ISI)'!GK96+'KELURAHAN (DI ISI)'!GK97+'KELURAHAN (DI ISI)'!GK98</f>
        <v>1</v>
      </c>
      <c r="HC25" s="572">
        <f>'KELURAHAN (DI ISI)'!GL91+'KELURAHAN (DI ISI)'!GL92+'KELURAHAN (DI ISI)'!GL93+'KELURAHAN (DI ISI)'!GL94+'KELURAHAN (DI ISI)'!GL95+'KELURAHAN (DI ISI)'!GL96+'KELURAHAN (DI ISI)'!GL97+'KELURAHAN (DI ISI)'!GL98</f>
        <v>0</v>
      </c>
      <c r="HD25" s="491">
        <f>'KELURAHAN (DI ISI)'!GM91+'KELURAHAN (DI ISI)'!GM92+'KELURAHAN (DI ISI)'!GM93+'KELURAHAN (DI ISI)'!GM94+'KELURAHAN (DI ISI)'!GM95+'KELURAHAN (DI ISI)'!GM96+'KELURAHAN (DI ISI)'!GM97+'KELURAHAN (DI ISI)'!GM98</f>
        <v>2139</v>
      </c>
      <c r="HE25" s="491">
        <f>'KELURAHAN (DI ISI)'!GN91+'KELURAHAN (DI ISI)'!GN92+'KELURAHAN (DI ISI)'!GN93+'KELURAHAN (DI ISI)'!GN94+'KELURAHAN (DI ISI)'!GN95+'KELURAHAN (DI ISI)'!GN96+'KELURAHAN (DI ISI)'!GN97+'KELURAHAN (DI ISI)'!GN98</f>
        <v>659</v>
      </c>
      <c r="HF25" s="491">
        <f>'KELURAHAN (DI ISI)'!GO91+'KELURAHAN (DI ISI)'!GO92+'KELURAHAN (DI ISI)'!GO93+'KELURAHAN (DI ISI)'!GO94+'KELURAHAN (DI ISI)'!GO95+'KELURAHAN (DI ISI)'!GO96+'KELURAHAN (DI ISI)'!GO97+'KELURAHAN (DI ISI)'!GO98</f>
        <v>2014</v>
      </c>
      <c r="HG25" s="491">
        <f>'KELURAHAN (DI ISI)'!GP91+'KELURAHAN (DI ISI)'!GP92+'KELURAHAN (DI ISI)'!GP93+'KELURAHAN (DI ISI)'!GP94+'KELURAHAN (DI ISI)'!GP95+'KELURAHAN (DI ISI)'!GP96+'KELURAHAN (DI ISI)'!GP97+'KELURAHAN (DI ISI)'!GP98</f>
        <v>612</v>
      </c>
      <c r="HH25" s="570">
        <v>2010.0</v>
      </c>
      <c r="HI25" s="225">
        <f>'KELURAHAN (DI ISI)'!GR91+'KELURAHAN (DI ISI)'!GR92+'KELURAHAN (DI ISI)'!GR93+'KELURAHAN (DI ISI)'!GR94+'KELURAHAN (DI ISI)'!GR95+'KELURAHAN (DI ISI)'!GR96+'KELURAHAN (DI ISI)'!GR97+'KELURAHAN (DI ISI)'!GR98</f>
        <v>41</v>
      </c>
      <c r="HJ25" s="225">
        <f>'KELURAHAN (DI ISI)'!GS91+'KELURAHAN (DI ISI)'!GS92+'KELURAHAN (DI ISI)'!GS93+'KELURAHAN (DI ISI)'!GS94+'KELURAHAN (DI ISI)'!GS95+'KELURAHAN (DI ISI)'!GS96+'KELURAHAN (DI ISI)'!GS97+'KELURAHAN (DI ISI)'!GS98</f>
        <v>4</v>
      </c>
      <c r="HK25" s="573">
        <f>'KELURAHAN (DI ISI)'!GT91+'KELURAHAN (DI ISI)'!GT92+'KELURAHAN (DI ISI)'!GT93+'KELURAHAN (DI ISI)'!GT94+'KELURAHAN (DI ISI)'!GT95+'KELURAHAN (DI ISI)'!GT96+'KELURAHAN (DI ISI)'!GT97+'KELURAHAN (DI ISI)'!GT98</f>
        <v>41</v>
      </c>
      <c r="HL25" s="573">
        <f>'KELURAHAN (DI ISI)'!GU91+'KELURAHAN (DI ISI)'!GU92+'KELURAHAN (DI ISI)'!GU93+'KELURAHAN (DI ISI)'!GU94+'KELURAHAN (DI ISI)'!GU95+'KELURAHAN (DI ISI)'!GU96+'KELURAHAN (DI ISI)'!GU97+'KELURAHAN (DI ISI)'!GU98</f>
        <v>4</v>
      </c>
      <c r="HM25" s="573">
        <f t="shared" si="20"/>
        <v>37</v>
      </c>
      <c r="HN25" s="491">
        <f>'KELURAHAN (DI ISI)'!GW91+'KELURAHAN (DI ISI)'!GW92+'KELURAHAN (DI ISI)'!GW93+'KELURAHAN (DI ISI)'!GW94+'KELURAHAN (DI ISI)'!GW95+'KELURAHAN (DI ISI)'!GW96+'KELURAHAN (DI ISI)'!GW97+'KELURAHAN (DI ISI)'!GW98</f>
        <v>0</v>
      </c>
      <c r="HO25" s="491">
        <f>'KELURAHAN (DI ISI)'!GX91+'KELURAHAN (DI ISI)'!GX92+'KELURAHAN (DI ISI)'!GX93+'KELURAHAN (DI ISI)'!GX94+'KELURAHAN (DI ISI)'!GX95+'KELURAHAN (DI ISI)'!GX96+'KELURAHAN (DI ISI)'!GX97+'KELURAHAN (DI ISI)'!GX98</f>
        <v>1</v>
      </c>
      <c r="HP25" s="491">
        <f>'KELURAHAN (DI ISI)'!GY91+'KELURAHAN (DI ISI)'!GY92+'KELURAHAN (DI ISI)'!GY93+'KELURAHAN (DI ISI)'!GY94+'KELURAHAN (DI ISI)'!GY95+'KELURAHAN (DI ISI)'!GY96+'KELURAHAN (DI ISI)'!GY97+'KELURAHAN (DI ISI)'!GY98</f>
        <v>3</v>
      </c>
      <c r="HQ25" s="491">
        <f>'KELURAHAN (DI ISI)'!GZ91+'KELURAHAN (DI ISI)'!GZ92+'KELURAHAN (DI ISI)'!GZ93+'KELURAHAN (DI ISI)'!GZ94+'KELURAHAN (DI ISI)'!GZ95+'KELURAHAN (DI ISI)'!GZ96+'KELURAHAN (DI ISI)'!GZ97+'KELURAHAN (DI ISI)'!GZ98</f>
        <v>37</v>
      </c>
      <c r="HR25" s="491">
        <f>'KELURAHAN (DI ISI)'!HA91+'KELURAHAN (DI ISI)'!HA92+'KELURAHAN (DI ISI)'!HA93+'KELURAHAN (DI ISI)'!HA94+'KELURAHAN (DI ISI)'!HA95+'KELURAHAN (DI ISI)'!HA96+'KELURAHAN (DI ISI)'!HA97+'KELURAHAN (DI ISI)'!HA98</f>
        <v>0</v>
      </c>
      <c r="HS25" s="491">
        <f>'KELURAHAN (DI ISI)'!HB91+'KELURAHAN (DI ISI)'!HB92+'KELURAHAN (DI ISI)'!HB93+'KELURAHAN (DI ISI)'!HB94+'KELURAHAN (DI ISI)'!HB95+'KELURAHAN (DI ISI)'!HB96+'KELURAHAN (DI ISI)'!HB97+'KELURAHAN (DI ISI)'!HB98</f>
        <v>0</v>
      </c>
      <c r="HT25" s="491">
        <f>'KELURAHAN (DI ISI)'!HC91+'KELURAHAN (DI ISI)'!HC92+'KELURAHAN (DI ISI)'!HC93+'KELURAHAN (DI ISI)'!HC94+'KELURAHAN (DI ISI)'!HC95+'KELURAHAN (DI ISI)'!HC96+'KELURAHAN (DI ISI)'!HC97+'KELURAHAN (DI ISI)'!HC98</f>
        <v>0</v>
      </c>
      <c r="HU25" s="491">
        <f>'KELURAHAN (DI ISI)'!HD91+'KELURAHAN (DI ISI)'!HD92+'KELURAHAN (DI ISI)'!HD93+'KELURAHAN (DI ISI)'!HD94+'KELURAHAN (DI ISI)'!HD95+'KELURAHAN (DI ISI)'!HD96+'KELURAHAN (DI ISI)'!HD97+'KELURAHAN (DI ISI)'!HD98</f>
        <v>0</v>
      </c>
      <c r="HV25" s="491">
        <f>'KELURAHAN (DI ISI)'!HE91+'KELURAHAN (DI ISI)'!HE92+'KELURAHAN (DI ISI)'!HE93+'KELURAHAN (DI ISI)'!HE94+'KELURAHAN (DI ISI)'!HE95+'KELURAHAN (DI ISI)'!HE96+'KELURAHAN (DI ISI)'!HE97+'KELURAHAN (DI ISI)'!HE98</f>
        <v>0</v>
      </c>
      <c r="HW25" s="491">
        <f>'KELURAHAN (DI ISI)'!HF91+'KELURAHAN (DI ISI)'!HF92+'KELURAHAN (DI ISI)'!HF93+'KELURAHAN (DI ISI)'!HF94+'KELURAHAN (DI ISI)'!HF95+'KELURAHAN (DI ISI)'!HF96+'KELURAHAN (DI ISI)'!HF97+'KELURAHAN (DI ISI)'!HF98</f>
        <v>0</v>
      </c>
      <c r="HX25" s="491">
        <f>'KELURAHAN (DI ISI)'!HG91+'KELURAHAN (DI ISI)'!HG92+'KELURAHAN (DI ISI)'!HG93+'KELURAHAN (DI ISI)'!HG94+'KELURAHAN (DI ISI)'!HG95+'KELURAHAN (DI ISI)'!HG96+'KELURAHAN (DI ISI)'!HG97+'KELURAHAN (DI ISI)'!HG98</f>
        <v>0</v>
      </c>
      <c r="HY25" s="491">
        <f>'KELURAHAN (DI ISI)'!HH91+'KELURAHAN (DI ISI)'!HH92+'KELURAHAN (DI ISI)'!HH93+'KELURAHAN (DI ISI)'!HH94+'KELURAHAN (DI ISI)'!HH95+'KELURAHAN (DI ISI)'!HH96+'KELURAHAN (DI ISI)'!HH97+'KELURAHAN (DI ISI)'!HH98</f>
        <v>1</v>
      </c>
      <c r="HZ25" s="491">
        <f>'KELURAHAN (DI ISI)'!HI91+'KELURAHAN (DI ISI)'!HI92+'KELURAHAN (DI ISI)'!HI93+'KELURAHAN (DI ISI)'!HI94+'KELURAHAN (DI ISI)'!HI95+'KELURAHAN (DI ISI)'!HI96+'KELURAHAN (DI ISI)'!HI97+'KELURAHAN (DI ISI)'!HI98</f>
        <v>0</v>
      </c>
      <c r="IA25" s="491">
        <f>'KELURAHAN (DI ISI)'!HJ91+'KELURAHAN (DI ISI)'!HJ92+'KELURAHAN (DI ISI)'!HJ93+'KELURAHAN (DI ISI)'!HJ94+'KELURAHAN (DI ISI)'!HJ95+'KELURAHAN (DI ISI)'!HJ96+'KELURAHAN (DI ISI)'!HJ97+'KELURAHAN (DI ISI)'!HJ98</f>
        <v>0</v>
      </c>
      <c r="IB25" s="491">
        <f>'KELURAHAN (DI ISI)'!HK91+'KELURAHAN (DI ISI)'!HK92+'KELURAHAN (DI ISI)'!HK93+'KELURAHAN (DI ISI)'!HK94+'KELURAHAN (DI ISI)'!HK95+'KELURAHAN (DI ISI)'!HK96+'KELURAHAN (DI ISI)'!HK97+'KELURAHAN (DI ISI)'!HK98</f>
        <v>0</v>
      </c>
      <c r="IC25" s="491">
        <f>'KELURAHAN (DI ISI)'!HL91+'KELURAHAN (DI ISI)'!HL92+'KELURAHAN (DI ISI)'!HL93+'KELURAHAN (DI ISI)'!HL94+'KELURAHAN (DI ISI)'!HL95+'KELURAHAN (DI ISI)'!HL96+'KELURAHAN (DI ISI)'!HL97+'KELURAHAN (DI ISI)'!HL98</f>
        <v>0</v>
      </c>
      <c r="ID25" s="491">
        <f>'KELURAHAN (DI ISI)'!HM91+'KELURAHAN (DI ISI)'!HM92+'KELURAHAN (DI ISI)'!HM93+'KELURAHAN (DI ISI)'!HM94+'KELURAHAN (DI ISI)'!HM95+'KELURAHAN (DI ISI)'!HM96+'KELURAHAN (DI ISI)'!HM97+'KELURAHAN (DI ISI)'!HM98</f>
        <v>0</v>
      </c>
      <c r="IE25" s="491">
        <f>'KELURAHAN (DI ISI)'!HN91+'KELURAHAN (DI ISI)'!HN92+'KELURAHAN (DI ISI)'!HN93+'KELURAHAN (DI ISI)'!HN94+'KELURAHAN (DI ISI)'!HN95+'KELURAHAN (DI ISI)'!HN96+'KELURAHAN (DI ISI)'!HN97+'KELURAHAN (DI ISI)'!HN98</f>
        <v>0</v>
      </c>
      <c r="IF25" s="573">
        <f>'KELURAHAN (DI ISI)'!HO91+'KELURAHAN (DI ISI)'!HO92+'KELURAHAN (DI ISI)'!HO93+'KELURAHAN (DI ISI)'!HO94+'KELURAHAN (DI ISI)'!HO95+'KELURAHAN (DI ISI)'!HO96+'KELURAHAN (DI ISI)'!HO97+'KELURAHAN (DI ISI)'!HO98</f>
        <v>1</v>
      </c>
      <c r="IG25" s="573">
        <f>'KELURAHAN (DI ISI)'!HP91+'KELURAHAN (DI ISI)'!HP92+'KELURAHAN (DI ISI)'!HP93+'KELURAHAN (DI ISI)'!HP94+'KELURAHAN (DI ISI)'!HP95+'KELURAHAN (DI ISI)'!HP96+'KELURAHAN (DI ISI)'!HP97+'KELURAHAN (DI ISI)'!HP98</f>
        <v>0</v>
      </c>
      <c r="IK25" s="198">
        <f t="shared" si="21"/>
        <v>51</v>
      </c>
      <c r="IL25" s="198">
        <f t="shared" si="22"/>
        <v>51</v>
      </c>
      <c r="IM25" s="198">
        <f t="shared" si="23"/>
        <v>53</v>
      </c>
      <c r="IN25" s="198">
        <f t="shared" si="24"/>
        <v>50</v>
      </c>
      <c r="IO25" s="198">
        <f t="shared" si="25"/>
        <v>39</v>
      </c>
      <c r="IP25" s="198">
        <f t="shared" si="26"/>
        <v>45</v>
      </c>
      <c r="IQ25" s="574">
        <f t="shared" si="27"/>
        <v>43</v>
      </c>
      <c r="IR25" s="574">
        <f t="shared" si="28"/>
        <v>42</v>
      </c>
      <c r="IS25" s="574">
        <f t="shared" si="29"/>
        <v>46</v>
      </c>
      <c r="IT25" s="574">
        <f t="shared" si="30"/>
        <v>41</v>
      </c>
      <c r="IU25" s="574">
        <f t="shared" si="31"/>
        <v>42</v>
      </c>
      <c r="IV25" s="575">
        <f t="shared" si="32"/>
        <v>41</v>
      </c>
      <c r="IW25" s="583"/>
      <c r="IX25" s="576">
        <f t="shared" si="33"/>
        <v>-41</v>
      </c>
      <c r="IZ25" s="577"/>
      <c r="JA25" s="162">
        <f t="shared" si="34"/>
        <v>-2139</v>
      </c>
      <c r="JB25" s="578"/>
      <c r="JC25" s="579">
        <f t="shared" si="35"/>
        <v>-659</v>
      </c>
      <c r="JD25" s="586"/>
      <c r="JE25" s="585"/>
      <c r="JF25" s="577"/>
      <c r="JG25" s="234">
        <f t="shared" si="36"/>
        <v>-2014</v>
      </c>
      <c r="JH25" s="578"/>
      <c r="JI25" s="579">
        <f t="shared" si="37"/>
        <v>-612</v>
      </c>
      <c r="JJ25" s="582"/>
    </row>
    <row r="26" ht="14.25" customHeight="1">
      <c r="A26" s="158">
        <v>19.0</v>
      </c>
      <c r="B26" s="157" t="s">
        <v>128</v>
      </c>
      <c r="C26" s="253">
        <v>3374120.0</v>
      </c>
      <c r="D26" s="569" t="s">
        <v>332</v>
      </c>
      <c r="E26" s="253"/>
      <c r="F26" s="259">
        <f>'KELURAHAN (DI ISI)'!F52+'KELURAHAN (DI ISI)'!F53+'KELURAHAN (DI ISI)'!F54+'KELURAHAN (DI ISI)'!F55+'KELURAHAN (DI ISI)'!F57+'KELURAHAN (DI ISI)'!F60+'KELURAHAN (DI ISI)'!F61</f>
        <v>48</v>
      </c>
      <c r="G26" s="259">
        <f>'KELURAHAN (DI ISI)'!G52+'KELURAHAN (DI ISI)'!G53+'KELURAHAN (DI ISI)'!G54+'KELURAHAN (DI ISI)'!G55+'KELURAHAN (DI ISI)'!G57+'KELURAHAN (DI ISI)'!G60+'KELURAHAN (DI ISI)'!G61</f>
        <v>2788</v>
      </c>
      <c r="H26" s="259">
        <f>'KELURAHAN (DI ISI)'!H52+'KELURAHAN (DI ISI)'!H53+'KELURAHAN (DI ISI)'!H54+'KELURAHAN (DI ISI)'!H55+'KELURAHAN (DI ISI)'!H57+'KELURAHAN (DI ISI)'!H60+'KELURAHAN (DI ISI)'!H61</f>
        <v>17</v>
      </c>
      <c r="I26" s="491">
        <f t="shared" si="1"/>
        <v>2</v>
      </c>
      <c r="J26" s="491">
        <f t="shared" si="2"/>
        <v>15</v>
      </c>
      <c r="K26" s="491">
        <f>'KELURAHAN (DI ISI)'!I52+'KELURAHAN (DI ISI)'!I53+'KELURAHAN (DI ISI)'!I54+'KELURAHAN (DI ISI)'!I55+'KELURAHAN (DI ISI)'!I57+'KELURAHAN (DI ISI)'!I60+'KELURAHAN (DI ISI)'!I61</f>
        <v>0</v>
      </c>
      <c r="L26" s="491">
        <f>'KELURAHAN (DI ISI)'!J52+'KELURAHAN (DI ISI)'!J53+'KELURAHAN (DI ISI)'!J54+'KELURAHAN (DI ISI)'!J55+'KELURAHAN (DI ISI)'!J57+'KELURAHAN (DI ISI)'!J60+'KELURAHAN (DI ISI)'!J61</f>
        <v>2</v>
      </c>
      <c r="M26" s="491">
        <f>'KELURAHAN (DI ISI)'!K52+'KELURAHAN (DI ISI)'!K53+'KELURAHAN (DI ISI)'!K54+'KELURAHAN (DI ISI)'!K55+'KELURAHAN (DI ISI)'!K57+'KELURAHAN (DI ISI)'!K60+'KELURAHAN (DI ISI)'!K61</f>
        <v>0</v>
      </c>
      <c r="N26" s="491">
        <f>'KELURAHAN (DI ISI)'!L52+'KELURAHAN (DI ISI)'!L53+'KELURAHAN (DI ISI)'!L54+'KELURAHAN (DI ISI)'!L55+'KELURAHAN (DI ISI)'!L57+'KELURAHAN (DI ISI)'!L60+'KELURAHAN (DI ISI)'!L61</f>
        <v>15</v>
      </c>
      <c r="O26" s="491">
        <f>'KELURAHAN (DI ISI)'!M52+'KELURAHAN (DI ISI)'!M53+'KELURAHAN (DI ISI)'!M54+'KELURAHAN (DI ISI)'!M55+'KELURAHAN (DI ISI)'!M57+'KELURAHAN (DI ISI)'!M60+'KELURAHAN (DI ISI)'!M61</f>
        <v>0</v>
      </c>
      <c r="P26" s="491">
        <f>'KELURAHAN (DI ISI)'!N52+'KELURAHAN (DI ISI)'!N53+'KELURAHAN (DI ISI)'!N54+'KELURAHAN (DI ISI)'!N55+'KELURAHAN (DI ISI)'!N57+'KELURAHAN (DI ISI)'!N60+'KELURAHAN (DI ISI)'!N61</f>
        <v>17</v>
      </c>
      <c r="Q26" s="491">
        <f>'KELURAHAN (DI ISI)'!O52+'KELURAHAN (DI ISI)'!O53+'KELURAHAN (DI ISI)'!O54+'KELURAHAN (DI ISI)'!O55+'KELURAHAN (DI ISI)'!O57+'KELURAHAN (DI ISI)'!O60+'KELURAHAN (DI ISI)'!O61</f>
        <v>0</v>
      </c>
      <c r="R26" s="491">
        <f>'KELURAHAN (DI ISI)'!P52+'KELURAHAN (DI ISI)'!P53+'KELURAHAN (DI ISI)'!P54+'KELURAHAN (DI ISI)'!P55+'KELURAHAN (DI ISI)'!P57+'KELURAHAN (DI ISI)'!P60+'KELURAHAN (DI ISI)'!P61</f>
        <v>58</v>
      </c>
      <c r="S26" s="491">
        <f t="shared" si="3"/>
        <v>24</v>
      </c>
      <c r="T26" s="491">
        <f t="shared" si="4"/>
        <v>34</v>
      </c>
      <c r="U26" s="491">
        <f>'KELURAHAN (DI ISI)'!Q52+'KELURAHAN (DI ISI)'!Q53+'KELURAHAN (DI ISI)'!Q54+'KELURAHAN (DI ISI)'!Q55+'KELURAHAN (DI ISI)'!Q57+'KELURAHAN (DI ISI)'!Q60+'KELURAHAN (DI ISI)'!Q61</f>
        <v>1</v>
      </c>
      <c r="V26" s="491">
        <f>'KELURAHAN (DI ISI)'!R52+'KELURAHAN (DI ISI)'!R53+'KELURAHAN (DI ISI)'!R54+'KELURAHAN (DI ISI)'!R55+'KELURAHAN (DI ISI)'!R57+'KELURAHAN (DI ISI)'!R60+'KELURAHAN (DI ISI)'!R61</f>
        <v>1</v>
      </c>
      <c r="W26" s="491">
        <f>'KELURAHAN (DI ISI)'!S52+'KELURAHAN (DI ISI)'!S53+'KELURAHAN (DI ISI)'!S54+'KELURAHAN (DI ISI)'!S55+'KELURAHAN (DI ISI)'!S57+'KELURAHAN (DI ISI)'!S60+'KELURAHAN (DI ISI)'!S61</f>
        <v>22</v>
      </c>
      <c r="X26" s="491">
        <f>'KELURAHAN (DI ISI)'!T52+'KELURAHAN (DI ISI)'!T53+'KELURAHAN (DI ISI)'!T54+'KELURAHAN (DI ISI)'!T55+'KELURAHAN (DI ISI)'!T57+'KELURAHAN (DI ISI)'!T60+'KELURAHAN (DI ISI)'!T61</f>
        <v>34</v>
      </c>
      <c r="Y26" s="491">
        <f>'KELURAHAN (DI ISI)'!U52+'KELURAHAN (DI ISI)'!U53+'KELURAHAN (DI ISI)'!U54+'KELURAHAN (DI ISI)'!U55+'KELURAHAN (DI ISI)'!U57+'KELURAHAN (DI ISI)'!U60+'KELURAHAN (DI ISI)'!U61</f>
        <v>14</v>
      </c>
      <c r="Z26" s="491">
        <f>'KELURAHAN (DI ISI)'!V52+'KELURAHAN (DI ISI)'!V53+'KELURAHAN (DI ISI)'!V54+'KELURAHAN (DI ISI)'!V55+'KELURAHAN (DI ISI)'!V57+'KELURAHAN (DI ISI)'!V60+'KELURAHAN (DI ISI)'!V61</f>
        <v>7</v>
      </c>
      <c r="AA26" s="491">
        <f>'KELURAHAN (DI ISI)'!W52+'KELURAHAN (DI ISI)'!W53+'KELURAHAN (DI ISI)'!W54+'KELURAHAN (DI ISI)'!W55+'KELURAHAN (DI ISI)'!W57+'KELURAHAN (DI ISI)'!W60+'KELURAHAN (DI ISI)'!W61</f>
        <v>37</v>
      </c>
      <c r="AB26" s="491">
        <f>'KELURAHAN (DI ISI)'!X52+'KELURAHAN (DI ISI)'!X53+'KELURAHAN (DI ISI)'!X54+'KELURAHAN (DI ISI)'!X55+'KELURAHAN (DI ISI)'!X57+'KELURAHAN (DI ISI)'!X60+'KELURAHAN (DI ISI)'!X61</f>
        <v>20</v>
      </c>
      <c r="AC26" s="491">
        <f t="shared" si="5"/>
        <v>0</v>
      </c>
      <c r="AD26" s="491">
        <f t="shared" si="6"/>
        <v>20</v>
      </c>
      <c r="AE26" s="491">
        <f>'KELURAHAN (DI ISI)'!Y52+'KELURAHAN (DI ISI)'!Y53+'KELURAHAN (DI ISI)'!Y54+'KELURAHAN (DI ISI)'!Y55+'KELURAHAN (DI ISI)'!Y57+'KELURAHAN (DI ISI)'!Y60+'KELURAHAN (DI ISI)'!Y61</f>
        <v>0</v>
      </c>
      <c r="AF26" s="491">
        <f>'KELURAHAN (DI ISI)'!Z52+'KELURAHAN (DI ISI)'!Z53+'KELURAHAN (DI ISI)'!Z54+'KELURAHAN (DI ISI)'!Z55+'KELURAHAN (DI ISI)'!Z57+'KELURAHAN (DI ISI)'!Z60+'KELURAHAN (DI ISI)'!Z61</f>
        <v>0</v>
      </c>
      <c r="AG26" s="491">
        <f>'KELURAHAN (DI ISI)'!AA52+'KELURAHAN (DI ISI)'!AA53+'KELURAHAN (DI ISI)'!AA54+'KELURAHAN (DI ISI)'!AA55+'KELURAHAN (DI ISI)'!AA57+'KELURAHAN (DI ISI)'!AA60+'KELURAHAN (DI ISI)'!AA61</f>
        <v>0</v>
      </c>
      <c r="AH26" s="491">
        <f>'KELURAHAN (DI ISI)'!AB52+'KELURAHAN (DI ISI)'!AB53+'KELURAHAN (DI ISI)'!AB54+'KELURAHAN (DI ISI)'!AB55+'KELURAHAN (DI ISI)'!AB57+'KELURAHAN (DI ISI)'!AB60+'KELURAHAN (DI ISI)'!AB61</f>
        <v>20</v>
      </c>
      <c r="AI26" s="491">
        <f>'KELURAHAN (DI ISI)'!AC52+'KELURAHAN (DI ISI)'!AC53+'KELURAHAN (DI ISI)'!AC54+'KELURAHAN (DI ISI)'!AC55+'KELURAHAN (DI ISI)'!AC57+'KELURAHAN (DI ISI)'!AC60+'KELURAHAN (DI ISI)'!AC61</f>
        <v>0</v>
      </c>
      <c r="AJ26" s="491">
        <f>'KELURAHAN (DI ISI)'!AD52+'KELURAHAN (DI ISI)'!AD53+'KELURAHAN (DI ISI)'!AD54+'KELURAHAN (DI ISI)'!AD55+'KELURAHAN (DI ISI)'!AD57+'KELURAHAN (DI ISI)'!AD60+'KELURAHAN (DI ISI)'!AD61</f>
        <v>0</v>
      </c>
      <c r="AK26" s="491">
        <f>'KELURAHAN (DI ISI)'!AE52+'KELURAHAN (DI ISI)'!AE53+'KELURAHAN (DI ISI)'!AE54+'KELURAHAN (DI ISI)'!AE55+'KELURAHAN (DI ISI)'!AE57+'KELURAHAN (DI ISI)'!AE60+'KELURAHAN (DI ISI)'!AE61</f>
        <v>20</v>
      </c>
      <c r="AL26" s="491">
        <f>'KELURAHAN (DI ISI)'!AF52+'KELURAHAN (DI ISI)'!AF53+'KELURAHAN (DI ISI)'!AF54+'KELURAHAN (DI ISI)'!AF55+'KELURAHAN (DI ISI)'!AF57+'KELURAHAN (DI ISI)'!AF60+'KELURAHAN (DI ISI)'!AF61</f>
        <v>21</v>
      </c>
      <c r="AM26" s="491">
        <f t="shared" si="7"/>
        <v>0</v>
      </c>
      <c r="AN26" s="491">
        <f t="shared" si="8"/>
        <v>21</v>
      </c>
      <c r="AO26" s="491">
        <f>'KELURAHAN (DI ISI)'!AG52+'KELURAHAN (DI ISI)'!AG53+'KELURAHAN (DI ISI)'!AG54+'KELURAHAN (DI ISI)'!AG55+'KELURAHAN (DI ISI)'!AG57+'KELURAHAN (DI ISI)'!AG60+'KELURAHAN (DI ISI)'!AG61</f>
        <v>0</v>
      </c>
      <c r="AP26" s="491">
        <f>'KELURAHAN (DI ISI)'!AH52+'KELURAHAN (DI ISI)'!AH53+'KELURAHAN (DI ISI)'!AH54+'KELURAHAN (DI ISI)'!AH55+'KELURAHAN (DI ISI)'!AH57+'KELURAHAN (DI ISI)'!AH60+'KELURAHAN (DI ISI)'!AH61</f>
        <v>0</v>
      </c>
      <c r="AQ26" s="491">
        <f>'KELURAHAN (DI ISI)'!AI52+'KELURAHAN (DI ISI)'!AI53+'KELURAHAN (DI ISI)'!AI54+'KELURAHAN (DI ISI)'!AI55+'KELURAHAN (DI ISI)'!AI57+'KELURAHAN (DI ISI)'!AI60+'KELURAHAN (DI ISI)'!AI61</f>
        <v>0</v>
      </c>
      <c r="AR26" s="491">
        <f>'KELURAHAN (DI ISI)'!AJ52+'KELURAHAN (DI ISI)'!AJ53+'KELURAHAN (DI ISI)'!AJ54+'KELURAHAN (DI ISI)'!AJ55+'KELURAHAN (DI ISI)'!AJ57+'KELURAHAN (DI ISI)'!AJ60+'KELURAHAN (DI ISI)'!AJ61</f>
        <v>21</v>
      </c>
      <c r="AS26" s="491">
        <f>'KELURAHAN (DI ISI)'!AK52+'KELURAHAN (DI ISI)'!AK53+'KELURAHAN (DI ISI)'!AK54+'KELURAHAN (DI ISI)'!AK55+'KELURAHAN (DI ISI)'!AK57+'KELURAHAN (DI ISI)'!AK60+'KELURAHAN (DI ISI)'!AK61</f>
        <v>3</v>
      </c>
      <c r="AT26" s="491">
        <f>'KELURAHAN (DI ISI)'!AL52+'KELURAHAN (DI ISI)'!AL53+'KELURAHAN (DI ISI)'!AL54+'KELURAHAN (DI ISI)'!AL55+'KELURAHAN (DI ISI)'!AL57+'KELURAHAN (DI ISI)'!AL60+'KELURAHAN (DI ISI)'!AL61</f>
        <v>2</v>
      </c>
      <c r="AU26" s="491">
        <f>'KELURAHAN (DI ISI)'!AM52+'KELURAHAN (DI ISI)'!AM53+'KELURAHAN (DI ISI)'!AM54+'KELURAHAN (DI ISI)'!AM55+'KELURAHAN (DI ISI)'!AM57+'KELURAHAN (DI ISI)'!AM60+'KELURAHAN (DI ISI)'!AM61</f>
        <v>16</v>
      </c>
      <c r="AV26" s="491">
        <f>'KELURAHAN (DI ISI)'!AN52+'KELURAHAN (DI ISI)'!AN53+'KELURAHAN (DI ISI)'!AN54+'KELURAHAN (DI ISI)'!AN55+'KELURAHAN (DI ISI)'!AN57+'KELURAHAN (DI ISI)'!AN60+'KELURAHAN (DI ISI)'!AN61</f>
        <v>21</v>
      </c>
      <c r="AW26" s="491">
        <f t="shared" si="9"/>
        <v>0</v>
      </c>
      <c r="AX26" s="491">
        <f t="shared" si="10"/>
        <v>21</v>
      </c>
      <c r="AY26" s="491">
        <f>'KELURAHAN (DI ISI)'!AO52+'KELURAHAN (DI ISI)'!AO53+'KELURAHAN (DI ISI)'!AO54+'KELURAHAN (DI ISI)'!AO55+'KELURAHAN (DI ISI)'!AO57+'KELURAHAN (DI ISI)'!AO60+'KELURAHAN (DI ISI)'!AO61</f>
        <v>0</v>
      </c>
      <c r="AZ26" s="491">
        <f>'KELURAHAN (DI ISI)'!AP52+'KELURAHAN (DI ISI)'!AP53+'KELURAHAN (DI ISI)'!AP54+'KELURAHAN (DI ISI)'!AP55+'KELURAHAN (DI ISI)'!AP57+'KELURAHAN (DI ISI)'!AP60+'KELURAHAN (DI ISI)'!AP61</f>
        <v>0</v>
      </c>
      <c r="BA26" s="491">
        <f>'KELURAHAN (DI ISI)'!AQ52+'KELURAHAN (DI ISI)'!AQ53+'KELURAHAN (DI ISI)'!AQ54+'KELURAHAN (DI ISI)'!AQ55+'KELURAHAN (DI ISI)'!AQ57+'KELURAHAN (DI ISI)'!AQ60+'KELURAHAN (DI ISI)'!AQ61</f>
        <v>0</v>
      </c>
      <c r="BB26" s="491">
        <f>'KELURAHAN (DI ISI)'!AR52+'KELURAHAN (DI ISI)'!AR53+'KELURAHAN (DI ISI)'!AR54+'KELURAHAN (DI ISI)'!AR55+'KELURAHAN (DI ISI)'!AR57+'KELURAHAN (DI ISI)'!AR60+'KELURAHAN (DI ISI)'!AR61</f>
        <v>21</v>
      </c>
      <c r="BC26" s="491">
        <f>'KELURAHAN (DI ISI)'!AS52+'KELURAHAN (DI ISI)'!AS53+'KELURAHAN (DI ISI)'!AS54+'KELURAHAN (DI ISI)'!AS55+'KELURAHAN (DI ISI)'!AS57+'KELURAHAN (DI ISI)'!AS60+'KELURAHAN (DI ISI)'!AS61</f>
        <v>0</v>
      </c>
      <c r="BD26" s="491">
        <f>'KELURAHAN (DI ISI)'!AT52+'KELURAHAN (DI ISI)'!AT53+'KELURAHAN (DI ISI)'!AT54+'KELURAHAN (DI ISI)'!AT55+'KELURAHAN (DI ISI)'!AT57+'KELURAHAN (DI ISI)'!AT60+'KELURAHAN (DI ISI)'!AT61</f>
        <v>0</v>
      </c>
      <c r="BE26" s="491">
        <f>'KELURAHAN (DI ISI)'!AU52+'KELURAHAN (DI ISI)'!AU53+'KELURAHAN (DI ISI)'!AU54+'KELURAHAN (DI ISI)'!AU55+'KELURAHAN (DI ISI)'!AU57+'KELURAHAN (DI ISI)'!AU60+'KELURAHAN (DI ISI)'!AU61</f>
        <v>21</v>
      </c>
      <c r="BF26" s="491">
        <f>'KELURAHAN (DI ISI)'!AV52+'KELURAHAN (DI ISI)'!AV53+'KELURAHAN (DI ISI)'!AV54+'KELURAHAN (DI ISI)'!AV55+'KELURAHAN (DI ISI)'!AV57+'KELURAHAN (DI ISI)'!AV60+'KELURAHAN (DI ISI)'!AV61</f>
        <v>2918</v>
      </c>
      <c r="BG26" s="491">
        <f>'KELURAHAN (DI ISI)'!AW52+'KELURAHAN (DI ISI)'!AW53+'KELURAHAN (DI ISI)'!AW54+'KELURAHAN (DI ISI)'!AW55+'KELURAHAN (DI ISI)'!AW57+'KELURAHAN (DI ISI)'!AW60+'KELURAHAN (DI ISI)'!AW61</f>
        <v>13</v>
      </c>
      <c r="BH26" s="491">
        <f t="shared" si="11"/>
        <v>5</v>
      </c>
      <c r="BI26" s="495">
        <f t="shared" si="12"/>
        <v>8</v>
      </c>
      <c r="BJ26" s="491">
        <f>'KELURAHAN (DI ISI)'!AX52+'KELURAHAN (DI ISI)'!AX53+'KELURAHAN (DI ISI)'!AX54+'KELURAHAN (DI ISI)'!AX55+'KELURAHAN (DI ISI)'!AX57+'KELURAHAN (DI ISI)'!AX60+'KELURAHAN (DI ISI)'!AX61</f>
        <v>0</v>
      </c>
      <c r="BK26" s="491">
        <f>'KELURAHAN (DI ISI)'!AY52+'KELURAHAN (DI ISI)'!AY53+'KELURAHAN (DI ISI)'!AY54+'KELURAHAN (DI ISI)'!AY55+'KELURAHAN (DI ISI)'!AY57+'KELURAHAN (DI ISI)'!AY60+'KELURAHAN (DI ISI)'!AY61</f>
        <v>1</v>
      </c>
      <c r="BL26" s="491">
        <f>'KELURAHAN (DI ISI)'!AZ52+'KELURAHAN (DI ISI)'!AZ53+'KELURAHAN (DI ISI)'!AZ54+'KELURAHAN (DI ISI)'!AZ55+'KELURAHAN (DI ISI)'!AZ57+'KELURAHAN (DI ISI)'!AZ60+'KELURAHAN (DI ISI)'!AZ61</f>
        <v>4</v>
      </c>
      <c r="BM26" s="491">
        <f>'KELURAHAN (DI ISI)'!BA52+'KELURAHAN (DI ISI)'!BA53+'KELURAHAN (DI ISI)'!BA54+'KELURAHAN (DI ISI)'!BA55+'KELURAHAN (DI ISI)'!BA57+'KELURAHAN (DI ISI)'!BA60+'KELURAHAN (DI ISI)'!BA61</f>
        <v>8</v>
      </c>
      <c r="BN26" s="491">
        <f>'KELURAHAN (DI ISI)'!BB52+'KELURAHAN (DI ISI)'!BB53+'KELURAHAN (DI ISI)'!BB54+'KELURAHAN (DI ISI)'!BB55+'KELURAHAN (DI ISI)'!BB57+'KELURAHAN (DI ISI)'!BB60+'KELURAHAN (DI ISI)'!BB61</f>
        <v>0</v>
      </c>
      <c r="BO26" s="491">
        <f>'KELURAHAN (DI ISI)'!BC52+'KELURAHAN (DI ISI)'!BC53+'KELURAHAN (DI ISI)'!BC54+'KELURAHAN (DI ISI)'!BC55+'KELURAHAN (DI ISI)'!BC57+'KELURAHAN (DI ISI)'!BC60+'KELURAHAN (DI ISI)'!BC61</f>
        <v>0</v>
      </c>
      <c r="BP26" s="491">
        <f>'KELURAHAN (DI ISI)'!BD52+'KELURAHAN (DI ISI)'!BD53+'KELURAHAN (DI ISI)'!BD54+'KELURAHAN (DI ISI)'!BD55+'KELURAHAN (DI ISI)'!BD57+'KELURAHAN (DI ISI)'!BD60+'KELURAHAN (DI ISI)'!BD61</f>
        <v>0</v>
      </c>
      <c r="BQ26" s="491">
        <f>'KELURAHAN (DI ISI)'!BE52+'KELURAHAN (DI ISI)'!BE53+'KELURAHAN (DI ISI)'!BE54+'KELURAHAN (DI ISI)'!BE55+'KELURAHAN (DI ISI)'!BE57+'KELURAHAN (DI ISI)'!BE60+'KELURAHAN (DI ISI)'!BE61</f>
        <v>0</v>
      </c>
      <c r="BR26" s="491">
        <f>'KELURAHAN (DI ISI)'!BF52+'KELURAHAN (DI ISI)'!BF53+'KELURAHAN (DI ISI)'!BF54+'KELURAHAN (DI ISI)'!BF55+'KELURAHAN (DI ISI)'!BF57+'KELURAHAN (DI ISI)'!BF60+'KELURAHAN (DI ISI)'!BF61</f>
        <v>0</v>
      </c>
      <c r="BS26" s="491">
        <f>'KELURAHAN (DI ISI)'!BG52+'KELURAHAN (DI ISI)'!BG53+'KELURAHAN (DI ISI)'!BG54+'KELURAHAN (DI ISI)'!BG55+'KELURAHAN (DI ISI)'!BG57+'KELURAHAN (DI ISI)'!BG60+'KELURAHAN (DI ISI)'!BG61</f>
        <v>0</v>
      </c>
      <c r="BT26" s="491">
        <f>'KELURAHAN (DI ISI)'!BH52+'KELURAHAN (DI ISI)'!BH53+'KELURAHAN (DI ISI)'!BH54+'KELURAHAN (DI ISI)'!BH55+'KELURAHAN (DI ISI)'!BH57+'KELURAHAN (DI ISI)'!BH60+'KELURAHAN (DI ISI)'!BH61</f>
        <v>0</v>
      </c>
      <c r="BU26" s="491">
        <f>'KELURAHAN (DI ISI)'!BI52+'KELURAHAN (DI ISI)'!BI53+'KELURAHAN (DI ISI)'!BI54+'KELURAHAN (DI ISI)'!BI55+'KELURAHAN (DI ISI)'!BI57+'KELURAHAN (DI ISI)'!BI60+'KELURAHAN (DI ISI)'!BI61</f>
        <v>0</v>
      </c>
      <c r="BV26" s="491">
        <f>'KELURAHAN (DI ISI)'!BJ52+'KELURAHAN (DI ISI)'!BJ53+'KELURAHAN (DI ISI)'!BJ54+'KELURAHAN (DI ISI)'!BJ55+'KELURAHAN (DI ISI)'!BJ57+'KELURAHAN (DI ISI)'!BJ60+'KELURAHAN (DI ISI)'!BJ61</f>
        <v>0</v>
      </c>
      <c r="BW26" s="491">
        <f>'KELURAHAN (DI ISI)'!BK52+'KELURAHAN (DI ISI)'!BK53+'KELURAHAN (DI ISI)'!BK54+'KELURAHAN (DI ISI)'!BK55+'KELURAHAN (DI ISI)'!BK57+'KELURAHAN (DI ISI)'!BK60+'KELURAHAN (DI ISI)'!BK61</f>
        <v>0</v>
      </c>
      <c r="BX26" s="491">
        <f>'KELURAHAN (DI ISI)'!BL52+'KELURAHAN (DI ISI)'!BL53+'KELURAHAN (DI ISI)'!BL54+'KELURAHAN (DI ISI)'!BL55+'KELURAHAN (DI ISI)'!BL57+'KELURAHAN (DI ISI)'!BL60+'KELURAHAN (DI ISI)'!BL61</f>
        <v>0</v>
      </c>
      <c r="BY26" s="491">
        <f>'KELURAHAN (DI ISI)'!BM52+'KELURAHAN (DI ISI)'!BM53+'KELURAHAN (DI ISI)'!BM54+'KELURAHAN (DI ISI)'!BM55+'KELURAHAN (DI ISI)'!BM57+'KELURAHAN (DI ISI)'!BM60+'KELURAHAN (DI ISI)'!BM61</f>
        <v>0</v>
      </c>
      <c r="BZ26" s="491">
        <f>'KELURAHAN (DI ISI)'!BN52+'KELURAHAN (DI ISI)'!BN53+'KELURAHAN (DI ISI)'!BN54+'KELURAHAN (DI ISI)'!BN55+'KELURAHAN (DI ISI)'!BN57+'KELURAHAN (DI ISI)'!BN60+'KELURAHAN (DI ISI)'!BN61</f>
        <v>0</v>
      </c>
      <c r="CA26" s="491">
        <f>'KELURAHAN (DI ISI)'!BO52+'KELURAHAN (DI ISI)'!BO53+'KELURAHAN (DI ISI)'!BO54+'KELURAHAN (DI ISI)'!BO55+'KELURAHAN (DI ISI)'!BO57+'KELURAHAN (DI ISI)'!BO60+'KELURAHAN (DI ISI)'!BO61</f>
        <v>0</v>
      </c>
      <c r="CB26" s="491">
        <f>'KELURAHAN (DI ISI)'!BP52+'KELURAHAN (DI ISI)'!BP53+'KELURAHAN (DI ISI)'!BP54+'KELURAHAN (DI ISI)'!BP55+'KELURAHAN (DI ISI)'!BP57+'KELURAHAN (DI ISI)'!BP60+'KELURAHAN (DI ISI)'!BP61</f>
        <v>0</v>
      </c>
      <c r="CC26" s="491">
        <f>'KELURAHAN (DI ISI)'!BQ52+'KELURAHAN (DI ISI)'!BQ53+'KELURAHAN (DI ISI)'!BQ54+'KELURAHAN (DI ISI)'!BQ55+'KELURAHAN (DI ISI)'!BQ57+'KELURAHAN (DI ISI)'!BQ60+'KELURAHAN (DI ISI)'!BQ61</f>
        <v>2973</v>
      </c>
      <c r="CD26" s="491">
        <f>'KELURAHAN (DI ISI)'!BR52+'KELURAHAN (DI ISI)'!BR53+'KELURAHAN (DI ISI)'!BR54+'KELURAHAN (DI ISI)'!BR55+'KELURAHAN (DI ISI)'!BR57+'KELURAHAN (DI ISI)'!BR60+'KELURAHAN (DI ISI)'!BR61</f>
        <v>13</v>
      </c>
      <c r="CE26" s="491">
        <f t="shared" si="13"/>
        <v>5</v>
      </c>
      <c r="CF26" s="491">
        <f t="shared" si="14"/>
        <v>8</v>
      </c>
      <c r="CG26" s="491">
        <f>'KELURAHAN (DI ISI)'!BS52+'KELURAHAN (DI ISI)'!BS53+'KELURAHAN (DI ISI)'!BS54+'KELURAHAN (DI ISI)'!BS55+'KELURAHAN (DI ISI)'!BS57+'KELURAHAN (DI ISI)'!BS60+'KELURAHAN (DI ISI)'!BS61</f>
        <v>0</v>
      </c>
      <c r="CH26" s="491">
        <f>'KELURAHAN (DI ISI)'!BT52+'KELURAHAN (DI ISI)'!BT53+'KELURAHAN (DI ISI)'!BT54+'KELURAHAN (DI ISI)'!BT55+'KELURAHAN (DI ISI)'!BT57+'KELURAHAN (DI ISI)'!BT60+'KELURAHAN (DI ISI)'!BT61</f>
        <v>1</v>
      </c>
      <c r="CI26" s="491">
        <f>'KELURAHAN (DI ISI)'!BU52+'KELURAHAN (DI ISI)'!BU53+'KELURAHAN (DI ISI)'!BU54+'KELURAHAN (DI ISI)'!BU55+'KELURAHAN (DI ISI)'!BU57+'KELURAHAN (DI ISI)'!BU60+'KELURAHAN (DI ISI)'!BU61</f>
        <v>4</v>
      </c>
      <c r="CJ26" s="491">
        <f>'KELURAHAN (DI ISI)'!BV52+'KELURAHAN (DI ISI)'!BV53+'KELURAHAN (DI ISI)'!BV54+'KELURAHAN (DI ISI)'!BV55+'KELURAHAN (DI ISI)'!BV57+'KELURAHAN (DI ISI)'!BV60+'KELURAHAN (DI ISI)'!BV61</f>
        <v>8</v>
      </c>
      <c r="CK26" s="491">
        <f>'KELURAHAN (DI ISI)'!BW52+'KELURAHAN (DI ISI)'!BW53+'KELURAHAN (DI ISI)'!BW54+'KELURAHAN (DI ISI)'!BW55+'KELURAHAN (DI ISI)'!BW57+'KELURAHAN (DI ISI)'!BW60+'KELURAHAN (DI ISI)'!BW61</f>
        <v>0</v>
      </c>
      <c r="CL26" s="491">
        <f>'KELURAHAN (DI ISI)'!BX52+'KELURAHAN (DI ISI)'!BX53+'KELURAHAN (DI ISI)'!BX54+'KELURAHAN (DI ISI)'!BX55+'KELURAHAN (DI ISI)'!BX57+'KELURAHAN (DI ISI)'!BX60+'KELURAHAN (DI ISI)'!BX61</f>
        <v>0</v>
      </c>
      <c r="CM26" s="491">
        <f>'KELURAHAN (DI ISI)'!BY52+'KELURAHAN (DI ISI)'!BY53+'KELURAHAN (DI ISI)'!BY54+'KELURAHAN (DI ISI)'!BY55+'KELURAHAN (DI ISI)'!BY57+'KELURAHAN (DI ISI)'!BY60+'KELURAHAN (DI ISI)'!BY61</f>
        <v>0</v>
      </c>
      <c r="CN26" s="491">
        <f>'KELURAHAN (DI ISI)'!BZ52+'KELURAHAN (DI ISI)'!BZ53+'KELURAHAN (DI ISI)'!BZ54+'KELURAHAN (DI ISI)'!BZ55+'KELURAHAN (DI ISI)'!BZ57+'KELURAHAN (DI ISI)'!BZ60+'KELURAHAN (DI ISI)'!BZ61</f>
        <v>0</v>
      </c>
      <c r="CO26" s="491">
        <f>'KELURAHAN (DI ISI)'!CA52+'KELURAHAN (DI ISI)'!CA53+'KELURAHAN (DI ISI)'!CA54+'KELURAHAN (DI ISI)'!CA55+'KELURAHAN (DI ISI)'!CA57+'KELURAHAN (DI ISI)'!CA60+'KELURAHAN (DI ISI)'!CA61</f>
        <v>0</v>
      </c>
      <c r="CP26" s="491">
        <f>'KELURAHAN (DI ISI)'!CB52+'KELURAHAN (DI ISI)'!CB53+'KELURAHAN (DI ISI)'!CB54+'KELURAHAN (DI ISI)'!CB55+'KELURAHAN (DI ISI)'!CB57+'KELURAHAN (DI ISI)'!CB60+'KELURAHAN (DI ISI)'!CB61</f>
        <v>0</v>
      </c>
      <c r="CQ26" s="491">
        <f>'KELURAHAN (DI ISI)'!CC52+'KELURAHAN (DI ISI)'!CC53+'KELURAHAN (DI ISI)'!CC54+'KELURAHAN (DI ISI)'!CC55+'KELURAHAN (DI ISI)'!CC57+'KELURAHAN (DI ISI)'!CC60+'KELURAHAN (DI ISI)'!CC61</f>
        <v>0</v>
      </c>
      <c r="CR26" s="491">
        <f>'KELURAHAN (DI ISI)'!CD52+'KELURAHAN (DI ISI)'!CD53+'KELURAHAN (DI ISI)'!CD54+'KELURAHAN (DI ISI)'!CD55+'KELURAHAN (DI ISI)'!CD57+'KELURAHAN (DI ISI)'!CD60+'KELURAHAN (DI ISI)'!CD61</f>
        <v>0</v>
      </c>
      <c r="CS26" s="491">
        <f>'KELURAHAN (DI ISI)'!CE52+'KELURAHAN (DI ISI)'!CE53+'KELURAHAN (DI ISI)'!CE54+'KELURAHAN (DI ISI)'!CE55+'KELURAHAN (DI ISI)'!CE57+'KELURAHAN (DI ISI)'!CE60+'KELURAHAN (DI ISI)'!CE61</f>
        <v>0</v>
      </c>
      <c r="CT26" s="491">
        <f>'KELURAHAN (DI ISI)'!CF52+'KELURAHAN (DI ISI)'!CF53+'KELURAHAN (DI ISI)'!CF54+'KELURAHAN (DI ISI)'!CF55+'KELURAHAN (DI ISI)'!CF57+'KELURAHAN (DI ISI)'!CF60+'KELURAHAN (DI ISI)'!CF61</f>
        <v>0</v>
      </c>
      <c r="CU26" s="491">
        <f>'KELURAHAN (DI ISI)'!CG52+'KELURAHAN (DI ISI)'!CG53+'KELURAHAN (DI ISI)'!CG54+'KELURAHAN (DI ISI)'!CG55+'KELURAHAN (DI ISI)'!CG57+'KELURAHAN (DI ISI)'!CG60+'KELURAHAN (DI ISI)'!CG61</f>
        <v>0</v>
      </c>
      <c r="CV26" s="491">
        <f>'KELURAHAN (DI ISI)'!CH52+'KELURAHAN (DI ISI)'!CH53+'KELURAHAN (DI ISI)'!CH54+'KELURAHAN (DI ISI)'!CH55+'KELURAHAN (DI ISI)'!CH57+'KELURAHAN (DI ISI)'!CH60+'KELURAHAN (DI ISI)'!CH61</f>
        <v>0</v>
      </c>
      <c r="CW26" s="491">
        <f>'KELURAHAN (DI ISI)'!CI52+'KELURAHAN (DI ISI)'!CI53+'KELURAHAN (DI ISI)'!CI54+'KELURAHAN (DI ISI)'!CI55+'KELURAHAN (DI ISI)'!CI57+'KELURAHAN (DI ISI)'!CI60+'KELURAHAN (DI ISI)'!CI61</f>
        <v>0</v>
      </c>
      <c r="CX26" s="491">
        <f>'KELURAHAN (DI ISI)'!CJ52+'KELURAHAN (DI ISI)'!CJ53+'KELURAHAN (DI ISI)'!CJ54+'KELURAHAN (DI ISI)'!CJ55+'KELURAHAN (DI ISI)'!CJ57+'KELURAHAN (DI ISI)'!CJ60+'KELURAHAN (DI ISI)'!CJ61</f>
        <v>0</v>
      </c>
      <c r="CY26" s="491">
        <f>'KELURAHAN (DI ISI)'!CK52+'KELURAHAN (DI ISI)'!CK53+'KELURAHAN (DI ISI)'!CK54+'KELURAHAN (DI ISI)'!CK55+'KELURAHAN (DI ISI)'!CK57+'KELURAHAN (DI ISI)'!CK60+'KELURAHAN (DI ISI)'!CK61</f>
        <v>0</v>
      </c>
      <c r="CZ26" s="491">
        <f>'KELURAHAN (DI ISI)'!CL52+'KELURAHAN (DI ISI)'!CL53+'KELURAHAN (DI ISI)'!CL54+'KELURAHAN (DI ISI)'!CL55+'KELURAHAN (DI ISI)'!CL57+'KELURAHAN (DI ISI)'!CL60+'KELURAHAN (DI ISI)'!CL61</f>
        <v>2908</v>
      </c>
      <c r="DA26" s="491">
        <f>'KELURAHAN (DI ISI)'!CM52+'KELURAHAN (DI ISI)'!CM53+'KELURAHAN (DI ISI)'!CM54+'KELURAHAN (DI ISI)'!CM55+'KELURAHAN (DI ISI)'!CM57+'KELURAHAN (DI ISI)'!CM60+'KELURAHAN (DI ISI)'!CM61</f>
        <v>1176</v>
      </c>
      <c r="DB26" s="491">
        <f>'KELURAHAN (DI ISI)'!CN52+'KELURAHAN (DI ISI)'!CN53+'KELURAHAN (DI ISI)'!CN54+'KELURAHAN (DI ISI)'!CN55+'KELURAHAN (DI ISI)'!CN57+'KELURAHAN (DI ISI)'!CN60+'KELURAHAN (DI ISI)'!CN61</f>
        <v>14</v>
      </c>
      <c r="DC26" s="491">
        <f t="shared" si="15"/>
        <v>5</v>
      </c>
      <c r="DD26" s="491">
        <f t="shared" si="16"/>
        <v>9</v>
      </c>
      <c r="DE26" s="491">
        <f>'KELURAHAN (DI ISI)'!CO52+'KELURAHAN (DI ISI)'!CO53+'KELURAHAN (DI ISI)'!CO54+'KELURAHAN (DI ISI)'!CO55+'KELURAHAN (DI ISI)'!CO57+'KELURAHAN (DI ISI)'!CO60+'KELURAHAN (DI ISI)'!CO61</f>
        <v>0</v>
      </c>
      <c r="DF26" s="491">
        <f>'KELURAHAN (DI ISI)'!CP52+'KELURAHAN (DI ISI)'!CP53+'KELURAHAN (DI ISI)'!CP54+'KELURAHAN (DI ISI)'!CP55+'KELURAHAN (DI ISI)'!CP57+'KELURAHAN (DI ISI)'!CP60+'KELURAHAN (DI ISI)'!CP61</f>
        <v>0</v>
      </c>
      <c r="DG26" s="491">
        <f>'KELURAHAN (DI ISI)'!CQ52+'KELURAHAN (DI ISI)'!CQ53+'KELURAHAN (DI ISI)'!CQ54+'KELURAHAN (DI ISI)'!CQ55+'KELURAHAN (DI ISI)'!CQ57+'KELURAHAN (DI ISI)'!CQ60+'KELURAHAN (DI ISI)'!CQ61</f>
        <v>5</v>
      </c>
      <c r="DH26" s="491">
        <f>'KELURAHAN (DI ISI)'!CR52+'KELURAHAN (DI ISI)'!CR53+'KELURAHAN (DI ISI)'!CR54+'KELURAHAN (DI ISI)'!CR55+'KELURAHAN (DI ISI)'!CR57+'KELURAHAN (DI ISI)'!CR60+'KELURAHAN (DI ISI)'!CR61</f>
        <v>9</v>
      </c>
      <c r="DI26" s="491">
        <f>'KELURAHAN (DI ISI)'!CS52+'KELURAHAN (DI ISI)'!CS53+'KELURAHAN (DI ISI)'!CS54+'KELURAHAN (DI ISI)'!CS55+'KELURAHAN (DI ISI)'!CS57+'KELURAHAN (DI ISI)'!CS60+'KELURAHAN (DI ISI)'!CS61</f>
        <v>0</v>
      </c>
      <c r="DJ26" s="491">
        <f>'KELURAHAN (DI ISI)'!CT52+'KELURAHAN (DI ISI)'!CT53+'KELURAHAN (DI ISI)'!CT54+'KELURAHAN (DI ISI)'!CT55+'KELURAHAN (DI ISI)'!CT57+'KELURAHAN (DI ISI)'!CT60+'KELURAHAN (DI ISI)'!CT61</f>
        <v>0</v>
      </c>
      <c r="DK26" s="491">
        <f>'KELURAHAN (DI ISI)'!CU52+'KELURAHAN (DI ISI)'!CU53+'KELURAHAN (DI ISI)'!CU54+'KELURAHAN (DI ISI)'!CU55+'KELURAHAN (DI ISI)'!CU57+'KELURAHAN (DI ISI)'!CU60+'KELURAHAN (DI ISI)'!CU61</f>
        <v>0</v>
      </c>
      <c r="DL26" s="491">
        <f>'KELURAHAN (DI ISI)'!CV52+'KELURAHAN (DI ISI)'!CV53+'KELURAHAN (DI ISI)'!CV54+'KELURAHAN (DI ISI)'!CV55+'KELURAHAN (DI ISI)'!CV57+'KELURAHAN (DI ISI)'!CV60+'KELURAHAN (DI ISI)'!CV61</f>
        <v>0</v>
      </c>
      <c r="DM26" s="491">
        <f>'KELURAHAN (DI ISI)'!CW52+'KELURAHAN (DI ISI)'!CW53+'KELURAHAN (DI ISI)'!CW54+'KELURAHAN (DI ISI)'!CW55+'KELURAHAN (DI ISI)'!CW57+'KELURAHAN (DI ISI)'!CW60+'KELURAHAN (DI ISI)'!CW61</f>
        <v>0</v>
      </c>
      <c r="DN26" s="491">
        <f>'KELURAHAN (DI ISI)'!CX52+'KELURAHAN (DI ISI)'!CX53+'KELURAHAN (DI ISI)'!CX54+'KELURAHAN (DI ISI)'!CX55+'KELURAHAN (DI ISI)'!CX57+'KELURAHAN (DI ISI)'!CX60+'KELURAHAN (DI ISI)'!CX61</f>
        <v>0</v>
      </c>
      <c r="DO26" s="491">
        <f>'KELURAHAN (DI ISI)'!CY52+'KELURAHAN (DI ISI)'!CY53+'KELURAHAN (DI ISI)'!CY54+'KELURAHAN (DI ISI)'!CY55+'KELURAHAN (DI ISI)'!CY57+'KELURAHAN (DI ISI)'!CY60+'KELURAHAN (DI ISI)'!CY61</f>
        <v>0</v>
      </c>
      <c r="DP26" s="491">
        <f>'KELURAHAN (DI ISI)'!CZ52+'KELURAHAN (DI ISI)'!CZ53+'KELURAHAN (DI ISI)'!CZ54+'KELURAHAN (DI ISI)'!CZ55+'KELURAHAN (DI ISI)'!CZ57+'KELURAHAN (DI ISI)'!CZ60+'KELURAHAN (DI ISI)'!CZ61</f>
        <v>0</v>
      </c>
      <c r="DQ26" s="491">
        <f>'KELURAHAN (DI ISI)'!DA52+'KELURAHAN (DI ISI)'!DA53+'KELURAHAN (DI ISI)'!DA54+'KELURAHAN (DI ISI)'!DA55+'KELURAHAN (DI ISI)'!DA57+'KELURAHAN (DI ISI)'!DA60+'KELURAHAN (DI ISI)'!DA61</f>
        <v>0</v>
      </c>
      <c r="DR26" s="491">
        <f>'KELURAHAN (DI ISI)'!DB52+'KELURAHAN (DI ISI)'!DB53+'KELURAHAN (DI ISI)'!DB54+'KELURAHAN (DI ISI)'!DB55+'KELURAHAN (DI ISI)'!DB57+'KELURAHAN (DI ISI)'!DB60+'KELURAHAN (DI ISI)'!DB61</f>
        <v>0</v>
      </c>
      <c r="DS26" s="491">
        <f>'KELURAHAN (DI ISI)'!DC52+'KELURAHAN (DI ISI)'!DC53+'KELURAHAN (DI ISI)'!DC54+'KELURAHAN (DI ISI)'!DC55+'KELURAHAN (DI ISI)'!DC57+'KELURAHAN (DI ISI)'!DC60+'KELURAHAN (DI ISI)'!DC61</f>
        <v>0</v>
      </c>
      <c r="DT26" s="491">
        <f>'KELURAHAN (DI ISI)'!DD52+'KELURAHAN (DI ISI)'!DD53+'KELURAHAN (DI ISI)'!DD54+'KELURAHAN (DI ISI)'!DD55+'KELURAHAN (DI ISI)'!DD57+'KELURAHAN (DI ISI)'!DD60+'KELURAHAN (DI ISI)'!DD61</f>
        <v>0</v>
      </c>
      <c r="DU26" s="491">
        <f>'KELURAHAN (DI ISI)'!DE52+'KELURAHAN (DI ISI)'!DE53+'KELURAHAN (DI ISI)'!DE54+'KELURAHAN (DI ISI)'!DE55+'KELURAHAN (DI ISI)'!DE57+'KELURAHAN (DI ISI)'!DE60+'KELURAHAN (DI ISI)'!DE61</f>
        <v>0</v>
      </c>
      <c r="DV26" s="491">
        <f>'KELURAHAN (DI ISI)'!DF52+'KELURAHAN (DI ISI)'!DF53+'KELURAHAN (DI ISI)'!DF54+'KELURAHAN (DI ISI)'!DF55+'KELURAHAN (DI ISI)'!DF57+'KELURAHAN (DI ISI)'!DF60+'KELURAHAN (DI ISI)'!DF61</f>
        <v>0</v>
      </c>
      <c r="DW26" s="491">
        <f>'KELURAHAN (DI ISI)'!DG52+'KELURAHAN (DI ISI)'!DG53+'KELURAHAN (DI ISI)'!DG54+'KELURAHAN (DI ISI)'!DG55+'KELURAHAN (DI ISI)'!DG57+'KELURAHAN (DI ISI)'!DG60+'KELURAHAN (DI ISI)'!DG61</f>
        <v>0</v>
      </c>
      <c r="DX26" s="491">
        <f>'KELURAHAN (DI ISI)'!DH52+'KELURAHAN (DI ISI)'!DH53+'KELURAHAN (DI ISI)'!DH54+'KELURAHAN (DI ISI)'!DH55+'KELURAHAN (DI ISI)'!DH57+'KELURAHAN (DI ISI)'!DH60+'KELURAHAN (DI ISI)'!DH61</f>
        <v>2712</v>
      </c>
      <c r="DY26" s="491">
        <f>'KELURAHAN (DI ISI)'!DI52+'KELURAHAN (DI ISI)'!DI53+'KELURAHAN (DI ISI)'!DI54+'KELURAHAN (DI ISI)'!DI55+'KELURAHAN (DI ISI)'!DI57+'KELURAHAN (DI ISI)'!DI60+'KELURAHAN (DI ISI)'!DI61</f>
        <v>1132</v>
      </c>
      <c r="DZ26" s="491">
        <f>'KELURAHAN (DI ISI)'!DJ52+'KELURAHAN (DI ISI)'!DJ53+'KELURAHAN (DI ISI)'!DJ54+'KELURAHAN (DI ISI)'!DJ55+'KELURAHAN (DI ISI)'!DJ57+'KELURAHAN (DI ISI)'!DJ60+'KELURAHAN (DI ISI)'!DJ61</f>
        <v>2658</v>
      </c>
      <c r="EA26" s="491">
        <f>'KELURAHAN (DI ISI)'!DK52+'KELURAHAN (DI ISI)'!DK53+'KELURAHAN (DI ISI)'!DK54+'KELURAHAN (DI ISI)'!DK55+'KELURAHAN (DI ISI)'!DK57+'KELURAHAN (DI ISI)'!DK60+'KELURAHAN (DI ISI)'!DK61</f>
        <v>1085</v>
      </c>
      <c r="EB26" s="491">
        <f>'KELURAHAN (DI ISI)'!DL52+'KELURAHAN (DI ISI)'!DL53+'KELURAHAN (DI ISI)'!DL54+'KELURAHAN (DI ISI)'!DL55+'KELURAHAN (DI ISI)'!DL57+'KELURAHAN (DI ISI)'!DL60+'KELURAHAN (DI ISI)'!DL61</f>
        <v>15</v>
      </c>
      <c r="EC26" s="491">
        <f>'KELURAHAN (DI ISI)'!DM52+'KELURAHAN (DI ISI)'!DM53+'KELURAHAN (DI ISI)'!DM54+'KELURAHAN (DI ISI)'!DM55+'KELURAHAN (DI ISI)'!DM57+'KELURAHAN (DI ISI)'!DM60+'KELURAHAN (DI ISI)'!DM61</f>
        <v>6</v>
      </c>
      <c r="ED26" s="491">
        <f t="shared" si="17"/>
        <v>9</v>
      </c>
      <c r="EE26" s="491">
        <f>'KELURAHAN (DI ISI)'!DO52+'KELURAHAN (DI ISI)'!DO53+'KELURAHAN (DI ISI)'!DO54+'KELURAHAN (DI ISI)'!DO55+'KELURAHAN (DI ISI)'!DO57+'KELURAHAN (DI ISI)'!DO60+'KELURAHAN (DI ISI)'!DO61</f>
        <v>0</v>
      </c>
      <c r="EF26" s="491">
        <f>'KELURAHAN (DI ISI)'!DP52+'KELURAHAN (DI ISI)'!DP53+'KELURAHAN (DI ISI)'!DP54+'KELURAHAN (DI ISI)'!DP55+'KELURAHAN (DI ISI)'!DP57+'KELURAHAN (DI ISI)'!DP60+'KELURAHAN (DI ISI)'!DP61</f>
        <v>0</v>
      </c>
      <c r="EG26" s="491">
        <f>'KELURAHAN (DI ISI)'!DQ52+'KELURAHAN (DI ISI)'!DQ53+'KELURAHAN (DI ISI)'!DQ54+'KELURAHAN (DI ISI)'!DQ55+'KELURAHAN (DI ISI)'!DQ57+'KELURAHAN (DI ISI)'!DQ60+'KELURAHAN (DI ISI)'!DQ61</f>
        <v>6</v>
      </c>
      <c r="EH26" s="491">
        <f>'KELURAHAN (DI ISI)'!DR52+'KELURAHAN (DI ISI)'!DR53+'KELURAHAN (DI ISI)'!DR54+'KELURAHAN (DI ISI)'!DR55+'KELURAHAN (DI ISI)'!DR57+'KELURAHAN (DI ISI)'!DR60+'KELURAHAN (DI ISI)'!DR61</f>
        <v>9</v>
      </c>
      <c r="EI26" s="491">
        <f>'KELURAHAN (DI ISI)'!DS52+'KELURAHAN (DI ISI)'!DS53+'KELURAHAN (DI ISI)'!DS54+'KELURAHAN (DI ISI)'!DS55+'KELURAHAN (DI ISI)'!DS57+'KELURAHAN (DI ISI)'!DS60+'KELURAHAN (DI ISI)'!DS61</f>
        <v>0</v>
      </c>
      <c r="EJ26" s="491">
        <f>'KELURAHAN (DI ISI)'!DT52+'KELURAHAN (DI ISI)'!DT53+'KELURAHAN (DI ISI)'!DT54+'KELURAHAN (DI ISI)'!DT55+'KELURAHAN (DI ISI)'!DT57+'KELURAHAN (DI ISI)'!DT60+'KELURAHAN (DI ISI)'!DT61</f>
        <v>0</v>
      </c>
      <c r="EK26" s="491">
        <f>'KELURAHAN (DI ISI)'!DU52+'KELURAHAN (DI ISI)'!DU53+'KELURAHAN (DI ISI)'!DU54+'KELURAHAN (DI ISI)'!DU55+'KELURAHAN (DI ISI)'!DU57+'KELURAHAN (DI ISI)'!DU60+'KELURAHAN (DI ISI)'!DU61</f>
        <v>0</v>
      </c>
      <c r="EL26" s="491">
        <f>'KELURAHAN (DI ISI)'!DV52+'KELURAHAN (DI ISI)'!DV53+'KELURAHAN (DI ISI)'!DV54+'KELURAHAN (DI ISI)'!DV55+'KELURAHAN (DI ISI)'!DV57+'KELURAHAN (DI ISI)'!DV60+'KELURAHAN (DI ISI)'!DV61</f>
        <v>0</v>
      </c>
      <c r="EM26" s="491">
        <f>'KELURAHAN (DI ISI)'!DW52+'KELURAHAN (DI ISI)'!DW53+'KELURAHAN (DI ISI)'!DW54+'KELURAHAN (DI ISI)'!DW55+'KELURAHAN (DI ISI)'!DW57+'KELURAHAN (DI ISI)'!DW60+'KELURAHAN (DI ISI)'!DW61</f>
        <v>0</v>
      </c>
      <c r="EN26" s="491">
        <f>'KELURAHAN (DI ISI)'!DX52+'KELURAHAN (DI ISI)'!DX53+'KELURAHAN (DI ISI)'!DX54+'KELURAHAN (DI ISI)'!DX55+'KELURAHAN (DI ISI)'!DX57+'KELURAHAN (DI ISI)'!DX60+'KELURAHAN (DI ISI)'!DX61</f>
        <v>0</v>
      </c>
      <c r="EO26" s="491">
        <f>'KELURAHAN (DI ISI)'!DY52+'KELURAHAN (DI ISI)'!DY53+'KELURAHAN (DI ISI)'!DY54+'KELURAHAN (DI ISI)'!DY55+'KELURAHAN (DI ISI)'!DY57+'KELURAHAN (DI ISI)'!DY60+'KELURAHAN (DI ISI)'!DY61</f>
        <v>0</v>
      </c>
      <c r="EP26" s="491">
        <f>'KELURAHAN (DI ISI)'!DZ52+'KELURAHAN (DI ISI)'!DZ53+'KELURAHAN (DI ISI)'!DZ54+'KELURAHAN (DI ISI)'!DZ55+'KELURAHAN (DI ISI)'!DZ57+'KELURAHAN (DI ISI)'!DZ60+'KELURAHAN (DI ISI)'!DZ61</f>
        <v>0</v>
      </c>
      <c r="EQ26" s="491">
        <f>'KELURAHAN (DI ISI)'!EA52+'KELURAHAN (DI ISI)'!EA53+'KELURAHAN (DI ISI)'!EA54+'KELURAHAN (DI ISI)'!EA55+'KELURAHAN (DI ISI)'!EA57+'KELURAHAN (DI ISI)'!EA60+'KELURAHAN (DI ISI)'!EA61</f>
        <v>0</v>
      </c>
      <c r="ER26" s="491">
        <f>'KELURAHAN (DI ISI)'!EB52+'KELURAHAN (DI ISI)'!EB53+'KELURAHAN (DI ISI)'!EB54+'KELURAHAN (DI ISI)'!EB55+'KELURAHAN (DI ISI)'!EB57+'KELURAHAN (DI ISI)'!EB60+'KELURAHAN (DI ISI)'!EB61</f>
        <v>0</v>
      </c>
      <c r="ES26" s="491">
        <f>'KELURAHAN (DI ISI)'!EC52+'KELURAHAN (DI ISI)'!EC53+'KELURAHAN (DI ISI)'!EC54+'KELURAHAN (DI ISI)'!EC55+'KELURAHAN (DI ISI)'!EC57+'KELURAHAN (DI ISI)'!EC60+'KELURAHAN (DI ISI)'!EC61</f>
        <v>0</v>
      </c>
      <c r="ET26" s="491">
        <f>'KELURAHAN (DI ISI)'!ED52+'KELURAHAN (DI ISI)'!ED53+'KELURAHAN (DI ISI)'!ED54+'KELURAHAN (DI ISI)'!ED55+'KELURAHAN (DI ISI)'!ED57+'KELURAHAN (DI ISI)'!ED60+'KELURAHAN (DI ISI)'!ED61</f>
        <v>0</v>
      </c>
      <c r="EU26" s="491">
        <f>'KELURAHAN (DI ISI)'!EE52+'KELURAHAN (DI ISI)'!EE53+'KELURAHAN (DI ISI)'!EE54+'KELURAHAN (DI ISI)'!EE55+'KELURAHAN (DI ISI)'!EE57+'KELURAHAN (DI ISI)'!EE60+'KELURAHAN (DI ISI)'!EE61</f>
        <v>0</v>
      </c>
      <c r="EV26" s="491">
        <f>'KELURAHAN (DI ISI)'!EF52+'KELURAHAN (DI ISI)'!EF53+'KELURAHAN (DI ISI)'!EF54+'KELURAHAN (DI ISI)'!EF55+'KELURAHAN (DI ISI)'!EF57+'KELURAHAN (DI ISI)'!EF60+'KELURAHAN (DI ISI)'!EF61</f>
        <v>0</v>
      </c>
      <c r="EW26" s="491">
        <f>'KELURAHAN (DI ISI)'!EG52+'KELURAHAN (DI ISI)'!EG53+'KELURAHAN (DI ISI)'!EG54+'KELURAHAN (DI ISI)'!EG55+'KELURAHAN (DI ISI)'!EG57+'KELURAHAN (DI ISI)'!EG60+'KELURAHAN (DI ISI)'!EG61</f>
        <v>0</v>
      </c>
      <c r="EX26" s="491">
        <f>'KELURAHAN (DI ISI)'!EH52+'KELURAHAN (DI ISI)'!EH53+'KELURAHAN (DI ISI)'!EH54+'KELURAHAN (DI ISI)'!EH55+'KELURAHAN (DI ISI)'!EH57+'KELURAHAN (DI ISI)'!EH60+'KELURAHAN (DI ISI)'!EH61</f>
        <v>0</v>
      </c>
      <c r="EY26" s="491">
        <f>'KELURAHAN (DI ISI)'!EI52+'KELURAHAN (DI ISI)'!EI53+'KELURAHAN (DI ISI)'!EI54+'KELURAHAN (DI ISI)'!EI55+'KELURAHAN (DI ISI)'!EI57+'KELURAHAN (DI ISI)'!EI60+'KELURAHAN (DI ISI)'!EI61</f>
        <v>2727</v>
      </c>
      <c r="EZ26" s="491">
        <f>'KELURAHAN (DI ISI)'!EJ52+'KELURAHAN (DI ISI)'!EJ53+'KELURAHAN (DI ISI)'!EJ54+'KELURAHAN (DI ISI)'!EJ55+'KELURAHAN (DI ISI)'!EJ57+'KELURAHAN (DI ISI)'!EJ60+'KELURAHAN (DI ISI)'!EJ61</f>
        <v>921</v>
      </c>
      <c r="FA26" s="491">
        <f>'KELURAHAN (DI ISI)'!EK52+'KELURAHAN (DI ISI)'!EK53+'KELURAHAN (DI ISI)'!EK54+'KELURAHAN (DI ISI)'!EK55+'KELURAHAN (DI ISI)'!EK57+'KELURAHAN (DI ISI)'!EK60+'KELURAHAN (DI ISI)'!EK61</f>
        <v>2615</v>
      </c>
      <c r="FB26" s="491">
        <f>'KELURAHAN (DI ISI)'!EL52+'KELURAHAN (DI ISI)'!EL53+'KELURAHAN (DI ISI)'!EL54+'KELURAHAN (DI ISI)'!EL55+'KELURAHAN (DI ISI)'!EL57+'KELURAHAN (DI ISI)'!EL60+'KELURAHAN (DI ISI)'!EL61</f>
        <v>879</v>
      </c>
      <c r="FC26" s="491">
        <f>'KELURAHAN (DI ISI)'!EM52+'KELURAHAN (DI ISI)'!EM53+'KELURAHAN (DI ISI)'!EM54+'KELURAHAN (DI ISI)'!EM55+'KELURAHAN (DI ISI)'!EM57+'KELURAHAN (DI ISI)'!EM60+'KELURAHAN (DI ISI)'!EM61</f>
        <v>16</v>
      </c>
      <c r="FD26" s="491">
        <f>'KELURAHAN (DI ISI)'!EN52+'KELURAHAN (DI ISI)'!EN53+'KELURAHAN (DI ISI)'!EN54+'KELURAHAN (DI ISI)'!EN55+'KELURAHAN (DI ISI)'!EN57+'KELURAHAN (DI ISI)'!EN60+'KELURAHAN (DI ISI)'!EN61</f>
        <v>6</v>
      </c>
      <c r="FE26" s="491">
        <f t="shared" si="18"/>
        <v>10</v>
      </c>
      <c r="FF26" s="491">
        <f>'KELURAHAN (DI ISI)'!EP52+'KELURAHAN (DI ISI)'!EP53+'KELURAHAN (DI ISI)'!EP54+'KELURAHAN (DI ISI)'!EP55+'KELURAHAN (DI ISI)'!EP57+'KELURAHAN (DI ISI)'!EP60+'KELURAHAN (DI ISI)'!EP61</f>
        <v>0</v>
      </c>
      <c r="FG26" s="491">
        <f>'KELURAHAN (DI ISI)'!EQ52+'KELURAHAN (DI ISI)'!EQ53+'KELURAHAN (DI ISI)'!EQ54+'KELURAHAN (DI ISI)'!EQ55+'KELURAHAN (DI ISI)'!EQ57+'KELURAHAN (DI ISI)'!EQ60+'KELURAHAN (DI ISI)'!EQ61</f>
        <v>0</v>
      </c>
      <c r="FH26" s="491">
        <f>'KELURAHAN (DI ISI)'!ER52+'KELURAHAN (DI ISI)'!ER53+'KELURAHAN (DI ISI)'!ER54+'KELURAHAN (DI ISI)'!ER55+'KELURAHAN (DI ISI)'!ER57+'KELURAHAN (DI ISI)'!ER60+'KELURAHAN (DI ISI)'!ER61</f>
        <v>6</v>
      </c>
      <c r="FI26" s="491">
        <f>'KELURAHAN (DI ISI)'!ES52+'KELURAHAN (DI ISI)'!ES53+'KELURAHAN (DI ISI)'!ES54+'KELURAHAN (DI ISI)'!ES55+'KELURAHAN (DI ISI)'!ES57+'KELURAHAN (DI ISI)'!ES60+'KELURAHAN (DI ISI)'!ES61</f>
        <v>10</v>
      </c>
      <c r="FJ26" s="491">
        <f>'KELURAHAN (DI ISI)'!ET52+'KELURAHAN (DI ISI)'!ET53+'KELURAHAN (DI ISI)'!ET54+'KELURAHAN (DI ISI)'!ET55+'KELURAHAN (DI ISI)'!ET57+'KELURAHAN (DI ISI)'!ET60+'KELURAHAN (DI ISI)'!ET61</f>
        <v>0</v>
      </c>
      <c r="FK26" s="491">
        <f>'KELURAHAN (DI ISI)'!EU52+'KELURAHAN (DI ISI)'!EU53+'KELURAHAN (DI ISI)'!EU54+'KELURAHAN (DI ISI)'!EU55+'KELURAHAN (DI ISI)'!EU57+'KELURAHAN (DI ISI)'!EU60+'KELURAHAN (DI ISI)'!EU61</f>
        <v>0</v>
      </c>
      <c r="FL26" s="491">
        <f>'KELURAHAN (DI ISI)'!EV52+'KELURAHAN (DI ISI)'!EV53+'KELURAHAN (DI ISI)'!EV54+'KELURAHAN (DI ISI)'!EV55+'KELURAHAN (DI ISI)'!EV57+'KELURAHAN (DI ISI)'!EV60+'KELURAHAN (DI ISI)'!EV61</f>
        <v>0</v>
      </c>
      <c r="FM26" s="491">
        <f>'KELURAHAN (DI ISI)'!EW52+'KELURAHAN (DI ISI)'!EW53+'KELURAHAN (DI ISI)'!EW54+'KELURAHAN (DI ISI)'!EW55+'KELURAHAN (DI ISI)'!EW57+'KELURAHAN (DI ISI)'!EW60+'KELURAHAN (DI ISI)'!EW61</f>
        <v>0</v>
      </c>
      <c r="FN26" s="491">
        <f>'KELURAHAN (DI ISI)'!EX52+'KELURAHAN (DI ISI)'!EX53+'KELURAHAN (DI ISI)'!EX54+'KELURAHAN (DI ISI)'!EX55+'KELURAHAN (DI ISI)'!EX57+'KELURAHAN (DI ISI)'!EX60+'KELURAHAN (DI ISI)'!EX61</f>
        <v>0</v>
      </c>
      <c r="FO26" s="491">
        <f>'KELURAHAN (DI ISI)'!EY52+'KELURAHAN (DI ISI)'!EY53+'KELURAHAN (DI ISI)'!EY54+'KELURAHAN (DI ISI)'!EY55+'KELURAHAN (DI ISI)'!EY57+'KELURAHAN (DI ISI)'!EY60+'KELURAHAN (DI ISI)'!EY61</f>
        <v>0</v>
      </c>
      <c r="FP26" s="491">
        <f>'KELURAHAN (DI ISI)'!EZ52+'KELURAHAN (DI ISI)'!EZ53+'KELURAHAN (DI ISI)'!EZ54+'KELURAHAN (DI ISI)'!EZ55+'KELURAHAN (DI ISI)'!EZ57+'KELURAHAN (DI ISI)'!EZ60+'KELURAHAN (DI ISI)'!EZ61</f>
        <v>0</v>
      </c>
      <c r="FQ26" s="491">
        <f>'KELURAHAN (DI ISI)'!FA52+'KELURAHAN (DI ISI)'!FA53+'KELURAHAN (DI ISI)'!FA54+'KELURAHAN (DI ISI)'!FA55+'KELURAHAN (DI ISI)'!FA57+'KELURAHAN (DI ISI)'!FA60+'KELURAHAN (DI ISI)'!FA61</f>
        <v>0</v>
      </c>
      <c r="FR26" s="491">
        <f>'KELURAHAN (DI ISI)'!FB52+'KELURAHAN (DI ISI)'!FB53+'KELURAHAN (DI ISI)'!FB54+'KELURAHAN (DI ISI)'!FB55+'KELURAHAN (DI ISI)'!FB57+'KELURAHAN (DI ISI)'!FB60+'KELURAHAN (DI ISI)'!FB61</f>
        <v>0</v>
      </c>
      <c r="FS26" s="491">
        <f>'KELURAHAN (DI ISI)'!FC52+'KELURAHAN (DI ISI)'!FC53+'KELURAHAN (DI ISI)'!FC54+'KELURAHAN (DI ISI)'!FC55+'KELURAHAN (DI ISI)'!FC57+'KELURAHAN (DI ISI)'!FC60+'KELURAHAN (DI ISI)'!FC61</f>
        <v>0</v>
      </c>
      <c r="FT26" s="491">
        <f>'KELURAHAN (DI ISI)'!FD52+'KELURAHAN (DI ISI)'!FD53+'KELURAHAN (DI ISI)'!FD54+'KELURAHAN (DI ISI)'!FD55+'KELURAHAN (DI ISI)'!FD57+'KELURAHAN (DI ISI)'!FD60+'KELURAHAN (DI ISI)'!FD61</f>
        <v>0</v>
      </c>
      <c r="FU26" s="491">
        <f>'KELURAHAN (DI ISI)'!FE52+'KELURAHAN (DI ISI)'!FE53+'KELURAHAN (DI ISI)'!FE54+'KELURAHAN (DI ISI)'!FE55+'KELURAHAN (DI ISI)'!FE57+'KELURAHAN (DI ISI)'!FE60+'KELURAHAN (DI ISI)'!FE61</f>
        <v>0</v>
      </c>
      <c r="FV26" s="491">
        <f>'KELURAHAN (DI ISI)'!FF52+'KELURAHAN (DI ISI)'!FF53+'KELURAHAN (DI ISI)'!FF54+'KELURAHAN (DI ISI)'!FF55+'KELURAHAN (DI ISI)'!FF57+'KELURAHAN (DI ISI)'!FF60+'KELURAHAN (DI ISI)'!FF61</f>
        <v>0</v>
      </c>
      <c r="FW26" s="491">
        <f>'KELURAHAN (DI ISI)'!FG52+'KELURAHAN (DI ISI)'!FG53+'KELURAHAN (DI ISI)'!FG54+'KELURAHAN (DI ISI)'!FG55+'KELURAHAN (DI ISI)'!FG57+'KELURAHAN (DI ISI)'!FG60+'KELURAHAN (DI ISI)'!FG61</f>
        <v>0</v>
      </c>
      <c r="FX26" s="491">
        <f>'KELURAHAN (DI ISI)'!FH52+'KELURAHAN (DI ISI)'!FH53+'KELURAHAN (DI ISI)'!FH54+'KELURAHAN (DI ISI)'!FH55+'KELURAHAN (DI ISI)'!FH57+'KELURAHAN (DI ISI)'!FH60+'KELURAHAN (DI ISI)'!FH61</f>
        <v>0</v>
      </c>
      <c r="FY26" s="491">
        <f>'KELURAHAN (DI ISI)'!FI52+'KELURAHAN (DI ISI)'!FI53+'KELURAHAN (DI ISI)'!FI54+'KELURAHAN (DI ISI)'!FI55+'KELURAHAN (DI ISI)'!FI57+'KELURAHAN (DI ISI)'!FI60+'KELURAHAN (DI ISI)'!FI61</f>
        <v>0</v>
      </c>
      <c r="FZ26" s="491">
        <f>'KELURAHAN (DI ISI)'!FJ52+'KELURAHAN (DI ISI)'!FJ53+'KELURAHAN (DI ISI)'!FJ54+'KELURAHAN (DI ISI)'!FJ55+'KELURAHAN (DI ISI)'!FJ57+'KELURAHAN (DI ISI)'!FJ60+'KELURAHAN (DI ISI)'!FJ61</f>
        <v>2548</v>
      </c>
      <c r="GA26" s="491">
        <f>'KELURAHAN (DI ISI)'!FK52+'KELURAHAN (DI ISI)'!FK53+'KELURAHAN (DI ISI)'!FK54+'KELURAHAN (DI ISI)'!FK55+'KELURAHAN (DI ISI)'!FK57+'KELURAHAN (DI ISI)'!FK60+'KELURAHAN (DI ISI)'!FK61</f>
        <v>1065</v>
      </c>
      <c r="GB26" s="491">
        <f>'KELURAHAN (DI ISI)'!FL52+'KELURAHAN (DI ISI)'!FL53+'KELURAHAN (DI ISI)'!FL54+'KELURAHAN (DI ISI)'!FL55+'KELURAHAN (DI ISI)'!FL57+'KELURAHAN (DI ISI)'!FL60+'KELURAHAN (DI ISI)'!FL61</f>
        <v>2478</v>
      </c>
      <c r="GC26" s="491">
        <f>'KELURAHAN (DI ISI)'!FM52+'KELURAHAN (DI ISI)'!FM53+'KELURAHAN (DI ISI)'!FM54+'KELURAHAN (DI ISI)'!FM55+'KELURAHAN (DI ISI)'!FM57+'KELURAHAN (DI ISI)'!FM60+'KELURAHAN (DI ISI)'!FM61</f>
        <v>1060</v>
      </c>
      <c r="GD26" s="570">
        <v>2478.0</v>
      </c>
      <c r="GE26" s="571">
        <f>'KELURAHAN (DI ISI)'!FO52+'KELURAHAN (DI ISI)'!FO53+'KELURAHAN (DI ISI)'!FO54+'KELURAHAN (DI ISI)'!FO55+'KELURAHAN (DI ISI)'!FO57+'KELURAHAN (DI ISI)'!FO60+'KELURAHAN (DI ISI)'!FO61</f>
        <v>15</v>
      </c>
      <c r="GF26" s="571">
        <f>'KELURAHAN (DI ISI)'!FP52+'KELURAHAN (DI ISI)'!FP53+'KELURAHAN (DI ISI)'!FP54+'KELURAHAN (DI ISI)'!FP55+'KELURAHAN (DI ISI)'!FP57+'KELURAHAN (DI ISI)'!FP60+'KELURAHAN (DI ISI)'!FP61</f>
        <v>15</v>
      </c>
      <c r="GG26" s="571">
        <f>'KELURAHAN (DI ISI)'!FP52+'KELURAHAN (DI ISI)'!FP53+'KELURAHAN (DI ISI)'!FP54+'KELURAHAN (DI ISI)'!FP55+'KELURAHAN (DI ISI)'!FP57+'KELURAHAN (DI ISI)'!FP60+'KELURAHAN (DI ISI)'!FP61</f>
        <v>15</v>
      </c>
      <c r="GH26" s="571">
        <f>'KELURAHAN (DI ISI)'!FQ52+'KELURAHAN (DI ISI)'!FQ53+'KELURAHAN (DI ISI)'!FQ54+'KELURAHAN (DI ISI)'!FQ55+'KELURAHAN (DI ISI)'!FQ57+'KELURAHAN (DI ISI)'!FQ60+'KELURAHAN (DI ISI)'!FQ61</f>
        <v>3</v>
      </c>
      <c r="GI26" s="571">
        <f t="shared" si="19"/>
        <v>12</v>
      </c>
      <c r="GJ26" s="491">
        <f>'KELURAHAN (DI ISI)'!FS52+'KELURAHAN (DI ISI)'!FS53+'KELURAHAN (DI ISI)'!FS54+'KELURAHAN (DI ISI)'!FS55+'KELURAHAN (DI ISI)'!FS57+'KELURAHAN (DI ISI)'!FS60+'KELURAHAN (DI ISI)'!FS61</f>
        <v>0</v>
      </c>
      <c r="GK26" s="491">
        <f>'KELURAHAN (DI ISI)'!FT52+'KELURAHAN (DI ISI)'!FT53+'KELURAHAN (DI ISI)'!FT54+'KELURAHAN (DI ISI)'!FT55+'KELURAHAN (DI ISI)'!FT57+'KELURAHAN (DI ISI)'!FT60+'KELURAHAN (DI ISI)'!FT61</f>
        <v>0</v>
      </c>
      <c r="GL26" s="491">
        <f>'KELURAHAN (DI ISI)'!FU52+'KELURAHAN (DI ISI)'!FU53+'KELURAHAN (DI ISI)'!FU54+'KELURAHAN (DI ISI)'!FU55+'KELURAHAN (DI ISI)'!FU57+'KELURAHAN (DI ISI)'!FU60+'KELURAHAN (DI ISI)'!FU61</f>
        <v>3</v>
      </c>
      <c r="GM26" s="491">
        <f>'KELURAHAN (DI ISI)'!FV52+'KELURAHAN (DI ISI)'!FV53+'KELURAHAN (DI ISI)'!FV54+'KELURAHAN (DI ISI)'!FV55+'KELURAHAN (DI ISI)'!FV57+'KELURAHAN (DI ISI)'!FV60+'KELURAHAN (DI ISI)'!FV61</f>
        <v>12</v>
      </c>
      <c r="GN26" s="491">
        <f>'KELURAHAN (DI ISI)'!FW52+'KELURAHAN (DI ISI)'!FW53+'KELURAHAN (DI ISI)'!FW54+'KELURAHAN (DI ISI)'!FW55+'KELURAHAN (DI ISI)'!FW57+'KELURAHAN (DI ISI)'!FW60+'KELURAHAN (DI ISI)'!FW61</f>
        <v>0</v>
      </c>
      <c r="GO26" s="491">
        <f>'KELURAHAN (DI ISI)'!FX52+'KELURAHAN (DI ISI)'!FX53+'KELURAHAN (DI ISI)'!FX54+'KELURAHAN (DI ISI)'!FX55+'KELURAHAN (DI ISI)'!FX57+'KELURAHAN (DI ISI)'!FX60+'KELURAHAN (DI ISI)'!FX61</f>
        <v>0</v>
      </c>
      <c r="GP26" s="491">
        <f>'KELURAHAN (DI ISI)'!FY52+'KELURAHAN (DI ISI)'!FY53+'KELURAHAN (DI ISI)'!FY54+'KELURAHAN (DI ISI)'!FY55+'KELURAHAN (DI ISI)'!FY57+'KELURAHAN (DI ISI)'!FY60+'KELURAHAN (DI ISI)'!FY61</f>
        <v>0</v>
      </c>
      <c r="GQ26" s="491">
        <f>'KELURAHAN (DI ISI)'!FZ52+'KELURAHAN (DI ISI)'!FZ53+'KELURAHAN (DI ISI)'!FZ54+'KELURAHAN (DI ISI)'!FZ55+'KELURAHAN (DI ISI)'!FZ57+'KELURAHAN (DI ISI)'!FZ60+'KELURAHAN (DI ISI)'!FZ61</f>
        <v>0</v>
      </c>
      <c r="GR26" s="491">
        <f>'KELURAHAN (DI ISI)'!GA52+'KELURAHAN (DI ISI)'!GA53+'KELURAHAN (DI ISI)'!GA54+'KELURAHAN (DI ISI)'!GA55+'KELURAHAN (DI ISI)'!GA57+'KELURAHAN (DI ISI)'!GA60+'KELURAHAN (DI ISI)'!GA61</f>
        <v>0</v>
      </c>
      <c r="GS26" s="491">
        <f>'KELURAHAN (DI ISI)'!GB52+'KELURAHAN (DI ISI)'!GB53+'KELURAHAN (DI ISI)'!GB54+'KELURAHAN (DI ISI)'!GB55+'KELURAHAN (DI ISI)'!GB57+'KELURAHAN (DI ISI)'!GB60+'KELURAHAN (DI ISI)'!GB61</f>
        <v>0</v>
      </c>
      <c r="GT26" s="491">
        <f>'KELURAHAN (DI ISI)'!GC52+'KELURAHAN (DI ISI)'!GC53+'KELURAHAN (DI ISI)'!GC54+'KELURAHAN (DI ISI)'!GC55+'KELURAHAN (DI ISI)'!GC57+'KELURAHAN (DI ISI)'!GC60+'KELURAHAN (DI ISI)'!GC61</f>
        <v>0</v>
      </c>
      <c r="GU26" s="491">
        <f>'KELURAHAN (DI ISI)'!GD52+'KELURAHAN (DI ISI)'!GD53+'KELURAHAN (DI ISI)'!GD54+'KELURAHAN (DI ISI)'!GD55+'KELURAHAN (DI ISI)'!GD57+'KELURAHAN (DI ISI)'!GD60+'KELURAHAN (DI ISI)'!GD61</f>
        <v>0</v>
      </c>
      <c r="GV26" s="491">
        <f>'KELURAHAN (DI ISI)'!GE52+'KELURAHAN (DI ISI)'!GE53+'KELURAHAN (DI ISI)'!GE54+'KELURAHAN (DI ISI)'!GE55+'KELURAHAN (DI ISI)'!GE57+'KELURAHAN (DI ISI)'!GE60+'KELURAHAN (DI ISI)'!GE61</f>
        <v>0</v>
      </c>
      <c r="GW26" s="491">
        <f>'KELURAHAN (DI ISI)'!GF52+'KELURAHAN (DI ISI)'!GF53+'KELURAHAN (DI ISI)'!GF54+'KELURAHAN (DI ISI)'!GF55+'KELURAHAN (DI ISI)'!GF57+'KELURAHAN (DI ISI)'!GF60+'KELURAHAN (DI ISI)'!GF61</f>
        <v>0</v>
      </c>
      <c r="GX26" s="491">
        <f>'KELURAHAN (DI ISI)'!GG52+'KELURAHAN (DI ISI)'!GG53+'KELURAHAN (DI ISI)'!GG54+'KELURAHAN (DI ISI)'!GG55+'KELURAHAN (DI ISI)'!GG57+'KELURAHAN (DI ISI)'!GG60+'KELURAHAN (DI ISI)'!GG61</f>
        <v>0</v>
      </c>
      <c r="GY26" s="491">
        <f>'KELURAHAN (DI ISI)'!GH52+'KELURAHAN (DI ISI)'!GH53+'KELURAHAN (DI ISI)'!GH54+'KELURAHAN (DI ISI)'!GH55+'KELURAHAN (DI ISI)'!GH57+'KELURAHAN (DI ISI)'!GH60+'KELURAHAN (DI ISI)'!GH61</f>
        <v>0</v>
      </c>
      <c r="GZ26" s="491">
        <f>'KELURAHAN (DI ISI)'!GI52+'KELURAHAN (DI ISI)'!GI53+'KELURAHAN (DI ISI)'!GI54+'KELURAHAN (DI ISI)'!GI55+'KELURAHAN (DI ISI)'!GI57+'KELURAHAN (DI ISI)'!GI60+'KELURAHAN (DI ISI)'!GI61</f>
        <v>0</v>
      </c>
      <c r="HA26" s="491">
        <f>'KELURAHAN (DI ISI)'!GJ52+'KELURAHAN (DI ISI)'!GJ53+'KELURAHAN (DI ISI)'!GJ54+'KELURAHAN (DI ISI)'!GJ55+'KELURAHAN (DI ISI)'!GJ57+'KELURAHAN (DI ISI)'!GJ60+'KELURAHAN (DI ISI)'!GJ61</f>
        <v>0</v>
      </c>
      <c r="HB26" s="572">
        <f>'KELURAHAN (DI ISI)'!GK52+'KELURAHAN (DI ISI)'!GK53+'KELURAHAN (DI ISI)'!GK54+'KELURAHAN (DI ISI)'!GK55+'KELURAHAN (DI ISI)'!GK57+'KELURAHAN (DI ISI)'!GK60+'KELURAHAN (DI ISI)'!GK61</f>
        <v>0</v>
      </c>
      <c r="HC26" s="572">
        <f>'KELURAHAN (DI ISI)'!GL52+'KELURAHAN (DI ISI)'!GL53+'KELURAHAN (DI ISI)'!GL54+'KELURAHAN (DI ISI)'!GL55+'KELURAHAN (DI ISI)'!GL57+'KELURAHAN (DI ISI)'!GL60+'KELURAHAN (DI ISI)'!GL61</f>
        <v>0</v>
      </c>
      <c r="HD26" s="491">
        <f>'KELURAHAN (DI ISI)'!GM52+'KELURAHAN (DI ISI)'!GM53+'KELURAHAN (DI ISI)'!GM54+'KELURAHAN (DI ISI)'!GM55+'KELURAHAN (DI ISI)'!GM57+'KELURAHAN (DI ISI)'!GM60+'KELURAHAN (DI ISI)'!GM61</f>
        <v>2524</v>
      </c>
      <c r="HE26" s="491">
        <f>'KELURAHAN (DI ISI)'!GN52+'KELURAHAN (DI ISI)'!GN53+'KELURAHAN (DI ISI)'!GN54+'KELURAHAN (DI ISI)'!GN55+'KELURAHAN (DI ISI)'!GN57+'KELURAHAN (DI ISI)'!GN60+'KELURAHAN (DI ISI)'!GN61</f>
        <v>508</v>
      </c>
      <c r="HF26" s="491">
        <f>'KELURAHAN (DI ISI)'!GO52+'KELURAHAN (DI ISI)'!GO53+'KELURAHAN (DI ISI)'!GO54+'KELURAHAN (DI ISI)'!GO55+'KELURAHAN (DI ISI)'!GO57+'KELURAHAN (DI ISI)'!GO60+'KELURAHAN (DI ISI)'!GO61</f>
        <v>2399</v>
      </c>
      <c r="HG26" s="491">
        <f>'KELURAHAN (DI ISI)'!GP52+'KELURAHAN (DI ISI)'!GP53+'KELURAHAN (DI ISI)'!GP54+'KELURAHAN (DI ISI)'!GP55+'KELURAHAN (DI ISI)'!GP57+'KELURAHAN (DI ISI)'!GP60+'KELURAHAN (DI ISI)'!GP61</f>
        <v>444</v>
      </c>
      <c r="HH26" s="570">
        <v>2478.0</v>
      </c>
      <c r="HI26" s="225">
        <f>'KELURAHAN (DI ISI)'!GR52+'KELURAHAN (DI ISI)'!GR53+'KELURAHAN (DI ISI)'!GR54+'KELURAHAN (DI ISI)'!GR55+'KELURAHAN (DI ISI)'!GR57+'KELURAHAN (DI ISI)'!GR60+'KELURAHAN (DI ISI)'!GR61</f>
        <v>15</v>
      </c>
      <c r="HJ26" s="225">
        <f>'KELURAHAN (DI ISI)'!GS52+'KELURAHAN (DI ISI)'!GS53+'KELURAHAN (DI ISI)'!GS54+'KELURAHAN (DI ISI)'!GS55+'KELURAHAN (DI ISI)'!GS57+'KELURAHAN (DI ISI)'!GS60+'KELURAHAN (DI ISI)'!GS61</f>
        <v>3</v>
      </c>
      <c r="HK26" s="573">
        <f>'KELURAHAN (DI ISI)'!GT52+'KELURAHAN (DI ISI)'!GT53+'KELURAHAN (DI ISI)'!GT54+'KELURAHAN (DI ISI)'!GT55+'KELURAHAN (DI ISI)'!GT57+'KELURAHAN (DI ISI)'!GT60+'KELURAHAN (DI ISI)'!GT61</f>
        <v>15</v>
      </c>
      <c r="HL26" s="573">
        <f>'KELURAHAN (DI ISI)'!GU52+'KELURAHAN (DI ISI)'!GU53+'KELURAHAN (DI ISI)'!GU54+'KELURAHAN (DI ISI)'!GU55+'KELURAHAN (DI ISI)'!GU57+'KELURAHAN (DI ISI)'!GU60+'KELURAHAN (DI ISI)'!GU61</f>
        <v>3</v>
      </c>
      <c r="HM26" s="573">
        <f t="shared" si="20"/>
        <v>12</v>
      </c>
      <c r="HN26" s="491">
        <f>'KELURAHAN (DI ISI)'!GW52+'KELURAHAN (DI ISI)'!GW53+'KELURAHAN (DI ISI)'!GW54+'KELURAHAN (DI ISI)'!GW55+'KELURAHAN (DI ISI)'!GW57+'KELURAHAN (DI ISI)'!GW60+'KELURAHAN (DI ISI)'!GW61</f>
        <v>0</v>
      </c>
      <c r="HO26" s="491">
        <f>'KELURAHAN (DI ISI)'!GX52+'KELURAHAN (DI ISI)'!GX53+'KELURAHAN (DI ISI)'!GX54+'KELURAHAN (DI ISI)'!GX55+'KELURAHAN (DI ISI)'!GX57+'KELURAHAN (DI ISI)'!GX60+'KELURAHAN (DI ISI)'!GX61</f>
        <v>0</v>
      </c>
      <c r="HP26" s="491">
        <f>'KELURAHAN (DI ISI)'!GY52+'KELURAHAN (DI ISI)'!GY53+'KELURAHAN (DI ISI)'!GY54+'KELURAHAN (DI ISI)'!GY55+'KELURAHAN (DI ISI)'!GY57+'KELURAHAN (DI ISI)'!GY60+'KELURAHAN (DI ISI)'!GY61</f>
        <v>3</v>
      </c>
      <c r="HQ26" s="491">
        <f>'KELURAHAN (DI ISI)'!GZ52+'KELURAHAN (DI ISI)'!GZ53+'KELURAHAN (DI ISI)'!GZ54+'KELURAHAN (DI ISI)'!GZ55+'KELURAHAN (DI ISI)'!GZ57+'KELURAHAN (DI ISI)'!GZ60+'KELURAHAN (DI ISI)'!GZ61</f>
        <v>12</v>
      </c>
      <c r="HR26" s="491">
        <f>'KELURAHAN (DI ISI)'!HA52+'KELURAHAN (DI ISI)'!HA53+'KELURAHAN (DI ISI)'!HA54+'KELURAHAN (DI ISI)'!HA55+'KELURAHAN (DI ISI)'!HA57+'KELURAHAN (DI ISI)'!HA60+'KELURAHAN (DI ISI)'!HA61</f>
        <v>0</v>
      </c>
      <c r="HS26" s="491">
        <f>'KELURAHAN (DI ISI)'!HB52+'KELURAHAN (DI ISI)'!HB53+'KELURAHAN (DI ISI)'!HB54+'KELURAHAN (DI ISI)'!HB55+'KELURAHAN (DI ISI)'!HB57+'KELURAHAN (DI ISI)'!HB60+'KELURAHAN (DI ISI)'!HB61</f>
        <v>0</v>
      </c>
      <c r="HT26" s="491">
        <f>'KELURAHAN (DI ISI)'!HC52+'KELURAHAN (DI ISI)'!HC53+'KELURAHAN (DI ISI)'!HC54+'KELURAHAN (DI ISI)'!HC55+'KELURAHAN (DI ISI)'!HC57+'KELURAHAN (DI ISI)'!HC60+'KELURAHAN (DI ISI)'!HC61</f>
        <v>0</v>
      </c>
      <c r="HU26" s="491">
        <f>'KELURAHAN (DI ISI)'!HD52+'KELURAHAN (DI ISI)'!HD53+'KELURAHAN (DI ISI)'!HD54+'KELURAHAN (DI ISI)'!HD55+'KELURAHAN (DI ISI)'!HD57+'KELURAHAN (DI ISI)'!HD60+'KELURAHAN (DI ISI)'!HD61</f>
        <v>0</v>
      </c>
      <c r="HV26" s="491">
        <f>'KELURAHAN (DI ISI)'!HE52+'KELURAHAN (DI ISI)'!HE53+'KELURAHAN (DI ISI)'!HE54+'KELURAHAN (DI ISI)'!HE55+'KELURAHAN (DI ISI)'!HE57+'KELURAHAN (DI ISI)'!HE60+'KELURAHAN (DI ISI)'!HE61</f>
        <v>0</v>
      </c>
      <c r="HW26" s="491">
        <f>'KELURAHAN (DI ISI)'!HF52+'KELURAHAN (DI ISI)'!HF53+'KELURAHAN (DI ISI)'!HF54+'KELURAHAN (DI ISI)'!HF55+'KELURAHAN (DI ISI)'!HF57+'KELURAHAN (DI ISI)'!HF60+'KELURAHAN (DI ISI)'!HF61</f>
        <v>0</v>
      </c>
      <c r="HX26" s="491">
        <f>'KELURAHAN (DI ISI)'!HG52+'KELURAHAN (DI ISI)'!HG53+'KELURAHAN (DI ISI)'!HG54+'KELURAHAN (DI ISI)'!HG55+'KELURAHAN (DI ISI)'!HG57+'KELURAHAN (DI ISI)'!HG60+'KELURAHAN (DI ISI)'!HG61</f>
        <v>0</v>
      </c>
      <c r="HY26" s="491">
        <f>'KELURAHAN (DI ISI)'!HH52+'KELURAHAN (DI ISI)'!HH53+'KELURAHAN (DI ISI)'!HH54+'KELURAHAN (DI ISI)'!HH55+'KELURAHAN (DI ISI)'!HH57+'KELURAHAN (DI ISI)'!HH60+'KELURAHAN (DI ISI)'!HH61</f>
        <v>0</v>
      </c>
      <c r="HZ26" s="491">
        <f>'KELURAHAN (DI ISI)'!HI52+'KELURAHAN (DI ISI)'!HI53+'KELURAHAN (DI ISI)'!HI54+'KELURAHAN (DI ISI)'!HI55+'KELURAHAN (DI ISI)'!HI57+'KELURAHAN (DI ISI)'!HI60+'KELURAHAN (DI ISI)'!HI61</f>
        <v>0</v>
      </c>
      <c r="IA26" s="491">
        <f>'KELURAHAN (DI ISI)'!HJ52+'KELURAHAN (DI ISI)'!HJ53+'KELURAHAN (DI ISI)'!HJ54+'KELURAHAN (DI ISI)'!HJ55+'KELURAHAN (DI ISI)'!HJ57+'KELURAHAN (DI ISI)'!HJ60+'KELURAHAN (DI ISI)'!HJ61</f>
        <v>0</v>
      </c>
      <c r="IB26" s="491">
        <f>'KELURAHAN (DI ISI)'!HK52+'KELURAHAN (DI ISI)'!HK53+'KELURAHAN (DI ISI)'!HK54+'KELURAHAN (DI ISI)'!HK55+'KELURAHAN (DI ISI)'!HK57+'KELURAHAN (DI ISI)'!HK60+'KELURAHAN (DI ISI)'!HK61</f>
        <v>0</v>
      </c>
      <c r="IC26" s="491">
        <f>'KELURAHAN (DI ISI)'!HL52+'KELURAHAN (DI ISI)'!HL53+'KELURAHAN (DI ISI)'!HL54+'KELURAHAN (DI ISI)'!HL55+'KELURAHAN (DI ISI)'!HL57+'KELURAHAN (DI ISI)'!HL60+'KELURAHAN (DI ISI)'!HL61</f>
        <v>0</v>
      </c>
      <c r="ID26" s="491">
        <f>'KELURAHAN (DI ISI)'!HM52+'KELURAHAN (DI ISI)'!HM53+'KELURAHAN (DI ISI)'!HM54+'KELURAHAN (DI ISI)'!HM55+'KELURAHAN (DI ISI)'!HM57+'KELURAHAN (DI ISI)'!HM60+'KELURAHAN (DI ISI)'!HM61</f>
        <v>0</v>
      </c>
      <c r="IE26" s="491">
        <f>'KELURAHAN (DI ISI)'!HN52+'KELURAHAN (DI ISI)'!HN53+'KELURAHAN (DI ISI)'!HN54+'KELURAHAN (DI ISI)'!HN55+'KELURAHAN (DI ISI)'!HN57+'KELURAHAN (DI ISI)'!HN60+'KELURAHAN (DI ISI)'!HN61</f>
        <v>0</v>
      </c>
      <c r="IF26" s="573">
        <f>'KELURAHAN (DI ISI)'!HO52+'KELURAHAN (DI ISI)'!HO53+'KELURAHAN (DI ISI)'!HO54+'KELURAHAN (DI ISI)'!HO55+'KELURAHAN (DI ISI)'!HO57+'KELURAHAN (DI ISI)'!HO60+'KELURAHAN (DI ISI)'!HO61</f>
        <v>0</v>
      </c>
      <c r="IG26" s="573">
        <f>'KELURAHAN (DI ISI)'!HP52+'KELURAHAN (DI ISI)'!HP53+'KELURAHAN (DI ISI)'!HP54+'KELURAHAN (DI ISI)'!HP55+'KELURAHAN (DI ISI)'!HP57+'KELURAHAN (DI ISI)'!HP60+'KELURAHAN (DI ISI)'!HP61</f>
        <v>0</v>
      </c>
      <c r="IK26" s="198">
        <f t="shared" si="21"/>
        <v>17</v>
      </c>
      <c r="IL26" s="198">
        <f t="shared" si="22"/>
        <v>58</v>
      </c>
      <c r="IM26" s="198">
        <f t="shared" si="23"/>
        <v>20</v>
      </c>
      <c r="IN26" s="198">
        <f t="shared" si="24"/>
        <v>21</v>
      </c>
      <c r="IO26" s="198">
        <f t="shared" si="25"/>
        <v>21</v>
      </c>
      <c r="IP26" s="198">
        <f t="shared" si="26"/>
        <v>13</v>
      </c>
      <c r="IQ26" s="574">
        <f t="shared" si="27"/>
        <v>13</v>
      </c>
      <c r="IR26" s="574">
        <f t="shared" si="28"/>
        <v>14</v>
      </c>
      <c r="IS26" s="574">
        <f t="shared" si="29"/>
        <v>15</v>
      </c>
      <c r="IT26" s="574">
        <f t="shared" si="30"/>
        <v>16</v>
      </c>
      <c r="IU26" s="574">
        <f t="shared" si="31"/>
        <v>15</v>
      </c>
      <c r="IV26" s="575">
        <f t="shared" si="32"/>
        <v>15</v>
      </c>
      <c r="IW26" s="583"/>
      <c r="IX26" s="576">
        <f t="shared" si="33"/>
        <v>-15</v>
      </c>
      <c r="IZ26" s="577"/>
      <c r="JA26" s="162">
        <f t="shared" si="34"/>
        <v>-2524</v>
      </c>
      <c r="JB26" s="578"/>
      <c r="JC26" s="579">
        <f t="shared" si="35"/>
        <v>-508</v>
      </c>
      <c r="JD26" s="597"/>
      <c r="JE26" s="585"/>
      <c r="JF26" s="577"/>
      <c r="JG26" s="234">
        <f t="shared" si="36"/>
        <v>-2399</v>
      </c>
      <c r="JH26" s="578"/>
      <c r="JI26" s="579">
        <f t="shared" si="37"/>
        <v>-444</v>
      </c>
      <c r="JJ26" s="582"/>
    </row>
    <row r="27" ht="14.25" customHeight="1">
      <c r="A27" s="158">
        <v>20.0</v>
      </c>
      <c r="B27" s="157" t="s">
        <v>128</v>
      </c>
      <c r="C27" s="253">
        <v>3374120.0</v>
      </c>
      <c r="D27" s="569" t="s">
        <v>333</v>
      </c>
      <c r="E27" s="253"/>
      <c r="F27" s="259">
        <f>'KELURAHAN (DI ISI)'!F49+'KELURAHAN (DI ISI)'!F50+'KELURAHAN (DI ISI)'!F51+'KELURAHAN (DI ISI)'!F56+'KELURAHAN (DI ISI)'!F58+'KELURAHAN (DI ISI)'!F59</f>
        <v>65</v>
      </c>
      <c r="G27" s="259">
        <f>'KELURAHAN (DI ISI)'!G49+'KELURAHAN (DI ISI)'!G50+'KELURAHAN (DI ISI)'!G51+'KELURAHAN (DI ISI)'!G56+'KELURAHAN (DI ISI)'!G58+'KELURAHAN (DI ISI)'!G59</f>
        <v>6599</v>
      </c>
      <c r="H27" s="259">
        <f>'KELURAHAN (DI ISI)'!H49+'KELURAHAN (DI ISI)'!H50+'KELURAHAN (DI ISI)'!H51+'KELURAHAN (DI ISI)'!H56+'KELURAHAN (DI ISI)'!H58+'KELURAHAN (DI ISI)'!H59</f>
        <v>4</v>
      </c>
      <c r="I27" s="491">
        <f t="shared" si="1"/>
        <v>0</v>
      </c>
      <c r="J27" s="491">
        <f t="shared" si="2"/>
        <v>4</v>
      </c>
      <c r="K27" s="491">
        <f>'KELURAHAN (DI ISI)'!I49+'KELURAHAN (DI ISI)'!I50+'KELURAHAN (DI ISI)'!I51+'KELURAHAN (DI ISI)'!I56+'KELURAHAN (DI ISI)'!I58+'KELURAHAN (DI ISI)'!I59</f>
        <v>0</v>
      </c>
      <c r="L27" s="491">
        <f>'KELURAHAN (DI ISI)'!J49+'KELURAHAN (DI ISI)'!J50+'KELURAHAN (DI ISI)'!J51+'KELURAHAN (DI ISI)'!J56+'KELURAHAN (DI ISI)'!J58+'KELURAHAN (DI ISI)'!J59</f>
        <v>0</v>
      </c>
      <c r="M27" s="491">
        <f>'KELURAHAN (DI ISI)'!K49+'KELURAHAN (DI ISI)'!K50+'KELURAHAN (DI ISI)'!K51+'KELURAHAN (DI ISI)'!K56+'KELURAHAN (DI ISI)'!K58+'KELURAHAN (DI ISI)'!K59</f>
        <v>0</v>
      </c>
      <c r="N27" s="491">
        <f>'KELURAHAN (DI ISI)'!L49+'KELURAHAN (DI ISI)'!L50+'KELURAHAN (DI ISI)'!L51+'KELURAHAN (DI ISI)'!L56+'KELURAHAN (DI ISI)'!L58+'KELURAHAN (DI ISI)'!L59</f>
        <v>4</v>
      </c>
      <c r="O27" s="491">
        <f>'KELURAHAN (DI ISI)'!M49+'KELURAHAN (DI ISI)'!M50+'KELURAHAN (DI ISI)'!M51+'KELURAHAN (DI ISI)'!M56+'KELURAHAN (DI ISI)'!M58+'KELURAHAN (DI ISI)'!M59</f>
        <v>0</v>
      </c>
      <c r="P27" s="491">
        <f>'KELURAHAN (DI ISI)'!N49+'KELURAHAN (DI ISI)'!N50+'KELURAHAN (DI ISI)'!N51+'KELURAHAN (DI ISI)'!N56+'KELURAHAN (DI ISI)'!N58+'KELURAHAN (DI ISI)'!N59</f>
        <v>0</v>
      </c>
      <c r="Q27" s="491">
        <f>'KELURAHAN (DI ISI)'!O49+'KELURAHAN (DI ISI)'!O50+'KELURAHAN (DI ISI)'!O51+'KELURAHAN (DI ISI)'!O56+'KELURAHAN (DI ISI)'!O58+'KELURAHAN (DI ISI)'!O59</f>
        <v>4</v>
      </c>
      <c r="R27" s="491">
        <f>'KELURAHAN (DI ISI)'!P49+'KELURAHAN (DI ISI)'!P50+'KELURAHAN (DI ISI)'!P51+'KELURAHAN (DI ISI)'!P56+'KELURAHAN (DI ISI)'!P58+'KELURAHAN (DI ISI)'!P59</f>
        <v>5</v>
      </c>
      <c r="S27" s="491">
        <f t="shared" si="3"/>
        <v>0</v>
      </c>
      <c r="T27" s="491">
        <f t="shared" si="4"/>
        <v>5</v>
      </c>
      <c r="U27" s="491">
        <f>'KELURAHAN (DI ISI)'!Q49+'KELURAHAN (DI ISI)'!Q50+'KELURAHAN (DI ISI)'!Q51+'KELURAHAN (DI ISI)'!Q56+'KELURAHAN (DI ISI)'!Q58+'KELURAHAN (DI ISI)'!Q59</f>
        <v>0</v>
      </c>
      <c r="V27" s="491">
        <f>'KELURAHAN (DI ISI)'!R49+'KELURAHAN (DI ISI)'!R50+'KELURAHAN (DI ISI)'!R51+'KELURAHAN (DI ISI)'!R56+'KELURAHAN (DI ISI)'!R58+'KELURAHAN (DI ISI)'!R59</f>
        <v>0</v>
      </c>
      <c r="W27" s="491">
        <f>'KELURAHAN (DI ISI)'!S49+'KELURAHAN (DI ISI)'!S50+'KELURAHAN (DI ISI)'!S51+'KELURAHAN (DI ISI)'!S56+'KELURAHAN (DI ISI)'!S58+'KELURAHAN (DI ISI)'!S59</f>
        <v>0</v>
      </c>
      <c r="X27" s="491">
        <f>'KELURAHAN (DI ISI)'!T49+'KELURAHAN (DI ISI)'!T50+'KELURAHAN (DI ISI)'!T51+'KELURAHAN (DI ISI)'!T56+'KELURAHAN (DI ISI)'!T58+'KELURAHAN (DI ISI)'!T59</f>
        <v>5</v>
      </c>
      <c r="Y27" s="491">
        <f>'KELURAHAN (DI ISI)'!U49+'KELURAHAN (DI ISI)'!U50+'KELURAHAN (DI ISI)'!U51+'KELURAHAN (DI ISI)'!U56+'KELURAHAN (DI ISI)'!U58+'KELURAHAN (DI ISI)'!U59</f>
        <v>1</v>
      </c>
      <c r="Z27" s="491">
        <f>'KELURAHAN (DI ISI)'!V49+'KELURAHAN (DI ISI)'!V50+'KELURAHAN (DI ISI)'!V51+'KELURAHAN (DI ISI)'!V56+'KELURAHAN (DI ISI)'!V58+'KELURAHAN (DI ISI)'!V59</f>
        <v>0</v>
      </c>
      <c r="AA27" s="491">
        <f>'KELURAHAN (DI ISI)'!W49+'KELURAHAN (DI ISI)'!W50+'KELURAHAN (DI ISI)'!W51+'KELURAHAN (DI ISI)'!W56+'KELURAHAN (DI ISI)'!W58+'KELURAHAN (DI ISI)'!W59</f>
        <v>4</v>
      </c>
      <c r="AB27" s="491">
        <f>'KELURAHAN (DI ISI)'!X49+'KELURAHAN (DI ISI)'!X50+'KELURAHAN (DI ISI)'!X51+'KELURAHAN (DI ISI)'!X56+'KELURAHAN (DI ISI)'!X58+'KELURAHAN (DI ISI)'!X59</f>
        <v>9</v>
      </c>
      <c r="AC27" s="491">
        <f t="shared" si="5"/>
        <v>3</v>
      </c>
      <c r="AD27" s="491">
        <f t="shared" si="6"/>
        <v>6</v>
      </c>
      <c r="AE27" s="491">
        <f>'KELURAHAN (DI ISI)'!Y49+'KELURAHAN (DI ISI)'!Y50+'KELURAHAN (DI ISI)'!Y51+'KELURAHAN (DI ISI)'!Y56+'KELURAHAN (DI ISI)'!Y58+'KELURAHAN (DI ISI)'!Y59</f>
        <v>0</v>
      </c>
      <c r="AF27" s="491">
        <f>'KELURAHAN (DI ISI)'!Z49+'KELURAHAN (DI ISI)'!Z50+'KELURAHAN (DI ISI)'!Z51+'KELURAHAN (DI ISI)'!Z56+'KELURAHAN (DI ISI)'!Z58+'KELURAHAN (DI ISI)'!Z59</f>
        <v>0</v>
      </c>
      <c r="AG27" s="491">
        <f>'KELURAHAN (DI ISI)'!AA49+'KELURAHAN (DI ISI)'!AA50+'KELURAHAN (DI ISI)'!AA51+'KELURAHAN (DI ISI)'!AA56+'KELURAHAN (DI ISI)'!AA58+'KELURAHAN (DI ISI)'!AA59</f>
        <v>3</v>
      </c>
      <c r="AH27" s="491">
        <f>'KELURAHAN (DI ISI)'!AB49+'KELURAHAN (DI ISI)'!AB50+'KELURAHAN (DI ISI)'!AB51+'KELURAHAN (DI ISI)'!AB56+'KELURAHAN (DI ISI)'!AB58+'KELURAHAN (DI ISI)'!AB59</f>
        <v>6</v>
      </c>
      <c r="AI27" s="491">
        <f>'KELURAHAN (DI ISI)'!AC49+'KELURAHAN (DI ISI)'!AC50+'KELURAHAN (DI ISI)'!AC51+'KELURAHAN (DI ISI)'!AC56+'KELURAHAN (DI ISI)'!AC58+'KELURAHAN (DI ISI)'!AC59</f>
        <v>5</v>
      </c>
      <c r="AJ27" s="491">
        <f>'KELURAHAN (DI ISI)'!AD49+'KELURAHAN (DI ISI)'!AD50+'KELURAHAN (DI ISI)'!AD51+'KELURAHAN (DI ISI)'!AD56+'KELURAHAN (DI ISI)'!AD58+'KELURAHAN (DI ISI)'!AD59</f>
        <v>1</v>
      </c>
      <c r="AK27" s="491">
        <f>'KELURAHAN (DI ISI)'!AE49+'KELURAHAN (DI ISI)'!AE50+'KELURAHAN (DI ISI)'!AE51+'KELURAHAN (DI ISI)'!AE56+'KELURAHAN (DI ISI)'!AE58+'KELURAHAN (DI ISI)'!AE59</f>
        <v>3</v>
      </c>
      <c r="AL27" s="491">
        <f>'KELURAHAN (DI ISI)'!AF49+'KELURAHAN (DI ISI)'!AF50+'KELURAHAN (DI ISI)'!AF51+'KELURAHAN (DI ISI)'!AF56+'KELURAHAN (DI ISI)'!AF58+'KELURAHAN (DI ISI)'!AF59</f>
        <v>18</v>
      </c>
      <c r="AM27" s="491">
        <f t="shared" si="7"/>
        <v>8</v>
      </c>
      <c r="AN27" s="491">
        <f t="shared" si="8"/>
        <v>10</v>
      </c>
      <c r="AO27" s="491">
        <f>'KELURAHAN (DI ISI)'!AG49+'KELURAHAN (DI ISI)'!AG50+'KELURAHAN (DI ISI)'!AG51+'KELURAHAN (DI ISI)'!AG56+'KELURAHAN (DI ISI)'!AG58+'KELURAHAN (DI ISI)'!AG59</f>
        <v>0</v>
      </c>
      <c r="AP27" s="491">
        <f>'KELURAHAN (DI ISI)'!AH49+'KELURAHAN (DI ISI)'!AH50+'KELURAHAN (DI ISI)'!AH51+'KELURAHAN (DI ISI)'!AH56+'KELURAHAN (DI ISI)'!AH58+'KELURAHAN (DI ISI)'!AH59</f>
        <v>0</v>
      </c>
      <c r="AQ27" s="491">
        <f>'KELURAHAN (DI ISI)'!AI49+'KELURAHAN (DI ISI)'!AI50+'KELURAHAN (DI ISI)'!AI51+'KELURAHAN (DI ISI)'!AI56+'KELURAHAN (DI ISI)'!AI58+'KELURAHAN (DI ISI)'!AI59</f>
        <v>8</v>
      </c>
      <c r="AR27" s="491">
        <f>'KELURAHAN (DI ISI)'!AJ49+'KELURAHAN (DI ISI)'!AJ50+'KELURAHAN (DI ISI)'!AJ51+'KELURAHAN (DI ISI)'!AJ56+'KELURAHAN (DI ISI)'!AJ58+'KELURAHAN (DI ISI)'!AJ59</f>
        <v>10</v>
      </c>
      <c r="AS27" s="491">
        <f>'KELURAHAN (DI ISI)'!AK49+'KELURAHAN (DI ISI)'!AK50+'KELURAHAN (DI ISI)'!AK51+'KELURAHAN (DI ISI)'!AK56+'KELURAHAN (DI ISI)'!AK58+'KELURAHAN (DI ISI)'!AK59</f>
        <v>10</v>
      </c>
      <c r="AT27" s="491">
        <f>'KELURAHAN (DI ISI)'!AL49+'KELURAHAN (DI ISI)'!AL50+'KELURAHAN (DI ISI)'!AL51+'KELURAHAN (DI ISI)'!AL56+'KELURAHAN (DI ISI)'!AL58+'KELURAHAN (DI ISI)'!AL59</f>
        <v>1</v>
      </c>
      <c r="AU27" s="491">
        <f>'KELURAHAN (DI ISI)'!AM49+'KELURAHAN (DI ISI)'!AM50+'KELURAHAN (DI ISI)'!AM51+'KELURAHAN (DI ISI)'!AM56+'KELURAHAN (DI ISI)'!AM58+'KELURAHAN (DI ISI)'!AM59</f>
        <v>7</v>
      </c>
      <c r="AV27" s="491">
        <f>'KELURAHAN (DI ISI)'!AN49+'KELURAHAN (DI ISI)'!AN50+'KELURAHAN (DI ISI)'!AN51+'KELURAHAN (DI ISI)'!AN56+'KELURAHAN (DI ISI)'!AN58+'KELURAHAN (DI ISI)'!AN59</f>
        <v>20</v>
      </c>
      <c r="AW27" s="491">
        <f t="shared" si="9"/>
        <v>9</v>
      </c>
      <c r="AX27" s="491">
        <f t="shared" si="10"/>
        <v>11</v>
      </c>
      <c r="AY27" s="491">
        <f>'KELURAHAN (DI ISI)'!AO49+'KELURAHAN (DI ISI)'!AO50+'KELURAHAN (DI ISI)'!AO51+'KELURAHAN (DI ISI)'!AO56+'KELURAHAN (DI ISI)'!AO58+'KELURAHAN (DI ISI)'!AO59</f>
        <v>1</v>
      </c>
      <c r="AZ27" s="491">
        <f>'KELURAHAN (DI ISI)'!AP49+'KELURAHAN (DI ISI)'!AP50+'KELURAHAN (DI ISI)'!AP51+'KELURAHAN (DI ISI)'!AP56+'KELURAHAN (DI ISI)'!AP58+'KELURAHAN (DI ISI)'!AP59</f>
        <v>0</v>
      </c>
      <c r="BA27" s="491">
        <f>'KELURAHAN (DI ISI)'!AQ49+'KELURAHAN (DI ISI)'!AQ50+'KELURAHAN (DI ISI)'!AQ51+'KELURAHAN (DI ISI)'!AQ56+'KELURAHAN (DI ISI)'!AQ58+'KELURAHAN (DI ISI)'!AQ59</f>
        <v>8</v>
      </c>
      <c r="BB27" s="491">
        <f>'KELURAHAN (DI ISI)'!AR49+'KELURAHAN (DI ISI)'!AR50+'KELURAHAN (DI ISI)'!AR51+'KELURAHAN (DI ISI)'!AR56+'KELURAHAN (DI ISI)'!AR58+'KELURAHAN (DI ISI)'!AR59</f>
        <v>11</v>
      </c>
      <c r="BC27" s="491">
        <f>'KELURAHAN (DI ISI)'!AS49+'KELURAHAN (DI ISI)'!AS50+'KELURAHAN (DI ISI)'!AS51+'KELURAHAN (DI ISI)'!AS56+'KELURAHAN (DI ISI)'!AS58+'KELURAHAN (DI ISI)'!AS59</f>
        <v>4</v>
      </c>
      <c r="BD27" s="491">
        <f>'KELURAHAN (DI ISI)'!AT49+'KELURAHAN (DI ISI)'!AT50+'KELURAHAN (DI ISI)'!AT51+'KELURAHAN (DI ISI)'!AT56+'KELURAHAN (DI ISI)'!AT58+'KELURAHAN (DI ISI)'!AT59</f>
        <v>1</v>
      </c>
      <c r="BE27" s="491">
        <f>'KELURAHAN (DI ISI)'!AU49+'KELURAHAN (DI ISI)'!AU50+'KELURAHAN (DI ISI)'!AU51+'KELURAHAN (DI ISI)'!AU56+'KELURAHAN (DI ISI)'!AU58+'KELURAHAN (DI ISI)'!AU59</f>
        <v>15</v>
      </c>
      <c r="BF27" s="491">
        <f>'KELURAHAN (DI ISI)'!AV49+'KELURAHAN (DI ISI)'!AV50+'KELURAHAN (DI ISI)'!AV51+'KELURAHAN (DI ISI)'!AV56+'KELURAHAN (DI ISI)'!AV58+'KELURAHAN (DI ISI)'!AV59</f>
        <v>6495</v>
      </c>
      <c r="BG27" s="491">
        <f>'KELURAHAN (DI ISI)'!AW49+'KELURAHAN (DI ISI)'!AW50+'KELURAHAN (DI ISI)'!AW51+'KELURAHAN (DI ISI)'!AW56+'KELURAHAN (DI ISI)'!AW58+'KELURAHAN (DI ISI)'!AW59</f>
        <v>21</v>
      </c>
      <c r="BH27" s="491">
        <f t="shared" si="11"/>
        <v>7</v>
      </c>
      <c r="BI27" s="495">
        <f t="shared" si="12"/>
        <v>13</v>
      </c>
      <c r="BJ27" s="491">
        <f>'KELURAHAN (DI ISI)'!AX49+'KELURAHAN (DI ISI)'!AX50+'KELURAHAN (DI ISI)'!AX51+'KELURAHAN (DI ISI)'!AX56+'KELURAHAN (DI ISI)'!AX58+'KELURAHAN (DI ISI)'!AX59</f>
        <v>1</v>
      </c>
      <c r="BK27" s="491">
        <f>'KELURAHAN (DI ISI)'!AY49+'KELURAHAN (DI ISI)'!AY50+'KELURAHAN (DI ISI)'!AY51+'KELURAHAN (DI ISI)'!AY56+'KELURAHAN (DI ISI)'!AY58+'KELURAHAN (DI ISI)'!AY59</f>
        <v>0</v>
      </c>
      <c r="BL27" s="491">
        <f>'KELURAHAN (DI ISI)'!AZ49+'KELURAHAN (DI ISI)'!AZ50+'KELURAHAN (DI ISI)'!AZ51+'KELURAHAN (DI ISI)'!AZ56+'KELURAHAN (DI ISI)'!AZ58+'KELURAHAN (DI ISI)'!AZ59</f>
        <v>6</v>
      </c>
      <c r="BM27" s="491">
        <f>'KELURAHAN (DI ISI)'!BA49+'KELURAHAN (DI ISI)'!BA50+'KELURAHAN (DI ISI)'!BA51+'KELURAHAN (DI ISI)'!BA56+'KELURAHAN (DI ISI)'!BA58+'KELURAHAN (DI ISI)'!BA59</f>
        <v>13</v>
      </c>
      <c r="BN27" s="491">
        <f>'KELURAHAN (DI ISI)'!BB49+'KELURAHAN (DI ISI)'!BB50+'KELURAHAN (DI ISI)'!BB51+'KELURAHAN (DI ISI)'!BB56+'KELURAHAN (DI ISI)'!BB58+'KELURAHAN (DI ISI)'!BB59</f>
        <v>0</v>
      </c>
      <c r="BO27" s="491">
        <f>'KELURAHAN (DI ISI)'!BC49+'KELURAHAN (DI ISI)'!BC50+'KELURAHAN (DI ISI)'!BC51+'KELURAHAN (DI ISI)'!BC56+'KELURAHAN (DI ISI)'!BC58+'KELURAHAN (DI ISI)'!BC59</f>
        <v>0</v>
      </c>
      <c r="BP27" s="491">
        <f>'KELURAHAN (DI ISI)'!BD49+'KELURAHAN (DI ISI)'!BD50+'KELURAHAN (DI ISI)'!BD51+'KELURAHAN (DI ISI)'!BD56+'KELURAHAN (DI ISI)'!BD58+'KELURAHAN (DI ISI)'!BD59</f>
        <v>0</v>
      </c>
      <c r="BQ27" s="491">
        <f>'KELURAHAN (DI ISI)'!BE49+'KELURAHAN (DI ISI)'!BE50+'KELURAHAN (DI ISI)'!BE51+'KELURAHAN (DI ISI)'!BE56+'KELURAHAN (DI ISI)'!BE58+'KELURAHAN (DI ISI)'!BE59</f>
        <v>1</v>
      </c>
      <c r="BR27" s="491">
        <f>'KELURAHAN (DI ISI)'!BF49+'KELURAHAN (DI ISI)'!BF50+'KELURAHAN (DI ISI)'!BF51+'KELURAHAN (DI ISI)'!BF56+'KELURAHAN (DI ISI)'!BF58+'KELURAHAN (DI ISI)'!BF59</f>
        <v>0</v>
      </c>
      <c r="BS27" s="491">
        <f>'KELURAHAN (DI ISI)'!BG49+'KELURAHAN (DI ISI)'!BG50+'KELURAHAN (DI ISI)'!BG51+'KELURAHAN (DI ISI)'!BG56+'KELURAHAN (DI ISI)'!BG58+'KELURAHAN (DI ISI)'!BG59</f>
        <v>0</v>
      </c>
      <c r="BT27" s="491">
        <f>'KELURAHAN (DI ISI)'!BH49+'KELURAHAN (DI ISI)'!BH50+'KELURAHAN (DI ISI)'!BH51+'KELURAHAN (DI ISI)'!BH56+'KELURAHAN (DI ISI)'!BH58+'KELURAHAN (DI ISI)'!BH59</f>
        <v>0</v>
      </c>
      <c r="BU27" s="491">
        <f>'KELURAHAN (DI ISI)'!BI49+'KELURAHAN (DI ISI)'!BI50+'KELURAHAN (DI ISI)'!BI51+'KELURAHAN (DI ISI)'!BI56+'KELURAHAN (DI ISI)'!BI58+'KELURAHAN (DI ISI)'!BI59</f>
        <v>0</v>
      </c>
      <c r="BV27" s="491">
        <f>'KELURAHAN (DI ISI)'!BJ49+'KELURAHAN (DI ISI)'!BJ50+'KELURAHAN (DI ISI)'!BJ51+'KELURAHAN (DI ISI)'!BJ56+'KELURAHAN (DI ISI)'!BJ58+'KELURAHAN (DI ISI)'!BJ59</f>
        <v>0</v>
      </c>
      <c r="BW27" s="491">
        <f>'KELURAHAN (DI ISI)'!BK49+'KELURAHAN (DI ISI)'!BK50+'KELURAHAN (DI ISI)'!BK51+'KELURAHAN (DI ISI)'!BK56+'KELURAHAN (DI ISI)'!BK58+'KELURAHAN (DI ISI)'!BK59</f>
        <v>0</v>
      </c>
      <c r="BX27" s="491">
        <f>'KELURAHAN (DI ISI)'!BL49+'KELURAHAN (DI ISI)'!BL50+'KELURAHAN (DI ISI)'!BL51+'KELURAHAN (DI ISI)'!BL56+'KELURAHAN (DI ISI)'!BL58+'KELURAHAN (DI ISI)'!BL59</f>
        <v>0</v>
      </c>
      <c r="BY27" s="491">
        <f>'KELURAHAN (DI ISI)'!BM49+'KELURAHAN (DI ISI)'!BM50+'KELURAHAN (DI ISI)'!BM51+'KELURAHAN (DI ISI)'!BM56+'KELURAHAN (DI ISI)'!BM58+'KELURAHAN (DI ISI)'!BM59</f>
        <v>0</v>
      </c>
      <c r="BZ27" s="491">
        <f>'KELURAHAN (DI ISI)'!BN49+'KELURAHAN (DI ISI)'!BN50+'KELURAHAN (DI ISI)'!BN51+'KELURAHAN (DI ISI)'!BN56+'KELURAHAN (DI ISI)'!BN58+'KELURAHAN (DI ISI)'!BN59</f>
        <v>0</v>
      </c>
      <c r="CA27" s="491">
        <f>'KELURAHAN (DI ISI)'!BO49+'KELURAHAN (DI ISI)'!BO50+'KELURAHAN (DI ISI)'!BO51+'KELURAHAN (DI ISI)'!BO56+'KELURAHAN (DI ISI)'!BO58+'KELURAHAN (DI ISI)'!BO59</f>
        <v>0</v>
      </c>
      <c r="CB27" s="491">
        <f>'KELURAHAN (DI ISI)'!BP49+'KELURAHAN (DI ISI)'!BP50+'KELURAHAN (DI ISI)'!BP51+'KELURAHAN (DI ISI)'!BP56+'KELURAHAN (DI ISI)'!BP58+'KELURAHAN (DI ISI)'!BP59</f>
        <v>0</v>
      </c>
      <c r="CC27" s="491">
        <f>'KELURAHAN (DI ISI)'!BQ49+'KELURAHAN (DI ISI)'!BQ50+'KELURAHAN (DI ISI)'!BQ51+'KELURAHAN (DI ISI)'!BQ56+'KELURAHAN (DI ISI)'!BQ58+'KELURAHAN (DI ISI)'!BQ59</f>
        <v>6495</v>
      </c>
      <c r="CD27" s="491">
        <f>'KELURAHAN (DI ISI)'!BR49+'KELURAHAN (DI ISI)'!BR50+'KELURAHAN (DI ISI)'!BR51+'KELURAHAN (DI ISI)'!BR56+'KELURAHAN (DI ISI)'!BR58+'KELURAHAN (DI ISI)'!BR59</f>
        <v>21</v>
      </c>
      <c r="CE27" s="491">
        <f t="shared" si="13"/>
        <v>7</v>
      </c>
      <c r="CF27" s="491">
        <f t="shared" si="14"/>
        <v>13</v>
      </c>
      <c r="CG27" s="491">
        <f>'KELURAHAN (DI ISI)'!BS49+'KELURAHAN (DI ISI)'!BS50+'KELURAHAN (DI ISI)'!BS51+'KELURAHAN (DI ISI)'!BS56+'KELURAHAN (DI ISI)'!BS58+'KELURAHAN (DI ISI)'!BS59</f>
        <v>1</v>
      </c>
      <c r="CH27" s="491">
        <f>'KELURAHAN (DI ISI)'!BT49+'KELURAHAN (DI ISI)'!BT50+'KELURAHAN (DI ISI)'!BT51+'KELURAHAN (DI ISI)'!BT56+'KELURAHAN (DI ISI)'!BT58+'KELURAHAN (DI ISI)'!BT59</f>
        <v>1</v>
      </c>
      <c r="CI27" s="491">
        <f>'KELURAHAN (DI ISI)'!BU49+'KELURAHAN (DI ISI)'!BU50+'KELURAHAN (DI ISI)'!BU51+'KELURAHAN (DI ISI)'!BU56+'KELURAHAN (DI ISI)'!BU58+'KELURAHAN (DI ISI)'!BU59</f>
        <v>5</v>
      </c>
      <c r="CJ27" s="491">
        <f>'KELURAHAN (DI ISI)'!BV49+'KELURAHAN (DI ISI)'!BV50+'KELURAHAN (DI ISI)'!BV51+'KELURAHAN (DI ISI)'!BV56+'KELURAHAN (DI ISI)'!BV58+'KELURAHAN (DI ISI)'!BV59</f>
        <v>13</v>
      </c>
      <c r="CK27" s="491">
        <f>'KELURAHAN (DI ISI)'!BW49+'KELURAHAN (DI ISI)'!BW50+'KELURAHAN (DI ISI)'!BW51+'KELURAHAN (DI ISI)'!BW56+'KELURAHAN (DI ISI)'!BW58+'KELURAHAN (DI ISI)'!BW59</f>
        <v>0</v>
      </c>
      <c r="CL27" s="491">
        <f>'KELURAHAN (DI ISI)'!BX49+'KELURAHAN (DI ISI)'!BX50+'KELURAHAN (DI ISI)'!BX51+'KELURAHAN (DI ISI)'!BX56+'KELURAHAN (DI ISI)'!BX58+'KELURAHAN (DI ISI)'!BX59</f>
        <v>0</v>
      </c>
      <c r="CM27" s="491">
        <f>'KELURAHAN (DI ISI)'!BY49+'KELURAHAN (DI ISI)'!BY50+'KELURAHAN (DI ISI)'!BY51+'KELURAHAN (DI ISI)'!BY56+'KELURAHAN (DI ISI)'!BY58+'KELURAHAN (DI ISI)'!BY59</f>
        <v>0</v>
      </c>
      <c r="CN27" s="491">
        <f>'KELURAHAN (DI ISI)'!BZ49+'KELURAHAN (DI ISI)'!BZ50+'KELURAHAN (DI ISI)'!BZ51+'KELURAHAN (DI ISI)'!BZ56+'KELURAHAN (DI ISI)'!BZ58+'KELURAHAN (DI ISI)'!BZ59</f>
        <v>1</v>
      </c>
      <c r="CO27" s="491">
        <f>'KELURAHAN (DI ISI)'!CA49+'KELURAHAN (DI ISI)'!CA50+'KELURAHAN (DI ISI)'!CA51+'KELURAHAN (DI ISI)'!CA56+'KELURAHAN (DI ISI)'!CA58+'KELURAHAN (DI ISI)'!CA59</f>
        <v>0</v>
      </c>
      <c r="CP27" s="491">
        <f>'KELURAHAN (DI ISI)'!CB49+'KELURAHAN (DI ISI)'!CB50+'KELURAHAN (DI ISI)'!CB51+'KELURAHAN (DI ISI)'!CB56+'KELURAHAN (DI ISI)'!CB58+'KELURAHAN (DI ISI)'!CB59</f>
        <v>0</v>
      </c>
      <c r="CQ27" s="491">
        <f>'KELURAHAN (DI ISI)'!CC49+'KELURAHAN (DI ISI)'!CC50+'KELURAHAN (DI ISI)'!CC51+'KELURAHAN (DI ISI)'!CC56+'KELURAHAN (DI ISI)'!CC58+'KELURAHAN (DI ISI)'!CC59</f>
        <v>0</v>
      </c>
      <c r="CR27" s="491">
        <f>'KELURAHAN (DI ISI)'!CD49+'KELURAHAN (DI ISI)'!CD50+'KELURAHAN (DI ISI)'!CD51+'KELURAHAN (DI ISI)'!CD56+'KELURAHAN (DI ISI)'!CD58+'KELURAHAN (DI ISI)'!CD59</f>
        <v>0</v>
      </c>
      <c r="CS27" s="491">
        <f>'KELURAHAN (DI ISI)'!CE49+'KELURAHAN (DI ISI)'!CE50+'KELURAHAN (DI ISI)'!CE51+'KELURAHAN (DI ISI)'!CE56+'KELURAHAN (DI ISI)'!CE58+'KELURAHAN (DI ISI)'!CE59</f>
        <v>0</v>
      </c>
      <c r="CT27" s="491">
        <f>'KELURAHAN (DI ISI)'!CF49+'KELURAHAN (DI ISI)'!CF50+'KELURAHAN (DI ISI)'!CF51+'KELURAHAN (DI ISI)'!CF56+'KELURAHAN (DI ISI)'!CF58+'KELURAHAN (DI ISI)'!CF59</f>
        <v>0</v>
      </c>
      <c r="CU27" s="491">
        <f>'KELURAHAN (DI ISI)'!CG49+'KELURAHAN (DI ISI)'!CG50+'KELURAHAN (DI ISI)'!CG51+'KELURAHAN (DI ISI)'!CG56+'KELURAHAN (DI ISI)'!CG58+'KELURAHAN (DI ISI)'!CG59</f>
        <v>0</v>
      </c>
      <c r="CV27" s="491">
        <f>'KELURAHAN (DI ISI)'!CH49+'KELURAHAN (DI ISI)'!CH50+'KELURAHAN (DI ISI)'!CH51+'KELURAHAN (DI ISI)'!CH56+'KELURAHAN (DI ISI)'!CH58+'KELURAHAN (DI ISI)'!CH59</f>
        <v>1</v>
      </c>
      <c r="CW27" s="491">
        <f>'KELURAHAN (DI ISI)'!CI49+'KELURAHAN (DI ISI)'!CI50+'KELURAHAN (DI ISI)'!CI51+'KELURAHAN (DI ISI)'!CI56+'KELURAHAN (DI ISI)'!CI58+'KELURAHAN (DI ISI)'!CI59</f>
        <v>0</v>
      </c>
      <c r="CX27" s="491">
        <f>'KELURAHAN (DI ISI)'!CJ49+'KELURAHAN (DI ISI)'!CJ50+'KELURAHAN (DI ISI)'!CJ51+'KELURAHAN (DI ISI)'!CJ56+'KELURAHAN (DI ISI)'!CJ58+'KELURAHAN (DI ISI)'!CJ59</f>
        <v>0</v>
      </c>
      <c r="CY27" s="491">
        <f>'KELURAHAN (DI ISI)'!CK49+'KELURAHAN (DI ISI)'!CK50+'KELURAHAN (DI ISI)'!CK51+'KELURAHAN (DI ISI)'!CK56+'KELURAHAN (DI ISI)'!CK58+'KELURAHAN (DI ISI)'!CK59</f>
        <v>1</v>
      </c>
      <c r="CZ27" s="491">
        <f>'KELURAHAN (DI ISI)'!CL49+'KELURAHAN (DI ISI)'!CL50+'KELURAHAN (DI ISI)'!CL51+'KELURAHAN (DI ISI)'!CL56+'KELURAHAN (DI ISI)'!CL58+'KELURAHAN (DI ISI)'!CL59</f>
        <v>6538</v>
      </c>
      <c r="DA27" s="491">
        <f>'KELURAHAN (DI ISI)'!CM49+'KELURAHAN (DI ISI)'!CM50+'KELURAHAN (DI ISI)'!CM51+'KELURAHAN (DI ISI)'!CM56+'KELURAHAN (DI ISI)'!CM58+'KELURAHAN (DI ISI)'!CM59</f>
        <v>2540</v>
      </c>
      <c r="DB27" s="491">
        <f>'KELURAHAN (DI ISI)'!CN49+'KELURAHAN (DI ISI)'!CN50+'KELURAHAN (DI ISI)'!CN51+'KELURAHAN (DI ISI)'!CN56+'KELURAHAN (DI ISI)'!CN58+'KELURAHAN (DI ISI)'!CN59</f>
        <v>20</v>
      </c>
      <c r="DC27" s="491">
        <f t="shared" si="15"/>
        <v>5</v>
      </c>
      <c r="DD27" s="491">
        <f t="shared" si="16"/>
        <v>11</v>
      </c>
      <c r="DE27" s="491">
        <f>'KELURAHAN (DI ISI)'!CO49+'KELURAHAN (DI ISI)'!CO50+'KELURAHAN (DI ISI)'!CO51+'KELURAHAN (DI ISI)'!CO56+'KELURAHAN (DI ISI)'!CO58+'KELURAHAN (DI ISI)'!CO59</f>
        <v>0</v>
      </c>
      <c r="DF27" s="491">
        <f>'KELURAHAN (DI ISI)'!CP49+'KELURAHAN (DI ISI)'!CP50+'KELURAHAN (DI ISI)'!CP51+'KELURAHAN (DI ISI)'!CP56+'KELURAHAN (DI ISI)'!CP58+'KELURAHAN (DI ISI)'!CP59</f>
        <v>0</v>
      </c>
      <c r="DG27" s="491">
        <f>'KELURAHAN (DI ISI)'!CQ49+'KELURAHAN (DI ISI)'!CQ50+'KELURAHAN (DI ISI)'!CQ51+'KELURAHAN (DI ISI)'!CQ56+'KELURAHAN (DI ISI)'!CQ58+'KELURAHAN (DI ISI)'!CQ59</f>
        <v>5</v>
      </c>
      <c r="DH27" s="491">
        <f>'KELURAHAN (DI ISI)'!CR49+'KELURAHAN (DI ISI)'!CR50+'KELURAHAN (DI ISI)'!CR51+'KELURAHAN (DI ISI)'!CR56+'KELURAHAN (DI ISI)'!CR58+'KELURAHAN (DI ISI)'!CR59</f>
        <v>11</v>
      </c>
      <c r="DI27" s="491">
        <f>'KELURAHAN (DI ISI)'!CS49+'KELURAHAN (DI ISI)'!CS50+'KELURAHAN (DI ISI)'!CS51+'KELURAHAN (DI ISI)'!CS56+'KELURAHAN (DI ISI)'!CS58+'KELURAHAN (DI ISI)'!CS59</f>
        <v>0</v>
      </c>
      <c r="DJ27" s="491">
        <f>'KELURAHAN (DI ISI)'!CT49+'KELURAHAN (DI ISI)'!CT50+'KELURAHAN (DI ISI)'!CT51+'KELURAHAN (DI ISI)'!CT56+'KELURAHAN (DI ISI)'!CT58+'KELURAHAN (DI ISI)'!CT59</f>
        <v>0</v>
      </c>
      <c r="DK27" s="491">
        <f>'KELURAHAN (DI ISI)'!CU49+'KELURAHAN (DI ISI)'!CU50+'KELURAHAN (DI ISI)'!CU51+'KELURAHAN (DI ISI)'!CU56+'KELURAHAN (DI ISI)'!CU58+'KELURAHAN (DI ISI)'!CU59</f>
        <v>0</v>
      </c>
      <c r="DL27" s="491">
        <f>'KELURAHAN (DI ISI)'!CV49+'KELURAHAN (DI ISI)'!CV50+'KELURAHAN (DI ISI)'!CV51+'KELURAHAN (DI ISI)'!CV56+'KELURAHAN (DI ISI)'!CV58+'KELURAHAN (DI ISI)'!CV59</f>
        <v>4</v>
      </c>
      <c r="DM27" s="491">
        <f>'KELURAHAN (DI ISI)'!CW49+'KELURAHAN (DI ISI)'!CW50+'KELURAHAN (DI ISI)'!CW51+'KELURAHAN (DI ISI)'!CW56+'KELURAHAN (DI ISI)'!CW58+'KELURAHAN (DI ISI)'!CW59</f>
        <v>0</v>
      </c>
      <c r="DN27" s="491">
        <f>'KELURAHAN (DI ISI)'!CX49+'KELURAHAN (DI ISI)'!CX50+'KELURAHAN (DI ISI)'!CX51+'KELURAHAN (DI ISI)'!CX56+'KELURAHAN (DI ISI)'!CX58+'KELURAHAN (DI ISI)'!CX59</f>
        <v>0</v>
      </c>
      <c r="DO27" s="491">
        <f>'KELURAHAN (DI ISI)'!CY49+'KELURAHAN (DI ISI)'!CY50+'KELURAHAN (DI ISI)'!CY51+'KELURAHAN (DI ISI)'!CY56+'KELURAHAN (DI ISI)'!CY58+'KELURAHAN (DI ISI)'!CY59</f>
        <v>0</v>
      </c>
      <c r="DP27" s="491">
        <f>'KELURAHAN (DI ISI)'!CZ49+'KELURAHAN (DI ISI)'!CZ50+'KELURAHAN (DI ISI)'!CZ51+'KELURAHAN (DI ISI)'!CZ56+'KELURAHAN (DI ISI)'!CZ58+'KELURAHAN (DI ISI)'!CZ59</f>
        <v>2</v>
      </c>
      <c r="DQ27" s="491">
        <f>'KELURAHAN (DI ISI)'!DA49+'KELURAHAN (DI ISI)'!DA50+'KELURAHAN (DI ISI)'!DA51+'KELURAHAN (DI ISI)'!DA56+'KELURAHAN (DI ISI)'!DA58+'KELURAHAN (DI ISI)'!DA59</f>
        <v>0</v>
      </c>
      <c r="DR27" s="491">
        <f>'KELURAHAN (DI ISI)'!DB49+'KELURAHAN (DI ISI)'!DB50+'KELURAHAN (DI ISI)'!DB51+'KELURAHAN (DI ISI)'!DB56+'KELURAHAN (DI ISI)'!DB58+'KELURAHAN (DI ISI)'!DB59</f>
        <v>3</v>
      </c>
      <c r="DS27" s="491">
        <f>'KELURAHAN (DI ISI)'!DC49+'KELURAHAN (DI ISI)'!DC50+'KELURAHAN (DI ISI)'!DC51+'KELURAHAN (DI ISI)'!DC56+'KELURAHAN (DI ISI)'!DC58+'KELURAHAN (DI ISI)'!DC59</f>
        <v>0</v>
      </c>
      <c r="DT27" s="491">
        <f>'KELURAHAN (DI ISI)'!DD49+'KELURAHAN (DI ISI)'!DD50+'KELURAHAN (DI ISI)'!DD51+'KELURAHAN (DI ISI)'!DD56+'KELURAHAN (DI ISI)'!DD58+'KELURAHAN (DI ISI)'!DD59</f>
        <v>0</v>
      </c>
      <c r="DU27" s="491">
        <f>'KELURAHAN (DI ISI)'!DE49+'KELURAHAN (DI ISI)'!DE50+'KELURAHAN (DI ISI)'!DE51+'KELURAHAN (DI ISI)'!DE56+'KELURAHAN (DI ISI)'!DE58+'KELURAHAN (DI ISI)'!DE59</f>
        <v>0</v>
      </c>
      <c r="DV27" s="491">
        <f>'KELURAHAN (DI ISI)'!DF49+'KELURAHAN (DI ISI)'!DF50+'KELURAHAN (DI ISI)'!DF51+'KELURAHAN (DI ISI)'!DF56+'KELURAHAN (DI ISI)'!DF58+'KELURAHAN (DI ISI)'!DF59</f>
        <v>0</v>
      </c>
      <c r="DW27" s="491">
        <f>'KELURAHAN (DI ISI)'!DG49+'KELURAHAN (DI ISI)'!DG50+'KELURAHAN (DI ISI)'!DG51+'KELURAHAN (DI ISI)'!DG56+'KELURAHAN (DI ISI)'!DG58+'KELURAHAN (DI ISI)'!DG59</f>
        <v>5</v>
      </c>
      <c r="DX27" s="491">
        <f>'KELURAHAN (DI ISI)'!DH49+'KELURAHAN (DI ISI)'!DH50+'KELURAHAN (DI ISI)'!DH51+'KELURAHAN (DI ISI)'!DH56+'KELURAHAN (DI ISI)'!DH58+'KELURAHAN (DI ISI)'!DH59</f>
        <v>6060</v>
      </c>
      <c r="DY27" s="491">
        <f>'KELURAHAN (DI ISI)'!DI49+'KELURAHAN (DI ISI)'!DI50+'KELURAHAN (DI ISI)'!DI51+'KELURAHAN (DI ISI)'!DI56+'KELURAHAN (DI ISI)'!DI58+'KELURAHAN (DI ISI)'!DI59</f>
        <v>2250</v>
      </c>
      <c r="DZ27" s="491">
        <f>'KELURAHAN (DI ISI)'!DJ49+'KELURAHAN (DI ISI)'!DJ50+'KELURAHAN (DI ISI)'!DJ51+'KELURAHAN (DI ISI)'!DJ56+'KELURAHAN (DI ISI)'!DJ58+'KELURAHAN (DI ISI)'!DJ59</f>
        <v>5535</v>
      </c>
      <c r="EA27" s="491">
        <f>'KELURAHAN (DI ISI)'!DK49+'KELURAHAN (DI ISI)'!DK50+'KELURAHAN (DI ISI)'!DK51+'KELURAHAN (DI ISI)'!DK56+'KELURAHAN (DI ISI)'!DK58+'KELURAHAN (DI ISI)'!DK59</f>
        <v>2142</v>
      </c>
      <c r="EB27" s="491">
        <f>'KELURAHAN (DI ISI)'!DL49+'KELURAHAN (DI ISI)'!DL50+'KELURAHAN (DI ISI)'!DL51+'KELURAHAN (DI ISI)'!DL56+'KELURAHAN (DI ISI)'!DL58+'KELURAHAN (DI ISI)'!DL59</f>
        <v>22</v>
      </c>
      <c r="EC27" s="491">
        <f>'KELURAHAN (DI ISI)'!DM49+'KELURAHAN (DI ISI)'!DM50+'KELURAHAN (DI ISI)'!DM51+'KELURAHAN (DI ISI)'!DM56+'KELURAHAN (DI ISI)'!DM58+'KELURAHAN (DI ISI)'!DM59</f>
        <v>6</v>
      </c>
      <c r="ED27" s="491">
        <f t="shared" si="17"/>
        <v>16</v>
      </c>
      <c r="EE27" s="491">
        <f>'KELURAHAN (DI ISI)'!DO49+'KELURAHAN (DI ISI)'!DO50+'KELURAHAN (DI ISI)'!DO51+'KELURAHAN (DI ISI)'!DO56+'KELURAHAN (DI ISI)'!DO58+'KELURAHAN (DI ISI)'!DO59</f>
        <v>0</v>
      </c>
      <c r="EF27" s="491">
        <f>'KELURAHAN (DI ISI)'!DP49+'KELURAHAN (DI ISI)'!DP50+'KELURAHAN (DI ISI)'!DP51+'KELURAHAN (DI ISI)'!DP56+'KELURAHAN (DI ISI)'!DP58+'KELURAHAN (DI ISI)'!DP59</f>
        <v>0</v>
      </c>
      <c r="EG27" s="491">
        <f>'KELURAHAN (DI ISI)'!DQ49+'KELURAHAN (DI ISI)'!DQ50+'KELURAHAN (DI ISI)'!DQ51+'KELURAHAN (DI ISI)'!DQ56+'KELURAHAN (DI ISI)'!DQ58+'KELURAHAN (DI ISI)'!DQ59</f>
        <v>5</v>
      </c>
      <c r="EH27" s="491">
        <f>'KELURAHAN (DI ISI)'!DR49+'KELURAHAN (DI ISI)'!DR50+'KELURAHAN (DI ISI)'!DR51+'KELURAHAN (DI ISI)'!DR56+'KELURAHAN (DI ISI)'!DR58+'KELURAHAN (DI ISI)'!DR59</f>
        <v>15</v>
      </c>
      <c r="EI27" s="491">
        <f>'KELURAHAN (DI ISI)'!DS49+'KELURAHAN (DI ISI)'!DS50+'KELURAHAN (DI ISI)'!DS51+'KELURAHAN (DI ISI)'!DS56+'KELURAHAN (DI ISI)'!DS58+'KELURAHAN (DI ISI)'!DS59</f>
        <v>0</v>
      </c>
      <c r="EJ27" s="491">
        <f>'KELURAHAN (DI ISI)'!DT49+'KELURAHAN (DI ISI)'!DT50+'KELURAHAN (DI ISI)'!DT51+'KELURAHAN (DI ISI)'!DT56+'KELURAHAN (DI ISI)'!DT58+'KELURAHAN (DI ISI)'!DT59</f>
        <v>0</v>
      </c>
      <c r="EK27" s="491">
        <f>'KELURAHAN (DI ISI)'!DU49+'KELURAHAN (DI ISI)'!DU50+'KELURAHAN (DI ISI)'!DU51+'KELURAHAN (DI ISI)'!DU56+'KELURAHAN (DI ISI)'!DU58+'KELURAHAN (DI ISI)'!DU59</f>
        <v>1</v>
      </c>
      <c r="EL27" s="491">
        <f>'KELURAHAN (DI ISI)'!DV49+'KELURAHAN (DI ISI)'!DV50+'KELURAHAN (DI ISI)'!DV51+'KELURAHAN (DI ISI)'!DV56+'KELURAHAN (DI ISI)'!DV58+'KELURAHAN (DI ISI)'!DV59</f>
        <v>1</v>
      </c>
      <c r="EM27" s="491">
        <f>'KELURAHAN (DI ISI)'!DW49+'KELURAHAN (DI ISI)'!DW50+'KELURAHAN (DI ISI)'!DW51+'KELURAHAN (DI ISI)'!DW56+'KELURAHAN (DI ISI)'!DW58+'KELURAHAN (DI ISI)'!DW59</f>
        <v>0</v>
      </c>
      <c r="EN27" s="491">
        <f>'KELURAHAN (DI ISI)'!DX49+'KELURAHAN (DI ISI)'!DX50+'KELURAHAN (DI ISI)'!DX51+'KELURAHAN (DI ISI)'!DX56+'KELURAHAN (DI ISI)'!DX58+'KELURAHAN (DI ISI)'!DX59</f>
        <v>0</v>
      </c>
      <c r="EO27" s="491">
        <f>'KELURAHAN (DI ISI)'!DY49+'KELURAHAN (DI ISI)'!DY50+'KELURAHAN (DI ISI)'!DY51+'KELURAHAN (DI ISI)'!DY56+'KELURAHAN (DI ISI)'!DY58+'KELURAHAN (DI ISI)'!DY59</f>
        <v>0</v>
      </c>
      <c r="EP27" s="491">
        <f>'KELURAHAN (DI ISI)'!DZ49+'KELURAHAN (DI ISI)'!DZ50+'KELURAHAN (DI ISI)'!DZ51+'KELURAHAN (DI ISI)'!DZ56+'KELURAHAN (DI ISI)'!DZ58+'KELURAHAN (DI ISI)'!DZ59</f>
        <v>0</v>
      </c>
      <c r="EQ27" s="491">
        <f>'KELURAHAN (DI ISI)'!EA49+'KELURAHAN (DI ISI)'!EA50+'KELURAHAN (DI ISI)'!EA51+'KELURAHAN (DI ISI)'!EA56+'KELURAHAN (DI ISI)'!EA58+'KELURAHAN (DI ISI)'!EA59</f>
        <v>0</v>
      </c>
      <c r="ER27" s="491">
        <f>'KELURAHAN (DI ISI)'!EB49+'KELURAHAN (DI ISI)'!EB50+'KELURAHAN (DI ISI)'!EB51+'KELURAHAN (DI ISI)'!EB56+'KELURAHAN (DI ISI)'!EB58+'KELURAHAN (DI ISI)'!EB59</f>
        <v>0</v>
      </c>
      <c r="ES27" s="491">
        <f>'KELURAHAN (DI ISI)'!EC49+'KELURAHAN (DI ISI)'!EC50+'KELURAHAN (DI ISI)'!EC51+'KELURAHAN (DI ISI)'!EC56+'KELURAHAN (DI ISI)'!EC58+'KELURAHAN (DI ISI)'!EC59</f>
        <v>0</v>
      </c>
      <c r="ET27" s="491">
        <f>'KELURAHAN (DI ISI)'!ED49+'KELURAHAN (DI ISI)'!ED50+'KELURAHAN (DI ISI)'!ED51+'KELURAHAN (DI ISI)'!ED56+'KELURAHAN (DI ISI)'!ED58+'KELURAHAN (DI ISI)'!ED59</f>
        <v>0</v>
      </c>
      <c r="EU27" s="491">
        <f>'KELURAHAN (DI ISI)'!EE49+'KELURAHAN (DI ISI)'!EE50+'KELURAHAN (DI ISI)'!EE51+'KELURAHAN (DI ISI)'!EE56+'KELURAHAN (DI ISI)'!EE58+'KELURAHAN (DI ISI)'!EE59</f>
        <v>0</v>
      </c>
      <c r="EV27" s="491">
        <f>'KELURAHAN (DI ISI)'!EF49+'KELURAHAN (DI ISI)'!EF50+'KELURAHAN (DI ISI)'!EF51+'KELURAHAN (DI ISI)'!EF56+'KELURAHAN (DI ISI)'!EF58+'KELURAHAN (DI ISI)'!EF59</f>
        <v>0</v>
      </c>
      <c r="EW27" s="491">
        <f>'KELURAHAN (DI ISI)'!EG49+'KELURAHAN (DI ISI)'!EG50+'KELURAHAN (DI ISI)'!EG51+'KELURAHAN (DI ISI)'!EG56+'KELURAHAN (DI ISI)'!EG58+'KELURAHAN (DI ISI)'!EG59</f>
        <v>0</v>
      </c>
      <c r="EX27" s="491">
        <f>'KELURAHAN (DI ISI)'!EH49+'KELURAHAN (DI ISI)'!EH50+'KELURAHAN (DI ISI)'!EH51+'KELURAHAN (DI ISI)'!EH56+'KELURAHAN (DI ISI)'!EH58+'KELURAHAN (DI ISI)'!EH59</f>
        <v>0</v>
      </c>
      <c r="EY27" s="491">
        <f>'KELURAHAN (DI ISI)'!EI49+'KELURAHAN (DI ISI)'!EI50+'KELURAHAN (DI ISI)'!EI51+'KELURAHAN (DI ISI)'!EI56+'KELURAHAN (DI ISI)'!EI58+'KELURAHAN (DI ISI)'!EI59</f>
        <v>6060</v>
      </c>
      <c r="EZ27" s="491">
        <f>'KELURAHAN (DI ISI)'!EJ49+'KELURAHAN (DI ISI)'!EJ50+'KELURAHAN (DI ISI)'!EJ51+'KELURAHAN (DI ISI)'!EJ56+'KELURAHAN (DI ISI)'!EJ58+'KELURAHAN (DI ISI)'!EJ59</f>
        <v>2250</v>
      </c>
      <c r="FA27" s="491">
        <f>'KELURAHAN (DI ISI)'!EK49+'KELURAHAN (DI ISI)'!EK50+'KELURAHAN (DI ISI)'!EK51+'KELURAHAN (DI ISI)'!EK56+'KELURAHAN (DI ISI)'!EK58+'KELURAHAN (DI ISI)'!EK59</f>
        <v>5478</v>
      </c>
      <c r="FB27" s="491">
        <f>'KELURAHAN (DI ISI)'!EL49+'KELURAHAN (DI ISI)'!EL50+'KELURAHAN (DI ISI)'!EL51+'KELURAHAN (DI ISI)'!EL56+'KELURAHAN (DI ISI)'!EL58+'KELURAHAN (DI ISI)'!EL59</f>
        <v>2098</v>
      </c>
      <c r="FC27" s="491">
        <f>'KELURAHAN (DI ISI)'!EM49+'KELURAHAN (DI ISI)'!EM50+'KELURAHAN (DI ISI)'!EM51+'KELURAHAN (DI ISI)'!EM56+'KELURAHAN (DI ISI)'!EM58+'KELURAHAN (DI ISI)'!EM59</f>
        <v>20</v>
      </c>
      <c r="FD27" s="491">
        <f>'KELURAHAN (DI ISI)'!EN49+'KELURAHAN (DI ISI)'!EN50+'KELURAHAN (DI ISI)'!EN51+'KELURAHAN (DI ISI)'!EN56+'KELURAHAN (DI ISI)'!EN58+'KELURAHAN (DI ISI)'!EN59</f>
        <v>5</v>
      </c>
      <c r="FE27" s="491">
        <f t="shared" si="18"/>
        <v>15</v>
      </c>
      <c r="FF27" s="491">
        <f>'KELURAHAN (DI ISI)'!EP49+'KELURAHAN (DI ISI)'!EP50+'KELURAHAN (DI ISI)'!EP51+'KELURAHAN (DI ISI)'!EP56+'KELURAHAN (DI ISI)'!EP58+'KELURAHAN (DI ISI)'!EP59</f>
        <v>0</v>
      </c>
      <c r="FG27" s="491">
        <f>'KELURAHAN (DI ISI)'!EQ49+'KELURAHAN (DI ISI)'!EQ50+'KELURAHAN (DI ISI)'!EQ51+'KELURAHAN (DI ISI)'!EQ56+'KELURAHAN (DI ISI)'!EQ58+'KELURAHAN (DI ISI)'!EQ59</f>
        <v>0</v>
      </c>
      <c r="FH27" s="491">
        <f>'KELURAHAN (DI ISI)'!ER49+'KELURAHAN (DI ISI)'!ER50+'KELURAHAN (DI ISI)'!ER51+'KELURAHAN (DI ISI)'!ER56+'KELURAHAN (DI ISI)'!ER58+'KELURAHAN (DI ISI)'!ER59</f>
        <v>4</v>
      </c>
      <c r="FI27" s="491">
        <f>'KELURAHAN (DI ISI)'!ES49+'KELURAHAN (DI ISI)'!ES50+'KELURAHAN (DI ISI)'!ES51+'KELURAHAN (DI ISI)'!ES56+'KELURAHAN (DI ISI)'!ES58+'KELURAHAN (DI ISI)'!ES59</f>
        <v>11</v>
      </c>
      <c r="FJ27" s="491">
        <f>'KELURAHAN (DI ISI)'!ET49+'KELURAHAN (DI ISI)'!ET50+'KELURAHAN (DI ISI)'!ET51+'KELURAHAN (DI ISI)'!ET56+'KELURAHAN (DI ISI)'!ET58+'KELURAHAN (DI ISI)'!ET59</f>
        <v>0</v>
      </c>
      <c r="FK27" s="491">
        <f>'KELURAHAN (DI ISI)'!EU49+'KELURAHAN (DI ISI)'!EU50+'KELURAHAN (DI ISI)'!EU51+'KELURAHAN (DI ISI)'!EU56+'KELURAHAN (DI ISI)'!EU58+'KELURAHAN (DI ISI)'!EU59</f>
        <v>0</v>
      </c>
      <c r="FL27" s="491">
        <f>'KELURAHAN (DI ISI)'!EV49+'KELURAHAN (DI ISI)'!EV50+'KELURAHAN (DI ISI)'!EV51+'KELURAHAN (DI ISI)'!EV56+'KELURAHAN (DI ISI)'!EV58+'KELURAHAN (DI ISI)'!EV59</f>
        <v>1</v>
      </c>
      <c r="FM27" s="491">
        <f>'KELURAHAN (DI ISI)'!EW49+'KELURAHAN (DI ISI)'!EW50+'KELURAHAN (DI ISI)'!EW51+'KELURAHAN (DI ISI)'!EW56+'KELURAHAN (DI ISI)'!EW58+'KELURAHAN (DI ISI)'!EW59</f>
        <v>4</v>
      </c>
      <c r="FN27" s="491">
        <f>'KELURAHAN (DI ISI)'!EX49+'KELURAHAN (DI ISI)'!EX50+'KELURAHAN (DI ISI)'!EX51+'KELURAHAN (DI ISI)'!EX56+'KELURAHAN (DI ISI)'!EX58+'KELURAHAN (DI ISI)'!EX59</f>
        <v>0</v>
      </c>
      <c r="FO27" s="491">
        <f>'KELURAHAN (DI ISI)'!EY49+'KELURAHAN (DI ISI)'!EY50+'KELURAHAN (DI ISI)'!EY51+'KELURAHAN (DI ISI)'!EY56+'KELURAHAN (DI ISI)'!EY58+'KELURAHAN (DI ISI)'!EY59</f>
        <v>0</v>
      </c>
      <c r="FP27" s="491">
        <f>'KELURAHAN (DI ISI)'!EZ49+'KELURAHAN (DI ISI)'!EZ50+'KELURAHAN (DI ISI)'!EZ51+'KELURAHAN (DI ISI)'!EZ56+'KELURAHAN (DI ISI)'!EZ58+'KELURAHAN (DI ISI)'!EZ59</f>
        <v>3</v>
      </c>
      <c r="FQ27" s="491">
        <f>'KELURAHAN (DI ISI)'!FA49+'KELURAHAN (DI ISI)'!FA50+'KELURAHAN (DI ISI)'!FA51+'KELURAHAN (DI ISI)'!FA56+'KELURAHAN (DI ISI)'!FA58+'KELURAHAN (DI ISI)'!FA59</f>
        <v>4</v>
      </c>
      <c r="FR27" s="491">
        <f>'KELURAHAN (DI ISI)'!FB49+'KELURAHAN (DI ISI)'!FB50+'KELURAHAN (DI ISI)'!FB51+'KELURAHAN (DI ISI)'!FB56+'KELURAHAN (DI ISI)'!FB58+'KELURAHAN (DI ISI)'!FB59</f>
        <v>0</v>
      </c>
      <c r="FS27" s="491">
        <f>'KELURAHAN (DI ISI)'!FC49+'KELURAHAN (DI ISI)'!FC50+'KELURAHAN (DI ISI)'!FC51+'KELURAHAN (DI ISI)'!FC56+'KELURAHAN (DI ISI)'!FC58+'KELURAHAN (DI ISI)'!FC59</f>
        <v>0</v>
      </c>
      <c r="FT27" s="491">
        <f>'KELURAHAN (DI ISI)'!FD49+'KELURAHAN (DI ISI)'!FD50+'KELURAHAN (DI ISI)'!FD51+'KELURAHAN (DI ISI)'!FD56+'KELURAHAN (DI ISI)'!FD58+'KELURAHAN (DI ISI)'!FD59</f>
        <v>0</v>
      </c>
      <c r="FU27" s="491">
        <f>'KELURAHAN (DI ISI)'!FE49+'KELURAHAN (DI ISI)'!FE50+'KELURAHAN (DI ISI)'!FE51+'KELURAHAN (DI ISI)'!FE56+'KELURAHAN (DI ISI)'!FE58+'KELURAHAN (DI ISI)'!FE59</f>
        <v>0</v>
      </c>
      <c r="FV27" s="491">
        <f>'KELURAHAN (DI ISI)'!FF49+'KELURAHAN (DI ISI)'!FF50+'KELURAHAN (DI ISI)'!FF51+'KELURAHAN (DI ISI)'!FF56+'KELURAHAN (DI ISI)'!FF58+'KELURAHAN (DI ISI)'!FF59</f>
        <v>0</v>
      </c>
      <c r="FW27" s="491">
        <f>'KELURAHAN (DI ISI)'!FG49+'KELURAHAN (DI ISI)'!FG50+'KELURAHAN (DI ISI)'!FG51+'KELURAHAN (DI ISI)'!FG56+'KELURAHAN (DI ISI)'!FG58+'KELURAHAN (DI ISI)'!FG59</f>
        <v>0</v>
      </c>
      <c r="FX27" s="491">
        <f>'KELURAHAN (DI ISI)'!FH49+'KELURAHAN (DI ISI)'!FH50+'KELURAHAN (DI ISI)'!FH51+'KELURAHAN (DI ISI)'!FH56+'KELURAHAN (DI ISI)'!FH58+'KELURAHAN (DI ISI)'!FH59</f>
        <v>7</v>
      </c>
      <c r="FY27" s="491">
        <f>'KELURAHAN (DI ISI)'!FI49+'KELURAHAN (DI ISI)'!FI50+'KELURAHAN (DI ISI)'!FI51+'KELURAHAN (DI ISI)'!FI56+'KELURAHAN (DI ISI)'!FI58+'KELURAHAN (DI ISI)'!FI59</f>
        <v>3</v>
      </c>
      <c r="FZ27" s="491">
        <f>'KELURAHAN (DI ISI)'!FJ49+'KELURAHAN (DI ISI)'!FJ50+'KELURAHAN (DI ISI)'!FJ51+'KELURAHAN (DI ISI)'!FJ56+'KELURAHAN (DI ISI)'!FJ58+'KELURAHAN (DI ISI)'!FJ59</f>
        <v>5931</v>
      </c>
      <c r="GA27" s="491">
        <f>'KELURAHAN (DI ISI)'!FK49+'KELURAHAN (DI ISI)'!FK50+'KELURAHAN (DI ISI)'!FK51+'KELURAHAN (DI ISI)'!FK56+'KELURAHAN (DI ISI)'!FK58+'KELURAHAN (DI ISI)'!FK59</f>
        <v>1683</v>
      </c>
      <c r="GB27" s="491">
        <f>'KELURAHAN (DI ISI)'!FL49+'KELURAHAN (DI ISI)'!FL50+'KELURAHAN (DI ISI)'!FL51+'KELURAHAN (DI ISI)'!FL56+'KELURAHAN (DI ISI)'!FL58+'KELURAHAN (DI ISI)'!FL59</f>
        <v>5351</v>
      </c>
      <c r="GC27" s="491">
        <f>'KELURAHAN (DI ISI)'!FM49+'KELURAHAN (DI ISI)'!FM50+'KELURAHAN (DI ISI)'!FM51+'KELURAHAN (DI ISI)'!FM56+'KELURAHAN (DI ISI)'!FM58+'KELURAHAN (DI ISI)'!FM59</f>
        <v>1569</v>
      </c>
      <c r="GD27" s="570">
        <v>5351.0</v>
      </c>
      <c r="GE27" s="571">
        <f>'KELURAHAN (DI ISI)'!FO49+'KELURAHAN (DI ISI)'!FO50+'KELURAHAN (DI ISI)'!FO51+'KELURAHAN (DI ISI)'!FO56+'KELURAHAN (DI ISI)'!FO58+'KELURAHAN (DI ISI)'!FO59</f>
        <v>29</v>
      </c>
      <c r="GF27" s="571">
        <f>'KELURAHAN (DI ISI)'!FP49+'KELURAHAN (DI ISI)'!FP50+'KELURAHAN (DI ISI)'!FP51+'KELURAHAN (DI ISI)'!FP56+'KELURAHAN (DI ISI)'!FP58+'KELURAHAN (DI ISI)'!FP59</f>
        <v>29</v>
      </c>
      <c r="GG27" s="571">
        <f>'KELURAHAN (DI ISI)'!FP49+'KELURAHAN (DI ISI)'!FP50+'KELURAHAN (DI ISI)'!FP51+'KELURAHAN (DI ISI)'!FP56+'KELURAHAN (DI ISI)'!FP58+'KELURAHAN (DI ISI)'!FP59</f>
        <v>29</v>
      </c>
      <c r="GH27" s="571">
        <f>'KELURAHAN (DI ISI)'!FQ49+'KELURAHAN (DI ISI)'!FQ50+'KELURAHAN (DI ISI)'!FQ51+'KELURAHAN (DI ISI)'!FQ56+'KELURAHAN (DI ISI)'!FQ58+'KELURAHAN (DI ISI)'!FQ59</f>
        <v>12</v>
      </c>
      <c r="GI27" s="571">
        <f t="shared" si="19"/>
        <v>17</v>
      </c>
      <c r="GJ27" s="491">
        <f>'KELURAHAN (DI ISI)'!FS49+'KELURAHAN (DI ISI)'!FS50+'KELURAHAN (DI ISI)'!FS51+'KELURAHAN (DI ISI)'!FS56+'KELURAHAN (DI ISI)'!FS58+'KELURAHAN (DI ISI)'!FS59</f>
        <v>0</v>
      </c>
      <c r="GK27" s="491">
        <f>'KELURAHAN (DI ISI)'!FT49+'KELURAHAN (DI ISI)'!FT50+'KELURAHAN (DI ISI)'!FT51+'KELURAHAN (DI ISI)'!FT56+'KELURAHAN (DI ISI)'!FT58+'KELURAHAN (DI ISI)'!FT59</f>
        <v>0</v>
      </c>
      <c r="GL27" s="491">
        <f>'KELURAHAN (DI ISI)'!FU49+'KELURAHAN (DI ISI)'!FU50+'KELURAHAN (DI ISI)'!FU51+'KELURAHAN (DI ISI)'!FU56+'KELURAHAN (DI ISI)'!FU58+'KELURAHAN (DI ISI)'!FU59</f>
        <v>5</v>
      </c>
      <c r="GM27" s="491">
        <f>'KELURAHAN (DI ISI)'!FV49+'KELURAHAN (DI ISI)'!FV50+'KELURAHAN (DI ISI)'!FV51+'KELURAHAN (DI ISI)'!FV56+'KELURAHAN (DI ISI)'!FV58+'KELURAHAN (DI ISI)'!FV59</f>
        <v>14</v>
      </c>
      <c r="GN27" s="491">
        <f>'KELURAHAN (DI ISI)'!FW49+'KELURAHAN (DI ISI)'!FW50+'KELURAHAN (DI ISI)'!FW51+'KELURAHAN (DI ISI)'!FW56+'KELURAHAN (DI ISI)'!FW58+'KELURAHAN (DI ISI)'!FW59</f>
        <v>0</v>
      </c>
      <c r="GO27" s="491">
        <f>'KELURAHAN (DI ISI)'!FX49+'KELURAHAN (DI ISI)'!FX50+'KELURAHAN (DI ISI)'!FX51+'KELURAHAN (DI ISI)'!FX56+'KELURAHAN (DI ISI)'!FX58+'KELURAHAN (DI ISI)'!FX59</f>
        <v>1</v>
      </c>
      <c r="GP27" s="491">
        <f>'KELURAHAN (DI ISI)'!FY49+'KELURAHAN (DI ISI)'!FY50+'KELURAHAN (DI ISI)'!FY51+'KELURAHAN (DI ISI)'!FY56+'KELURAHAN (DI ISI)'!FY58+'KELURAHAN (DI ISI)'!FY59</f>
        <v>6</v>
      </c>
      <c r="GQ27" s="491">
        <f>'KELURAHAN (DI ISI)'!FZ49+'KELURAHAN (DI ISI)'!FZ50+'KELURAHAN (DI ISI)'!FZ51+'KELURAHAN (DI ISI)'!FZ56+'KELURAHAN (DI ISI)'!FZ58+'KELURAHAN (DI ISI)'!FZ59</f>
        <v>3</v>
      </c>
      <c r="GR27" s="491">
        <f>'KELURAHAN (DI ISI)'!GA49+'KELURAHAN (DI ISI)'!GA50+'KELURAHAN (DI ISI)'!GA51+'KELURAHAN (DI ISI)'!GA56+'KELURAHAN (DI ISI)'!GA58+'KELURAHAN (DI ISI)'!GA59</f>
        <v>0</v>
      </c>
      <c r="GS27" s="491">
        <f>'KELURAHAN (DI ISI)'!GB49+'KELURAHAN (DI ISI)'!GB50+'KELURAHAN (DI ISI)'!GB51+'KELURAHAN (DI ISI)'!GB56+'KELURAHAN (DI ISI)'!GB58+'KELURAHAN (DI ISI)'!GB59</f>
        <v>0</v>
      </c>
      <c r="GT27" s="491">
        <f>'KELURAHAN (DI ISI)'!GC49+'KELURAHAN (DI ISI)'!GC50+'KELURAHAN (DI ISI)'!GC51+'KELURAHAN (DI ISI)'!GC56+'KELURAHAN (DI ISI)'!GC58+'KELURAHAN (DI ISI)'!GC59</f>
        <v>0</v>
      </c>
      <c r="GU27" s="491">
        <f>'KELURAHAN (DI ISI)'!GD49+'KELURAHAN (DI ISI)'!GD50+'KELURAHAN (DI ISI)'!GD51+'KELURAHAN (DI ISI)'!GD56+'KELURAHAN (DI ISI)'!GD58+'KELURAHAN (DI ISI)'!GD59</f>
        <v>1</v>
      </c>
      <c r="GV27" s="491">
        <f>'KELURAHAN (DI ISI)'!GE49+'KELURAHAN (DI ISI)'!GE50+'KELURAHAN (DI ISI)'!GE51+'KELURAHAN (DI ISI)'!GE56+'KELURAHAN (DI ISI)'!GE58+'KELURAHAN (DI ISI)'!GE59</f>
        <v>0</v>
      </c>
      <c r="GW27" s="491">
        <f>'KELURAHAN (DI ISI)'!GF49+'KELURAHAN (DI ISI)'!GF50+'KELURAHAN (DI ISI)'!GF51+'KELURAHAN (DI ISI)'!GF56+'KELURAHAN (DI ISI)'!GF58+'KELURAHAN (DI ISI)'!GF59</f>
        <v>0</v>
      </c>
      <c r="GX27" s="491">
        <f>'KELURAHAN (DI ISI)'!GG49+'KELURAHAN (DI ISI)'!GG50+'KELURAHAN (DI ISI)'!GG51+'KELURAHAN (DI ISI)'!GG56+'KELURAHAN (DI ISI)'!GG58+'KELURAHAN (DI ISI)'!GG59</f>
        <v>0</v>
      </c>
      <c r="GY27" s="491">
        <f>'KELURAHAN (DI ISI)'!GH49+'KELURAHAN (DI ISI)'!GH50+'KELURAHAN (DI ISI)'!GH51+'KELURAHAN (DI ISI)'!GH56+'KELURAHAN (DI ISI)'!GH58+'KELURAHAN (DI ISI)'!GH59</f>
        <v>0</v>
      </c>
      <c r="GZ27" s="491">
        <f>'KELURAHAN (DI ISI)'!GI49+'KELURAHAN (DI ISI)'!GI50+'KELURAHAN (DI ISI)'!GI51+'KELURAHAN (DI ISI)'!GI56+'KELURAHAN (DI ISI)'!GI58+'KELURAHAN (DI ISI)'!GI59</f>
        <v>0</v>
      </c>
      <c r="HA27" s="491">
        <f>'KELURAHAN (DI ISI)'!GJ49+'KELURAHAN (DI ISI)'!GJ50+'KELURAHAN (DI ISI)'!GJ51+'KELURAHAN (DI ISI)'!GJ56+'KELURAHAN (DI ISI)'!GJ58+'KELURAHAN (DI ISI)'!GJ59</f>
        <v>0</v>
      </c>
      <c r="HB27" s="572">
        <f>'KELURAHAN (DI ISI)'!GK49+'KELURAHAN (DI ISI)'!GK50+'KELURAHAN (DI ISI)'!GK51+'KELURAHAN (DI ISI)'!GK56+'KELURAHAN (DI ISI)'!GK58+'KELURAHAN (DI ISI)'!GK59</f>
        <v>1</v>
      </c>
      <c r="HC27" s="572">
        <f>'KELURAHAN (DI ISI)'!GL49+'KELURAHAN (DI ISI)'!GL50+'KELURAHAN (DI ISI)'!GL51+'KELURAHAN (DI ISI)'!GL56+'KELURAHAN (DI ISI)'!GL58+'KELURAHAN (DI ISI)'!GL59</f>
        <v>0</v>
      </c>
      <c r="HD27" s="491">
        <f>'KELURAHAN (DI ISI)'!GM49+'KELURAHAN (DI ISI)'!GM50+'KELURAHAN (DI ISI)'!GM51+'KELURAHAN (DI ISI)'!GM56+'KELURAHAN (DI ISI)'!GM58+'KELURAHAN (DI ISI)'!GM59</f>
        <v>6060</v>
      </c>
      <c r="HE27" s="491">
        <f>'KELURAHAN (DI ISI)'!GN49+'KELURAHAN (DI ISI)'!GN50+'KELURAHAN (DI ISI)'!GN51+'KELURAHAN (DI ISI)'!GN56+'KELURAHAN (DI ISI)'!GN58+'KELURAHAN (DI ISI)'!GN59</f>
        <v>2230</v>
      </c>
      <c r="HF27" s="491">
        <f>'KELURAHAN (DI ISI)'!GO49+'KELURAHAN (DI ISI)'!GO50+'KELURAHAN (DI ISI)'!GO51+'KELURAHAN (DI ISI)'!GO56+'KELURAHAN (DI ISI)'!GO58+'KELURAHAN (DI ISI)'!GO59</f>
        <v>5928</v>
      </c>
      <c r="HG27" s="491">
        <f>'KELURAHAN (DI ISI)'!GP49+'KELURAHAN (DI ISI)'!GP50+'KELURAHAN (DI ISI)'!GP51+'KELURAHAN (DI ISI)'!GP56+'KELURAHAN (DI ISI)'!GP58+'KELURAHAN (DI ISI)'!GP59</f>
        <v>1871</v>
      </c>
      <c r="HH27" s="570">
        <v>5351.0</v>
      </c>
      <c r="HI27" s="225">
        <f>'KELURAHAN (DI ISI)'!GR49+'KELURAHAN (DI ISI)'!GR50+'KELURAHAN (DI ISI)'!GR51+'KELURAHAN (DI ISI)'!GR56+'KELURAHAN (DI ISI)'!GR58+'KELURAHAN (DI ISI)'!GR59</f>
        <v>35</v>
      </c>
      <c r="HJ27" s="225">
        <f>'KELURAHAN (DI ISI)'!GS49+'KELURAHAN (DI ISI)'!GS50+'KELURAHAN (DI ISI)'!GS51+'KELURAHAN (DI ISI)'!GS56+'KELURAHAN (DI ISI)'!GS58+'KELURAHAN (DI ISI)'!GS59</f>
        <v>14</v>
      </c>
      <c r="HK27" s="573">
        <f>'KELURAHAN (DI ISI)'!GT49+'KELURAHAN (DI ISI)'!GT50+'KELURAHAN (DI ISI)'!GT51+'KELURAHAN (DI ISI)'!GT56+'KELURAHAN (DI ISI)'!GT58+'KELURAHAN (DI ISI)'!GT59</f>
        <v>35</v>
      </c>
      <c r="HL27" s="573">
        <f>'KELURAHAN (DI ISI)'!GU49+'KELURAHAN (DI ISI)'!GU50+'KELURAHAN (DI ISI)'!GU51+'KELURAHAN (DI ISI)'!GU56+'KELURAHAN (DI ISI)'!GU58+'KELURAHAN (DI ISI)'!GU59</f>
        <v>14</v>
      </c>
      <c r="HM27" s="573">
        <f t="shared" si="20"/>
        <v>21</v>
      </c>
      <c r="HN27" s="491">
        <f>'KELURAHAN (DI ISI)'!GW49+'KELURAHAN (DI ISI)'!GW50+'KELURAHAN (DI ISI)'!GW51+'KELURAHAN (DI ISI)'!GW56+'KELURAHAN (DI ISI)'!GW58+'KELURAHAN (DI ISI)'!GW59</f>
        <v>0</v>
      </c>
      <c r="HO27" s="491">
        <f>'KELURAHAN (DI ISI)'!GX49+'KELURAHAN (DI ISI)'!GX50+'KELURAHAN (DI ISI)'!GX51+'KELURAHAN (DI ISI)'!GX56+'KELURAHAN (DI ISI)'!GX58+'KELURAHAN (DI ISI)'!GX59</f>
        <v>1</v>
      </c>
      <c r="HP27" s="491">
        <f>'KELURAHAN (DI ISI)'!GY49+'KELURAHAN (DI ISI)'!GY50+'KELURAHAN (DI ISI)'!GY51+'KELURAHAN (DI ISI)'!GY56+'KELURAHAN (DI ISI)'!GY58+'KELURAHAN (DI ISI)'!GY59</f>
        <v>6</v>
      </c>
      <c r="HQ27" s="491">
        <f>'KELURAHAN (DI ISI)'!GZ49+'KELURAHAN (DI ISI)'!GZ50+'KELURAHAN (DI ISI)'!GZ51+'KELURAHAN (DI ISI)'!GZ56+'KELURAHAN (DI ISI)'!GZ58+'KELURAHAN (DI ISI)'!GZ59</f>
        <v>18</v>
      </c>
      <c r="HR27" s="491">
        <f>'KELURAHAN (DI ISI)'!HA49+'KELURAHAN (DI ISI)'!HA50+'KELURAHAN (DI ISI)'!HA51+'KELURAHAN (DI ISI)'!HA56+'KELURAHAN (DI ISI)'!HA58+'KELURAHAN (DI ISI)'!HA59</f>
        <v>0</v>
      </c>
      <c r="HS27" s="491">
        <f>'KELURAHAN (DI ISI)'!HB49+'KELURAHAN (DI ISI)'!HB50+'KELURAHAN (DI ISI)'!HB51+'KELURAHAN (DI ISI)'!HB56+'KELURAHAN (DI ISI)'!HB58+'KELURAHAN (DI ISI)'!HB59</f>
        <v>1</v>
      </c>
      <c r="HT27" s="491">
        <f>'KELURAHAN (DI ISI)'!HC49+'KELURAHAN (DI ISI)'!HC50+'KELURAHAN (DI ISI)'!HC51+'KELURAHAN (DI ISI)'!HC56+'KELURAHAN (DI ISI)'!HC58+'KELURAHAN (DI ISI)'!HC59</f>
        <v>6</v>
      </c>
      <c r="HU27" s="491">
        <f>'KELURAHAN (DI ISI)'!HD49+'KELURAHAN (DI ISI)'!HD50+'KELURAHAN (DI ISI)'!HD51+'KELURAHAN (DI ISI)'!HD56+'KELURAHAN (DI ISI)'!HD58+'KELURAHAN (DI ISI)'!HD59</f>
        <v>3</v>
      </c>
      <c r="HV27" s="491">
        <f>'KELURAHAN (DI ISI)'!HE49+'KELURAHAN (DI ISI)'!HE50+'KELURAHAN (DI ISI)'!HE51+'KELURAHAN (DI ISI)'!HE56+'KELURAHAN (DI ISI)'!HE58+'KELURAHAN (DI ISI)'!HE59</f>
        <v>0</v>
      </c>
      <c r="HW27" s="491">
        <f>'KELURAHAN (DI ISI)'!HF49+'KELURAHAN (DI ISI)'!HF50+'KELURAHAN (DI ISI)'!HF51+'KELURAHAN (DI ISI)'!HF56+'KELURAHAN (DI ISI)'!HF58+'KELURAHAN (DI ISI)'!HF59</f>
        <v>0</v>
      </c>
      <c r="HX27" s="491">
        <f>'KELURAHAN (DI ISI)'!HG49+'KELURAHAN (DI ISI)'!HG50+'KELURAHAN (DI ISI)'!HG51+'KELURAHAN (DI ISI)'!HG56+'KELURAHAN (DI ISI)'!HG58+'KELURAHAN (DI ISI)'!HG59</f>
        <v>4</v>
      </c>
      <c r="HY27" s="491">
        <f>'KELURAHAN (DI ISI)'!HH49+'KELURAHAN (DI ISI)'!HH50+'KELURAHAN (DI ISI)'!HH51+'KELURAHAN (DI ISI)'!HH56+'KELURAHAN (DI ISI)'!HH58+'KELURAHAN (DI ISI)'!HH59</f>
        <v>0</v>
      </c>
      <c r="HZ27" s="491">
        <f>'KELURAHAN (DI ISI)'!HI49+'KELURAHAN (DI ISI)'!HI50+'KELURAHAN (DI ISI)'!HI51+'KELURAHAN (DI ISI)'!HI56+'KELURAHAN (DI ISI)'!HI58+'KELURAHAN (DI ISI)'!HI59</f>
        <v>0</v>
      </c>
      <c r="IA27" s="491">
        <f>'KELURAHAN (DI ISI)'!HJ49+'KELURAHAN (DI ISI)'!HJ50+'KELURAHAN (DI ISI)'!HJ51+'KELURAHAN (DI ISI)'!HJ56+'KELURAHAN (DI ISI)'!HJ58+'KELURAHAN (DI ISI)'!HJ59</f>
        <v>0</v>
      </c>
      <c r="IB27" s="491">
        <f>'KELURAHAN (DI ISI)'!HK49+'KELURAHAN (DI ISI)'!HK50+'KELURAHAN (DI ISI)'!HK51+'KELURAHAN (DI ISI)'!HK56+'KELURAHAN (DI ISI)'!HK58+'KELURAHAN (DI ISI)'!HK59</f>
        <v>0</v>
      </c>
      <c r="IC27" s="491">
        <f>'KELURAHAN (DI ISI)'!HL49+'KELURAHAN (DI ISI)'!HL50+'KELURAHAN (DI ISI)'!HL51+'KELURAHAN (DI ISI)'!HL56+'KELURAHAN (DI ISI)'!HL58+'KELURAHAN (DI ISI)'!HL59</f>
        <v>0</v>
      </c>
      <c r="ID27" s="491">
        <f>'KELURAHAN (DI ISI)'!HM49+'KELURAHAN (DI ISI)'!HM50+'KELURAHAN (DI ISI)'!HM51+'KELURAHAN (DI ISI)'!HM56+'KELURAHAN (DI ISI)'!HM58+'KELURAHAN (DI ISI)'!HM59</f>
        <v>0</v>
      </c>
      <c r="IE27" s="491">
        <f>'KELURAHAN (DI ISI)'!HN49+'KELURAHAN (DI ISI)'!HN50+'KELURAHAN (DI ISI)'!HN51+'KELURAHAN (DI ISI)'!HN56+'KELURAHAN (DI ISI)'!HN58+'KELURAHAN (DI ISI)'!HN59</f>
        <v>0</v>
      </c>
      <c r="IF27" s="573">
        <f>'KELURAHAN (DI ISI)'!HO49+'KELURAHAN (DI ISI)'!HO50+'KELURAHAN (DI ISI)'!HO51+'KELURAHAN (DI ISI)'!HO56+'KELURAHAN (DI ISI)'!HO58+'KELURAHAN (DI ISI)'!HO59</f>
        <v>0</v>
      </c>
      <c r="IG27" s="573">
        <f>'KELURAHAN (DI ISI)'!HP49+'KELURAHAN (DI ISI)'!HP50+'KELURAHAN (DI ISI)'!HP51+'KELURAHAN (DI ISI)'!HP56+'KELURAHAN (DI ISI)'!HP58+'KELURAHAN (DI ISI)'!HP59</f>
        <v>4</v>
      </c>
      <c r="IK27" s="198">
        <f t="shared" si="21"/>
        <v>4</v>
      </c>
      <c r="IL27" s="198">
        <f t="shared" si="22"/>
        <v>5</v>
      </c>
      <c r="IM27" s="198">
        <f t="shared" si="23"/>
        <v>9</v>
      </c>
      <c r="IN27" s="198">
        <f t="shared" si="24"/>
        <v>18</v>
      </c>
      <c r="IO27" s="198">
        <f t="shared" si="25"/>
        <v>20</v>
      </c>
      <c r="IP27" s="198">
        <f t="shared" si="26"/>
        <v>21</v>
      </c>
      <c r="IQ27" s="574">
        <f t="shared" si="27"/>
        <v>21</v>
      </c>
      <c r="IR27" s="574">
        <f t="shared" si="28"/>
        <v>20</v>
      </c>
      <c r="IS27" s="574">
        <f t="shared" si="29"/>
        <v>22</v>
      </c>
      <c r="IT27" s="574">
        <f t="shared" si="30"/>
        <v>20</v>
      </c>
      <c r="IU27" s="574">
        <f t="shared" si="31"/>
        <v>29</v>
      </c>
      <c r="IV27" s="575">
        <f t="shared" si="32"/>
        <v>35</v>
      </c>
      <c r="IW27" s="583"/>
      <c r="IX27" s="576">
        <f t="shared" si="33"/>
        <v>-35</v>
      </c>
      <c r="IZ27" s="577"/>
      <c r="JA27" s="162">
        <f t="shared" si="34"/>
        <v>-6060</v>
      </c>
      <c r="JB27" s="578"/>
      <c r="JC27" s="579">
        <f t="shared" si="35"/>
        <v>-2230</v>
      </c>
      <c r="JD27" s="597"/>
      <c r="JE27" s="585"/>
      <c r="JF27" s="577"/>
      <c r="JG27" s="234">
        <f t="shared" si="36"/>
        <v>-5928</v>
      </c>
      <c r="JH27" s="578"/>
      <c r="JI27" s="579">
        <f t="shared" si="37"/>
        <v>-1871</v>
      </c>
      <c r="JJ27" s="593"/>
    </row>
    <row r="28" ht="14.25" customHeight="1">
      <c r="A28" s="158">
        <v>22.0</v>
      </c>
      <c r="B28" s="157" t="s">
        <v>143</v>
      </c>
      <c r="C28" s="253">
        <v>3374120.0</v>
      </c>
      <c r="D28" s="599" t="s">
        <v>147</v>
      </c>
      <c r="E28" s="253"/>
      <c r="F28" s="259">
        <f>'KELURAHAN (DI ISI)'!F62+'KELURAHAN (DI ISI)'!F63+'KELURAHAN (DI ISI)'!F64+'KELURAHAN (DI ISI)'!F67+'KELURAHAN (DI ISI)'!F69+'KELURAHAN (DI ISI)'!F70+'KELURAHAN (DI ISI)'!F71+'KELURAHAN (DI ISI)'!F72</f>
        <v>90</v>
      </c>
      <c r="G28" s="259">
        <f>'KELURAHAN (DI ISI)'!G62+'KELURAHAN (DI ISI)'!G63+'KELURAHAN (DI ISI)'!G64+'KELURAHAN (DI ISI)'!G67+'KELURAHAN (DI ISI)'!G69+'KELURAHAN (DI ISI)'!G70+'KELURAHAN (DI ISI)'!G71+'KELURAHAN (DI ISI)'!G72</f>
        <v>5697</v>
      </c>
      <c r="H28" s="491">
        <f>'KELURAHAN (DI ISI)'!H62+'KELURAHAN (DI ISI)'!H63+'KELURAHAN (DI ISI)'!H64+'KELURAHAN (DI ISI)'!H67+'KELURAHAN (DI ISI)'!H69+'KELURAHAN (DI ISI)'!H70+'KELURAHAN (DI ISI)'!H71+'KELURAHAN (DI ISI)'!H72</f>
        <v>22</v>
      </c>
      <c r="I28" s="491">
        <f t="shared" si="1"/>
        <v>6</v>
      </c>
      <c r="J28" s="491">
        <f t="shared" si="2"/>
        <v>16</v>
      </c>
      <c r="K28" s="491">
        <f>'KELURAHAN (DI ISI)'!I62+'KELURAHAN (DI ISI)'!I63+'KELURAHAN (DI ISI)'!I64+'KELURAHAN (DI ISI)'!I67+'KELURAHAN (DI ISI)'!I69+'KELURAHAN (DI ISI)'!I70+'KELURAHAN (DI ISI)'!I71+'KELURAHAN (DI ISI)'!I72</f>
        <v>1</v>
      </c>
      <c r="L28" s="491">
        <f>'KELURAHAN (DI ISI)'!J62+'KELURAHAN (DI ISI)'!J63+'KELURAHAN (DI ISI)'!J64+'KELURAHAN (DI ISI)'!J67+'KELURAHAN (DI ISI)'!J69+'KELURAHAN (DI ISI)'!J70+'KELURAHAN (DI ISI)'!J71+'KELURAHAN (DI ISI)'!J72</f>
        <v>1</v>
      </c>
      <c r="M28" s="491">
        <f>'KELURAHAN (DI ISI)'!K62+'KELURAHAN (DI ISI)'!K63+'KELURAHAN (DI ISI)'!K64+'KELURAHAN (DI ISI)'!K67+'KELURAHAN (DI ISI)'!K69+'KELURAHAN (DI ISI)'!K70+'KELURAHAN (DI ISI)'!K71+'KELURAHAN (DI ISI)'!K72</f>
        <v>4</v>
      </c>
      <c r="N28" s="491">
        <f>'KELURAHAN (DI ISI)'!L62+'KELURAHAN (DI ISI)'!L63+'KELURAHAN (DI ISI)'!L64+'KELURAHAN (DI ISI)'!L67+'KELURAHAN (DI ISI)'!L69+'KELURAHAN (DI ISI)'!L70+'KELURAHAN (DI ISI)'!L71+'KELURAHAN (DI ISI)'!L72</f>
        <v>16</v>
      </c>
      <c r="O28" s="491">
        <f>'KELURAHAN (DI ISI)'!M62+'KELURAHAN (DI ISI)'!M63+'KELURAHAN (DI ISI)'!M64+'KELURAHAN (DI ISI)'!M67+'KELURAHAN (DI ISI)'!M69+'KELURAHAN (DI ISI)'!M70+'KELURAHAN (DI ISI)'!M71+'KELURAHAN (DI ISI)'!M72</f>
        <v>15</v>
      </c>
      <c r="P28" s="491">
        <f>'KELURAHAN (DI ISI)'!N62+'KELURAHAN (DI ISI)'!N63+'KELURAHAN (DI ISI)'!N64+'KELURAHAN (DI ISI)'!N67+'KELURAHAN (DI ISI)'!N69+'KELURAHAN (DI ISI)'!N70+'KELURAHAN (DI ISI)'!N71+'KELURAHAN (DI ISI)'!N72</f>
        <v>0</v>
      </c>
      <c r="Q28" s="491">
        <f>'KELURAHAN (DI ISI)'!O62+'KELURAHAN (DI ISI)'!O63+'KELURAHAN (DI ISI)'!O64+'KELURAHAN (DI ISI)'!O67+'KELURAHAN (DI ISI)'!O69+'KELURAHAN (DI ISI)'!O70+'KELURAHAN (DI ISI)'!O71+'KELURAHAN (DI ISI)'!O72</f>
        <v>7</v>
      </c>
      <c r="R28" s="491">
        <f>'KELURAHAN (DI ISI)'!P62+'KELURAHAN (DI ISI)'!P63+'KELURAHAN (DI ISI)'!P64+'KELURAHAN (DI ISI)'!P67+'KELURAHAN (DI ISI)'!P69+'KELURAHAN (DI ISI)'!P70+'KELURAHAN (DI ISI)'!P71+'KELURAHAN (DI ISI)'!P72</f>
        <v>24</v>
      </c>
      <c r="S28" s="491">
        <f t="shared" si="3"/>
        <v>10</v>
      </c>
      <c r="T28" s="491">
        <f t="shared" si="4"/>
        <v>14</v>
      </c>
      <c r="U28" s="491">
        <f>'KELURAHAN (DI ISI)'!Q62+'KELURAHAN (DI ISI)'!Q63+'KELURAHAN (DI ISI)'!Q64+'KELURAHAN (DI ISI)'!Q67+'KELURAHAN (DI ISI)'!Q69+'KELURAHAN (DI ISI)'!Q70+'KELURAHAN (DI ISI)'!Q71+'KELURAHAN (DI ISI)'!Q72</f>
        <v>3</v>
      </c>
      <c r="V28" s="491">
        <f>'KELURAHAN (DI ISI)'!R62+'KELURAHAN (DI ISI)'!R63+'KELURAHAN (DI ISI)'!R64+'KELURAHAN (DI ISI)'!R67+'KELURAHAN (DI ISI)'!R69+'KELURAHAN (DI ISI)'!R70+'KELURAHAN (DI ISI)'!R71+'KELURAHAN (DI ISI)'!R72</f>
        <v>3</v>
      </c>
      <c r="W28" s="491">
        <f>'KELURAHAN (DI ISI)'!S62+'KELURAHAN (DI ISI)'!S63+'KELURAHAN (DI ISI)'!S64+'KELURAHAN (DI ISI)'!S67+'KELURAHAN (DI ISI)'!S69+'KELURAHAN (DI ISI)'!S70+'KELURAHAN (DI ISI)'!S71+'KELURAHAN (DI ISI)'!S72</f>
        <v>4</v>
      </c>
      <c r="X28" s="491">
        <f>'KELURAHAN (DI ISI)'!T62+'KELURAHAN (DI ISI)'!T63+'KELURAHAN (DI ISI)'!T64+'KELURAHAN (DI ISI)'!T67+'KELURAHAN (DI ISI)'!T69+'KELURAHAN (DI ISI)'!T70+'KELURAHAN (DI ISI)'!T71+'KELURAHAN (DI ISI)'!T72</f>
        <v>14</v>
      </c>
      <c r="Y28" s="491">
        <f>'KELURAHAN (DI ISI)'!U62+'KELURAHAN (DI ISI)'!U63+'KELURAHAN (DI ISI)'!U64+'KELURAHAN (DI ISI)'!U67+'KELURAHAN (DI ISI)'!U69+'KELURAHAN (DI ISI)'!U70+'KELURAHAN (DI ISI)'!U71+'KELURAHAN (DI ISI)'!U72</f>
        <v>7</v>
      </c>
      <c r="Z28" s="491">
        <f>'KELURAHAN (DI ISI)'!V62+'KELURAHAN (DI ISI)'!V63+'KELURAHAN (DI ISI)'!V64+'KELURAHAN (DI ISI)'!V67+'KELURAHAN (DI ISI)'!V69+'KELURAHAN (DI ISI)'!V70+'KELURAHAN (DI ISI)'!V71+'KELURAHAN (DI ISI)'!V72</f>
        <v>1</v>
      </c>
      <c r="AA28" s="491">
        <f>'KELURAHAN (DI ISI)'!W62+'KELURAHAN (DI ISI)'!W63+'KELURAHAN (DI ISI)'!W64+'KELURAHAN (DI ISI)'!W67+'KELURAHAN (DI ISI)'!W69+'KELURAHAN (DI ISI)'!W70+'KELURAHAN (DI ISI)'!W71+'KELURAHAN (DI ISI)'!W72</f>
        <v>16</v>
      </c>
      <c r="AB28" s="491">
        <f>'KELURAHAN (DI ISI)'!X62+'KELURAHAN (DI ISI)'!X63+'KELURAHAN (DI ISI)'!X64+'KELURAHAN (DI ISI)'!X67+'KELURAHAN (DI ISI)'!X69+'KELURAHAN (DI ISI)'!X70+'KELURAHAN (DI ISI)'!X71+'KELURAHAN (DI ISI)'!X72</f>
        <v>32</v>
      </c>
      <c r="AC28" s="491">
        <f t="shared" si="5"/>
        <v>11</v>
      </c>
      <c r="AD28" s="491">
        <f t="shared" si="6"/>
        <v>21</v>
      </c>
      <c r="AE28" s="491">
        <f>'KELURAHAN (DI ISI)'!Y62+'KELURAHAN (DI ISI)'!Y63+'KELURAHAN (DI ISI)'!Y64+'KELURAHAN (DI ISI)'!Y67+'KELURAHAN (DI ISI)'!Y69+'KELURAHAN (DI ISI)'!Y70+'KELURAHAN (DI ISI)'!Y71+'KELURAHAN (DI ISI)'!Y72</f>
        <v>2</v>
      </c>
      <c r="AF28" s="491">
        <f>'KELURAHAN (DI ISI)'!Z62+'KELURAHAN (DI ISI)'!Z63+'KELURAHAN (DI ISI)'!Z64+'KELURAHAN (DI ISI)'!Z67+'KELURAHAN (DI ISI)'!Z69+'KELURAHAN (DI ISI)'!Z70+'KELURAHAN (DI ISI)'!Z71+'KELURAHAN (DI ISI)'!Z72</f>
        <v>3</v>
      </c>
      <c r="AG28" s="491">
        <f>'KELURAHAN (DI ISI)'!AA62+'KELURAHAN (DI ISI)'!AA63+'KELURAHAN (DI ISI)'!AA64+'KELURAHAN (DI ISI)'!AA67+'KELURAHAN (DI ISI)'!AA69+'KELURAHAN (DI ISI)'!AA70+'KELURAHAN (DI ISI)'!AA71+'KELURAHAN (DI ISI)'!AA72</f>
        <v>6</v>
      </c>
      <c r="AH28" s="491">
        <f>'KELURAHAN (DI ISI)'!AB62+'KELURAHAN (DI ISI)'!AB63+'KELURAHAN (DI ISI)'!AB64+'KELURAHAN (DI ISI)'!AB67+'KELURAHAN (DI ISI)'!AB69+'KELURAHAN (DI ISI)'!AB70+'KELURAHAN (DI ISI)'!AB71+'KELURAHAN (DI ISI)'!AB72</f>
        <v>21</v>
      </c>
      <c r="AI28" s="491">
        <f>'KELURAHAN (DI ISI)'!AC62+'KELURAHAN (DI ISI)'!AC63+'KELURAHAN (DI ISI)'!AC64+'KELURAHAN (DI ISI)'!AC67+'KELURAHAN (DI ISI)'!AC69+'KELURAHAN (DI ISI)'!AC70+'KELURAHAN (DI ISI)'!AC71+'KELURAHAN (DI ISI)'!AC72</f>
        <v>18</v>
      </c>
      <c r="AJ28" s="491">
        <f>'KELURAHAN (DI ISI)'!AD62+'KELURAHAN (DI ISI)'!AD63+'KELURAHAN (DI ISI)'!AD64+'KELURAHAN (DI ISI)'!AD67+'KELURAHAN (DI ISI)'!AD69+'KELURAHAN (DI ISI)'!AD70+'KELURAHAN (DI ISI)'!AD71+'KELURAHAN (DI ISI)'!AD72</f>
        <v>3</v>
      </c>
      <c r="AK28" s="491">
        <f>'KELURAHAN (DI ISI)'!AE62+'KELURAHAN (DI ISI)'!AE63+'KELURAHAN (DI ISI)'!AE64+'KELURAHAN (DI ISI)'!AE67+'KELURAHAN (DI ISI)'!AE69+'KELURAHAN (DI ISI)'!AE70+'KELURAHAN (DI ISI)'!AE71+'KELURAHAN (DI ISI)'!AE72</f>
        <v>11</v>
      </c>
      <c r="AL28" s="491">
        <f>'KELURAHAN (DI ISI)'!AF62+'KELURAHAN (DI ISI)'!AF63+'KELURAHAN (DI ISI)'!AF64+'KELURAHAN (DI ISI)'!AF67+'KELURAHAN (DI ISI)'!AF69+'KELURAHAN (DI ISI)'!AF70+'KELURAHAN (DI ISI)'!AF71+'KELURAHAN (DI ISI)'!AF72</f>
        <v>41</v>
      </c>
      <c r="AM28" s="491">
        <f t="shared" si="7"/>
        <v>15</v>
      </c>
      <c r="AN28" s="491">
        <f t="shared" si="8"/>
        <v>26</v>
      </c>
      <c r="AO28" s="491">
        <f>'KELURAHAN (DI ISI)'!AG62+'KELURAHAN (DI ISI)'!AG63+'KELURAHAN (DI ISI)'!AG64+'KELURAHAN (DI ISI)'!AG67+'KELURAHAN (DI ISI)'!AG69+'KELURAHAN (DI ISI)'!AG70+'KELURAHAN (DI ISI)'!AG71+'KELURAHAN (DI ISI)'!AG72</f>
        <v>3</v>
      </c>
      <c r="AP28" s="491">
        <f>'KELURAHAN (DI ISI)'!AH62+'KELURAHAN (DI ISI)'!AH63+'KELURAHAN (DI ISI)'!AH64+'KELURAHAN (DI ISI)'!AH67+'KELURAHAN (DI ISI)'!AH69+'KELURAHAN (DI ISI)'!AH70+'KELURAHAN (DI ISI)'!AH71+'KELURAHAN (DI ISI)'!AH72</f>
        <v>3</v>
      </c>
      <c r="AQ28" s="491">
        <f>'KELURAHAN (DI ISI)'!AI62+'KELURAHAN (DI ISI)'!AI63+'KELURAHAN (DI ISI)'!AI64+'KELURAHAN (DI ISI)'!AI67+'KELURAHAN (DI ISI)'!AI69+'KELURAHAN (DI ISI)'!AI70+'KELURAHAN (DI ISI)'!AI71+'KELURAHAN (DI ISI)'!AI72</f>
        <v>9</v>
      </c>
      <c r="AR28" s="491">
        <f>'KELURAHAN (DI ISI)'!AJ62+'KELURAHAN (DI ISI)'!AJ63+'KELURAHAN (DI ISI)'!AJ64+'KELURAHAN (DI ISI)'!AJ67+'KELURAHAN (DI ISI)'!AJ69+'KELURAHAN (DI ISI)'!AJ70+'KELURAHAN (DI ISI)'!AJ71+'KELURAHAN (DI ISI)'!AJ72</f>
        <v>26</v>
      </c>
      <c r="AS28" s="491">
        <f>'KELURAHAN (DI ISI)'!AK62+'KELURAHAN (DI ISI)'!AK63+'KELURAHAN (DI ISI)'!AK64+'KELURAHAN (DI ISI)'!AK67+'KELURAHAN (DI ISI)'!AK69+'KELURAHAN (DI ISI)'!AK70+'KELURAHAN (DI ISI)'!AK71+'KELURAHAN (DI ISI)'!AK72</f>
        <v>11</v>
      </c>
      <c r="AT28" s="491">
        <f>'KELURAHAN (DI ISI)'!AL62+'KELURAHAN (DI ISI)'!AL63+'KELURAHAN (DI ISI)'!AL64+'KELURAHAN (DI ISI)'!AL67+'KELURAHAN (DI ISI)'!AL69+'KELURAHAN (DI ISI)'!AL70+'KELURAHAN (DI ISI)'!AL71+'KELURAHAN (DI ISI)'!AL72</f>
        <v>0</v>
      </c>
      <c r="AU28" s="491">
        <f>'KELURAHAN (DI ISI)'!AM62+'KELURAHAN (DI ISI)'!AM63+'KELURAHAN (DI ISI)'!AM64+'KELURAHAN (DI ISI)'!AM67+'KELURAHAN (DI ISI)'!AM69+'KELURAHAN (DI ISI)'!AM70+'KELURAHAN (DI ISI)'!AM71+'KELURAHAN (DI ISI)'!AM72</f>
        <v>30</v>
      </c>
      <c r="AV28" s="491">
        <f>'KELURAHAN (DI ISI)'!AN62+'KELURAHAN (DI ISI)'!AN63+'KELURAHAN (DI ISI)'!AN64+'KELURAHAN (DI ISI)'!AN67+'KELURAHAN (DI ISI)'!AN69+'KELURAHAN (DI ISI)'!AN70+'KELURAHAN (DI ISI)'!AN71+'KELURAHAN (DI ISI)'!AN72</f>
        <v>43</v>
      </c>
      <c r="AW28" s="491">
        <f t="shared" si="9"/>
        <v>13</v>
      </c>
      <c r="AX28" s="491">
        <f t="shared" si="10"/>
        <v>30</v>
      </c>
      <c r="AY28" s="491">
        <f>'KELURAHAN (DI ISI)'!AO62+'KELURAHAN (DI ISI)'!AO63+'KELURAHAN (DI ISI)'!AO64+'KELURAHAN (DI ISI)'!AO67+'KELURAHAN (DI ISI)'!AO69+'KELURAHAN (DI ISI)'!AO70+'KELURAHAN (DI ISI)'!AO71+'KELURAHAN (DI ISI)'!AO72</f>
        <v>0</v>
      </c>
      <c r="AZ28" s="491">
        <f>'KELURAHAN (DI ISI)'!AP62+'KELURAHAN (DI ISI)'!AP63+'KELURAHAN (DI ISI)'!AP64+'KELURAHAN (DI ISI)'!AP67+'KELURAHAN (DI ISI)'!AP69+'KELURAHAN (DI ISI)'!AP70+'KELURAHAN (DI ISI)'!AP71+'KELURAHAN (DI ISI)'!AP72</f>
        <v>5</v>
      </c>
      <c r="BA28" s="491">
        <f>'KELURAHAN (DI ISI)'!AQ62+'KELURAHAN (DI ISI)'!AQ63+'KELURAHAN (DI ISI)'!AQ64+'KELURAHAN (DI ISI)'!AQ67+'KELURAHAN (DI ISI)'!AQ69+'KELURAHAN (DI ISI)'!AQ70+'KELURAHAN (DI ISI)'!AQ71+'KELURAHAN (DI ISI)'!AQ72</f>
        <v>8</v>
      </c>
      <c r="BB28" s="491">
        <f>'KELURAHAN (DI ISI)'!AR62+'KELURAHAN (DI ISI)'!AR63+'KELURAHAN (DI ISI)'!AR64+'KELURAHAN (DI ISI)'!AR67+'KELURAHAN (DI ISI)'!AR69+'KELURAHAN (DI ISI)'!AR70+'KELURAHAN (DI ISI)'!AR71+'KELURAHAN (DI ISI)'!AR72</f>
        <v>30</v>
      </c>
      <c r="BC28" s="491">
        <f>'KELURAHAN (DI ISI)'!AS62+'KELURAHAN (DI ISI)'!AS63+'KELURAHAN (DI ISI)'!AS64+'KELURAHAN (DI ISI)'!AS67+'KELURAHAN (DI ISI)'!AS69+'KELURAHAN (DI ISI)'!AS70+'KELURAHAN (DI ISI)'!AS71+'KELURAHAN (DI ISI)'!AS72</f>
        <v>12</v>
      </c>
      <c r="BD28" s="491">
        <f>'KELURAHAN (DI ISI)'!AT62+'KELURAHAN (DI ISI)'!AT63+'KELURAHAN (DI ISI)'!AT64+'KELURAHAN (DI ISI)'!AT67+'KELURAHAN (DI ISI)'!AT69+'KELURAHAN (DI ISI)'!AT70+'KELURAHAN (DI ISI)'!AT71+'KELURAHAN (DI ISI)'!AT72</f>
        <v>3</v>
      </c>
      <c r="BE28" s="491">
        <f>'KELURAHAN (DI ISI)'!AU62+'KELURAHAN (DI ISI)'!AU63+'KELURAHAN (DI ISI)'!AU64+'KELURAHAN (DI ISI)'!AU67+'KELURAHAN (DI ISI)'!AU69+'KELURAHAN (DI ISI)'!AU70+'KELURAHAN (DI ISI)'!AU71+'KELURAHAN (DI ISI)'!AU72</f>
        <v>28</v>
      </c>
      <c r="BF28" s="491">
        <f>'KELURAHAN (DI ISI)'!AV62+'KELURAHAN (DI ISI)'!AV63+'KELURAHAN (DI ISI)'!AV64+'KELURAHAN (DI ISI)'!AV67+'KELURAHAN (DI ISI)'!AV69+'KELURAHAN (DI ISI)'!AV70+'KELURAHAN (DI ISI)'!AV71+'KELURAHAN (DI ISI)'!AV72</f>
        <v>4440</v>
      </c>
      <c r="BG28" s="491">
        <f>'KELURAHAN (DI ISI)'!AW62+'KELURAHAN (DI ISI)'!AW63+'KELURAHAN (DI ISI)'!AW64+'KELURAHAN (DI ISI)'!AW67+'KELURAHAN (DI ISI)'!AW69+'KELURAHAN (DI ISI)'!AW70+'KELURAHAN (DI ISI)'!AW71+'KELURAHAN (DI ISI)'!AW72</f>
        <v>51</v>
      </c>
      <c r="BH28" s="491">
        <f t="shared" si="11"/>
        <v>10</v>
      </c>
      <c r="BI28" s="495">
        <f t="shared" si="12"/>
        <v>30</v>
      </c>
      <c r="BJ28" s="491">
        <f>'KELURAHAN (DI ISI)'!AX62+'KELURAHAN (DI ISI)'!AX63+'KELURAHAN (DI ISI)'!AX64+'KELURAHAN (DI ISI)'!AX67+'KELURAHAN (DI ISI)'!AX69+'KELURAHAN (DI ISI)'!AX70+'KELURAHAN (DI ISI)'!AX71+'KELURAHAN (DI ISI)'!AX72</f>
        <v>0</v>
      </c>
      <c r="BK28" s="491">
        <f>'KELURAHAN (DI ISI)'!AY62+'KELURAHAN (DI ISI)'!AY63+'KELURAHAN (DI ISI)'!AY64+'KELURAHAN (DI ISI)'!AY67+'KELURAHAN (DI ISI)'!AY69+'KELURAHAN (DI ISI)'!AY70+'KELURAHAN (DI ISI)'!AY71+'KELURAHAN (DI ISI)'!AY72</f>
        <v>5</v>
      </c>
      <c r="BL28" s="491">
        <f>'KELURAHAN (DI ISI)'!AZ62+'KELURAHAN (DI ISI)'!AZ63+'KELURAHAN (DI ISI)'!AZ64+'KELURAHAN (DI ISI)'!AZ67+'KELURAHAN (DI ISI)'!AZ69+'KELURAHAN (DI ISI)'!AZ70+'KELURAHAN (DI ISI)'!AZ71+'KELURAHAN (DI ISI)'!AZ72</f>
        <v>5</v>
      </c>
      <c r="BM28" s="491">
        <f>'KELURAHAN (DI ISI)'!BA62+'KELURAHAN (DI ISI)'!BA63+'KELURAHAN (DI ISI)'!BA64+'KELURAHAN (DI ISI)'!BA67+'KELURAHAN (DI ISI)'!BA69+'KELURAHAN (DI ISI)'!BA70+'KELURAHAN (DI ISI)'!BA71+'KELURAHAN (DI ISI)'!BA72</f>
        <v>30</v>
      </c>
      <c r="BN28" s="491">
        <f>'KELURAHAN (DI ISI)'!BB62+'KELURAHAN (DI ISI)'!BB63+'KELURAHAN (DI ISI)'!BB64+'KELURAHAN (DI ISI)'!BB67+'KELURAHAN (DI ISI)'!BB69+'KELURAHAN (DI ISI)'!BB70+'KELURAHAN (DI ISI)'!BB71+'KELURAHAN (DI ISI)'!BB72</f>
        <v>0</v>
      </c>
      <c r="BO28" s="491">
        <f>'KELURAHAN (DI ISI)'!BC62+'KELURAHAN (DI ISI)'!BC63+'KELURAHAN (DI ISI)'!BC64+'KELURAHAN (DI ISI)'!BC67+'KELURAHAN (DI ISI)'!BC69+'KELURAHAN (DI ISI)'!BC70+'KELURAHAN (DI ISI)'!BC71+'KELURAHAN (DI ISI)'!BC72</f>
        <v>2</v>
      </c>
      <c r="BP28" s="491">
        <f>'KELURAHAN (DI ISI)'!BD62+'KELURAHAN (DI ISI)'!BD63+'KELURAHAN (DI ISI)'!BD64+'KELURAHAN (DI ISI)'!BD67+'KELURAHAN (DI ISI)'!BD69+'KELURAHAN (DI ISI)'!BD70+'KELURAHAN (DI ISI)'!BD71+'KELURAHAN (DI ISI)'!BD72</f>
        <v>4</v>
      </c>
      <c r="BQ28" s="491">
        <f>'KELURAHAN (DI ISI)'!BE62+'KELURAHAN (DI ISI)'!BE63+'KELURAHAN (DI ISI)'!BE64+'KELURAHAN (DI ISI)'!BE67+'KELURAHAN (DI ISI)'!BE69+'KELURAHAN (DI ISI)'!BE70+'KELURAHAN (DI ISI)'!BE71+'KELURAHAN (DI ISI)'!BE72</f>
        <v>5</v>
      </c>
      <c r="BR28" s="491">
        <f>'KELURAHAN (DI ISI)'!BF62+'KELURAHAN (DI ISI)'!BF63+'KELURAHAN (DI ISI)'!BF64+'KELURAHAN (DI ISI)'!BF67+'KELURAHAN (DI ISI)'!BF69+'KELURAHAN (DI ISI)'!BF70+'KELURAHAN (DI ISI)'!BF71+'KELURAHAN (DI ISI)'!BF72</f>
        <v>0</v>
      </c>
      <c r="BS28" s="491">
        <f>'KELURAHAN (DI ISI)'!BG62+'KELURAHAN (DI ISI)'!BG63+'KELURAHAN (DI ISI)'!BG64+'KELURAHAN (DI ISI)'!BG67+'KELURAHAN (DI ISI)'!BG69+'KELURAHAN (DI ISI)'!BG70+'KELURAHAN (DI ISI)'!BG71+'KELURAHAN (DI ISI)'!BG72</f>
        <v>0</v>
      </c>
      <c r="BT28" s="491">
        <f>'KELURAHAN (DI ISI)'!BH62+'KELURAHAN (DI ISI)'!BH63+'KELURAHAN (DI ISI)'!BH64+'KELURAHAN (DI ISI)'!BH67+'KELURAHAN (DI ISI)'!BH69+'KELURAHAN (DI ISI)'!BH70+'KELURAHAN (DI ISI)'!BH71+'KELURAHAN (DI ISI)'!BH72</f>
        <v>0</v>
      </c>
      <c r="BU28" s="491">
        <f>'KELURAHAN (DI ISI)'!BI62+'KELURAHAN (DI ISI)'!BI63+'KELURAHAN (DI ISI)'!BI64+'KELURAHAN (DI ISI)'!BI67+'KELURAHAN (DI ISI)'!BI69+'KELURAHAN (DI ISI)'!BI70+'KELURAHAN (DI ISI)'!BI71+'KELURAHAN (DI ISI)'!BI72</f>
        <v>0</v>
      </c>
      <c r="BV28" s="491">
        <f>'KELURAHAN (DI ISI)'!BJ62+'KELURAHAN (DI ISI)'!BJ63+'KELURAHAN (DI ISI)'!BJ64+'KELURAHAN (DI ISI)'!BJ67+'KELURAHAN (DI ISI)'!BJ69+'KELURAHAN (DI ISI)'!BJ70+'KELURAHAN (DI ISI)'!BJ71+'KELURAHAN (DI ISI)'!BJ72</f>
        <v>0</v>
      </c>
      <c r="BW28" s="491">
        <f>'KELURAHAN (DI ISI)'!BK62+'KELURAHAN (DI ISI)'!BK63+'KELURAHAN (DI ISI)'!BK64+'KELURAHAN (DI ISI)'!BK67+'KELURAHAN (DI ISI)'!BK69+'KELURAHAN (DI ISI)'!BK70+'KELURAHAN (DI ISI)'!BK71+'KELURAHAN (DI ISI)'!BK72</f>
        <v>0</v>
      </c>
      <c r="BX28" s="491">
        <f>'KELURAHAN (DI ISI)'!BL62+'KELURAHAN (DI ISI)'!BL63+'KELURAHAN (DI ISI)'!BL64+'KELURAHAN (DI ISI)'!BL67+'KELURAHAN (DI ISI)'!BL69+'KELURAHAN (DI ISI)'!BL70+'KELURAHAN (DI ISI)'!BL71+'KELURAHAN (DI ISI)'!BL72</f>
        <v>0</v>
      </c>
      <c r="BY28" s="491">
        <f>'KELURAHAN (DI ISI)'!BM62+'KELURAHAN (DI ISI)'!BM63+'KELURAHAN (DI ISI)'!BM64+'KELURAHAN (DI ISI)'!BM67+'KELURAHAN (DI ISI)'!BM69+'KELURAHAN (DI ISI)'!BM70+'KELURAHAN (DI ISI)'!BM71+'KELURAHAN (DI ISI)'!BM72</f>
        <v>0</v>
      </c>
      <c r="BZ28" s="491">
        <f>'KELURAHAN (DI ISI)'!BN62+'KELURAHAN (DI ISI)'!BN63+'KELURAHAN (DI ISI)'!BN64+'KELURAHAN (DI ISI)'!BN67+'KELURAHAN (DI ISI)'!BN69+'KELURAHAN (DI ISI)'!BN70+'KELURAHAN (DI ISI)'!BN71+'KELURAHAN (DI ISI)'!BN72</f>
        <v>0</v>
      </c>
      <c r="CA28" s="491">
        <f>'KELURAHAN (DI ISI)'!BO62+'KELURAHAN (DI ISI)'!BO63+'KELURAHAN (DI ISI)'!BO64+'KELURAHAN (DI ISI)'!BO67+'KELURAHAN (DI ISI)'!BO69+'KELURAHAN (DI ISI)'!BO70+'KELURAHAN (DI ISI)'!BO71+'KELURAHAN (DI ISI)'!BO72</f>
        <v>0</v>
      </c>
      <c r="CB28" s="491">
        <f>'KELURAHAN (DI ISI)'!BP62+'KELURAHAN (DI ISI)'!BP63+'KELURAHAN (DI ISI)'!BP64+'KELURAHAN (DI ISI)'!BP67+'KELURAHAN (DI ISI)'!BP69+'KELURAHAN (DI ISI)'!BP70+'KELURAHAN (DI ISI)'!BP71+'KELURAHAN (DI ISI)'!BP72</f>
        <v>0</v>
      </c>
      <c r="CC28" s="491">
        <f>'KELURAHAN (DI ISI)'!BQ62+'KELURAHAN (DI ISI)'!BQ63+'KELURAHAN (DI ISI)'!BQ64+'KELURAHAN (DI ISI)'!BQ67+'KELURAHAN (DI ISI)'!BQ69+'KELURAHAN (DI ISI)'!BQ70+'KELURAHAN (DI ISI)'!BQ71+'KELURAHAN (DI ISI)'!BQ72</f>
        <v>5054</v>
      </c>
      <c r="CD28" s="491">
        <f>'KELURAHAN (DI ISI)'!BR62+'KELURAHAN (DI ISI)'!BR63+'KELURAHAN (DI ISI)'!BR64+'KELURAHAN (DI ISI)'!BR67+'KELURAHAN (DI ISI)'!BR69+'KELURAHAN (DI ISI)'!BR70+'KELURAHAN (DI ISI)'!BR71+'KELURAHAN (DI ISI)'!BR72</f>
        <v>40</v>
      </c>
      <c r="CE28" s="491">
        <f t="shared" si="13"/>
        <v>8</v>
      </c>
      <c r="CF28" s="491">
        <f t="shared" si="14"/>
        <v>15</v>
      </c>
      <c r="CG28" s="491">
        <f>'KELURAHAN (DI ISI)'!BS62+'KELURAHAN (DI ISI)'!BS63+'KELURAHAN (DI ISI)'!BS64+'KELURAHAN (DI ISI)'!BS67+'KELURAHAN (DI ISI)'!BS69+'KELURAHAN (DI ISI)'!BS70+'KELURAHAN (DI ISI)'!BS71+'KELURAHAN (DI ISI)'!BS72</f>
        <v>0</v>
      </c>
      <c r="CH28" s="491">
        <f>'KELURAHAN (DI ISI)'!BT62+'KELURAHAN (DI ISI)'!BT63+'KELURAHAN (DI ISI)'!BT64+'KELURAHAN (DI ISI)'!BT67+'KELURAHAN (DI ISI)'!BT69+'KELURAHAN (DI ISI)'!BT70+'KELURAHAN (DI ISI)'!BT71+'KELURAHAN (DI ISI)'!BT72</f>
        <v>3</v>
      </c>
      <c r="CI28" s="491">
        <f>'KELURAHAN (DI ISI)'!BU62+'KELURAHAN (DI ISI)'!BU63+'KELURAHAN (DI ISI)'!BU64+'KELURAHAN (DI ISI)'!BU67+'KELURAHAN (DI ISI)'!BU69+'KELURAHAN (DI ISI)'!BU70+'KELURAHAN (DI ISI)'!BU71+'KELURAHAN (DI ISI)'!BU72</f>
        <v>5</v>
      </c>
      <c r="CJ28" s="491">
        <f>'KELURAHAN (DI ISI)'!BV62+'KELURAHAN (DI ISI)'!BV63+'KELURAHAN (DI ISI)'!BV64+'KELURAHAN (DI ISI)'!BV67+'KELURAHAN (DI ISI)'!BV69+'KELURAHAN (DI ISI)'!BV70+'KELURAHAN (DI ISI)'!BV71+'KELURAHAN (DI ISI)'!BV72</f>
        <v>15</v>
      </c>
      <c r="CK28" s="491">
        <f>'KELURAHAN (DI ISI)'!BW62+'KELURAHAN (DI ISI)'!BW63+'KELURAHAN (DI ISI)'!BW64+'KELURAHAN (DI ISI)'!BW67+'KELURAHAN (DI ISI)'!BW69+'KELURAHAN (DI ISI)'!BW70+'KELURAHAN (DI ISI)'!BW71+'KELURAHAN (DI ISI)'!BW72</f>
        <v>2</v>
      </c>
      <c r="CL28" s="491">
        <f>'KELURAHAN (DI ISI)'!BX62+'KELURAHAN (DI ISI)'!BX63+'KELURAHAN (DI ISI)'!BX64+'KELURAHAN (DI ISI)'!BX67+'KELURAHAN (DI ISI)'!BX69+'KELURAHAN (DI ISI)'!BX70+'KELURAHAN (DI ISI)'!BX71+'KELURAHAN (DI ISI)'!BX72</f>
        <v>5</v>
      </c>
      <c r="CM28" s="491">
        <f>'KELURAHAN (DI ISI)'!BY62+'KELURAHAN (DI ISI)'!BY63+'KELURAHAN (DI ISI)'!BY64+'KELURAHAN (DI ISI)'!BY67+'KELURAHAN (DI ISI)'!BY69+'KELURAHAN (DI ISI)'!BY70+'KELURAHAN (DI ISI)'!BY71+'KELURAHAN (DI ISI)'!BY72</f>
        <v>5</v>
      </c>
      <c r="CN28" s="491">
        <f>'KELURAHAN (DI ISI)'!BZ62+'KELURAHAN (DI ISI)'!BZ63+'KELURAHAN (DI ISI)'!BZ64+'KELURAHAN (DI ISI)'!BZ67+'KELURAHAN (DI ISI)'!BZ69+'KELURAHAN (DI ISI)'!BZ70+'KELURAHAN (DI ISI)'!BZ71+'KELURAHAN (DI ISI)'!BZ72</f>
        <v>5</v>
      </c>
      <c r="CO28" s="491">
        <f>'KELURAHAN (DI ISI)'!CA62+'KELURAHAN (DI ISI)'!CA63+'KELURAHAN (DI ISI)'!CA64+'KELURAHAN (DI ISI)'!CA67+'KELURAHAN (DI ISI)'!CA69+'KELURAHAN (DI ISI)'!CA70+'KELURAHAN (DI ISI)'!CA71+'KELURAHAN (DI ISI)'!CA72</f>
        <v>0</v>
      </c>
      <c r="CP28" s="491">
        <f>'KELURAHAN (DI ISI)'!CB62+'KELURAHAN (DI ISI)'!CB63+'KELURAHAN (DI ISI)'!CB64+'KELURAHAN (DI ISI)'!CB67+'KELURAHAN (DI ISI)'!CB69+'KELURAHAN (DI ISI)'!CB70+'KELURAHAN (DI ISI)'!CB71+'KELURAHAN (DI ISI)'!CB72</f>
        <v>2</v>
      </c>
      <c r="CQ28" s="491">
        <f>'KELURAHAN (DI ISI)'!CC62+'KELURAHAN (DI ISI)'!CC63+'KELURAHAN (DI ISI)'!CC64+'KELURAHAN (DI ISI)'!CC67+'KELURAHAN (DI ISI)'!CC69+'KELURAHAN (DI ISI)'!CC70+'KELURAHAN (DI ISI)'!CC71+'KELURAHAN (DI ISI)'!CC72</f>
        <v>2</v>
      </c>
      <c r="CR28" s="491">
        <f>'KELURAHAN (DI ISI)'!CD62+'KELURAHAN (DI ISI)'!CD63+'KELURAHAN (DI ISI)'!CD64+'KELURAHAN (DI ISI)'!CD67+'KELURAHAN (DI ISI)'!CD69+'KELURAHAN (DI ISI)'!CD70+'KELURAHAN (DI ISI)'!CD71+'KELURAHAN (DI ISI)'!CD72</f>
        <v>5</v>
      </c>
      <c r="CS28" s="491">
        <f>'KELURAHAN (DI ISI)'!CE62+'KELURAHAN (DI ISI)'!CE63+'KELURAHAN (DI ISI)'!CE64+'KELURAHAN (DI ISI)'!CE67+'KELURAHAN (DI ISI)'!CE69+'KELURAHAN (DI ISI)'!CE70+'KELURAHAN (DI ISI)'!CE71+'KELURAHAN (DI ISI)'!CE72</f>
        <v>0</v>
      </c>
      <c r="CT28" s="491">
        <f>'KELURAHAN (DI ISI)'!CF62+'KELURAHAN (DI ISI)'!CF63+'KELURAHAN (DI ISI)'!CF64+'KELURAHAN (DI ISI)'!CF67+'KELURAHAN (DI ISI)'!CF69+'KELURAHAN (DI ISI)'!CF70+'KELURAHAN (DI ISI)'!CF71+'KELURAHAN (DI ISI)'!CF72</f>
        <v>0</v>
      </c>
      <c r="CU28" s="491">
        <f>'KELURAHAN (DI ISI)'!CG62+'KELURAHAN (DI ISI)'!CG63+'KELURAHAN (DI ISI)'!CG64+'KELURAHAN (DI ISI)'!CG67+'KELURAHAN (DI ISI)'!CG69+'KELURAHAN (DI ISI)'!CG70+'KELURAHAN (DI ISI)'!CG71+'KELURAHAN (DI ISI)'!CG72</f>
        <v>0</v>
      </c>
      <c r="CV28" s="491">
        <f>'KELURAHAN (DI ISI)'!CH62+'KELURAHAN (DI ISI)'!CH63+'KELURAHAN (DI ISI)'!CH64+'KELURAHAN (DI ISI)'!CH67+'KELURAHAN (DI ISI)'!CH69+'KELURAHAN (DI ISI)'!CH70+'KELURAHAN (DI ISI)'!CH71+'KELURAHAN (DI ISI)'!CH72</f>
        <v>0</v>
      </c>
      <c r="CW28" s="491">
        <f>'KELURAHAN (DI ISI)'!CI62+'KELURAHAN (DI ISI)'!CI63+'KELURAHAN (DI ISI)'!CI64+'KELURAHAN (DI ISI)'!CI67+'KELURAHAN (DI ISI)'!CI69+'KELURAHAN (DI ISI)'!CI70+'KELURAHAN (DI ISI)'!CI71+'KELURAHAN (DI ISI)'!CI72</f>
        <v>0</v>
      </c>
      <c r="CX28" s="491">
        <f>'KELURAHAN (DI ISI)'!CJ62+'KELURAHAN (DI ISI)'!CJ63+'KELURAHAN (DI ISI)'!CJ64+'KELURAHAN (DI ISI)'!CJ67+'KELURAHAN (DI ISI)'!CJ69+'KELURAHAN (DI ISI)'!CJ70+'KELURAHAN (DI ISI)'!CJ71+'KELURAHAN (DI ISI)'!CJ72</f>
        <v>0</v>
      </c>
      <c r="CY28" s="491">
        <f>'KELURAHAN (DI ISI)'!CK62+'KELURAHAN (DI ISI)'!CK63+'KELURAHAN (DI ISI)'!CK64+'KELURAHAN (DI ISI)'!CK67+'KELURAHAN (DI ISI)'!CK69+'KELURAHAN (DI ISI)'!CK70+'KELURAHAN (DI ISI)'!CK71+'KELURAHAN (DI ISI)'!CK72</f>
        <v>9</v>
      </c>
      <c r="CZ28" s="491">
        <f>'KELURAHAN (DI ISI)'!CL62+'KELURAHAN (DI ISI)'!CL63+'KELURAHAN (DI ISI)'!CL64+'KELURAHAN (DI ISI)'!CL67+'KELURAHAN (DI ISI)'!CL69+'KELURAHAN (DI ISI)'!CL70+'KELURAHAN (DI ISI)'!CL71+'KELURAHAN (DI ISI)'!CL72</f>
        <v>5015</v>
      </c>
      <c r="DA28" s="491">
        <f>'KELURAHAN (DI ISI)'!CM62+'KELURAHAN (DI ISI)'!CM63+'KELURAHAN (DI ISI)'!CM64+'KELURAHAN (DI ISI)'!CM67+'KELURAHAN (DI ISI)'!CM69+'KELURAHAN (DI ISI)'!CM70+'KELURAHAN (DI ISI)'!CM71+'KELURAHAN (DI ISI)'!CM72</f>
        <v>2880</v>
      </c>
      <c r="DB28" s="491">
        <f>'KELURAHAN (DI ISI)'!CN62+'KELURAHAN (DI ISI)'!CN63+'KELURAHAN (DI ISI)'!CN64+'KELURAHAN (DI ISI)'!CN67+'KELURAHAN (DI ISI)'!CN69+'KELURAHAN (DI ISI)'!CN70+'KELURAHAN (DI ISI)'!CN71+'KELURAHAN (DI ISI)'!CN72</f>
        <v>64</v>
      </c>
      <c r="DC28" s="491">
        <f t="shared" si="15"/>
        <v>10</v>
      </c>
      <c r="DD28" s="491">
        <f t="shared" si="16"/>
        <v>20</v>
      </c>
      <c r="DE28" s="491">
        <f>'KELURAHAN (DI ISI)'!CO62+'KELURAHAN (DI ISI)'!CO63+'KELURAHAN (DI ISI)'!CO64+'KELURAHAN (DI ISI)'!CO67+'KELURAHAN (DI ISI)'!CO69+'KELURAHAN (DI ISI)'!CO70+'KELURAHAN (DI ISI)'!CO71+'KELURAHAN (DI ISI)'!CO72</f>
        <v>2</v>
      </c>
      <c r="DF28" s="491">
        <f>'KELURAHAN (DI ISI)'!CP62+'KELURAHAN (DI ISI)'!CP63+'KELURAHAN (DI ISI)'!CP64+'KELURAHAN (DI ISI)'!CP67+'KELURAHAN (DI ISI)'!CP69+'KELURAHAN (DI ISI)'!CP70+'KELURAHAN (DI ISI)'!CP71+'KELURAHAN (DI ISI)'!CP72</f>
        <v>2</v>
      </c>
      <c r="DG28" s="491">
        <f>'KELURAHAN (DI ISI)'!CQ62+'KELURAHAN (DI ISI)'!CQ63+'KELURAHAN (DI ISI)'!CQ64+'KELURAHAN (DI ISI)'!CQ67+'KELURAHAN (DI ISI)'!CQ69+'KELURAHAN (DI ISI)'!CQ70+'KELURAHAN (DI ISI)'!CQ71+'KELURAHAN (DI ISI)'!CQ72</f>
        <v>6</v>
      </c>
      <c r="DH28" s="491">
        <f>'KELURAHAN (DI ISI)'!CR62+'KELURAHAN (DI ISI)'!CR63+'KELURAHAN (DI ISI)'!CR64+'KELURAHAN (DI ISI)'!CR67+'KELURAHAN (DI ISI)'!CR69+'KELURAHAN (DI ISI)'!CR70+'KELURAHAN (DI ISI)'!CR71+'KELURAHAN (DI ISI)'!CR72</f>
        <v>20</v>
      </c>
      <c r="DI28" s="491">
        <f>'KELURAHAN (DI ISI)'!CS62+'KELURAHAN (DI ISI)'!CS63+'KELURAHAN (DI ISI)'!CS64+'KELURAHAN (DI ISI)'!CS67+'KELURAHAN (DI ISI)'!CS69+'KELURAHAN (DI ISI)'!CS70+'KELURAHAN (DI ISI)'!CS71+'KELURAHAN (DI ISI)'!CS72</f>
        <v>2</v>
      </c>
      <c r="DJ28" s="491">
        <f>'KELURAHAN (DI ISI)'!CT62+'KELURAHAN (DI ISI)'!CT63+'KELURAHAN (DI ISI)'!CT64+'KELURAHAN (DI ISI)'!CT67+'KELURAHAN (DI ISI)'!CT69+'KELURAHAN (DI ISI)'!CT70+'KELURAHAN (DI ISI)'!CT71+'KELURAHAN (DI ISI)'!CT72</f>
        <v>1</v>
      </c>
      <c r="DK28" s="491">
        <f>'KELURAHAN (DI ISI)'!CU62+'KELURAHAN (DI ISI)'!CU63+'KELURAHAN (DI ISI)'!CU64+'KELURAHAN (DI ISI)'!CU67+'KELURAHAN (DI ISI)'!CU69+'KELURAHAN (DI ISI)'!CU70+'KELURAHAN (DI ISI)'!CU71+'KELURAHAN (DI ISI)'!CU72</f>
        <v>7</v>
      </c>
      <c r="DL28" s="491">
        <f>'KELURAHAN (DI ISI)'!CV62+'KELURAHAN (DI ISI)'!CV63+'KELURAHAN (DI ISI)'!CV64+'KELURAHAN (DI ISI)'!CV67+'KELURAHAN (DI ISI)'!CV69+'KELURAHAN (DI ISI)'!CV70+'KELURAHAN (DI ISI)'!CV71+'KELURAHAN (DI ISI)'!CV72</f>
        <v>24</v>
      </c>
      <c r="DM28" s="491">
        <f>'KELURAHAN (DI ISI)'!CW62+'KELURAHAN (DI ISI)'!CW63+'KELURAHAN (DI ISI)'!CW64+'KELURAHAN (DI ISI)'!CW67+'KELURAHAN (DI ISI)'!CW69+'KELURAHAN (DI ISI)'!CW70+'KELURAHAN (DI ISI)'!CW71+'KELURAHAN (DI ISI)'!CW72</f>
        <v>0</v>
      </c>
      <c r="DN28" s="491">
        <f>'KELURAHAN (DI ISI)'!CX62+'KELURAHAN (DI ISI)'!CX63+'KELURAHAN (DI ISI)'!CX64+'KELURAHAN (DI ISI)'!CX67+'KELURAHAN (DI ISI)'!CX69+'KELURAHAN (DI ISI)'!CX70+'KELURAHAN (DI ISI)'!CX71+'KELURAHAN (DI ISI)'!CX72</f>
        <v>5</v>
      </c>
      <c r="DO28" s="491">
        <f>'KELURAHAN (DI ISI)'!CY62+'KELURAHAN (DI ISI)'!CY63+'KELURAHAN (DI ISI)'!CY64+'KELURAHAN (DI ISI)'!CY67+'KELURAHAN (DI ISI)'!CY69+'KELURAHAN (DI ISI)'!CY70+'KELURAHAN (DI ISI)'!CY71+'KELURAHAN (DI ISI)'!CY72</f>
        <v>3</v>
      </c>
      <c r="DP28" s="491">
        <f>'KELURAHAN (DI ISI)'!CZ62+'KELURAHAN (DI ISI)'!CZ63+'KELURAHAN (DI ISI)'!CZ64+'KELURAHAN (DI ISI)'!CZ67+'KELURAHAN (DI ISI)'!CZ69+'KELURAHAN (DI ISI)'!CZ70+'KELURAHAN (DI ISI)'!CZ71+'KELURAHAN (DI ISI)'!CZ72</f>
        <v>1</v>
      </c>
      <c r="DQ28" s="491">
        <f>'KELURAHAN (DI ISI)'!DA62+'KELURAHAN (DI ISI)'!DA63+'KELURAHAN (DI ISI)'!DA64+'KELURAHAN (DI ISI)'!DA67+'KELURAHAN (DI ISI)'!DA69+'KELURAHAN (DI ISI)'!DA70+'KELURAHAN (DI ISI)'!DA71+'KELURAHAN (DI ISI)'!DA72</f>
        <v>0</v>
      </c>
      <c r="DR28" s="491">
        <f>'KELURAHAN (DI ISI)'!DB62+'KELURAHAN (DI ISI)'!DB63+'KELURAHAN (DI ISI)'!DB64+'KELURAHAN (DI ISI)'!DB67+'KELURAHAN (DI ISI)'!DB69+'KELURAHAN (DI ISI)'!DB70+'KELURAHAN (DI ISI)'!DB71+'KELURAHAN (DI ISI)'!DB72</f>
        <v>0</v>
      </c>
      <c r="DS28" s="491">
        <f>'KELURAHAN (DI ISI)'!DC62+'KELURAHAN (DI ISI)'!DC63+'KELURAHAN (DI ISI)'!DC64+'KELURAHAN (DI ISI)'!DC67+'KELURAHAN (DI ISI)'!DC69+'KELURAHAN (DI ISI)'!DC70+'KELURAHAN (DI ISI)'!DC71+'KELURAHAN (DI ISI)'!DC72</f>
        <v>0</v>
      </c>
      <c r="DT28" s="491">
        <f>'KELURAHAN (DI ISI)'!DD62+'KELURAHAN (DI ISI)'!DD63+'KELURAHAN (DI ISI)'!DD64+'KELURAHAN (DI ISI)'!DD67+'KELURAHAN (DI ISI)'!DD69+'KELURAHAN (DI ISI)'!DD70+'KELURAHAN (DI ISI)'!DD71+'KELURAHAN (DI ISI)'!DD72</f>
        <v>0</v>
      </c>
      <c r="DU28" s="491">
        <f>'KELURAHAN (DI ISI)'!DE62+'KELURAHAN (DI ISI)'!DE63+'KELURAHAN (DI ISI)'!DE64+'KELURAHAN (DI ISI)'!DE67+'KELURAHAN (DI ISI)'!DE69+'KELURAHAN (DI ISI)'!DE70+'KELURAHAN (DI ISI)'!DE71+'KELURAHAN (DI ISI)'!DE72</f>
        <v>0</v>
      </c>
      <c r="DV28" s="491">
        <f>'KELURAHAN (DI ISI)'!DF62+'KELURAHAN (DI ISI)'!DF63+'KELURAHAN (DI ISI)'!DF64+'KELURAHAN (DI ISI)'!DF67+'KELURAHAN (DI ISI)'!DF69+'KELURAHAN (DI ISI)'!DF70+'KELURAHAN (DI ISI)'!DF71+'KELURAHAN (DI ISI)'!DF72</f>
        <v>0</v>
      </c>
      <c r="DW28" s="491">
        <f>'KELURAHAN (DI ISI)'!DG62+'KELURAHAN (DI ISI)'!DG63+'KELURAHAN (DI ISI)'!DG64+'KELURAHAN (DI ISI)'!DG67+'KELURAHAN (DI ISI)'!DG69+'KELURAHAN (DI ISI)'!DG70+'KELURAHAN (DI ISI)'!DG71+'KELURAHAN (DI ISI)'!DG72</f>
        <v>9</v>
      </c>
      <c r="DX28" s="491">
        <f>'KELURAHAN (DI ISI)'!DH62+'KELURAHAN (DI ISI)'!DH63+'KELURAHAN (DI ISI)'!DH64+'KELURAHAN (DI ISI)'!DH67+'KELURAHAN (DI ISI)'!DH69+'KELURAHAN (DI ISI)'!DH70+'KELURAHAN (DI ISI)'!DH71+'KELURAHAN (DI ISI)'!DH72</f>
        <v>4706</v>
      </c>
      <c r="DY28" s="491">
        <f>'KELURAHAN (DI ISI)'!DI62+'KELURAHAN (DI ISI)'!DI63+'KELURAHAN (DI ISI)'!DI64+'KELURAHAN (DI ISI)'!DI67+'KELURAHAN (DI ISI)'!DI69+'KELURAHAN (DI ISI)'!DI70+'KELURAHAN (DI ISI)'!DI71+'KELURAHAN (DI ISI)'!DI72</f>
        <v>850</v>
      </c>
      <c r="DZ28" s="491">
        <f>'KELURAHAN (DI ISI)'!DJ62+'KELURAHAN (DI ISI)'!DJ63+'KELURAHAN (DI ISI)'!DJ64+'KELURAHAN (DI ISI)'!DJ67+'KELURAHAN (DI ISI)'!DJ69+'KELURAHAN (DI ISI)'!DJ70+'KELURAHAN (DI ISI)'!DJ71+'KELURAHAN (DI ISI)'!DJ72</f>
        <v>4706</v>
      </c>
      <c r="EA28" s="491">
        <f>'KELURAHAN (DI ISI)'!DK62+'KELURAHAN (DI ISI)'!DK63+'KELURAHAN (DI ISI)'!DK64+'KELURAHAN (DI ISI)'!DK67+'KELURAHAN (DI ISI)'!DK69+'KELURAHAN (DI ISI)'!DK70+'KELURAHAN (DI ISI)'!DK71+'KELURAHAN (DI ISI)'!DK72</f>
        <v>850</v>
      </c>
      <c r="EB28" s="491">
        <f>'KELURAHAN (DI ISI)'!DL62+'KELURAHAN (DI ISI)'!DL63+'KELURAHAN (DI ISI)'!DL64+'KELURAHAN (DI ISI)'!DL67+'KELURAHAN (DI ISI)'!DL69+'KELURAHAN (DI ISI)'!DL70+'KELURAHAN (DI ISI)'!DL71+'KELURAHAN (DI ISI)'!DL72</f>
        <v>46</v>
      </c>
      <c r="EC28" s="491">
        <f>'KELURAHAN (DI ISI)'!DM62+'KELURAHAN (DI ISI)'!DM63+'KELURAHAN (DI ISI)'!DM64+'KELURAHAN (DI ISI)'!DM67+'KELURAHAN (DI ISI)'!DM69+'KELURAHAN (DI ISI)'!DM70+'KELURAHAN (DI ISI)'!DM71+'KELURAHAN (DI ISI)'!DM72</f>
        <v>10</v>
      </c>
      <c r="ED28" s="491">
        <f t="shared" si="17"/>
        <v>36</v>
      </c>
      <c r="EE28" s="491">
        <f>'KELURAHAN (DI ISI)'!DO62+'KELURAHAN (DI ISI)'!DO63+'KELURAHAN (DI ISI)'!DO64+'KELURAHAN (DI ISI)'!DO67+'KELURAHAN (DI ISI)'!DO69+'KELURAHAN (DI ISI)'!DO70+'KELURAHAN (DI ISI)'!DO71+'KELURAHAN (DI ISI)'!DO72</f>
        <v>0</v>
      </c>
      <c r="EF28" s="491">
        <f>'KELURAHAN (DI ISI)'!DP62+'KELURAHAN (DI ISI)'!DP63+'KELURAHAN (DI ISI)'!DP64+'KELURAHAN (DI ISI)'!DP67+'KELURAHAN (DI ISI)'!DP69+'KELURAHAN (DI ISI)'!DP70+'KELURAHAN (DI ISI)'!DP71+'KELURAHAN (DI ISI)'!DP72</f>
        <v>0</v>
      </c>
      <c r="EG28" s="491">
        <f>'KELURAHAN (DI ISI)'!DQ62+'KELURAHAN (DI ISI)'!DQ63+'KELURAHAN (DI ISI)'!DQ64+'KELURAHAN (DI ISI)'!DQ67+'KELURAHAN (DI ISI)'!DQ69+'KELURAHAN (DI ISI)'!DQ70+'KELURAHAN (DI ISI)'!DQ71+'KELURAHAN (DI ISI)'!DQ72</f>
        <v>6</v>
      </c>
      <c r="EH28" s="491">
        <f>'KELURAHAN (DI ISI)'!DR62+'KELURAHAN (DI ISI)'!DR63+'KELURAHAN (DI ISI)'!DR64+'KELURAHAN (DI ISI)'!DR67+'KELURAHAN (DI ISI)'!DR69+'KELURAHAN (DI ISI)'!DR70+'KELURAHAN (DI ISI)'!DR71+'KELURAHAN (DI ISI)'!DR72</f>
        <v>34</v>
      </c>
      <c r="EI28" s="491">
        <f>'KELURAHAN (DI ISI)'!DS62+'KELURAHAN (DI ISI)'!DS63+'KELURAHAN (DI ISI)'!DS64+'KELURAHAN (DI ISI)'!DS67+'KELURAHAN (DI ISI)'!DS69+'KELURAHAN (DI ISI)'!DS70+'KELURAHAN (DI ISI)'!DS71+'KELURAHAN (DI ISI)'!DS72</f>
        <v>0</v>
      </c>
      <c r="EJ28" s="491">
        <f>'KELURAHAN (DI ISI)'!DT62+'KELURAHAN (DI ISI)'!DT63+'KELURAHAN (DI ISI)'!DT64+'KELURAHAN (DI ISI)'!DT67+'KELURAHAN (DI ISI)'!DT69+'KELURAHAN (DI ISI)'!DT70+'KELURAHAN (DI ISI)'!DT71+'KELURAHAN (DI ISI)'!DT72</f>
        <v>1</v>
      </c>
      <c r="EK28" s="491">
        <f>'KELURAHAN (DI ISI)'!DU62+'KELURAHAN (DI ISI)'!DU63+'KELURAHAN (DI ISI)'!DU64+'KELURAHAN (DI ISI)'!DU67+'KELURAHAN (DI ISI)'!DU69+'KELURAHAN (DI ISI)'!DU70+'KELURAHAN (DI ISI)'!DU71+'KELURAHAN (DI ISI)'!DU72</f>
        <v>3</v>
      </c>
      <c r="EL28" s="491">
        <f>'KELURAHAN (DI ISI)'!DV62+'KELURAHAN (DI ISI)'!DV63+'KELURAHAN (DI ISI)'!DV64+'KELURAHAN (DI ISI)'!DV67+'KELURAHAN (DI ISI)'!DV69+'KELURAHAN (DI ISI)'!DV70+'KELURAHAN (DI ISI)'!DV71+'KELURAHAN (DI ISI)'!DV72</f>
        <v>2</v>
      </c>
      <c r="EM28" s="491">
        <f>'KELURAHAN (DI ISI)'!DW62+'KELURAHAN (DI ISI)'!DW63+'KELURAHAN (DI ISI)'!DW64+'KELURAHAN (DI ISI)'!DW67+'KELURAHAN (DI ISI)'!DW69+'KELURAHAN (DI ISI)'!DW70+'KELURAHAN (DI ISI)'!DW71+'KELURAHAN (DI ISI)'!DW72</f>
        <v>2</v>
      </c>
      <c r="EN28" s="491">
        <f>'KELURAHAN (DI ISI)'!DX62+'KELURAHAN (DI ISI)'!DX63+'KELURAHAN (DI ISI)'!DX64+'KELURAHAN (DI ISI)'!DX67+'KELURAHAN (DI ISI)'!DX69+'KELURAHAN (DI ISI)'!DX70+'KELURAHAN (DI ISI)'!DX71+'KELURAHAN (DI ISI)'!DX72</f>
        <v>1</v>
      </c>
      <c r="EO28" s="491">
        <f>'KELURAHAN (DI ISI)'!DY62+'KELURAHAN (DI ISI)'!DY63+'KELURAHAN (DI ISI)'!DY64+'KELURAHAN (DI ISI)'!DY67+'KELURAHAN (DI ISI)'!DY69+'KELURAHAN (DI ISI)'!DY70+'KELURAHAN (DI ISI)'!DY71+'KELURAHAN (DI ISI)'!DY72</f>
        <v>6</v>
      </c>
      <c r="EP28" s="491">
        <f>'KELURAHAN (DI ISI)'!DZ62+'KELURAHAN (DI ISI)'!DZ63+'KELURAHAN (DI ISI)'!DZ64+'KELURAHAN (DI ISI)'!DZ67+'KELURAHAN (DI ISI)'!DZ69+'KELURAHAN (DI ISI)'!DZ70+'KELURAHAN (DI ISI)'!DZ71+'KELURAHAN (DI ISI)'!DZ72</f>
        <v>10</v>
      </c>
      <c r="EQ28" s="491">
        <f>'KELURAHAN (DI ISI)'!EA62+'KELURAHAN (DI ISI)'!EA63+'KELURAHAN (DI ISI)'!EA64+'KELURAHAN (DI ISI)'!EA67+'KELURAHAN (DI ISI)'!EA69+'KELURAHAN (DI ISI)'!EA70+'KELURAHAN (DI ISI)'!EA71+'KELURAHAN (DI ISI)'!EA72</f>
        <v>0</v>
      </c>
      <c r="ER28" s="491">
        <f>'KELURAHAN (DI ISI)'!EB62+'KELURAHAN (DI ISI)'!EB63+'KELURAHAN (DI ISI)'!EB64+'KELURAHAN (DI ISI)'!EB67+'KELURAHAN (DI ISI)'!EB69+'KELURAHAN (DI ISI)'!EB70+'KELURAHAN (DI ISI)'!EB71+'KELURAHAN (DI ISI)'!EB72</f>
        <v>0</v>
      </c>
      <c r="ES28" s="491">
        <f>'KELURAHAN (DI ISI)'!EC62+'KELURAHAN (DI ISI)'!EC63+'KELURAHAN (DI ISI)'!EC64+'KELURAHAN (DI ISI)'!EC67+'KELURAHAN (DI ISI)'!EC69+'KELURAHAN (DI ISI)'!EC70+'KELURAHAN (DI ISI)'!EC71+'KELURAHAN (DI ISI)'!EC72</f>
        <v>0</v>
      </c>
      <c r="ET28" s="491">
        <f>'KELURAHAN (DI ISI)'!ED62+'KELURAHAN (DI ISI)'!ED63+'KELURAHAN (DI ISI)'!ED64+'KELURAHAN (DI ISI)'!ED67+'KELURAHAN (DI ISI)'!ED69+'KELURAHAN (DI ISI)'!ED70+'KELURAHAN (DI ISI)'!ED71+'KELURAHAN (DI ISI)'!ED72</f>
        <v>0</v>
      </c>
      <c r="EU28" s="491">
        <f>'KELURAHAN (DI ISI)'!EE62+'KELURAHAN (DI ISI)'!EE63+'KELURAHAN (DI ISI)'!EE64+'KELURAHAN (DI ISI)'!EE67+'KELURAHAN (DI ISI)'!EE69+'KELURAHAN (DI ISI)'!EE70+'KELURAHAN (DI ISI)'!EE71+'KELURAHAN (DI ISI)'!EE72</f>
        <v>0</v>
      </c>
      <c r="EV28" s="491">
        <f>'KELURAHAN (DI ISI)'!EF62+'KELURAHAN (DI ISI)'!EF63+'KELURAHAN (DI ISI)'!EF64+'KELURAHAN (DI ISI)'!EF67+'KELURAHAN (DI ISI)'!EF69+'KELURAHAN (DI ISI)'!EF70+'KELURAHAN (DI ISI)'!EF71+'KELURAHAN (DI ISI)'!EF72</f>
        <v>0</v>
      </c>
      <c r="EW28" s="491">
        <f>'KELURAHAN (DI ISI)'!EG62+'KELURAHAN (DI ISI)'!EG63+'KELURAHAN (DI ISI)'!EG64+'KELURAHAN (DI ISI)'!EG67+'KELURAHAN (DI ISI)'!EG69+'KELURAHAN (DI ISI)'!EG70+'KELURAHAN (DI ISI)'!EG71+'KELURAHAN (DI ISI)'!EG72</f>
        <v>19</v>
      </c>
      <c r="EX28" s="491">
        <f>'KELURAHAN (DI ISI)'!EH62+'KELURAHAN (DI ISI)'!EH63+'KELURAHAN (DI ISI)'!EH64+'KELURAHAN (DI ISI)'!EH67+'KELURAHAN (DI ISI)'!EH69+'KELURAHAN (DI ISI)'!EH70+'KELURAHAN (DI ISI)'!EH71+'KELURAHAN (DI ISI)'!EH72</f>
        <v>9</v>
      </c>
      <c r="EY28" s="491">
        <f>'KELURAHAN (DI ISI)'!EI62+'KELURAHAN (DI ISI)'!EI63+'KELURAHAN (DI ISI)'!EI64+'KELURAHAN (DI ISI)'!EI67+'KELURAHAN (DI ISI)'!EI69+'KELURAHAN (DI ISI)'!EI70+'KELURAHAN (DI ISI)'!EI71+'KELURAHAN (DI ISI)'!EI72</f>
        <v>4689</v>
      </c>
      <c r="EZ28" s="491">
        <f>'KELURAHAN (DI ISI)'!EJ62+'KELURAHAN (DI ISI)'!EJ63+'KELURAHAN (DI ISI)'!EJ64+'KELURAHAN (DI ISI)'!EJ67+'KELURAHAN (DI ISI)'!EJ69+'KELURAHAN (DI ISI)'!EJ70+'KELURAHAN (DI ISI)'!EJ71+'KELURAHAN (DI ISI)'!EJ72</f>
        <v>872</v>
      </c>
      <c r="FA28" s="491">
        <f>'KELURAHAN (DI ISI)'!EK62+'KELURAHAN (DI ISI)'!EK63+'KELURAHAN (DI ISI)'!EK64+'KELURAHAN (DI ISI)'!EK67+'KELURAHAN (DI ISI)'!EK69+'KELURAHAN (DI ISI)'!EK70+'KELURAHAN (DI ISI)'!EK71+'KELURAHAN (DI ISI)'!EK72</f>
        <v>4689</v>
      </c>
      <c r="FB28" s="491">
        <f>'KELURAHAN (DI ISI)'!EL62+'KELURAHAN (DI ISI)'!EL63+'KELURAHAN (DI ISI)'!EL64+'KELURAHAN (DI ISI)'!EL67+'KELURAHAN (DI ISI)'!EL69+'KELURAHAN (DI ISI)'!EL70+'KELURAHAN (DI ISI)'!EL71+'KELURAHAN (DI ISI)'!EL72</f>
        <v>872</v>
      </c>
      <c r="FC28" s="491">
        <f>'KELURAHAN (DI ISI)'!EM62+'KELURAHAN (DI ISI)'!EM63+'KELURAHAN (DI ISI)'!EM64+'KELURAHAN (DI ISI)'!EM67+'KELURAHAN (DI ISI)'!EM69+'KELURAHAN (DI ISI)'!EM70+'KELURAHAN (DI ISI)'!EM71+'KELURAHAN (DI ISI)'!EM72</f>
        <v>68</v>
      </c>
      <c r="FD28" s="491">
        <f>'KELURAHAN (DI ISI)'!EN62+'KELURAHAN (DI ISI)'!EN63+'KELURAHAN (DI ISI)'!EN64+'KELURAHAN (DI ISI)'!EN67+'KELURAHAN (DI ISI)'!EN69+'KELURAHAN (DI ISI)'!EN70+'KELURAHAN (DI ISI)'!EN71+'KELURAHAN (DI ISI)'!EN72</f>
        <v>16</v>
      </c>
      <c r="FE28" s="491">
        <f t="shared" si="18"/>
        <v>52</v>
      </c>
      <c r="FF28" s="491">
        <f>'KELURAHAN (DI ISI)'!EP62+'KELURAHAN (DI ISI)'!EP63+'KELURAHAN (DI ISI)'!EP64+'KELURAHAN (DI ISI)'!EP67+'KELURAHAN (DI ISI)'!EP69+'KELURAHAN (DI ISI)'!EP70+'KELURAHAN (DI ISI)'!EP71+'KELURAHAN (DI ISI)'!EP72</f>
        <v>0</v>
      </c>
      <c r="FG28" s="491">
        <f>'KELURAHAN (DI ISI)'!EQ62+'KELURAHAN (DI ISI)'!EQ63+'KELURAHAN (DI ISI)'!EQ64+'KELURAHAN (DI ISI)'!EQ67+'KELURAHAN (DI ISI)'!EQ69+'KELURAHAN (DI ISI)'!EQ70+'KELURAHAN (DI ISI)'!EQ71+'KELURAHAN (DI ISI)'!EQ72</f>
        <v>1</v>
      </c>
      <c r="FH28" s="491">
        <f>'KELURAHAN (DI ISI)'!ER62+'KELURAHAN (DI ISI)'!ER63+'KELURAHAN (DI ISI)'!ER64+'KELURAHAN (DI ISI)'!ER67+'KELURAHAN (DI ISI)'!ER69+'KELURAHAN (DI ISI)'!ER70+'KELURAHAN (DI ISI)'!ER71+'KELURAHAN (DI ISI)'!ER72</f>
        <v>8</v>
      </c>
      <c r="FI28" s="491">
        <f>'KELURAHAN (DI ISI)'!ES62+'KELURAHAN (DI ISI)'!ES63+'KELURAHAN (DI ISI)'!ES64+'KELURAHAN (DI ISI)'!ES67+'KELURAHAN (DI ISI)'!ES69+'KELURAHAN (DI ISI)'!ES70+'KELURAHAN (DI ISI)'!ES71+'KELURAHAN (DI ISI)'!ES72</f>
        <v>36</v>
      </c>
      <c r="FJ28" s="491">
        <f>'KELURAHAN (DI ISI)'!ET62+'KELURAHAN (DI ISI)'!ET63+'KELURAHAN (DI ISI)'!ET64+'KELURAHAN (DI ISI)'!ET67+'KELURAHAN (DI ISI)'!ET69+'KELURAHAN (DI ISI)'!ET70+'KELURAHAN (DI ISI)'!ET71+'KELURAHAN (DI ISI)'!ET72</f>
        <v>0</v>
      </c>
      <c r="FK28" s="491">
        <f>'KELURAHAN (DI ISI)'!EU62+'KELURAHAN (DI ISI)'!EU63+'KELURAHAN (DI ISI)'!EU64+'KELURAHAN (DI ISI)'!EU67+'KELURAHAN (DI ISI)'!EU69+'KELURAHAN (DI ISI)'!EU70+'KELURAHAN (DI ISI)'!EU71+'KELURAHAN (DI ISI)'!EU72</f>
        <v>1</v>
      </c>
      <c r="FL28" s="491">
        <f>'KELURAHAN (DI ISI)'!EV62+'KELURAHAN (DI ISI)'!EV63+'KELURAHAN (DI ISI)'!EV64+'KELURAHAN (DI ISI)'!EV67+'KELURAHAN (DI ISI)'!EV69+'KELURAHAN (DI ISI)'!EV70+'KELURAHAN (DI ISI)'!EV71+'KELURAHAN (DI ISI)'!EV72</f>
        <v>6</v>
      </c>
      <c r="FM28" s="491">
        <f>'KELURAHAN (DI ISI)'!EW62+'KELURAHAN (DI ISI)'!EW63+'KELURAHAN (DI ISI)'!EW64+'KELURAHAN (DI ISI)'!EW67+'KELURAHAN (DI ISI)'!EW69+'KELURAHAN (DI ISI)'!EW70+'KELURAHAN (DI ISI)'!EW71+'KELURAHAN (DI ISI)'!EW72</f>
        <v>16</v>
      </c>
      <c r="FN28" s="491">
        <f>'KELURAHAN (DI ISI)'!EX62+'KELURAHAN (DI ISI)'!EX63+'KELURAHAN (DI ISI)'!EX64+'KELURAHAN (DI ISI)'!EX67+'KELURAHAN (DI ISI)'!EX69+'KELURAHAN (DI ISI)'!EX70+'KELURAHAN (DI ISI)'!EX71+'KELURAHAN (DI ISI)'!EX72</f>
        <v>0</v>
      </c>
      <c r="FO28" s="491">
        <f>'KELURAHAN (DI ISI)'!EY62+'KELURAHAN (DI ISI)'!EY63+'KELURAHAN (DI ISI)'!EY64+'KELURAHAN (DI ISI)'!EY67+'KELURAHAN (DI ISI)'!EY69+'KELURAHAN (DI ISI)'!EY70+'KELURAHAN (DI ISI)'!EY71+'KELURAHAN (DI ISI)'!EY72</f>
        <v>1</v>
      </c>
      <c r="FP28" s="491">
        <f>'KELURAHAN (DI ISI)'!EZ62+'KELURAHAN (DI ISI)'!EZ63+'KELURAHAN (DI ISI)'!EZ64+'KELURAHAN (DI ISI)'!EZ67+'KELURAHAN (DI ISI)'!EZ69+'KELURAHAN (DI ISI)'!EZ70+'KELURAHAN (DI ISI)'!EZ71+'KELURAHAN (DI ISI)'!EZ72</f>
        <v>1</v>
      </c>
      <c r="FQ28" s="491">
        <f>'KELURAHAN (DI ISI)'!FA62+'KELURAHAN (DI ISI)'!FA63+'KELURAHAN (DI ISI)'!FA64+'KELURAHAN (DI ISI)'!FA67+'KELURAHAN (DI ISI)'!FA69+'KELURAHAN (DI ISI)'!FA70+'KELURAHAN (DI ISI)'!FA71+'KELURAHAN (DI ISI)'!FA72</f>
        <v>0</v>
      </c>
      <c r="FR28" s="491">
        <f>'KELURAHAN (DI ISI)'!FB62+'KELURAHAN (DI ISI)'!FB63+'KELURAHAN (DI ISI)'!FB64+'KELURAHAN (DI ISI)'!FB67+'KELURAHAN (DI ISI)'!FB69+'KELURAHAN (DI ISI)'!FB70+'KELURAHAN (DI ISI)'!FB71+'KELURAHAN (DI ISI)'!FB72</f>
        <v>0</v>
      </c>
      <c r="FS28" s="491">
        <f>'KELURAHAN (DI ISI)'!FC62+'KELURAHAN (DI ISI)'!FC63+'KELURAHAN (DI ISI)'!FC64+'KELURAHAN (DI ISI)'!FC67+'KELURAHAN (DI ISI)'!FC69+'KELURAHAN (DI ISI)'!FC70+'KELURAHAN (DI ISI)'!FC71+'KELURAHAN (DI ISI)'!FC72</f>
        <v>0</v>
      </c>
      <c r="FT28" s="491">
        <f>'KELURAHAN (DI ISI)'!FD62+'KELURAHAN (DI ISI)'!FD63+'KELURAHAN (DI ISI)'!FD64+'KELURAHAN (DI ISI)'!FD67+'KELURAHAN (DI ISI)'!FD69+'KELURAHAN (DI ISI)'!FD70+'KELURAHAN (DI ISI)'!FD71+'KELURAHAN (DI ISI)'!FD72</f>
        <v>0</v>
      </c>
      <c r="FU28" s="491">
        <f>'KELURAHAN (DI ISI)'!FE62+'KELURAHAN (DI ISI)'!FE63+'KELURAHAN (DI ISI)'!FE64+'KELURAHAN (DI ISI)'!FE67+'KELURAHAN (DI ISI)'!FE69+'KELURAHAN (DI ISI)'!FE70+'KELURAHAN (DI ISI)'!FE71+'KELURAHAN (DI ISI)'!FE72</f>
        <v>0</v>
      </c>
      <c r="FV28" s="491">
        <f>'KELURAHAN (DI ISI)'!FF62+'KELURAHAN (DI ISI)'!FF63+'KELURAHAN (DI ISI)'!FF64+'KELURAHAN (DI ISI)'!FF67+'KELURAHAN (DI ISI)'!FF69+'KELURAHAN (DI ISI)'!FF70+'KELURAHAN (DI ISI)'!FF71+'KELURAHAN (DI ISI)'!FF72</f>
        <v>0</v>
      </c>
      <c r="FW28" s="491">
        <f>'KELURAHAN (DI ISI)'!FG62+'KELURAHAN (DI ISI)'!FG63+'KELURAHAN (DI ISI)'!FG64+'KELURAHAN (DI ISI)'!FG67+'KELURAHAN (DI ISI)'!FG69+'KELURAHAN (DI ISI)'!FG70+'KELURAHAN (DI ISI)'!FG71+'KELURAHAN (DI ISI)'!FG72</f>
        <v>0</v>
      </c>
      <c r="FX28" s="491">
        <f>'KELURAHAN (DI ISI)'!FH62+'KELURAHAN (DI ISI)'!FH63+'KELURAHAN (DI ISI)'!FH64+'KELURAHAN (DI ISI)'!FH67+'KELURAHAN (DI ISI)'!FH69+'KELURAHAN (DI ISI)'!FH70+'KELURAHAN (DI ISI)'!FH71+'KELURAHAN (DI ISI)'!FH72</f>
        <v>2</v>
      </c>
      <c r="FY28" s="491">
        <f>'KELURAHAN (DI ISI)'!FI62+'KELURAHAN (DI ISI)'!FI63+'KELURAHAN (DI ISI)'!FI64+'KELURAHAN (DI ISI)'!FI67+'KELURAHAN (DI ISI)'!FI69+'KELURAHAN (DI ISI)'!FI70+'KELURAHAN (DI ISI)'!FI71+'KELURAHAN (DI ISI)'!FI72</f>
        <v>2</v>
      </c>
      <c r="FZ28" s="491">
        <f>'KELURAHAN (DI ISI)'!FJ62+'KELURAHAN (DI ISI)'!FJ63+'KELURAHAN (DI ISI)'!FJ64+'KELURAHAN (DI ISI)'!FJ67+'KELURAHAN (DI ISI)'!FJ69+'KELURAHAN (DI ISI)'!FJ70+'KELURAHAN (DI ISI)'!FJ71+'KELURAHAN (DI ISI)'!FJ72</f>
        <v>4606</v>
      </c>
      <c r="GA28" s="491">
        <f>'KELURAHAN (DI ISI)'!FK62+'KELURAHAN (DI ISI)'!FK63+'KELURAHAN (DI ISI)'!FK64+'KELURAHAN (DI ISI)'!FK67+'KELURAHAN (DI ISI)'!FK69+'KELURAHAN (DI ISI)'!FK70+'KELURAHAN (DI ISI)'!FK71+'KELURAHAN (DI ISI)'!FK72</f>
        <v>822</v>
      </c>
      <c r="GB28" s="491">
        <f>'KELURAHAN (DI ISI)'!FL62+'KELURAHAN (DI ISI)'!FL63+'KELURAHAN (DI ISI)'!FL64+'KELURAHAN (DI ISI)'!FL67+'KELURAHAN (DI ISI)'!FL69+'KELURAHAN (DI ISI)'!FL70+'KELURAHAN (DI ISI)'!FL71+'KELURAHAN (DI ISI)'!FL72</f>
        <v>4604</v>
      </c>
      <c r="GC28" s="491">
        <f>'KELURAHAN (DI ISI)'!FM62+'KELURAHAN (DI ISI)'!FM63+'KELURAHAN (DI ISI)'!FM64+'KELURAHAN (DI ISI)'!FM67+'KELURAHAN (DI ISI)'!FM69+'KELURAHAN (DI ISI)'!FM70+'KELURAHAN (DI ISI)'!FM71+'KELURAHAN (DI ISI)'!FM72</f>
        <v>822</v>
      </c>
      <c r="GD28" s="570">
        <v>4604.0</v>
      </c>
      <c r="GE28" s="571">
        <f>'KELURAHAN (DI ISI)'!FO62+'KELURAHAN (DI ISI)'!FO63+'KELURAHAN (DI ISI)'!FO64+'KELURAHAN (DI ISI)'!FO67+'KELURAHAN (DI ISI)'!FO69+'KELURAHAN (DI ISI)'!FO70+'KELURAHAN (DI ISI)'!FO71+'KELURAHAN (DI ISI)'!FO72</f>
        <v>71</v>
      </c>
      <c r="GF28" s="571">
        <f>'KELURAHAN (DI ISI)'!FP62+'KELURAHAN (DI ISI)'!FP63+'KELURAHAN (DI ISI)'!FP64+'KELURAHAN (DI ISI)'!FP67+'KELURAHAN (DI ISI)'!FP69+'KELURAHAN (DI ISI)'!FP70+'KELURAHAN (DI ISI)'!FP71+'KELURAHAN (DI ISI)'!FP72</f>
        <v>71</v>
      </c>
      <c r="GG28" s="571">
        <f>'KELURAHAN (DI ISI)'!FP62+'KELURAHAN (DI ISI)'!FP63+'KELURAHAN (DI ISI)'!FP64+'KELURAHAN (DI ISI)'!FP67+'KELURAHAN (DI ISI)'!FP69+'KELURAHAN (DI ISI)'!FP70+'KELURAHAN (DI ISI)'!FP71+'KELURAHAN (DI ISI)'!FP72</f>
        <v>71</v>
      </c>
      <c r="GH28" s="571">
        <f>'KELURAHAN (DI ISI)'!FQ62+'KELURAHAN (DI ISI)'!FQ63+'KELURAHAN (DI ISI)'!FQ64+'KELURAHAN (DI ISI)'!FQ67+'KELURAHAN (DI ISI)'!FQ69+'KELURAHAN (DI ISI)'!FQ70+'KELURAHAN (DI ISI)'!FQ71+'KELURAHAN (DI ISI)'!FQ72</f>
        <v>15</v>
      </c>
      <c r="GI28" s="571">
        <f t="shared" si="19"/>
        <v>56</v>
      </c>
      <c r="GJ28" s="491">
        <f>'KELURAHAN (DI ISI)'!FS62+'KELURAHAN (DI ISI)'!FS63+'KELURAHAN (DI ISI)'!FS64+'KELURAHAN (DI ISI)'!FS67+'KELURAHAN (DI ISI)'!FS69+'KELURAHAN (DI ISI)'!FS70+'KELURAHAN (DI ISI)'!FS71+'KELURAHAN (DI ISI)'!FS72</f>
        <v>0</v>
      </c>
      <c r="GK28" s="491">
        <f>'KELURAHAN (DI ISI)'!FT62+'KELURAHAN (DI ISI)'!FT63+'KELURAHAN (DI ISI)'!FT64+'KELURAHAN (DI ISI)'!FT67+'KELURAHAN (DI ISI)'!FT69+'KELURAHAN (DI ISI)'!FT70+'KELURAHAN (DI ISI)'!FT71+'KELURAHAN (DI ISI)'!FT72</f>
        <v>1</v>
      </c>
      <c r="GL28" s="491">
        <f>'KELURAHAN (DI ISI)'!FU62+'KELURAHAN (DI ISI)'!FU63+'KELURAHAN (DI ISI)'!FU64+'KELURAHAN (DI ISI)'!FU67+'KELURAHAN (DI ISI)'!FU69+'KELURAHAN (DI ISI)'!FU70+'KELURAHAN (DI ISI)'!FU71+'KELURAHAN (DI ISI)'!FU72</f>
        <v>6</v>
      </c>
      <c r="GM28" s="491">
        <f>'KELURAHAN (DI ISI)'!FV62+'KELURAHAN (DI ISI)'!FV63+'KELURAHAN (DI ISI)'!FV64+'KELURAHAN (DI ISI)'!FV67+'KELURAHAN (DI ISI)'!FV69+'KELURAHAN (DI ISI)'!FV70+'KELURAHAN (DI ISI)'!FV71+'KELURAHAN (DI ISI)'!FV72</f>
        <v>39</v>
      </c>
      <c r="GN28" s="491">
        <f>'KELURAHAN (DI ISI)'!FW62+'KELURAHAN (DI ISI)'!FW63+'KELURAHAN (DI ISI)'!FW64+'KELURAHAN (DI ISI)'!FW67+'KELURAHAN (DI ISI)'!FW69+'KELURAHAN (DI ISI)'!FW70+'KELURAHAN (DI ISI)'!FW71+'KELURAHAN (DI ISI)'!FW72</f>
        <v>0</v>
      </c>
      <c r="GO28" s="491">
        <f>'KELURAHAN (DI ISI)'!FX62+'KELURAHAN (DI ISI)'!FX63+'KELURAHAN (DI ISI)'!FX64+'KELURAHAN (DI ISI)'!FX67+'KELURAHAN (DI ISI)'!FX69+'KELURAHAN (DI ISI)'!FX70+'KELURAHAN (DI ISI)'!FX71+'KELURAHAN (DI ISI)'!FX72</f>
        <v>0</v>
      </c>
      <c r="GP28" s="491">
        <f>'KELURAHAN (DI ISI)'!FY62+'KELURAHAN (DI ISI)'!FY63+'KELURAHAN (DI ISI)'!FY64+'KELURAHAN (DI ISI)'!FY67+'KELURAHAN (DI ISI)'!FY69+'KELURAHAN (DI ISI)'!FY70+'KELURAHAN (DI ISI)'!FY71+'KELURAHAN (DI ISI)'!FY72</f>
        <v>8</v>
      </c>
      <c r="GQ28" s="491">
        <f>'KELURAHAN (DI ISI)'!FZ62+'KELURAHAN (DI ISI)'!FZ63+'KELURAHAN (DI ISI)'!FZ64+'KELURAHAN (DI ISI)'!FZ67+'KELURAHAN (DI ISI)'!FZ69+'KELURAHAN (DI ISI)'!FZ70+'KELURAHAN (DI ISI)'!FZ71+'KELURAHAN (DI ISI)'!FZ72</f>
        <v>17</v>
      </c>
      <c r="GR28" s="491">
        <f>'KELURAHAN (DI ISI)'!GA62+'KELURAHAN (DI ISI)'!GA63+'KELURAHAN (DI ISI)'!GA64+'KELURAHAN (DI ISI)'!GA67+'KELURAHAN (DI ISI)'!GA69+'KELURAHAN (DI ISI)'!GA70+'KELURAHAN (DI ISI)'!GA71+'KELURAHAN (DI ISI)'!GA72</f>
        <v>0</v>
      </c>
      <c r="GS28" s="491">
        <f>'KELURAHAN (DI ISI)'!GB62+'KELURAHAN (DI ISI)'!GB63+'KELURAHAN (DI ISI)'!GB64+'KELURAHAN (DI ISI)'!GB67+'KELURAHAN (DI ISI)'!GB69+'KELURAHAN (DI ISI)'!GB70+'KELURAHAN (DI ISI)'!GB71+'KELURAHAN (DI ISI)'!GB72</f>
        <v>0</v>
      </c>
      <c r="GT28" s="491">
        <f>'KELURAHAN (DI ISI)'!GC62+'KELURAHAN (DI ISI)'!GC63+'KELURAHAN (DI ISI)'!GC64+'KELURAHAN (DI ISI)'!GC67+'KELURAHAN (DI ISI)'!GC69+'KELURAHAN (DI ISI)'!GC70+'KELURAHAN (DI ISI)'!GC71+'KELURAHAN (DI ISI)'!GC72</f>
        <v>1</v>
      </c>
      <c r="GU28" s="491">
        <f>'KELURAHAN (DI ISI)'!GD62+'KELURAHAN (DI ISI)'!GD63+'KELURAHAN (DI ISI)'!GD64+'KELURAHAN (DI ISI)'!GD67+'KELURAHAN (DI ISI)'!GD69+'KELURAHAN (DI ISI)'!GD70+'KELURAHAN (DI ISI)'!GD71+'KELURAHAN (DI ISI)'!GD72</f>
        <v>1</v>
      </c>
      <c r="GV28" s="491">
        <f>'KELURAHAN (DI ISI)'!GE62+'KELURAHAN (DI ISI)'!GE63+'KELURAHAN (DI ISI)'!GE64+'KELURAHAN (DI ISI)'!GE67+'KELURAHAN (DI ISI)'!GE69+'KELURAHAN (DI ISI)'!GE70+'KELURAHAN (DI ISI)'!GE71+'KELURAHAN (DI ISI)'!GE72</f>
        <v>0</v>
      </c>
      <c r="GW28" s="491">
        <f>'KELURAHAN (DI ISI)'!GF62+'KELURAHAN (DI ISI)'!GF63+'KELURAHAN (DI ISI)'!GF64+'KELURAHAN (DI ISI)'!GF67+'KELURAHAN (DI ISI)'!GF69+'KELURAHAN (DI ISI)'!GF70+'KELURAHAN (DI ISI)'!GF71+'KELURAHAN (DI ISI)'!GF72</f>
        <v>0</v>
      </c>
      <c r="GX28" s="491">
        <f>'KELURAHAN (DI ISI)'!GG62+'KELURAHAN (DI ISI)'!GG63+'KELURAHAN (DI ISI)'!GG64+'KELURAHAN (DI ISI)'!GG67+'KELURAHAN (DI ISI)'!GG69+'KELURAHAN (DI ISI)'!GG70+'KELURAHAN (DI ISI)'!GG71+'KELURAHAN (DI ISI)'!GG72</f>
        <v>1</v>
      </c>
      <c r="GY28" s="491">
        <f>'KELURAHAN (DI ISI)'!GH62+'KELURAHAN (DI ISI)'!GH63+'KELURAHAN (DI ISI)'!GH64+'KELURAHAN (DI ISI)'!GH67+'KELURAHAN (DI ISI)'!GH69+'KELURAHAN (DI ISI)'!GH70+'KELURAHAN (DI ISI)'!GH71+'KELURAHAN (DI ISI)'!GH72</f>
        <v>1</v>
      </c>
      <c r="GZ28" s="491">
        <f>'KELURAHAN (DI ISI)'!GI62+'KELURAHAN (DI ISI)'!GI63+'KELURAHAN (DI ISI)'!GI64+'KELURAHAN (DI ISI)'!GI67+'KELURAHAN (DI ISI)'!GI69+'KELURAHAN (DI ISI)'!GI70+'KELURAHAN (DI ISI)'!GI71+'KELURAHAN (DI ISI)'!GI72</f>
        <v>0</v>
      </c>
      <c r="HA28" s="491">
        <f>'KELURAHAN (DI ISI)'!GJ62+'KELURAHAN (DI ISI)'!GJ63+'KELURAHAN (DI ISI)'!GJ64+'KELURAHAN (DI ISI)'!GJ67+'KELURAHAN (DI ISI)'!GJ69+'KELURAHAN (DI ISI)'!GJ70+'KELURAHAN (DI ISI)'!GJ71+'KELURAHAN (DI ISI)'!GJ72</f>
        <v>0</v>
      </c>
      <c r="HB28" s="572">
        <f>'KELURAHAN (DI ISI)'!GK62+'KELURAHAN (DI ISI)'!GK63+'KELURAHAN (DI ISI)'!GK64+'KELURAHAN (DI ISI)'!GK67+'KELURAHAN (DI ISI)'!GK69+'KELURAHAN (DI ISI)'!GK70+'KELURAHAN (DI ISI)'!GK71+'KELURAHAN (DI ISI)'!GK72</f>
        <v>4</v>
      </c>
      <c r="HC28" s="572">
        <f>'KELURAHAN (DI ISI)'!GL62+'KELURAHAN (DI ISI)'!GL63+'KELURAHAN (DI ISI)'!GL64+'KELURAHAN (DI ISI)'!GL67+'KELURAHAN (DI ISI)'!GL69+'KELURAHAN (DI ISI)'!GL70+'KELURAHAN (DI ISI)'!GL71+'KELURAHAN (DI ISI)'!GL72</f>
        <v>2</v>
      </c>
      <c r="HD28" s="491">
        <f>'KELURAHAN (DI ISI)'!GM62+'KELURAHAN (DI ISI)'!GM63+'KELURAHAN (DI ISI)'!GM64+'KELURAHAN (DI ISI)'!GM67+'KELURAHAN (DI ISI)'!GM69+'KELURAHAN (DI ISI)'!GM70+'KELURAHAN (DI ISI)'!GM71+'KELURAHAN (DI ISI)'!GM72</f>
        <v>4671</v>
      </c>
      <c r="HE28" s="491">
        <f>'KELURAHAN (DI ISI)'!GN62+'KELURAHAN (DI ISI)'!GN63+'KELURAHAN (DI ISI)'!GN64+'KELURAHAN (DI ISI)'!GN67+'KELURAHAN (DI ISI)'!GN69+'KELURAHAN (DI ISI)'!GN70+'KELURAHAN (DI ISI)'!GN71+'KELURAHAN (DI ISI)'!GN72</f>
        <v>872</v>
      </c>
      <c r="HF28" s="491">
        <f>'KELURAHAN (DI ISI)'!GO62+'KELURAHAN (DI ISI)'!GO63+'KELURAHAN (DI ISI)'!GO64+'KELURAHAN (DI ISI)'!GO67+'KELURAHAN (DI ISI)'!GO69+'KELURAHAN (DI ISI)'!GO70+'KELURAHAN (DI ISI)'!GO71+'KELURAHAN (DI ISI)'!GO72</f>
        <v>4670</v>
      </c>
      <c r="HG28" s="491">
        <f>'KELURAHAN (DI ISI)'!GP62+'KELURAHAN (DI ISI)'!GP63+'KELURAHAN (DI ISI)'!GP64+'KELURAHAN (DI ISI)'!GP67+'KELURAHAN (DI ISI)'!GP69+'KELURAHAN (DI ISI)'!GP70+'KELURAHAN (DI ISI)'!GP71+'KELURAHAN (DI ISI)'!GP72</f>
        <v>872</v>
      </c>
      <c r="HH28" s="570">
        <v>4604.0</v>
      </c>
      <c r="HI28" s="225">
        <f>'KELURAHAN (DI ISI)'!GR62+'KELURAHAN (DI ISI)'!GR63+'KELURAHAN (DI ISI)'!GR64+'KELURAHAN (DI ISI)'!GR67+'KELURAHAN (DI ISI)'!GR69+'KELURAHAN (DI ISI)'!GR70+'KELURAHAN (DI ISI)'!GR71+'KELURAHAN (DI ISI)'!GR72</f>
        <v>78</v>
      </c>
      <c r="HJ28" s="225">
        <f>'KELURAHAN (DI ISI)'!GS62+'KELURAHAN (DI ISI)'!GS63+'KELURAHAN (DI ISI)'!GS64+'KELURAHAN (DI ISI)'!GS67+'KELURAHAN (DI ISI)'!GS69+'KELURAHAN (DI ISI)'!GS70+'KELURAHAN (DI ISI)'!GS71+'KELURAHAN (DI ISI)'!GS72</f>
        <v>18</v>
      </c>
      <c r="HK28" s="573">
        <f>'KELURAHAN (DI ISI)'!GT62+'KELURAHAN (DI ISI)'!GT63+'KELURAHAN (DI ISI)'!GT64+'KELURAHAN (DI ISI)'!GT67+'KELURAHAN (DI ISI)'!GT69+'KELURAHAN (DI ISI)'!GT70+'KELURAHAN (DI ISI)'!GT71+'KELURAHAN (DI ISI)'!GT72</f>
        <v>78</v>
      </c>
      <c r="HL28" s="573">
        <f>'KELURAHAN (DI ISI)'!GU62+'KELURAHAN (DI ISI)'!GU63+'KELURAHAN (DI ISI)'!GU64+'KELURAHAN (DI ISI)'!GU67+'KELURAHAN (DI ISI)'!GU69+'KELURAHAN (DI ISI)'!GU70+'KELURAHAN (DI ISI)'!GU71+'KELURAHAN (DI ISI)'!GU72</f>
        <v>18</v>
      </c>
      <c r="HM28" s="573">
        <f t="shared" si="20"/>
        <v>60</v>
      </c>
      <c r="HN28" s="491">
        <f>'KELURAHAN (DI ISI)'!GW62+'KELURAHAN (DI ISI)'!GW63+'KELURAHAN (DI ISI)'!GW64+'KELURAHAN (DI ISI)'!GW67+'KELURAHAN (DI ISI)'!GW69+'KELURAHAN (DI ISI)'!GW70+'KELURAHAN (DI ISI)'!GW71+'KELURAHAN (DI ISI)'!GW72</f>
        <v>0</v>
      </c>
      <c r="HO28" s="491">
        <f>'KELURAHAN (DI ISI)'!GX62+'KELURAHAN (DI ISI)'!GX63+'KELURAHAN (DI ISI)'!GX64+'KELURAHAN (DI ISI)'!GX67+'KELURAHAN (DI ISI)'!GX69+'KELURAHAN (DI ISI)'!GX70+'KELURAHAN (DI ISI)'!GX71+'KELURAHAN (DI ISI)'!GX72</f>
        <v>1</v>
      </c>
      <c r="HP28" s="491">
        <f>'KELURAHAN (DI ISI)'!GY62+'KELURAHAN (DI ISI)'!GY63+'KELURAHAN (DI ISI)'!GY64+'KELURAHAN (DI ISI)'!GY67+'KELURAHAN (DI ISI)'!GY69+'KELURAHAN (DI ISI)'!GY70+'KELURAHAN (DI ISI)'!GY71+'KELURAHAN (DI ISI)'!GY72</f>
        <v>10</v>
      </c>
      <c r="HQ28" s="491">
        <f>'KELURAHAN (DI ISI)'!GZ62+'KELURAHAN (DI ISI)'!GZ63+'KELURAHAN (DI ISI)'!GZ64+'KELURAHAN (DI ISI)'!GZ67+'KELURAHAN (DI ISI)'!GZ69+'KELURAHAN (DI ISI)'!GZ70+'KELURAHAN (DI ISI)'!GZ71+'KELURAHAN (DI ISI)'!GZ72</f>
        <v>55</v>
      </c>
      <c r="HR28" s="491">
        <f>'KELURAHAN (DI ISI)'!HA62+'KELURAHAN (DI ISI)'!HA63+'KELURAHAN (DI ISI)'!HA64+'KELURAHAN (DI ISI)'!HA67+'KELURAHAN (DI ISI)'!HA69+'KELURAHAN (DI ISI)'!HA70+'KELURAHAN (DI ISI)'!HA71+'KELURAHAN (DI ISI)'!HA72</f>
        <v>0</v>
      </c>
      <c r="HS28" s="491">
        <f>'KELURAHAN (DI ISI)'!HB62+'KELURAHAN (DI ISI)'!HB63+'KELURAHAN (DI ISI)'!HB64+'KELURAHAN (DI ISI)'!HB67+'KELURAHAN (DI ISI)'!HB69+'KELURAHAN (DI ISI)'!HB70+'KELURAHAN (DI ISI)'!HB71+'KELURAHAN (DI ISI)'!HB72</f>
        <v>2</v>
      </c>
      <c r="HT28" s="491">
        <f>'KELURAHAN (DI ISI)'!HC62+'KELURAHAN (DI ISI)'!HC63+'KELURAHAN (DI ISI)'!HC64+'KELURAHAN (DI ISI)'!HC67+'KELURAHAN (DI ISI)'!HC69+'KELURAHAN (DI ISI)'!HC70+'KELURAHAN (DI ISI)'!HC71+'KELURAHAN (DI ISI)'!HC72</f>
        <v>5</v>
      </c>
      <c r="HU28" s="491">
        <f>'KELURAHAN (DI ISI)'!HD62+'KELURAHAN (DI ISI)'!HD63+'KELURAHAN (DI ISI)'!HD64+'KELURAHAN (DI ISI)'!HD67+'KELURAHAN (DI ISI)'!HD69+'KELURAHAN (DI ISI)'!HD70+'KELURAHAN (DI ISI)'!HD71+'KELURAHAN (DI ISI)'!HD72</f>
        <v>5</v>
      </c>
      <c r="HV28" s="491">
        <f>'KELURAHAN (DI ISI)'!HE62+'KELURAHAN (DI ISI)'!HE63+'KELURAHAN (DI ISI)'!HE64+'KELURAHAN (DI ISI)'!HE67+'KELURAHAN (DI ISI)'!HE69+'KELURAHAN (DI ISI)'!HE70+'KELURAHAN (DI ISI)'!HE71+'KELURAHAN (DI ISI)'!HE72</f>
        <v>0</v>
      </c>
      <c r="HW28" s="491">
        <f>'KELURAHAN (DI ISI)'!HF62+'KELURAHAN (DI ISI)'!HF63+'KELURAHAN (DI ISI)'!HF64+'KELURAHAN (DI ISI)'!HF67+'KELURAHAN (DI ISI)'!HF69+'KELURAHAN (DI ISI)'!HF70+'KELURAHAN (DI ISI)'!HF71+'KELURAHAN (DI ISI)'!HF72</f>
        <v>1</v>
      </c>
      <c r="HX28" s="491">
        <f>'KELURAHAN (DI ISI)'!HG62+'KELURAHAN (DI ISI)'!HG63+'KELURAHAN (DI ISI)'!HG64+'KELURAHAN (DI ISI)'!HG67+'KELURAHAN (DI ISI)'!HG69+'KELURAHAN (DI ISI)'!HG70+'KELURAHAN (DI ISI)'!HG71+'KELURAHAN (DI ISI)'!HG72</f>
        <v>2</v>
      </c>
      <c r="HY28" s="491">
        <f>'KELURAHAN (DI ISI)'!HH62+'KELURAHAN (DI ISI)'!HH63+'KELURAHAN (DI ISI)'!HH64+'KELURAHAN (DI ISI)'!HH67+'KELURAHAN (DI ISI)'!HH69+'KELURAHAN (DI ISI)'!HH70+'KELURAHAN (DI ISI)'!HH71+'KELURAHAN (DI ISI)'!HH72</f>
        <v>3</v>
      </c>
      <c r="HZ28" s="491">
        <f>'KELURAHAN (DI ISI)'!HI62+'KELURAHAN (DI ISI)'!HI63+'KELURAHAN (DI ISI)'!HI64+'KELURAHAN (DI ISI)'!HI67+'KELURAHAN (DI ISI)'!HI69+'KELURAHAN (DI ISI)'!HI70+'KELURAHAN (DI ISI)'!HI71+'KELURAHAN (DI ISI)'!HI72</f>
        <v>0</v>
      </c>
      <c r="IA28" s="491">
        <f>'KELURAHAN (DI ISI)'!HJ62+'KELURAHAN (DI ISI)'!HJ63+'KELURAHAN (DI ISI)'!HJ64+'KELURAHAN (DI ISI)'!HJ67+'KELURAHAN (DI ISI)'!HJ69+'KELURAHAN (DI ISI)'!HJ70+'KELURAHAN (DI ISI)'!HJ71+'KELURAHAN (DI ISI)'!HJ72</f>
        <v>0</v>
      </c>
      <c r="IB28" s="491">
        <f>'KELURAHAN (DI ISI)'!HK62+'KELURAHAN (DI ISI)'!HK63+'KELURAHAN (DI ISI)'!HK64+'KELURAHAN (DI ISI)'!HK67+'KELURAHAN (DI ISI)'!HK69+'KELURAHAN (DI ISI)'!HK70+'KELURAHAN (DI ISI)'!HK71+'KELURAHAN (DI ISI)'!HK72</f>
        <v>0</v>
      </c>
      <c r="IC28" s="491">
        <f>'KELURAHAN (DI ISI)'!HL62+'KELURAHAN (DI ISI)'!HL63+'KELURAHAN (DI ISI)'!HL64+'KELURAHAN (DI ISI)'!HL67+'KELURAHAN (DI ISI)'!HL69+'KELURAHAN (DI ISI)'!HL70+'KELURAHAN (DI ISI)'!HL71+'KELURAHAN (DI ISI)'!HL72</f>
        <v>0</v>
      </c>
      <c r="ID28" s="491">
        <f>'KELURAHAN (DI ISI)'!HM62+'KELURAHAN (DI ISI)'!HM63+'KELURAHAN (DI ISI)'!HM64+'KELURAHAN (DI ISI)'!HM67+'KELURAHAN (DI ISI)'!HM69+'KELURAHAN (DI ISI)'!HM70+'KELURAHAN (DI ISI)'!HM71+'KELURAHAN (DI ISI)'!HM72</f>
        <v>0</v>
      </c>
      <c r="IE28" s="491">
        <f>'KELURAHAN (DI ISI)'!HN62+'KELURAHAN (DI ISI)'!HN63+'KELURAHAN (DI ISI)'!HN64+'KELURAHAN (DI ISI)'!HN67+'KELURAHAN (DI ISI)'!HN69+'KELURAHAN (DI ISI)'!HN70+'KELURAHAN (DI ISI)'!HN71+'KELURAHAN (DI ISI)'!HN72</f>
        <v>0</v>
      </c>
      <c r="IF28" s="573">
        <f>'KELURAHAN (DI ISI)'!HO62+'KELURAHAN (DI ISI)'!HO63+'KELURAHAN (DI ISI)'!HO64+'KELURAHAN (DI ISI)'!HO67+'KELURAHAN (DI ISI)'!HO69+'KELURAHAN (DI ISI)'!HO70+'KELURAHAN (DI ISI)'!HO71+'KELURAHAN (DI ISI)'!HO72</f>
        <v>3</v>
      </c>
      <c r="IG28" s="573">
        <f>'KELURAHAN (DI ISI)'!HP62+'KELURAHAN (DI ISI)'!HP63+'KELURAHAN (DI ISI)'!HP64+'KELURAHAN (DI ISI)'!HP67+'KELURAHAN (DI ISI)'!HP69+'KELURAHAN (DI ISI)'!HP70+'KELURAHAN (DI ISI)'!HP71+'KELURAHAN (DI ISI)'!HP72</f>
        <v>3</v>
      </c>
      <c r="IK28" s="198">
        <f t="shared" si="21"/>
        <v>22</v>
      </c>
      <c r="IL28" s="198">
        <f t="shared" si="22"/>
        <v>24</v>
      </c>
      <c r="IM28" s="198">
        <f t="shared" si="23"/>
        <v>32</v>
      </c>
      <c r="IN28" s="198">
        <f t="shared" si="24"/>
        <v>41</v>
      </c>
      <c r="IO28" s="198">
        <f t="shared" si="25"/>
        <v>43</v>
      </c>
      <c r="IP28" s="198">
        <f t="shared" si="26"/>
        <v>51</v>
      </c>
      <c r="IQ28" s="574">
        <f t="shared" si="27"/>
        <v>40</v>
      </c>
      <c r="IR28" s="574">
        <f t="shared" si="28"/>
        <v>64</v>
      </c>
      <c r="IS28" s="574">
        <f t="shared" si="29"/>
        <v>46</v>
      </c>
      <c r="IT28" s="574">
        <f t="shared" si="30"/>
        <v>68</v>
      </c>
      <c r="IU28" s="574">
        <f t="shared" si="31"/>
        <v>71</v>
      </c>
      <c r="IV28" s="575">
        <f t="shared" si="32"/>
        <v>78</v>
      </c>
      <c r="IW28" s="583"/>
      <c r="IX28" s="576">
        <f t="shared" si="33"/>
        <v>-78</v>
      </c>
      <c r="IZ28" s="237"/>
      <c r="JA28" s="162">
        <f t="shared" si="34"/>
        <v>-4671</v>
      </c>
      <c r="JB28" s="578"/>
      <c r="JC28" s="579">
        <f t="shared" si="35"/>
        <v>-872</v>
      </c>
      <c r="JD28" s="597"/>
      <c r="JE28" s="598"/>
      <c r="JF28" s="577"/>
      <c r="JG28" s="234">
        <f t="shared" si="36"/>
        <v>-4670</v>
      </c>
      <c r="JH28" s="578"/>
      <c r="JI28" s="579">
        <f t="shared" si="37"/>
        <v>-872</v>
      </c>
      <c r="JJ28" s="247"/>
    </row>
    <row r="29" ht="14.25" customHeight="1">
      <c r="A29" s="158">
        <v>21.0</v>
      </c>
      <c r="B29" s="157" t="s">
        <v>143</v>
      </c>
      <c r="C29" s="253">
        <v>3374120.0</v>
      </c>
      <c r="D29" s="599" t="s">
        <v>149</v>
      </c>
      <c r="E29" s="253"/>
      <c r="F29" s="259">
        <f>'KELURAHAN (DI ISI)'!F65+'KELURAHAN (DI ISI)'!F66+'KELURAHAN (DI ISI)'!F68+'KELURAHAN (DI ISI)'!F73</f>
        <v>75</v>
      </c>
      <c r="G29" s="259">
        <f>'KELURAHAN (DI ISI)'!G65+'KELURAHAN (DI ISI)'!G66+'KELURAHAN (DI ISI)'!G68+'KELURAHAN (DI ISI)'!G73</f>
        <v>4772</v>
      </c>
      <c r="H29" s="491">
        <f>'KELURAHAN (DI ISI)'!H65+'KELURAHAN (DI ISI)'!H66+'KELURAHAN (DI ISI)'!H68+'KELURAHAN (DI ISI)'!H73</f>
        <v>51</v>
      </c>
      <c r="I29" s="491">
        <f t="shared" si="1"/>
        <v>13</v>
      </c>
      <c r="J29" s="491">
        <f t="shared" si="2"/>
        <v>38</v>
      </c>
      <c r="K29" s="491">
        <f>'KELURAHAN (DI ISI)'!I65+'KELURAHAN (DI ISI)'!I66+'KELURAHAN (DI ISI)'!I68+'KELURAHAN (DI ISI)'!I73</f>
        <v>2</v>
      </c>
      <c r="L29" s="491">
        <f>'KELURAHAN (DI ISI)'!J65+'KELURAHAN (DI ISI)'!J66+'KELURAHAN (DI ISI)'!J68+'KELURAHAN (DI ISI)'!J73</f>
        <v>3</v>
      </c>
      <c r="M29" s="491">
        <f>'KELURAHAN (DI ISI)'!K65+'KELURAHAN (DI ISI)'!K66+'KELURAHAN (DI ISI)'!K68+'KELURAHAN (DI ISI)'!K73</f>
        <v>8</v>
      </c>
      <c r="N29" s="491">
        <f>'KELURAHAN (DI ISI)'!L65+'KELURAHAN (DI ISI)'!L66+'KELURAHAN (DI ISI)'!L68+'KELURAHAN (DI ISI)'!L73</f>
        <v>38</v>
      </c>
      <c r="O29" s="491">
        <f>'KELURAHAN (DI ISI)'!M65+'KELURAHAN (DI ISI)'!M66+'KELURAHAN (DI ISI)'!M68+'KELURAHAN (DI ISI)'!M73</f>
        <v>10</v>
      </c>
      <c r="P29" s="491">
        <f>'KELURAHAN (DI ISI)'!N65+'KELURAHAN (DI ISI)'!N66+'KELURAHAN (DI ISI)'!N68+'KELURAHAN (DI ISI)'!N73</f>
        <v>0</v>
      </c>
      <c r="Q29" s="491">
        <f>'KELURAHAN (DI ISI)'!O65+'KELURAHAN (DI ISI)'!O66+'KELURAHAN (DI ISI)'!O68+'KELURAHAN (DI ISI)'!O73</f>
        <v>41</v>
      </c>
      <c r="R29" s="491">
        <f>'KELURAHAN (DI ISI)'!P65+'KELURAHAN (DI ISI)'!P66+'KELURAHAN (DI ISI)'!P68+'KELURAHAN (DI ISI)'!P73</f>
        <v>69</v>
      </c>
      <c r="S29" s="491">
        <f t="shared" si="3"/>
        <v>19</v>
      </c>
      <c r="T29" s="491">
        <f t="shared" si="4"/>
        <v>50</v>
      </c>
      <c r="U29" s="491">
        <f>'KELURAHAN (DI ISI)'!Q65+'KELURAHAN (DI ISI)'!Q66+'KELURAHAN (DI ISI)'!Q68+'KELURAHAN (DI ISI)'!Q73</f>
        <v>2</v>
      </c>
      <c r="V29" s="491">
        <f>'KELURAHAN (DI ISI)'!R65+'KELURAHAN (DI ISI)'!R66+'KELURAHAN (DI ISI)'!R68+'KELURAHAN (DI ISI)'!R73</f>
        <v>4</v>
      </c>
      <c r="W29" s="491">
        <f>'KELURAHAN (DI ISI)'!S65+'KELURAHAN (DI ISI)'!S66+'KELURAHAN (DI ISI)'!S68+'KELURAHAN (DI ISI)'!S73</f>
        <v>13</v>
      </c>
      <c r="X29" s="491">
        <f>'KELURAHAN (DI ISI)'!T65+'KELURAHAN (DI ISI)'!T66+'KELURAHAN (DI ISI)'!T68+'KELURAHAN (DI ISI)'!T73</f>
        <v>50</v>
      </c>
      <c r="Y29" s="491">
        <f>'KELURAHAN (DI ISI)'!U65+'KELURAHAN (DI ISI)'!U66+'KELURAHAN (DI ISI)'!U68+'KELURAHAN (DI ISI)'!U73</f>
        <v>50</v>
      </c>
      <c r="Z29" s="491">
        <f>'KELURAHAN (DI ISI)'!V65+'KELURAHAN (DI ISI)'!V66+'KELURAHAN (DI ISI)'!V68+'KELURAHAN (DI ISI)'!V73</f>
        <v>0</v>
      </c>
      <c r="AA29" s="491">
        <f>'KELURAHAN (DI ISI)'!W65+'KELURAHAN (DI ISI)'!W66+'KELURAHAN (DI ISI)'!W68+'KELURAHAN (DI ISI)'!W73</f>
        <v>19</v>
      </c>
      <c r="AB29" s="491">
        <f>'KELURAHAN (DI ISI)'!X65+'KELURAHAN (DI ISI)'!X66+'KELURAHAN (DI ISI)'!X68+'KELURAHAN (DI ISI)'!X73</f>
        <v>27</v>
      </c>
      <c r="AC29" s="491">
        <f t="shared" si="5"/>
        <v>2</v>
      </c>
      <c r="AD29" s="491">
        <f t="shared" si="6"/>
        <v>25</v>
      </c>
      <c r="AE29" s="491">
        <f>'KELURAHAN (DI ISI)'!Y65+'KELURAHAN (DI ISI)'!Y66+'KELURAHAN (DI ISI)'!Y68+'KELURAHAN (DI ISI)'!Y73</f>
        <v>0</v>
      </c>
      <c r="AF29" s="491">
        <f>'KELURAHAN (DI ISI)'!Z65+'KELURAHAN (DI ISI)'!Z66+'KELURAHAN (DI ISI)'!Z68+'KELURAHAN (DI ISI)'!Z73</f>
        <v>0</v>
      </c>
      <c r="AG29" s="491">
        <f>'KELURAHAN (DI ISI)'!AA65+'KELURAHAN (DI ISI)'!AA66+'KELURAHAN (DI ISI)'!AA68+'KELURAHAN (DI ISI)'!AA73</f>
        <v>2</v>
      </c>
      <c r="AH29" s="491">
        <f>'KELURAHAN (DI ISI)'!AB65+'KELURAHAN (DI ISI)'!AB66+'KELURAHAN (DI ISI)'!AB68+'KELURAHAN (DI ISI)'!AB73</f>
        <v>25</v>
      </c>
      <c r="AI29" s="491">
        <f>'KELURAHAN (DI ISI)'!AC65+'KELURAHAN (DI ISI)'!AC66+'KELURAHAN (DI ISI)'!AC68+'KELURAHAN (DI ISI)'!AC73</f>
        <v>0</v>
      </c>
      <c r="AJ29" s="491">
        <f>'KELURAHAN (DI ISI)'!AD65+'KELURAHAN (DI ISI)'!AD66+'KELURAHAN (DI ISI)'!AD68+'KELURAHAN (DI ISI)'!AD73</f>
        <v>31</v>
      </c>
      <c r="AK29" s="491">
        <f>'KELURAHAN (DI ISI)'!AE65+'KELURAHAN (DI ISI)'!AE66+'KELURAHAN (DI ISI)'!AE68+'KELURAHAN (DI ISI)'!AE73</f>
        <v>-4</v>
      </c>
      <c r="AL29" s="491">
        <f>'KELURAHAN (DI ISI)'!AF65+'KELURAHAN (DI ISI)'!AF66+'KELURAHAN (DI ISI)'!AF68+'KELURAHAN (DI ISI)'!AF73</f>
        <v>62</v>
      </c>
      <c r="AM29" s="491">
        <f t="shared" si="7"/>
        <v>17</v>
      </c>
      <c r="AN29" s="491">
        <f t="shared" si="8"/>
        <v>45</v>
      </c>
      <c r="AO29" s="491">
        <f>'KELURAHAN (DI ISI)'!AG65+'KELURAHAN (DI ISI)'!AG66+'KELURAHAN (DI ISI)'!AG68+'KELURAHAN (DI ISI)'!AG73</f>
        <v>4</v>
      </c>
      <c r="AP29" s="491">
        <f>'KELURAHAN (DI ISI)'!AH65+'KELURAHAN (DI ISI)'!AH66+'KELURAHAN (DI ISI)'!AH68+'KELURAHAN (DI ISI)'!AH73</f>
        <v>2</v>
      </c>
      <c r="AQ29" s="491">
        <f>'KELURAHAN (DI ISI)'!AI65+'KELURAHAN (DI ISI)'!AI66+'KELURAHAN (DI ISI)'!AI68+'KELURAHAN (DI ISI)'!AI73</f>
        <v>11</v>
      </c>
      <c r="AR29" s="491">
        <f>'KELURAHAN (DI ISI)'!AJ65+'KELURAHAN (DI ISI)'!AJ66+'KELURAHAN (DI ISI)'!AJ68+'KELURAHAN (DI ISI)'!AJ73</f>
        <v>45</v>
      </c>
      <c r="AS29" s="491">
        <f>'KELURAHAN (DI ISI)'!AK65+'KELURAHAN (DI ISI)'!AK66+'KELURAHAN (DI ISI)'!AK68+'KELURAHAN (DI ISI)'!AK73</f>
        <v>35</v>
      </c>
      <c r="AT29" s="491">
        <f>'KELURAHAN (DI ISI)'!AL65+'KELURAHAN (DI ISI)'!AL66+'KELURAHAN (DI ISI)'!AL68+'KELURAHAN (DI ISI)'!AL73</f>
        <v>0</v>
      </c>
      <c r="AU29" s="491">
        <f>'KELURAHAN (DI ISI)'!AM65+'KELURAHAN (DI ISI)'!AM66+'KELURAHAN (DI ISI)'!AM68+'KELURAHAN (DI ISI)'!AM73</f>
        <v>27</v>
      </c>
      <c r="AV29" s="491">
        <f>'KELURAHAN (DI ISI)'!AN65+'KELURAHAN (DI ISI)'!AN66+'KELURAHAN (DI ISI)'!AN68+'KELURAHAN (DI ISI)'!AN73</f>
        <v>51</v>
      </c>
      <c r="AW29" s="491">
        <f t="shared" si="9"/>
        <v>23</v>
      </c>
      <c r="AX29" s="491">
        <f t="shared" si="10"/>
        <v>28</v>
      </c>
      <c r="AY29" s="491">
        <f>'KELURAHAN (DI ISI)'!AO65+'KELURAHAN (DI ISI)'!AO66+'KELURAHAN (DI ISI)'!AO68+'KELURAHAN (DI ISI)'!AO73</f>
        <v>3</v>
      </c>
      <c r="AZ29" s="491">
        <f>'KELURAHAN (DI ISI)'!AP65+'KELURAHAN (DI ISI)'!AP66+'KELURAHAN (DI ISI)'!AP68+'KELURAHAN (DI ISI)'!AP73</f>
        <v>5</v>
      </c>
      <c r="BA29" s="491">
        <f>'KELURAHAN (DI ISI)'!AQ65+'KELURAHAN (DI ISI)'!AQ66+'KELURAHAN (DI ISI)'!AQ68+'KELURAHAN (DI ISI)'!AQ73</f>
        <v>15</v>
      </c>
      <c r="BB29" s="491">
        <f>'KELURAHAN (DI ISI)'!AR65+'KELURAHAN (DI ISI)'!AR66+'KELURAHAN (DI ISI)'!AR68+'KELURAHAN (DI ISI)'!AR73</f>
        <v>28</v>
      </c>
      <c r="BC29" s="491">
        <f>'KELURAHAN (DI ISI)'!AS65+'KELURAHAN (DI ISI)'!AS66+'KELURAHAN (DI ISI)'!AS68+'KELURAHAN (DI ISI)'!AS73</f>
        <v>0</v>
      </c>
      <c r="BD29" s="491">
        <f>'KELURAHAN (DI ISI)'!AT65+'KELURAHAN (DI ISI)'!AT66+'KELURAHAN (DI ISI)'!AT68+'KELURAHAN (DI ISI)'!AT73</f>
        <v>11</v>
      </c>
      <c r="BE29" s="491">
        <f>'KELURAHAN (DI ISI)'!AU65+'KELURAHAN (DI ISI)'!AU66+'KELURAHAN (DI ISI)'!AU68+'KELURAHAN (DI ISI)'!AU73</f>
        <v>40</v>
      </c>
      <c r="BF29" s="491">
        <f>'KELURAHAN (DI ISI)'!AV65+'KELURAHAN (DI ISI)'!AV66+'KELURAHAN (DI ISI)'!AV68+'KELURAHAN (DI ISI)'!AV73</f>
        <v>4754</v>
      </c>
      <c r="BG29" s="491">
        <f>'KELURAHAN (DI ISI)'!AW65+'KELURAHAN (DI ISI)'!AW66+'KELURAHAN (DI ISI)'!AW68+'KELURAHAN (DI ISI)'!AW73</f>
        <v>51</v>
      </c>
      <c r="BH29" s="491">
        <f t="shared" si="11"/>
        <v>17</v>
      </c>
      <c r="BI29" s="495">
        <f t="shared" si="12"/>
        <v>31</v>
      </c>
      <c r="BJ29" s="491">
        <f>'KELURAHAN (DI ISI)'!AX65+'KELURAHAN (DI ISI)'!AX66+'KELURAHAN (DI ISI)'!AX68+'KELURAHAN (DI ISI)'!AX73</f>
        <v>0</v>
      </c>
      <c r="BK29" s="491">
        <f>'KELURAHAN (DI ISI)'!AY65+'KELURAHAN (DI ISI)'!AY66+'KELURAHAN (DI ISI)'!AY68+'KELURAHAN (DI ISI)'!AY73</f>
        <v>2</v>
      </c>
      <c r="BL29" s="491">
        <f>'KELURAHAN (DI ISI)'!AZ65+'KELURAHAN (DI ISI)'!AZ66+'KELURAHAN (DI ISI)'!AZ68+'KELURAHAN (DI ISI)'!AZ73</f>
        <v>15</v>
      </c>
      <c r="BM29" s="491">
        <f>'KELURAHAN (DI ISI)'!BA65+'KELURAHAN (DI ISI)'!BA66+'KELURAHAN (DI ISI)'!BA68+'KELURAHAN (DI ISI)'!BA73</f>
        <v>31</v>
      </c>
      <c r="BN29" s="491">
        <f>'KELURAHAN (DI ISI)'!BB65+'KELURAHAN (DI ISI)'!BB66+'KELURAHAN (DI ISI)'!BB68+'KELURAHAN (DI ISI)'!BB73</f>
        <v>0</v>
      </c>
      <c r="BO29" s="491">
        <f>'KELURAHAN (DI ISI)'!BC65+'KELURAHAN (DI ISI)'!BC66+'KELURAHAN (DI ISI)'!BC68+'KELURAHAN (DI ISI)'!BC73</f>
        <v>0</v>
      </c>
      <c r="BP29" s="491">
        <f>'KELURAHAN (DI ISI)'!BD65+'KELURAHAN (DI ISI)'!BD66+'KELURAHAN (DI ISI)'!BD68+'KELURAHAN (DI ISI)'!BD73</f>
        <v>0</v>
      </c>
      <c r="BQ29" s="491">
        <f>'KELURAHAN (DI ISI)'!BE65+'KELURAHAN (DI ISI)'!BE66+'KELURAHAN (DI ISI)'!BE68+'KELURAHAN (DI ISI)'!BE73</f>
        <v>3</v>
      </c>
      <c r="BR29" s="491">
        <f>'KELURAHAN (DI ISI)'!BF65+'KELURAHAN (DI ISI)'!BF66+'KELURAHAN (DI ISI)'!BF68+'KELURAHAN (DI ISI)'!BF73</f>
        <v>0</v>
      </c>
      <c r="BS29" s="491">
        <f>'KELURAHAN (DI ISI)'!BG65+'KELURAHAN (DI ISI)'!BG66+'KELURAHAN (DI ISI)'!BG68+'KELURAHAN (DI ISI)'!BG73</f>
        <v>0</v>
      </c>
      <c r="BT29" s="491">
        <f>'KELURAHAN (DI ISI)'!BH65+'KELURAHAN (DI ISI)'!BH66+'KELURAHAN (DI ISI)'!BH68+'KELURAHAN (DI ISI)'!BH73</f>
        <v>1</v>
      </c>
      <c r="BU29" s="491">
        <f>'KELURAHAN (DI ISI)'!BI65+'KELURAHAN (DI ISI)'!BI66+'KELURAHAN (DI ISI)'!BI68+'KELURAHAN (DI ISI)'!BI73</f>
        <v>0</v>
      </c>
      <c r="BV29" s="491">
        <f>'KELURAHAN (DI ISI)'!BJ65+'KELURAHAN (DI ISI)'!BJ66+'KELURAHAN (DI ISI)'!BJ68+'KELURAHAN (DI ISI)'!BJ73</f>
        <v>0</v>
      </c>
      <c r="BW29" s="491">
        <f>'KELURAHAN (DI ISI)'!BK65+'KELURAHAN (DI ISI)'!BK66+'KELURAHAN (DI ISI)'!BK68+'KELURAHAN (DI ISI)'!BK73</f>
        <v>0</v>
      </c>
      <c r="BX29" s="491">
        <f>'KELURAHAN (DI ISI)'!BL65+'KELURAHAN (DI ISI)'!BL66+'KELURAHAN (DI ISI)'!BL68+'KELURAHAN (DI ISI)'!BL73</f>
        <v>0</v>
      </c>
      <c r="BY29" s="491">
        <f>'KELURAHAN (DI ISI)'!BM65+'KELURAHAN (DI ISI)'!BM66+'KELURAHAN (DI ISI)'!BM68+'KELURAHAN (DI ISI)'!BM73</f>
        <v>0</v>
      </c>
      <c r="BZ29" s="491">
        <f>'KELURAHAN (DI ISI)'!BN65+'KELURAHAN (DI ISI)'!BN66+'KELURAHAN (DI ISI)'!BN68+'KELURAHAN (DI ISI)'!BN73</f>
        <v>3</v>
      </c>
      <c r="CA29" s="491">
        <f>'KELURAHAN (DI ISI)'!BO65+'KELURAHAN (DI ISI)'!BO66+'KELURAHAN (DI ISI)'!BO68+'KELURAHAN (DI ISI)'!BO73</f>
        <v>0</v>
      </c>
      <c r="CB29" s="491">
        <f>'KELURAHAN (DI ISI)'!BP65+'KELURAHAN (DI ISI)'!BP66+'KELURAHAN (DI ISI)'!BP68+'KELURAHAN (DI ISI)'!BP73</f>
        <v>4</v>
      </c>
      <c r="CC29" s="491">
        <f>'KELURAHAN (DI ISI)'!BQ65+'KELURAHAN (DI ISI)'!BQ66+'KELURAHAN (DI ISI)'!BQ68+'KELURAHAN (DI ISI)'!BQ73</f>
        <v>4614</v>
      </c>
      <c r="CD29" s="491">
        <f>'KELURAHAN (DI ISI)'!BR65+'KELURAHAN (DI ISI)'!BR66+'KELURAHAN (DI ISI)'!BR68+'KELURAHAN (DI ISI)'!BR73</f>
        <v>38</v>
      </c>
      <c r="CE29" s="491">
        <f t="shared" si="13"/>
        <v>14</v>
      </c>
      <c r="CF29" s="491">
        <f t="shared" si="14"/>
        <v>22</v>
      </c>
      <c r="CG29" s="491">
        <f>'KELURAHAN (DI ISI)'!BS65+'KELURAHAN (DI ISI)'!BS66+'KELURAHAN (DI ISI)'!BS68+'KELURAHAN (DI ISI)'!BS73</f>
        <v>0</v>
      </c>
      <c r="CH29" s="491">
        <f>'KELURAHAN (DI ISI)'!BT65+'KELURAHAN (DI ISI)'!BT66+'KELURAHAN (DI ISI)'!BT68+'KELURAHAN (DI ISI)'!BT73</f>
        <v>0</v>
      </c>
      <c r="CI29" s="491">
        <f>'KELURAHAN (DI ISI)'!BU65+'KELURAHAN (DI ISI)'!BU66+'KELURAHAN (DI ISI)'!BU68+'KELURAHAN (DI ISI)'!BU73</f>
        <v>14</v>
      </c>
      <c r="CJ29" s="491">
        <f>'KELURAHAN (DI ISI)'!BV65+'KELURAHAN (DI ISI)'!BV66+'KELURAHAN (DI ISI)'!BV68+'KELURAHAN (DI ISI)'!BV73</f>
        <v>22</v>
      </c>
      <c r="CK29" s="491">
        <f>'KELURAHAN (DI ISI)'!BW65+'KELURAHAN (DI ISI)'!BW66+'KELURAHAN (DI ISI)'!BW68+'KELURAHAN (DI ISI)'!BW73</f>
        <v>0</v>
      </c>
      <c r="CL29" s="491">
        <f>'KELURAHAN (DI ISI)'!BX65+'KELURAHAN (DI ISI)'!BX66+'KELURAHAN (DI ISI)'!BX68+'KELURAHAN (DI ISI)'!BX73</f>
        <v>0</v>
      </c>
      <c r="CM29" s="491">
        <f>'KELURAHAN (DI ISI)'!BY65+'KELURAHAN (DI ISI)'!BY66+'KELURAHAN (DI ISI)'!BY68+'KELURAHAN (DI ISI)'!BY73</f>
        <v>0</v>
      </c>
      <c r="CN29" s="491">
        <f>'KELURAHAN (DI ISI)'!BZ65+'KELURAHAN (DI ISI)'!BZ66+'KELURAHAN (DI ISI)'!BZ68+'KELURAHAN (DI ISI)'!BZ73</f>
        <v>2</v>
      </c>
      <c r="CO29" s="491">
        <f>'KELURAHAN (DI ISI)'!CA65+'KELURAHAN (DI ISI)'!CA66+'KELURAHAN (DI ISI)'!CA68+'KELURAHAN (DI ISI)'!CA73</f>
        <v>0</v>
      </c>
      <c r="CP29" s="491">
        <f>'KELURAHAN (DI ISI)'!CB65+'KELURAHAN (DI ISI)'!CB66+'KELURAHAN (DI ISI)'!CB68+'KELURAHAN (DI ISI)'!CB73</f>
        <v>0</v>
      </c>
      <c r="CQ29" s="491">
        <f>'KELURAHAN (DI ISI)'!CC65+'KELURAHAN (DI ISI)'!CC66+'KELURAHAN (DI ISI)'!CC68+'KELURAHAN (DI ISI)'!CC73</f>
        <v>0</v>
      </c>
      <c r="CR29" s="491">
        <f>'KELURAHAN (DI ISI)'!CD65+'KELURAHAN (DI ISI)'!CD66+'KELURAHAN (DI ISI)'!CD68+'KELURAHAN (DI ISI)'!CD73</f>
        <v>0</v>
      </c>
      <c r="CS29" s="491">
        <f>'KELURAHAN (DI ISI)'!CE65+'KELURAHAN (DI ISI)'!CE66+'KELURAHAN (DI ISI)'!CE68+'KELURAHAN (DI ISI)'!CE73</f>
        <v>0</v>
      </c>
      <c r="CT29" s="491">
        <f>'KELURAHAN (DI ISI)'!CF65+'KELURAHAN (DI ISI)'!CF66+'KELURAHAN (DI ISI)'!CF68+'KELURAHAN (DI ISI)'!CF73</f>
        <v>0</v>
      </c>
      <c r="CU29" s="491">
        <f>'KELURAHAN (DI ISI)'!CG65+'KELURAHAN (DI ISI)'!CG66+'KELURAHAN (DI ISI)'!CG68+'KELURAHAN (DI ISI)'!CG73</f>
        <v>1</v>
      </c>
      <c r="CV29" s="491">
        <f>'KELURAHAN (DI ISI)'!CH65+'KELURAHAN (DI ISI)'!CH66+'KELURAHAN (DI ISI)'!CH68+'KELURAHAN (DI ISI)'!CH73</f>
        <v>0</v>
      </c>
      <c r="CW29" s="491">
        <f>'KELURAHAN (DI ISI)'!CI65+'KELURAHAN (DI ISI)'!CI66+'KELURAHAN (DI ISI)'!CI68+'KELURAHAN (DI ISI)'!CI73</f>
        <v>14</v>
      </c>
      <c r="CX29" s="491">
        <f>'KELURAHAN (DI ISI)'!CJ65+'KELURAHAN (DI ISI)'!CJ66+'KELURAHAN (DI ISI)'!CJ68+'KELURAHAN (DI ISI)'!CJ73</f>
        <v>0</v>
      </c>
      <c r="CY29" s="491">
        <f>'KELURAHAN (DI ISI)'!CK65+'KELURAHAN (DI ISI)'!CK66+'KELURAHAN (DI ISI)'!CK68+'KELURAHAN (DI ISI)'!CK73</f>
        <v>15</v>
      </c>
      <c r="CZ29" s="491">
        <f>'KELURAHAN (DI ISI)'!CL65+'KELURAHAN (DI ISI)'!CL66+'KELURAHAN (DI ISI)'!CL68+'KELURAHAN (DI ISI)'!CL73</f>
        <v>4630</v>
      </c>
      <c r="DA29" s="491">
        <f>'KELURAHAN (DI ISI)'!CM65+'KELURAHAN (DI ISI)'!CM66+'KELURAHAN (DI ISI)'!CM68+'KELURAHAN (DI ISI)'!CM73</f>
        <v>1003</v>
      </c>
      <c r="DB29" s="491">
        <f>'KELURAHAN (DI ISI)'!CN65+'KELURAHAN (DI ISI)'!CN66+'KELURAHAN (DI ISI)'!CN68+'KELURAHAN (DI ISI)'!CN73</f>
        <v>41</v>
      </c>
      <c r="DC29" s="491">
        <f t="shared" si="15"/>
        <v>11</v>
      </c>
      <c r="DD29" s="491">
        <f t="shared" si="16"/>
        <v>24</v>
      </c>
      <c r="DE29" s="491">
        <f>'KELURAHAN (DI ISI)'!CO65+'KELURAHAN (DI ISI)'!CO66+'KELURAHAN (DI ISI)'!CO68+'KELURAHAN (DI ISI)'!CO73</f>
        <v>0</v>
      </c>
      <c r="DF29" s="491">
        <f>'KELURAHAN (DI ISI)'!CP65+'KELURAHAN (DI ISI)'!CP66+'KELURAHAN (DI ISI)'!CP68+'KELURAHAN (DI ISI)'!CP73</f>
        <v>0</v>
      </c>
      <c r="DG29" s="491">
        <f>'KELURAHAN (DI ISI)'!CQ65+'KELURAHAN (DI ISI)'!CQ66+'KELURAHAN (DI ISI)'!CQ68+'KELURAHAN (DI ISI)'!CQ73</f>
        <v>11</v>
      </c>
      <c r="DH29" s="491">
        <f>'KELURAHAN (DI ISI)'!CR65+'KELURAHAN (DI ISI)'!CR66+'KELURAHAN (DI ISI)'!CR68+'KELURAHAN (DI ISI)'!CR73</f>
        <v>24</v>
      </c>
      <c r="DI29" s="491">
        <f>'KELURAHAN (DI ISI)'!CS65+'KELURAHAN (DI ISI)'!CS66+'KELURAHAN (DI ISI)'!CS68+'KELURAHAN (DI ISI)'!CS73</f>
        <v>0</v>
      </c>
      <c r="DJ29" s="491">
        <f>'KELURAHAN (DI ISI)'!CT65+'KELURAHAN (DI ISI)'!CT66+'KELURAHAN (DI ISI)'!CT68+'KELURAHAN (DI ISI)'!CT73</f>
        <v>0</v>
      </c>
      <c r="DK29" s="491">
        <f>'KELURAHAN (DI ISI)'!CU65+'KELURAHAN (DI ISI)'!CU66+'KELURAHAN (DI ISI)'!CU68+'KELURAHAN (DI ISI)'!CU73</f>
        <v>3</v>
      </c>
      <c r="DL29" s="491">
        <f>'KELURAHAN (DI ISI)'!CV65+'KELURAHAN (DI ISI)'!CV66+'KELURAHAN (DI ISI)'!CV68+'KELURAHAN (DI ISI)'!CV73</f>
        <v>3</v>
      </c>
      <c r="DM29" s="491">
        <f>'KELURAHAN (DI ISI)'!CW65+'KELURAHAN (DI ISI)'!CW66+'KELURAHAN (DI ISI)'!CW68+'KELURAHAN (DI ISI)'!CW73</f>
        <v>0</v>
      </c>
      <c r="DN29" s="491">
        <f>'KELURAHAN (DI ISI)'!CX65+'KELURAHAN (DI ISI)'!CX66+'KELURAHAN (DI ISI)'!CX68+'KELURAHAN (DI ISI)'!CX73</f>
        <v>0</v>
      </c>
      <c r="DO29" s="491">
        <f>'KELURAHAN (DI ISI)'!CY65+'KELURAHAN (DI ISI)'!CY66+'KELURAHAN (DI ISI)'!CY68+'KELURAHAN (DI ISI)'!CY73</f>
        <v>0</v>
      </c>
      <c r="DP29" s="491">
        <f>'KELURAHAN (DI ISI)'!CZ65+'KELURAHAN (DI ISI)'!CZ66+'KELURAHAN (DI ISI)'!CZ68+'KELURAHAN (DI ISI)'!CZ73</f>
        <v>0</v>
      </c>
      <c r="DQ29" s="491">
        <f>'KELURAHAN (DI ISI)'!DA65+'KELURAHAN (DI ISI)'!DA66+'KELURAHAN (DI ISI)'!DA68+'KELURAHAN (DI ISI)'!DA73</f>
        <v>0</v>
      </c>
      <c r="DR29" s="491">
        <f>'KELURAHAN (DI ISI)'!DB65+'KELURAHAN (DI ISI)'!DB66+'KELURAHAN (DI ISI)'!DB68+'KELURAHAN (DI ISI)'!DB73</f>
        <v>0</v>
      </c>
      <c r="DS29" s="491">
        <f>'KELURAHAN (DI ISI)'!DC65+'KELURAHAN (DI ISI)'!DC66+'KELURAHAN (DI ISI)'!DC68+'KELURAHAN (DI ISI)'!DC73</f>
        <v>0</v>
      </c>
      <c r="DT29" s="491">
        <f>'KELURAHAN (DI ISI)'!DD65+'KELURAHAN (DI ISI)'!DD66+'KELURAHAN (DI ISI)'!DD68+'KELURAHAN (DI ISI)'!DD73</f>
        <v>2</v>
      </c>
      <c r="DU29" s="491">
        <f>'KELURAHAN (DI ISI)'!DE65+'KELURAHAN (DI ISI)'!DE66+'KELURAHAN (DI ISI)'!DE68+'KELURAHAN (DI ISI)'!DE73</f>
        <v>1</v>
      </c>
      <c r="DV29" s="491">
        <f>'KELURAHAN (DI ISI)'!DF65+'KELURAHAN (DI ISI)'!DF66+'KELURAHAN (DI ISI)'!DF68+'KELURAHAN (DI ISI)'!DF73</f>
        <v>0</v>
      </c>
      <c r="DW29" s="491">
        <f>'KELURAHAN (DI ISI)'!DG65+'KELURAHAN (DI ISI)'!DG66+'KELURAHAN (DI ISI)'!DG68+'KELURAHAN (DI ISI)'!DG73</f>
        <v>3</v>
      </c>
      <c r="DX29" s="491">
        <f>'KELURAHAN (DI ISI)'!DH65+'KELURAHAN (DI ISI)'!DH66+'KELURAHAN (DI ISI)'!DH68+'KELURAHAN (DI ISI)'!DH73</f>
        <v>4630</v>
      </c>
      <c r="DY29" s="491">
        <f>'KELURAHAN (DI ISI)'!DI65+'KELURAHAN (DI ISI)'!DI66+'KELURAHAN (DI ISI)'!DI68+'KELURAHAN (DI ISI)'!DI73</f>
        <v>993</v>
      </c>
      <c r="DZ29" s="491">
        <f>'KELURAHAN (DI ISI)'!DJ65+'KELURAHAN (DI ISI)'!DJ66+'KELURAHAN (DI ISI)'!DJ68+'KELURAHAN (DI ISI)'!DJ73</f>
        <v>4222</v>
      </c>
      <c r="EA29" s="491">
        <f>'KELURAHAN (DI ISI)'!DK65+'KELURAHAN (DI ISI)'!DK66+'KELURAHAN (DI ISI)'!DK68+'KELURAHAN (DI ISI)'!DK73</f>
        <v>938</v>
      </c>
      <c r="EB29" s="491">
        <f>'KELURAHAN (DI ISI)'!DL65+'KELURAHAN (DI ISI)'!DL66+'KELURAHAN (DI ISI)'!DL68+'KELURAHAN (DI ISI)'!DL73</f>
        <v>41</v>
      </c>
      <c r="EC29" s="491">
        <f>'KELURAHAN (DI ISI)'!DM65+'KELURAHAN (DI ISI)'!DM66+'KELURAHAN (DI ISI)'!DM68+'KELURAHAN (DI ISI)'!DM73</f>
        <v>14</v>
      </c>
      <c r="ED29" s="491">
        <f t="shared" si="17"/>
        <v>27</v>
      </c>
      <c r="EE29" s="491">
        <f>'KELURAHAN (DI ISI)'!DO65+'KELURAHAN (DI ISI)'!DO66+'KELURAHAN (DI ISI)'!DO68+'KELURAHAN (DI ISI)'!DO73</f>
        <v>0</v>
      </c>
      <c r="EF29" s="491">
        <f>'KELURAHAN (DI ISI)'!DP65+'KELURAHAN (DI ISI)'!DP66+'KELURAHAN (DI ISI)'!DP68+'KELURAHAN (DI ISI)'!DP73</f>
        <v>0</v>
      </c>
      <c r="EG29" s="491">
        <f>'KELURAHAN (DI ISI)'!DQ65+'KELURAHAN (DI ISI)'!DQ66+'KELURAHAN (DI ISI)'!DQ68+'KELURAHAN (DI ISI)'!DQ73</f>
        <v>14</v>
      </c>
      <c r="EH29" s="491">
        <f>'KELURAHAN (DI ISI)'!DR65+'KELURAHAN (DI ISI)'!DR66+'KELURAHAN (DI ISI)'!DR68+'KELURAHAN (DI ISI)'!DR73</f>
        <v>27</v>
      </c>
      <c r="EI29" s="491">
        <f>'KELURAHAN (DI ISI)'!DS65+'KELURAHAN (DI ISI)'!DS66+'KELURAHAN (DI ISI)'!DS68+'KELURAHAN (DI ISI)'!DS73</f>
        <v>0</v>
      </c>
      <c r="EJ29" s="491">
        <f>'KELURAHAN (DI ISI)'!DT65+'KELURAHAN (DI ISI)'!DT66+'KELURAHAN (DI ISI)'!DT68+'KELURAHAN (DI ISI)'!DT73</f>
        <v>0</v>
      </c>
      <c r="EK29" s="491">
        <f>'KELURAHAN (DI ISI)'!DU65+'KELURAHAN (DI ISI)'!DU66+'KELURAHAN (DI ISI)'!DU68+'KELURAHAN (DI ISI)'!DU73</f>
        <v>0</v>
      </c>
      <c r="EL29" s="491">
        <f>'KELURAHAN (DI ISI)'!DV65+'KELURAHAN (DI ISI)'!DV66+'KELURAHAN (DI ISI)'!DV68+'KELURAHAN (DI ISI)'!DV73</f>
        <v>0</v>
      </c>
      <c r="EM29" s="491">
        <f>'KELURAHAN (DI ISI)'!DW65+'KELURAHAN (DI ISI)'!DW66+'KELURAHAN (DI ISI)'!DW68+'KELURAHAN (DI ISI)'!DW73</f>
        <v>0</v>
      </c>
      <c r="EN29" s="491">
        <f>'KELURAHAN (DI ISI)'!DX65+'KELURAHAN (DI ISI)'!DX66+'KELURAHAN (DI ISI)'!DX68+'KELURAHAN (DI ISI)'!DX73</f>
        <v>0</v>
      </c>
      <c r="EO29" s="491">
        <f>'KELURAHAN (DI ISI)'!DY65+'KELURAHAN (DI ISI)'!DY66+'KELURAHAN (DI ISI)'!DY68+'KELURAHAN (DI ISI)'!DY73</f>
        <v>0</v>
      </c>
      <c r="EP29" s="491">
        <f>'KELURAHAN (DI ISI)'!DZ65+'KELURAHAN (DI ISI)'!DZ66+'KELURAHAN (DI ISI)'!DZ68+'KELURAHAN (DI ISI)'!DZ73</f>
        <v>0</v>
      </c>
      <c r="EQ29" s="491">
        <f>'KELURAHAN (DI ISI)'!EA65+'KELURAHAN (DI ISI)'!EA66+'KELURAHAN (DI ISI)'!EA68+'KELURAHAN (DI ISI)'!EA73</f>
        <v>0</v>
      </c>
      <c r="ER29" s="491">
        <f>'KELURAHAN (DI ISI)'!EB65+'KELURAHAN (DI ISI)'!EB66+'KELURAHAN (DI ISI)'!EB68+'KELURAHAN (DI ISI)'!EB73</f>
        <v>0</v>
      </c>
      <c r="ES29" s="491">
        <f>'KELURAHAN (DI ISI)'!EC65+'KELURAHAN (DI ISI)'!EC66+'KELURAHAN (DI ISI)'!EC68+'KELURAHAN (DI ISI)'!EC73</f>
        <v>0</v>
      </c>
      <c r="ET29" s="491">
        <f>'KELURAHAN (DI ISI)'!ED65+'KELURAHAN (DI ISI)'!ED66+'KELURAHAN (DI ISI)'!ED68+'KELURAHAN (DI ISI)'!ED73</f>
        <v>0</v>
      </c>
      <c r="EU29" s="491">
        <f>'KELURAHAN (DI ISI)'!EE65+'KELURAHAN (DI ISI)'!EE66+'KELURAHAN (DI ISI)'!EE68+'KELURAHAN (DI ISI)'!EE73</f>
        <v>0</v>
      </c>
      <c r="EV29" s="491">
        <f>'KELURAHAN (DI ISI)'!EF65+'KELURAHAN (DI ISI)'!EF66+'KELURAHAN (DI ISI)'!EF68+'KELURAHAN (DI ISI)'!EF73</f>
        <v>0</v>
      </c>
      <c r="EW29" s="491">
        <f>'KELURAHAN (DI ISI)'!EG65+'KELURAHAN (DI ISI)'!EG66+'KELURAHAN (DI ISI)'!EG68+'KELURAHAN (DI ISI)'!EG73</f>
        <v>0</v>
      </c>
      <c r="EX29" s="491">
        <f>'KELURAHAN (DI ISI)'!EH65+'KELURAHAN (DI ISI)'!EH66+'KELURAHAN (DI ISI)'!EH68+'KELURAHAN (DI ISI)'!EH73</f>
        <v>0</v>
      </c>
      <c r="EY29" s="491">
        <f>'KELURAHAN (DI ISI)'!EI65+'KELURAHAN (DI ISI)'!EI66+'KELURAHAN (DI ISI)'!EI68+'KELURAHAN (DI ISI)'!EI73</f>
        <v>4278</v>
      </c>
      <c r="EZ29" s="491">
        <f>'KELURAHAN (DI ISI)'!EJ65+'KELURAHAN (DI ISI)'!EJ66+'KELURAHAN (DI ISI)'!EJ68+'KELURAHAN (DI ISI)'!EJ73</f>
        <v>919</v>
      </c>
      <c r="FA29" s="491">
        <f>'KELURAHAN (DI ISI)'!EK65+'KELURAHAN (DI ISI)'!EK66+'KELURAHAN (DI ISI)'!EK68+'KELURAHAN (DI ISI)'!EK73</f>
        <v>4076</v>
      </c>
      <c r="FB29" s="491">
        <f>'KELURAHAN (DI ISI)'!EL65+'KELURAHAN (DI ISI)'!EL66+'KELURAHAN (DI ISI)'!EL68+'KELURAHAN (DI ISI)'!EL73</f>
        <v>855</v>
      </c>
      <c r="FC29" s="491">
        <f>'KELURAHAN (DI ISI)'!EM65+'KELURAHAN (DI ISI)'!EM66+'KELURAHAN (DI ISI)'!EM68+'KELURAHAN (DI ISI)'!EM73</f>
        <v>39</v>
      </c>
      <c r="FD29" s="491">
        <f>'KELURAHAN (DI ISI)'!EN65+'KELURAHAN (DI ISI)'!EN66+'KELURAHAN (DI ISI)'!EN68+'KELURAHAN (DI ISI)'!EN73</f>
        <v>12</v>
      </c>
      <c r="FE29" s="491">
        <f t="shared" si="18"/>
        <v>27</v>
      </c>
      <c r="FF29" s="491">
        <f>'KELURAHAN (DI ISI)'!EP65+'KELURAHAN (DI ISI)'!EP66+'KELURAHAN (DI ISI)'!EP68+'KELURAHAN (DI ISI)'!EP73</f>
        <v>0</v>
      </c>
      <c r="FG29" s="491">
        <f>'KELURAHAN (DI ISI)'!EQ65+'KELURAHAN (DI ISI)'!EQ66+'KELURAHAN (DI ISI)'!EQ68+'KELURAHAN (DI ISI)'!EQ73</f>
        <v>1</v>
      </c>
      <c r="FH29" s="491">
        <f>'KELURAHAN (DI ISI)'!ER65+'KELURAHAN (DI ISI)'!ER66+'KELURAHAN (DI ISI)'!ER68+'KELURAHAN (DI ISI)'!ER73</f>
        <v>10</v>
      </c>
      <c r="FI29" s="491">
        <f>'KELURAHAN (DI ISI)'!ES65+'KELURAHAN (DI ISI)'!ES66+'KELURAHAN (DI ISI)'!ES68+'KELURAHAN (DI ISI)'!ES73</f>
        <v>27</v>
      </c>
      <c r="FJ29" s="491">
        <f>'KELURAHAN (DI ISI)'!ET65+'KELURAHAN (DI ISI)'!ET66+'KELURAHAN (DI ISI)'!ET68+'KELURAHAN (DI ISI)'!ET73</f>
        <v>0</v>
      </c>
      <c r="FK29" s="491">
        <f>'KELURAHAN (DI ISI)'!EU65+'KELURAHAN (DI ISI)'!EU66+'KELURAHAN (DI ISI)'!EU68+'KELURAHAN (DI ISI)'!EU73</f>
        <v>0</v>
      </c>
      <c r="FL29" s="491">
        <f>'KELURAHAN (DI ISI)'!EV65+'KELURAHAN (DI ISI)'!EV66+'KELURAHAN (DI ISI)'!EV68+'KELURAHAN (DI ISI)'!EV73</f>
        <v>1</v>
      </c>
      <c r="FM29" s="491">
        <f>'KELURAHAN (DI ISI)'!EW65+'KELURAHAN (DI ISI)'!EW66+'KELURAHAN (DI ISI)'!EW68+'KELURAHAN (DI ISI)'!EW73</f>
        <v>0</v>
      </c>
      <c r="FN29" s="491">
        <f>'KELURAHAN (DI ISI)'!EX65+'KELURAHAN (DI ISI)'!EX66+'KELURAHAN (DI ISI)'!EX68+'KELURAHAN (DI ISI)'!EX73</f>
        <v>0</v>
      </c>
      <c r="FO29" s="491">
        <f>'KELURAHAN (DI ISI)'!EY65+'KELURAHAN (DI ISI)'!EY66+'KELURAHAN (DI ISI)'!EY68+'KELURAHAN (DI ISI)'!EY73</f>
        <v>0</v>
      </c>
      <c r="FP29" s="491">
        <f>'KELURAHAN (DI ISI)'!EZ65+'KELURAHAN (DI ISI)'!EZ66+'KELURAHAN (DI ISI)'!EZ68+'KELURAHAN (DI ISI)'!EZ73</f>
        <v>1</v>
      </c>
      <c r="FQ29" s="491">
        <f>'KELURAHAN (DI ISI)'!FA65+'KELURAHAN (DI ISI)'!FA66+'KELURAHAN (DI ISI)'!FA68+'KELURAHAN (DI ISI)'!FA73</f>
        <v>2</v>
      </c>
      <c r="FR29" s="491">
        <f>'KELURAHAN (DI ISI)'!FB65+'KELURAHAN (DI ISI)'!FB66+'KELURAHAN (DI ISI)'!FB68+'KELURAHAN (DI ISI)'!FB73</f>
        <v>0</v>
      </c>
      <c r="FS29" s="491">
        <f>'KELURAHAN (DI ISI)'!FC65+'KELURAHAN (DI ISI)'!FC66+'KELURAHAN (DI ISI)'!FC68+'KELURAHAN (DI ISI)'!FC73</f>
        <v>0</v>
      </c>
      <c r="FT29" s="491">
        <f>'KELURAHAN (DI ISI)'!FD65+'KELURAHAN (DI ISI)'!FD66+'KELURAHAN (DI ISI)'!FD68+'KELURAHAN (DI ISI)'!FD73</f>
        <v>0</v>
      </c>
      <c r="FU29" s="491">
        <f>'KELURAHAN (DI ISI)'!FE65+'KELURAHAN (DI ISI)'!FE66+'KELURAHAN (DI ISI)'!FE68+'KELURAHAN (DI ISI)'!FE73</f>
        <v>0</v>
      </c>
      <c r="FV29" s="491">
        <f>'KELURAHAN (DI ISI)'!FF65+'KELURAHAN (DI ISI)'!FF66+'KELURAHAN (DI ISI)'!FF68+'KELURAHAN (DI ISI)'!FF73</f>
        <v>0</v>
      </c>
      <c r="FW29" s="491">
        <f>'KELURAHAN (DI ISI)'!FG65+'KELURAHAN (DI ISI)'!FG66+'KELURAHAN (DI ISI)'!FG68+'KELURAHAN (DI ISI)'!FG73</f>
        <v>0</v>
      </c>
      <c r="FX29" s="491">
        <f>'KELURAHAN (DI ISI)'!FH65+'KELURAHAN (DI ISI)'!FH66+'KELURAHAN (DI ISI)'!FH68+'KELURAHAN (DI ISI)'!FH73</f>
        <v>3</v>
      </c>
      <c r="FY29" s="491">
        <f>'KELURAHAN (DI ISI)'!FI65+'KELURAHAN (DI ISI)'!FI66+'KELURAHAN (DI ISI)'!FI68+'KELURAHAN (DI ISI)'!FI73</f>
        <v>1</v>
      </c>
      <c r="FZ29" s="491">
        <f>'KELURAHAN (DI ISI)'!FJ65+'KELURAHAN (DI ISI)'!FJ66+'KELURAHAN (DI ISI)'!FJ68+'KELURAHAN (DI ISI)'!FJ73</f>
        <v>4275</v>
      </c>
      <c r="GA29" s="491">
        <f>'KELURAHAN (DI ISI)'!FK65+'KELURAHAN (DI ISI)'!FK66+'KELURAHAN (DI ISI)'!FK68+'KELURAHAN (DI ISI)'!FK73</f>
        <v>909</v>
      </c>
      <c r="GB29" s="491">
        <f>'KELURAHAN (DI ISI)'!FL65+'KELURAHAN (DI ISI)'!FL66+'KELURAHAN (DI ISI)'!FL68+'KELURAHAN (DI ISI)'!FL73</f>
        <v>4166</v>
      </c>
      <c r="GC29" s="491">
        <f>'KELURAHAN (DI ISI)'!FM65+'KELURAHAN (DI ISI)'!FM66+'KELURAHAN (DI ISI)'!FM68+'KELURAHAN (DI ISI)'!FM73</f>
        <v>889</v>
      </c>
      <c r="GD29" s="570">
        <v>4166.0</v>
      </c>
      <c r="GE29" s="571">
        <f>'KELURAHAN (DI ISI)'!FO65+'KELURAHAN (DI ISI)'!FO66+'KELURAHAN (DI ISI)'!FO68+'KELURAHAN (DI ISI)'!FO73</f>
        <v>37</v>
      </c>
      <c r="GF29" s="571">
        <f>'KELURAHAN (DI ISI)'!FP65+'KELURAHAN (DI ISI)'!FP66+'KELURAHAN (DI ISI)'!FP68+'KELURAHAN (DI ISI)'!FP73</f>
        <v>37</v>
      </c>
      <c r="GG29" s="571">
        <f>'KELURAHAN (DI ISI)'!FP65+'KELURAHAN (DI ISI)'!FP66+'KELURAHAN (DI ISI)'!FP68+'KELURAHAN (DI ISI)'!FP73</f>
        <v>37</v>
      </c>
      <c r="GH29" s="571">
        <f>'KELURAHAN (DI ISI)'!FQ65+'KELURAHAN (DI ISI)'!FQ66+'KELURAHAN (DI ISI)'!FQ68+'KELURAHAN (DI ISI)'!FQ73</f>
        <v>11</v>
      </c>
      <c r="GI29" s="571">
        <f t="shared" si="19"/>
        <v>26</v>
      </c>
      <c r="GJ29" s="491">
        <f>'KELURAHAN (DI ISI)'!FS65+'KELURAHAN (DI ISI)'!FS66+'KELURAHAN (DI ISI)'!FS68+'KELURAHAN (DI ISI)'!FS73</f>
        <v>0</v>
      </c>
      <c r="GK29" s="491">
        <f>'KELURAHAN (DI ISI)'!FT65+'KELURAHAN (DI ISI)'!FT66+'KELURAHAN (DI ISI)'!FT68+'KELURAHAN (DI ISI)'!FT73</f>
        <v>0</v>
      </c>
      <c r="GL29" s="491">
        <f>'KELURAHAN (DI ISI)'!FU65+'KELURAHAN (DI ISI)'!FU66+'KELURAHAN (DI ISI)'!FU68+'KELURAHAN (DI ISI)'!FU73</f>
        <v>10</v>
      </c>
      <c r="GM29" s="491">
        <f>'KELURAHAN (DI ISI)'!FV65+'KELURAHAN (DI ISI)'!FV66+'KELURAHAN (DI ISI)'!FV68+'KELURAHAN (DI ISI)'!FV73</f>
        <v>26</v>
      </c>
      <c r="GN29" s="491">
        <f>'KELURAHAN (DI ISI)'!FW65+'KELURAHAN (DI ISI)'!FW66+'KELURAHAN (DI ISI)'!FW68+'KELURAHAN (DI ISI)'!FW73</f>
        <v>0</v>
      </c>
      <c r="GO29" s="491">
        <f>'KELURAHAN (DI ISI)'!FX65+'KELURAHAN (DI ISI)'!FX66+'KELURAHAN (DI ISI)'!FX68+'KELURAHAN (DI ISI)'!FX73</f>
        <v>0</v>
      </c>
      <c r="GP29" s="491">
        <f>'KELURAHAN (DI ISI)'!FY65+'KELURAHAN (DI ISI)'!FY66+'KELURAHAN (DI ISI)'!FY68+'KELURAHAN (DI ISI)'!FY73</f>
        <v>1</v>
      </c>
      <c r="GQ29" s="491">
        <f>'KELURAHAN (DI ISI)'!FZ65+'KELURAHAN (DI ISI)'!FZ66+'KELURAHAN (DI ISI)'!FZ68+'KELURAHAN (DI ISI)'!FZ73</f>
        <v>0</v>
      </c>
      <c r="GR29" s="491">
        <f>'KELURAHAN (DI ISI)'!GA65+'KELURAHAN (DI ISI)'!GA66+'KELURAHAN (DI ISI)'!GA68+'KELURAHAN (DI ISI)'!GA73</f>
        <v>0</v>
      </c>
      <c r="GS29" s="491">
        <f>'KELURAHAN (DI ISI)'!GB65+'KELURAHAN (DI ISI)'!GB66+'KELURAHAN (DI ISI)'!GB68+'KELURAHAN (DI ISI)'!GB73</f>
        <v>0</v>
      </c>
      <c r="GT29" s="491">
        <f>'KELURAHAN (DI ISI)'!GC65+'KELURAHAN (DI ISI)'!GC66+'KELURAHAN (DI ISI)'!GC68+'KELURAHAN (DI ISI)'!GC73</f>
        <v>1</v>
      </c>
      <c r="GU29" s="491">
        <f>'KELURAHAN (DI ISI)'!GD65+'KELURAHAN (DI ISI)'!GD66+'KELURAHAN (DI ISI)'!GD68+'KELURAHAN (DI ISI)'!GD73</f>
        <v>2</v>
      </c>
      <c r="GV29" s="491">
        <f>'KELURAHAN (DI ISI)'!GE65+'KELURAHAN (DI ISI)'!GE66+'KELURAHAN (DI ISI)'!GE68+'KELURAHAN (DI ISI)'!GE73</f>
        <v>0</v>
      </c>
      <c r="GW29" s="491">
        <f>'KELURAHAN (DI ISI)'!GF65+'KELURAHAN (DI ISI)'!GF66+'KELURAHAN (DI ISI)'!GF68+'KELURAHAN (DI ISI)'!GF73</f>
        <v>0</v>
      </c>
      <c r="GX29" s="491">
        <f>'KELURAHAN (DI ISI)'!GG65+'KELURAHAN (DI ISI)'!GG66+'KELURAHAN (DI ISI)'!GG68+'KELURAHAN (DI ISI)'!GG73</f>
        <v>0</v>
      </c>
      <c r="GY29" s="491">
        <f>'KELURAHAN (DI ISI)'!GH65+'KELURAHAN (DI ISI)'!GH66+'KELURAHAN (DI ISI)'!GH68+'KELURAHAN (DI ISI)'!GH73</f>
        <v>0</v>
      </c>
      <c r="GZ29" s="491">
        <f>'KELURAHAN (DI ISI)'!GI65+'KELURAHAN (DI ISI)'!GI66+'KELURAHAN (DI ISI)'!GI68+'KELURAHAN (DI ISI)'!GI73</f>
        <v>0</v>
      </c>
      <c r="HA29" s="491">
        <f>'KELURAHAN (DI ISI)'!GJ65+'KELURAHAN (DI ISI)'!GJ66+'KELURAHAN (DI ISI)'!GJ68+'KELURAHAN (DI ISI)'!GJ73</f>
        <v>0</v>
      </c>
      <c r="HB29" s="572">
        <f>'KELURAHAN (DI ISI)'!GK65+'KELURAHAN (DI ISI)'!GK66+'KELURAHAN (DI ISI)'!GK68+'KELURAHAN (DI ISI)'!GK73</f>
        <v>3</v>
      </c>
      <c r="HC29" s="572">
        <f>'KELURAHAN (DI ISI)'!GL65+'KELURAHAN (DI ISI)'!GL66+'KELURAHAN (DI ISI)'!GL68+'KELURAHAN (DI ISI)'!GL73</f>
        <v>1</v>
      </c>
      <c r="HD29" s="491">
        <f>'KELURAHAN (DI ISI)'!GM65+'KELURAHAN (DI ISI)'!GM66+'KELURAHAN (DI ISI)'!GM68+'KELURAHAN (DI ISI)'!GM73</f>
        <v>4195</v>
      </c>
      <c r="HE29" s="491">
        <f>'KELURAHAN (DI ISI)'!GN65+'KELURAHAN (DI ISI)'!GN66+'KELURAHAN (DI ISI)'!GN68+'KELURAHAN (DI ISI)'!GN73</f>
        <v>767</v>
      </c>
      <c r="HF29" s="491">
        <f>'KELURAHAN (DI ISI)'!GO65+'KELURAHAN (DI ISI)'!GO66+'KELURAHAN (DI ISI)'!GO68+'KELURAHAN (DI ISI)'!GO73</f>
        <v>4022</v>
      </c>
      <c r="HG29" s="491">
        <f>'KELURAHAN (DI ISI)'!GP65+'KELURAHAN (DI ISI)'!GP66+'KELURAHAN (DI ISI)'!GP68+'KELURAHAN (DI ISI)'!GP73</f>
        <v>766</v>
      </c>
      <c r="HH29" s="570">
        <v>4166.0</v>
      </c>
      <c r="HI29" s="225">
        <f>'KELURAHAN (DI ISI)'!GR65+'KELURAHAN (DI ISI)'!GR66+'KELURAHAN (DI ISI)'!GR68+'KELURAHAN (DI ISI)'!GR73</f>
        <v>34</v>
      </c>
      <c r="HJ29" s="225">
        <f>'KELURAHAN (DI ISI)'!GS65+'KELURAHAN (DI ISI)'!GS66+'KELURAHAN (DI ISI)'!GS68+'KELURAHAN (DI ISI)'!GS73</f>
        <v>11</v>
      </c>
      <c r="HK29" s="573">
        <f>'KELURAHAN (DI ISI)'!GT65+'KELURAHAN (DI ISI)'!GT66+'KELURAHAN (DI ISI)'!GT68+'KELURAHAN (DI ISI)'!GT73</f>
        <v>34</v>
      </c>
      <c r="HL29" s="573">
        <f>'KELURAHAN (DI ISI)'!GU65+'KELURAHAN (DI ISI)'!GU66+'KELURAHAN (DI ISI)'!GU68+'KELURAHAN (DI ISI)'!GU73</f>
        <v>11</v>
      </c>
      <c r="HM29" s="573">
        <f t="shared" si="20"/>
        <v>23</v>
      </c>
      <c r="HN29" s="491">
        <f>'KELURAHAN (DI ISI)'!GW65+'KELURAHAN (DI ISI)'!GW66+'KELURAHAN (DI ISI)'!GW68+'KELURAHAN (DI ISI)'!GW73</f>
        <v>0</v>
      </c>
      <c r="HO29" s="491">
        <f>'KELURAHAN (DI ISI)'!GX65+'KELURAHAN (DI ISI)'!GX66+'KELURAHAN (DI ISI)'!GX68+'KELURAHAN (DI ISI)'!GX73</f>
        <v>1</v>
      </c>
      <c r="HP29" s="491">
        <f>'KELURAHAN (DI ISI)'!GY65+'KELURAHAN (DI ISI)'!GY66+'KELURAHAN (DI ISI)'!GY68+'KELURAHAN (DI ISI)'!GY73</f>
        <v>10</v>
      </c>
      <c r="HQ29" s="491">
        <f>'KELURAHAN (DI ISI)'!GZ65+'KELURAHAN (DI ISI)'!GZ66+'KELURAHAN (DI ISI)'!GZ68+'KELURAHAN (DI ISI)'!GZ73</f>
        <v>20</v>
      </c>
      <c r="HR29" s="491">
        <f>'KELURAHAN (DI ISI)'!HA65+'KELURAHAN (DI ISI)'!HA66+'KELURAHAN (DI ISI)'!HA68+'KELURAHAN (DI ISI)'!HA73</f>
        <v>0</v>
      </c>
      <c r="HS29" s="491">
        <f>'KELURAHAN (DI ISI)'!HB65+'KELURAHAN (DI ISI)'!HB66+'KELURAHAN (DI ISI)'!HB68+'KELURAHAN (DI ISI)'!HB73</f>
        <v>0</v>
      </c>
      <c r="HT29" s="491">
        <f>'KELURAHAN (DI ISI)'!HC65+'KELURAHAN (DI ISI)'!HC66+'KELURAHAN (DI ISI)'!HC68+'KELURAHAN (DI ISI)'!HC73</f>
        <v>0</v>
      </c>
      <c r="HU29" s="491">
        <f>'KELURAHAN (DI ISI)'!HD65+'KELURAHAN (DI ISI)'!HD66+'KELURAHAN (DI ISI)'!HD68+'KELURAHAN (DI ISI)'!HD73</f>
        <v>3</v>
      </c>
      <c r="HV29" s="491">
        <f>'KELURAHAN (DI ISI)'!HE65+'KELURAHAN (DI ISI)'!HE66+'KELURAHAN (DI ISI)'!HE68+'KELURAHAN (DI ISI)'!HE73</f>
        <v>0</v>
      </c>
      <c r="HW29" s="491">
        <f>'KELURAHAN (DI ISI)'!HF65+'KELURAHAN (DI ISI)'!HF66+'KELURAHAN (DI ISI)'!HF68+'KELURAHAN (DI ISI)'!HF73</f>
        <v>0</v>
      </c>
      <c r="HX29" s="491">
        <f>'KELURAHAN (DI ISI)'!HG65+'KELURAHAN (DI ISI)'!HG66+'KELURAHAN (DI ISI)'!HG68+'KELURAHAN (DI ISI)'!HG73</f>
        <v>0</v>
      </c>
      <c r="HY29" s="491">
        <f>'KELURAHAN (DI ISI)'!HH65+'KELURAHAN (DI ISI)'!HH66+'KELURAHAN (DI ISI)'!HH68+'KELURAHAN (DI ISI)'!HH73</f>
        <v>6</v>
      </c>
      <c r="HZ29" s="491">
        <f>'KELURAHAN (DI ISI)'!HI65+'KELURAHAN (DI ISI)'!HI66+'KELURAHAN (DI ISI)'!HI68+'KELURAHAN (DI ISI)'!HI73</f>
        <v>0</v>
      </c>
      <c r="IA29" s="491">
        <f>'KELURAHAN (DI ISI)'!HJ65+'KELURAHAN (DI ISI)'!HJ66+'KELURAHAN (DI ISI)'!HJ68+'KELURAHAN (DI ISI)'!HJ73</f>
        <v>0</v>
      </c>
      <c r="IB29" s="491">
        <f>'KELURAHAN (DI ISI)'!HK65+'KELURAHAN (DI ISI)'!HK66+'KELURAHAN (DI ISI)'!HK68+'KELURAHAN (DI ISI)'!HK73</f>
        <v>0</v>
      </c>
      <c r="IC29" s="491">
        <f>'KELURAHAN (DI ISI)'!HL65+'KELURAHAN (DI ISI)'!HL66+'KELURAHAN (DI ISI)'!HL68+'KELURAHAN (DI ISI)'!HL73</f>
        <v>0</v>
      </c>
      <c r="ID29" s="491">
        <f>'KELURAHAN (DI ISI)'!HM65+'KELURAHAN (DI ISI)'!HM66+'KELURAHAN (DI ISI)'!HM68+'KELURAHAN (DI ISI)'!HM73</f>
        <v>0</v>
      </c>
      <c r="IE29" s="491">
        <f>'KELURAHAN (DI ISI)'!HN65+'KELURAHAN (DI ISI)'!HN66+'KELURAHAN (DI ISI)'!HN68+'KELURAHAN (DI ISI)'!HN73</f>
        <v>0</v>
      </c>
      <c r="IF29" s="573">
        <f>'KELURAHAN (DI ISI)'!HO65+'KELURAHAN (DI ISI)'!HO66+'KELURAHAN (DI ISI)'!HO68+'KELURAHAN (DI ISI)'!HO73</f>
        <v>6</v>
      </c>
      <c r="IG29" s="573">
        <f>'KELURAHAN (DI ISI)'!HP65+'KELURAHAN (DI ISI)'!HP66+'KELURAHAN (DI ISI)'!HP68+'KELURAHAN (DI ISI)'!HP73</f>
        <v>0</v>
      </c>
      <c r="IK29" s="198">
        <f t="shared" si="21"/>
        <v>51</v>
      </c>
      <c r="IL29" s="198">
        <f t="shared" si="22"/>
        <v>69</v>
      </c>
      <c r="IM29" s="198">
        <f t="shared" si="23"/>
        <v>27</v>
      </c>
      <c r="IN29" s="198">
        <f t="shared" si="24"/>
        <v>62</v>
      </c>
      <c r="IO29" s="198">
        <f t="shared" si="25"/>
        <v>51</v>
      </c>
      <c r="IP29" s="198">
        <f t="shared" si="26"/>
        <v>51</v>
      </c>
      <c r="IQ29" s="574">
        <f t="shared" si="27"/>
        <v>38</v>
      </c>
      <c r="IR29" s="574">
        <f t="shared" si="28"/>
        <v>41</v>
      </c>
      <c r="IS29" s="574">
        <f t="shared" si="29"/>
        <v>41</v>
      </c>
      <c r="IT29" s="574">
        <f t="shared" si="30"/>
        <v>39</v>
      </c>
      <c r="IU29" s="574">
        <f t="shared" si="31"/>
        <v>37</v>
      </c>
      <c r="IV29" s="575">
        <f t="shared" si="32"/>
        <v>34</v>
      </c>
      <c r="IW29" s="583"/>
      <c r="IX29" s="576">
        <f t="shared" si="33"/>
        <v>-34</v>
      </c>
      <c r="IZ29" s="237"/>
      <c r="JA29" s="162">
        <f t="shared" si="34"/>
        <v>-4195</v>
      </c>
      <c r="JB29" s="578"/>
      <c r="JC29" s="579">
        <f t="shared" si="35"/>
        <v>-767</v>
      </c>
      <c r="JD29" s="600"/>
      <c r="JE29" s="601"/>
      <c r="JF29" s="577"/>
      <c r="JG29" s="234">
        <f t="shared" si="36"/>
        <v>-4022</v>
      </c>
      <c r="JH29" s="578"/>
      <c r="JI29" s="579">
        <f t="shared" si="37"/>
        <v>-766</v>
      </c>
      <c r="JJ29" s="247"/>
    </row>
    <row r="30" ht="14.25" customHeight="1">
      <c r="A30" s="158">
        <v>23.0</v>
      </c>
      <c r="B30" s="157" t="s">
        <v>191</v>
      </c>
      <c r="C30" s="253">
        <v>3374120.0</v>
      </c>
      <c r="D30" s="569" t="s">
        <v>202</v>
      </c>
      <c r="E30" s="253"/>
      <c r="F30" s="259">
        <f>'KELURAHAN (DI ISI)'!F101+'KELURAHAN (DI ISI)'!F105+'KELURAHAN (DI ISI)'!F106+'KELURAHAN (DI ISI)'!F107+'KELURAHAN (DI ISI)'!F108+'KELURAHAN (DI ISI)'!F109+'KELURAHAN (DI ISI)'!F110</f>
        <v>97</v>
      </c>
      <c r="G30" s="259">
        <f>'KELURAHAN (DI ISI)'!G101+'KELURAHAN (DI ISI)'!G105+'KELURAHAN (DI ISI)'!G106+'KELURAHAN (DI ISI)'!G107+'KELURAHAN (DI ISI)'!G108+'KELURAHAN (DI ISI)'!G109+'KELURAHAN (DI ISI)'!G110</f>
        <v>9461</v>
      </c>
      <c r="H30" s="259">
        <f>'KELURAHAN (DI ISI)'!H101+'KELURAHAN (DI ISI)'!H105+'KELURAHAN (DI ISI)'!H106+'KELURAHAN (DI ISI)'!H107+'KELURAHAN (DI ISI)'!H108+'KELURAHAN (DI ISI)'!H109+'KELURAHAN (DI ISI)'!H110</f>
        <v>79</v>
      </c>
      <c r="I30" s="491">
        <f t="shared" si="1"/>
        <v>15</v>
      </c>
      <c r="J30" s="491">
        <f t="shared" si="2"/>
        <v>64</v>
      </c>
      <c r="K30" s="491">
        <f>'KELURAHAN (DI ISI)'!I101+'KELURAHAN (DI ISI)'!I105+'KELURAHAN (DI ISI)'!I106+'KELURAHAN (DI ISI)'!I107+'KELURAHAN (DI ISI)'!I108+'KELURAHAN (DI ISI)'!I109+'KELURAHAN (DI ISI)'!I110</f>
        <v>0</v>
      </c>
      <c r="L30" s="491">
        <f>'KELURAHAN (DI ISI)'!J101+'KELURAHAN (DI ISI)'!J105+'KELURAHAN (DI ISI)'!J106+'KELURAHAN (DI ISI)'!J107+'KELURAHAN (DI ISI)'!J108+'KELURAHAN (DI ISI)'!J109+'KELURAHAN (DI ISI)'!J110</f>
        <v>0</v>
      </c>
      <c r="M30" s="491">
        <f>'KELURAHAN (DI ISI)'!K101+'KELURAHAN (DI ISI)'!K105+'KELURAHAN (DI ISI)'!K106+'KELURAHAN (DI ISI)'!K107+'KELURAHAN (DI ISI)'!K108+'KELURAHAN (DI ISI)'!K109+'KELURAHAN (DI ISI)'!K110</f>
        <v>15</v>
      </c>
      <c r="N30" s="491">
        <f>'KELURAHAN (DI ISI)'!L101+'KELURAHAN (DI ISI)'!L105+'KELURAHAN (DI ISI)'!L106+'KELURAHAN (DI ISI)'!L107+'KELURAHAN (DI ISI)'!L108+'KELURAHAN (DI ISI)'!L109+'KELURAHAN (DI ISI)'!L110</f>
        <v>64</v>
      </c>
      <c r="O30" s="491">
        <f>'KELURAHAN (DI ISI)'!M101+'KELURAHAN (DI ISI)'!M105+'KELURAHAN (DI ISI)'!M106+'KELURAHAN (DI ISI)'!M107+'KELURAHAN (DI ISI)'!M108+'KELURAHAN (DI ISI)'!M109+'KELURAHAN (DI ISI)'!M110</f>
        <v>0</v>
      </c>
      <c r="P30" s="491">
        <f>'KELURAHAN (DI ISI)'!N101+'KELURAHAN (DI ISI)'!N105+'KELURAHAN (DI ISI)'!N106+'KELURAHAN (DI ISI)'!N107+'KELURAHAN (DI ISI)'!N108+'KELURAHAN (DI ISI)'!N109+'KELURAHAN (DI ISI)'!N110</f>
        <v>0</v>
      </c>
      <c r="Q30" s="491">
        <f>'KELURAHAN (DI ISI)'!O101+'KELURAHAN (DI ISI)'!O105+'KELURAHAN (DI ISI)'!O106+'KELURAHAN (DI ISI)'!O107+'KELURAHAN (DI ISI)'!O108+'KELURAHAN (DI ISI)'!O109+'KELURAHAN (DI ISI)'!O110</f>
        <v>79</v>
      </c>
      <c r="R30" s="491">
        <f>'KELURAHAN (DI ISI)'!P101+'KELURAHAN (DI ISI)'!P105+'KELURAHAN (DI ISI)'!P106+'KELURAHAN (DI ISI)'!P107+'KELURAHAN (DI ISI)'!P108+'KELURAHAN (DI ISI)'!P109+'KELURAHAN (DI ISI)'!P110</f>
        <v>79</v>
      </c>
      <c r="S30" s="491">
        <f t="shared" si="3"/>
        <v>15</v>
      </c>
      <c r="T30" s="491">
        <f t="shared" si="4"/>
        <v>64</v>
      </c>
      <c r="U30" s="491">
        <f>'KELURAHAN (DI ISI)'!Q101+'KELURAHAN (DI ISI)'!Q105+'KELURAHAN (DI ISI)'!Q106+'KELURAHAN (DI ISI)'!Q107+'KELURAHAN (DI ISI)'!Q108+'KELURAHAN (DI ISI)'!Q109+'KELURAHAN (DI ISI)'!Q110</f>
        <v>0</v>
      </c>
      <c r="V30" s="491">
        <f>'KELURAHAN (DI ISI)'!R101+'KELURAHAN (DI ISI)'!R105+'KELURAHAN (DI ISI)'!R106+'KELURAHAN (DI ISI)'!R107+'KELURAHAN (DI ISI)'!R108+'KELURAHAN (DI ISI)'!R109+'KELURAHAN (DI ISI)'!R110</f>
        <v>0</v>
      </c>
      <c r="W30" s="491">
        <f>'KELURAHAN (DI ISI)'!S101+'KELURAHAN (DI ISI)'!S105+'KELURAHAN (DI ISI)'!S106+'KELURAHAN (DI ISI)'!S107+'KELURAHAN (DI ISI)'!S108+'KELURAHAN (DI ISI)'!S109+'KELURAHAN (DI ISI)'!S110</f>
        <v>15</v>
      </c>
      <c r="X30" s="491">
        <f>'KELURAHAN (DI ISI)'!T101+'KELURAHAN (DI ISI)'!T105+'KELURAHAN (DI ISI)'!T106+'KELURAHAN (DI ISI)'!T107+'KELURAHAN (DI ISI)'!T108+'KELURAHAN (DI ISI)'!T109+'KELURAHAN (DI ISI)'!T110</f>
        <v>64</v>
      </c>
      <c r="Y30" s="491">
        <f>'KELURAHAN (DI ISI)'!U101+'KELURAHAN (DI ISI)'!U105+'KELURAHAN (DI ISI)'!U106+'KELURAHAN (DI ISI)'!U107+'KELURAHAN (DI ISI)'!U108+'KELURAHAN (DI ISI)'!U109+'KELURAHAN (DI ISI)'!U110</f>
        <v>6</v>
      </c>
      <c r="Z30" s="491">
        <f>'KELURAHAN (DI ISI)'!V101+'KELURAHAN (DI ISI)'!V105+'KELURAHAN (DI ISI)'!V106+'KELURAHAN (DI ISI)'!V107+'KELURAHAN (DI ISI)'!V108+'KELURAHAN (DI ISI)'!V109+'KELURAHAN (DI ISI)'!V110</f>
        <v>2</v>
      </c>
      <c r="AA30" s="491">
        <f>'KELURAHAN (DI ISI)'!W101+'KELURAHAN (DI ISI)'!W105+'KELURAHAN (DI ISI)'!W106+'KELURAHAN (DI ISI)'!W107+'KELURAHAN (DI ISI)'!W108+'KELURAHAN (DI ISI)'!W109+'KELURAHAN (DI ISI)'!W110</f>
        <v>71</v>
      </c>
      <c r="AB30" s="491">
        <f>'KELURAHAN (DI ISI)'!X101+'KELURAHAN (DI ISI)'!X105+'KELURAHAN (DI ISI)'!X106+'KELURAHAN (DI ISI)'!X107+'KELURAHAN (DI ISI)'!X108+'KELURAHAN (DI ISI)'!X109+'KELURAHAN (DI ISI)'!X110</f>
        <v>84</v>
      </c>
      <c r="AC30" s="491">
        <f t="shared" si="5"/>
        <v>15</v>
      </c>
      <c r="AD30" s="491">
        <f t="shared" si="6"/>
        <v>69</v>
      </c>
      <c r="AE30" s="491">
        <f>'KELURAHAN (DI ISI)'!Y101+'KELURAHAN (DI ISI)'!Y105+'KELURAHAN (DI ISI)'!Y106+'KELURAHAN (DI ISI)'!Y107+'KELURAHAN (DI ISI)'!Y108+'KELURAHAN (DI ISI)'!Y109+'KELURAHAN (DI ISI)'!Y110</f>
        <v>0</v>
      </c>
      <c r="AF30" s="491">
        <f>'KELURAHAN (DI ISI)'!Z101+'KELURAHAN (DI ISI)'!Z105+'KELURAHAN (DI ISI)'!Z106+'KELURAHAN (DI ISI)'!Z107+'KELURAHAN (DI ISI)'!Z108+'KELURAHAN (DI ISI)'!Z109+'KELURAHAN (DI ISI)'!Z110</f>
        <v>0</v>
      </c>
      <c r="AG30" s="491">
        <f>'KELURAHAN (DI ISI)'!AA101+'KELURAHAN (DI ISI)'!AA105+'KELURAHAN (DI ISI)'!AA106+'KELURAHAN (DI ISI)'!AA107+'KELURAHAN (DI ISI)'!AA108+'KELURAHAN (DI ISI)'!AA109+'KELURAHAN (DI ISI)'!AA110</f>
        <v>15</v>
      </c>
      <c r="AH30" s="491">
        <f>'KELURAHAN (DI ISI)'!AB101+'KELURAHAN (DI ISI)'!AB105+'KELURAHAN (DI ISI)'!AB106+'KELURAHAN (DI ISI)'!AB107+'KELURAHAN (DI ISI)'!AB108+'KELURAHAN (DI ISI)'!AB109+'KELURAHAN (DI ISI)'!AB110</f>
        <v>69</v>
      </c>
      <c r="AI30" s="491">
        <f>'KELURAHAN (DI ISI)'!AC101+'KELURAHAN (DI ISI)'!AC105+'KELURAHAN (DI ISI)'!AC106+'KELURAHAN (DI ISI)'!AC107+'KELURAHAN (DI ISI)'!AC108+'KELURAHAN (DI ISI)'!AC109+'KELURAHAN (DI ISI)'!AC110</f>
        <v>0</v>
      </c>
      <c r="AJ30" s="491">
        <f>'KELURAHAN (DI ISI)'!AD101+'KELURAHAN (DI ISI)'!AD105+'KELURAHAN (DI ISI)'!AD106+'KELURAHAN (DI ISI)'!AD107+'KELURAHAN (DI ISI)'!AD108+'KELURAHAN (DI ISI)'!AD109+'KELURAHAN (DI ISI)'!AD110</f>
        <v>0</v>
      </c>
      <c r="AK30" s="491">
        <f>'KELURAHAN (DI ISI)'!AE101+'KELURAHAN (DI ISI)'!AE105+'KELURAHAN (DI ISI)'!AE106+'KELURAHAN (DI ISI)'!AE107+'KELURAHAN (DI ISI)'!AE108+'KELURAHAN (DI ISI)'!AE109+'KELURAHAN (DI ISI)'!AE110</f>
        <v>84</v>
      </c>
      <c r="AL30" s="491">
        <f>'KELURAHAN (DI ISI)'!AF101+'KELURAHAN (DI ISI)'!AF105+'KELURAHAN (DI ISI)'!AF106+'KELURAHAN (DI ISI)'!AF107+'KELURAHAN (DI ISI)'!AF108+'KELURAHAN (DI ISI)'!AF109+'KELURAHAN (DI ISI)'!AF110</f>
        <v>43</v>
      </c>
      <c r="AM30" s="491">
        <f t="shared" si="7"/>
        <v>10</v>
      </c>
      <c r="AN30" s="491">
        <f t="shared" si="8"/>
        <v>33</v>
      </c>
      <c r="AO30" s="491">
        <f>'KELURAHAN (DI ISI)'!AG101+'KELURAHAN (DI ISI)'!AG105+'KELURAHAN (DI ISI)'!AG106+'KELURAHAN (DI ISI)'!AG107+'KELURAHAN (DI ISI)'!AG108+'KELURAHAN (DI ISI)'!AG109+'KELURAHAN (DI ISI)'!AG110</f>
        <v>0</v>
      </c>
      <c r="AP30" s="491">
        <f>'KELURAHAN (DI ISI)'!AH101+'KELURAHAN (DI ISI)'!AH105+'KELURAHAN (DI ISI)'!AH106+'KELURAHAN (DI ISI)'!AH107+'KELURAHAN (DI ISI)'!AH108+'KELURAHAN (DI ISI)'!AH109+'KELURAHAN (DI ISI)'!AH110</f>
        <v>0</v>
      </c>
      <c r="AQ30" s="491">
        <f>'KELURAHAN (DI ISI)'!AI101+'KELURAHAN (DI ISI)'!AI105+'KELURAHAN (DI ISI)'!AI106+'KELURAHAN (DI ISI)'!AI107+'KELURAHAN (DI ISI)'!AI108+'KELURAHAN (DI ISI)'!AI109+'KELURAHAN (DI ISI)'!AI110</f>
        <v>10</v>
      </c>
      <c r="AR30" s="491">
        <f>'KELURAHAN (DI ISI)'!AJ101+'KELURAHAN (DI ISI)'!AJ105+'KELURAHAN (DI ISI)'!AJ106+'KELURAHAN (DI ISI)'!AJ107+'KELURAHAN (DI ISI)'!AJ108+'KELURAHAN (DI ISI)'!AJ109+'KELURAHAN (DI ISI)'!AJ110</f>
        <v>33</v>
      </c>
      <c r="AS30" s="491">
        <f>'KELURAHAN (DI ISI)'!AK101+'KELURAHAN (DI ISI)'!AK105+'KELURAHAN (DI ISI)'!AK106+'KELURAHAN (DI ISI)'!AK107+'KELURAHAN (DI ISI)'!AK108+'KELURAHAN (DI ISI)'!AK109+'KELURAHAN (DI ISI)'!AK110</f>
        <v>0</v>
      </c>
      <c r="AT30" s="491">
        <f>'KELURAHAN (DI ISI)'!AL101+'KELURAHAN (DI ISI)'!AL105+'KELURAHAN (DI ISI)'!AL106+'KELURAHAN (DI ISI)'!AL107+'KELURAHAN (DI ISI)'!AL108+'KELURAHAN (DI ISI)'!AL109+'KELURAHAN (DI ISI)'!AL110</f>
        <v>0</v>
      </c>
      <c r="AU30" s="491">
        <f>'KELURAHAN (DI ISI)'!AM101+'KELURAHAN (DI ISI)'!AM105+'KELURAHAN (DI ISI)'!AM106+'KELURAHAN (DI ISI)'!AM107+'KELURAHAN (DI ISI)'!AM108+'KELURAHAN (DI ISI)'!AM109+'KELURAHAN (DI ISI)'!AM110</f>
        <v>43</v>
      </c>
      <c r="AV30" s="491">
        <f>'KELURAHAN (DI ISI)'!AN101+'KELURAHAN (DI ISI)'!AN105+'KELURAHAN (DI ISI)'!AN106+'KELURAHAN (DI ISI)'!AN107+'KELURAHAN (DI ISI)'!AN108+'KELURAHAN (DI ISI)'!AN109+'KELURAHAN (DI ISI)'!AN110</f>
        <v>52</v>
      </c>
      <c r="AW30" s="491">
        <f t="shared" si="9"/>
        <v>8</v>
      </c>
      <c r="AX30" s="491">
        <f t="shared" si="10"/>
        <v>44</v>
      </c>
      <c r="AY30" s="491">
        <f>'KELURAHAN (DI ISI)'!AO101+'KELURAHAN (DI ISI)'!AO105+'KELURAHAN (DI ISI)'!AO106+'KELURAHAN (DI ISI)'!AO107+'KELURAHAN (DI ISI)'!AO108+'KELURAHAN (DI ISI)'!AO109+'KELURAHAN (DI ISI)'!AO110</f>
        <v>0</v>
      </c>
      <c r="AZ30" s="491">
        <f>'KELURAHAN (DI ISI)'!AP101+'KELURAHAN (DI ISI)'!AP105+'KELURAHAN (DI ISI)'!AP106+'KELURAHAN (DI ISI)'!AP107+'KELURAHAN (DI ISI)'!AP108+'KELURAHAN (DI ISI)'!AP109+'KELURAHAN (DI ISI)'!AP110</f>
        <v>0</v>
      </c>
      <c r="BA30" s="491">
        <f>'KELURAHAN (DI ISI)'!AQ101+'KELURAHAN (DI ISI)'!AQ105+'KELURAHAN (DI ISI)'!AQ106+'KELURAHAN (DI ISI)'!AQ107+'KELURAHAN (DI ISI)'!AQ108+'KELURAHAN (DI ISI)'!AQ109+'KELURAHAN (DI ISI)'!AQ110</f>
        <v>8</v>
      </c>
      <c r="BB30" s="491">
        <f>'KELURAHAN (DI ISI)'!AR101+'KELURAHAN (DI ISI)'!AR105+'KELURAHAN (DI ISI)'!AR106+'KELURAHAN (DI ISI)'!AR107+'KELURAHAN (DI ISI)'!AR108+'KELURAHAN (DI ISI)'!AR109+'KELURAHAN (DI ISI)'!AR110</f>
        <v>44</v>
      </c>
      <c r="BC30" s="491">
        <f>'KELURAHAN (DI ISI)'!AS101+'KELURAHAN (DI ISI)'!AS105+'KELURAHAN (DI ISI)'!AS106+'KELURAHAN (DI ISI)'!AS107+'KELURAHAN (DI ISI)'!AS108+'KELURAHAN (DI ISI)'!AS109+'KELURAHAN (DI ISI)'!AS110</f>
        <v>0</v>
      </c>
      <c r="BD30" s="491">
        <f>'KELURAHAN (DI ISI)'!AT101+'KELURAHAN (DI ISI)'!AT105+'KELURAHAN (DI ISI)'!AT106+'KELURAHAN (DI ISI)'!AT107+'KELURAHAN (DI ISI)'!AT108+'KELURAHAN (DI ISI)'!AT109+'KELURAHAN (DI ISI)'!AT110</f>
        <v>0</v>
      </c>
      <c r="BE30" s="491">
        <f>'KELURAHAN (DI ISI)'!AU101+'KELURAHAN (DI ISI)'!AU105+'KELURAHAN (DI ISI)'!AU106+'KELURAHAN (DI ISI)'!AU107+'KELURAHAN (DI ISI)'!AU108+'KELURAHAN (DI ISI)'!AU109+'KELURAHAN (DI ISI)'!AU110</f>
        <v>52</v>
      </c>
      <c r="BF30" s="491">
        <f>'KELURAHAN (DI ISI)'!AV101+'KELURAHAN (DI ISI)'!AV105+'KELURAHAN (DI ISI)'!AV106+'KELURAHAN (DI ISI)'!AV107+'KELURAHAN (DI ISI)'!AV108+'KELURAHAN (DI ISI)'!AV109+'KELURAHAN (DI ISI)'!AV110</f>
        <v>8556</v>
      </c>
      <c r="BG30" s="491">
        <f>'KELURAHAN (DI ISI)'!AW101+'KELURAHAN (DI ISI)'!AW105+'KELURAHAN (DI ISI)'!AW106+'KELURAHAN (DI ISI)'!AW107+'KELURAHAN (DI ISI)'!AW108+'KELURAHAN (DI ISI)'!AW109+'KELURAHAN (DI ISI)'!AW110</f>
        <v>82</v>
      </c>
      <c r="BH30" s="491">
        <f t="shared" si="11"/>
        <v>10</v>
      </c>
      <c r="BI30" s="495">
        <f t="shared" si="12"/>
        <v>32</v>
      </c>
      <c r="BJ30" s="491">
        <f>'KELURAHAN (DI ISI)'!AX101+'KELURAHAN (DI ISI)'!AX105+'KELURAHAN (DI ISI)'!AX106+'KELURAHAN (DI ISI)'!AX107+'KELURAHAN (DI ISI)'!AX108+'KELURAHAN (DI ISI)'!AX109+'KELURAHAN (DI ISI)'!AX110</f>
        <v>0</v>
      </c>
      <c r="BK30" s="491">
        <f>'KELURAHAN (DI ISI)'!AY101+'KELURAHAN (DI ISI)'!AY105+'KELURAHAN (DI ISI)'!AY106+'KELURAHAN (DI ISI)'!AY107+'KELURAHAN (DI ISI)'!AY108+'KELURAHAN (DI ISI)'!AY109+'KELURAHAN (DI ISI)'!AY110</f>
        <v>0</v>
      </c>
      <c r="BL30" s="491">
        <f>'KELURAHAN (DI ISI)'!AZ101+'KELURAHAN (DI ISI)'!AZ105+'KELURAHAN (DI ISI)'!AZ106+'KELURAHAN (DI ISI)'!AZ107+'KELURAHAN (DI ISI)'!AZ108+'KELURAHAN (DI ISI)'!AZ109+'KELURAHAN (DI ISI)'!AZ110</f>
        <v>10</v>
      </c>
      <c r="BM30" s="491">
        <f>'KELURAHAN (DI ISI)'!BA101+'KELURAHAN (DI ISI)'!BA105+'KELURAHAN (DI ISI)'!BA106+'KELURAHAN (DI ISI)'!BA107+'KELURAHAN (DI ISI)'!BA108+'KELURAHAN (DI ISI)'!BA109+'KELURAHAN (DI ISI)'!BA110</f>
        <v>32</v>
      </c>
      <c r="BN30" s="491">
        <f>'KELURAHAN (DI ISI)'!BB101+'KELURAHAN (DI ISI)'!BB105+'KELURAHAN (DI ISI)'!BB106+'KELURAHAN (DI ISI)'!BB107+'KELURAHAN (DI ISI)'!BB108+'KELURAHAN (DI ISI)'!BB109+'KELURAHAN (DI ISI)'!BB110</f>
        <v>4</v>
      </c>
      <c r="BO30" s="491">
        <f>'KELURAHAN (DI ISI)'!BC101+'KELURAHAN (DI ISI)'!BC105+'KELURAHAN (DI ISI)'!BC106+'KELURAHAN (DI ISI)'!BC107+'KELURAHAN (DI ISI)'!BC108+'KELURAHAN (DI ISI)'!BC109+'KELURAHAN (DI ISI)'!BC110</f>
        <v>7</v>
      </c>
      <c r="BP30" s="491">
        <f>'KELURAHAN (DI ISI)'!BD101+'KELURAHAN (DI ISI)'!BD105+'KELURAHAN (DI ISI)'!BD106+'KELURAHAN (DI ISI)'!BD107+'KELURAHAN (DI ISI)'!BD108+'KELURAHAN (DI ISI)'!BD109+'KELURAHAN (DI ISI)'!BD110</f>
        <v>14</v>
      </c>
      <c r="BQ30" s="491">
        <f>'KELURAHAN (DI ISI)'!BE101+'KELURAHAN (DI ISI)'!BE105+'KELURAHAN (DI ISI)'!BE106+'KELURAHAN (DI ISI)'!BE107+'KELURAHAN (DI ISI)'!BE108+'KELURAHAN (DI ISI)'!BE109+'KELURAHAN (DI ISI)'!BE110</f>
        <v>15</v>
      </c>
      <c r="BR30" s="491">
        <f>'KELURAHAN (DI ISI)'!BF101+'KELURAHAN (DI ISI)'!BF105+'KELURAHAN (DI ISI)'!BF106+'KELURAHAN (DI ISI)'!BF107+'KELURAHAN (DI ISI)'!BF108+'KELURAHAN (DI ISI)'!BF109+'KELURAHAN (DI ISI)'!BF110</f>
        <v>0</v>
      </c>
      <c r="BS30" s="491">
        <f>'KELURAHAN (DI ISI)'!BG101+'KELURAHAN (DI ISI)'!BG105+'KELURAHAN (DI ISI)'!BG106+'KELURAHAN (DI ISI)'!BG107+'KELURAHAN (DI ISI)'!BG108+'KELURAHAN (DI ISI)'!BG109+'KELURAHAN (DI ISI)'!BG110</f>
        <v>0</v>
      </c>
      <c r="BT30" s="491">
        <f>'KELURAHAN (DI ISI)'!BH101+'KELURAHAN (DI ISI)'!BH105+'KELURAHAN (DI ISI)'!BH106+'KELURAHAN (DI ISI)'!BH107+'KELURAHAN (DI ISI)'!BH108+'KELURAHAN (DI ISI)'!BH109+'KELURAHAN (DI ISI)'!BH110</f>
        <v>0</v>
      </c>
      <c r="BU30" s="491">
        <f>'KELURAHAN (DI ISI)'!BI101+'KELURAHAN (DI ISI)'!BI105+'KELURAHAN (DI ISI)'!BI106+'KELURAHAN (DI ISI)'!BI107+'KELURAHAN (DI ISI)'!BI108+'KELURAHAN (DI ISI)'!BI109+'KELURAHAN (DI ISI)'!BI110</f>
        <v>3</v>
      </c>
      <c r="BV30" s="491">
        <f>'KELURAHAN (DI ISI)'!BJ101+'KELURAHAN (DI ISI)'!BJ105+'KELURAHAN (DI ISI)'!BJ106+'KELURAHAN (DI ISI)'!BJ107+'KELURAHAN (DI ISI)'!BJ108+'KELURAHAN (DI ISI)'!BJ109+'KELURAHAN (DI ISI)'!BJ110</f>
        <v>0</v>
      </c>
      <c r="BW30" s="491">
        <f>'KELURAHAN (DI ISI)'!BK101+'KELURAHAN (DI ISI)'!BK105+'KELURAHAN (DI ISI)'!BK106+'KELURAHAN (DI ISI)'!BK107+'KELURAHAN (DI ISI)'!BK108+'KELURAHAN (DI ISI)'!BK109+'KELURAHAN (DI ISI)'!BK110</f>
        <v>0</v>
      </c>
      <c r="BX30" s="491">
        <f>'KELURAHAN (DI ISI)'!BL101+'KELURAHAN (DI ISI)'!BL105+'KELURAHAN (DI ISI)'!BL106+'KELURAHAN (DI ISI)'!BL107+'KELURAHAN (DI ISI)'!BL108+'KELURAHAN (DI ISI)'!BL109+'KELURAHAN (DI ISI)'!BL110</f>
        <v>0</v>
      </c>
      <c r="BY30" s="491">
        <f>'KELURAHAN (DI ISI)'!BM101+'KELURAHAN (DI ISI)'!BM105+'KELURAHAN (DI ISI)'!BM106+'KELURAHAN (DI ISI)'!BM107+'KELURAHAN (DI ISI)'!BM108+'KELURAHAN (DI ISI)'!BM109+'KELURAHAN (DI ISI)'!BM110</f>
        <v>0</v>
      </c>
      <c r="BZ30" s="491">
        <f>'KELURAHAN (DI ISI)'!BN101+'KELURAHAN (DI ISI)'!BN105+'KELURAHAN (DI ISI)'!BN106+'KELURAHAN (DI ISI)'!BN107+'KELURAHAN (DI ISI)'!BN108+'KELURAHAN (DI ISI)'!BN109+'KELURAHAN (DI ISI)'!BN110</f>
        <v>0</v>
      </c>
      <c r="CA30" s="491">
        <f>'KELURAHAN (DI ISI)'!BO101+'KELURAHAN (DI ISI)'!BO105+'KELURAHAN (DI ISI)'!BO106+'KELURAHAN (DI ISI)'!BO107+'KELURAHAN (DI ISI)'!BO108+'KELURAHAN (DI ISI)'!BO109+'KELURAHAN (DI ISI)'!BO110</f>
        <v>0</v>
      </c>
      <c r="CB30" s="491">
        <f>'KELURAHAN (DI ISI)'!BP101+'KELURAHAN (DI ISI)'!BP105+'KELURAHAN (DI ISI)'!BP106+'KELURAHAN (DI ISI)'!BP107+'KELURAHAN (DI ISI)'!BP108+'KELURAHAN (DI ISI)'!BP109+'KELURAHAN (DI ISI)'!BP110</f>
        <v>3</v>
      </c>
      <c r="CC30" s="491">
        <f>'KELURAHAN (DI ISI)'!BQ101+'KELURAHAN (DI ISI)'!BQ105+'KELURAHAN (DI ISI)'!BQ106+'KELURAHAN (DI ISI)'!BQ107+'KELURAHAN (DI ISI)'!BQ108+'KELURAHAN (DI ISI)'!BQ109+'KELURAHAN (DI ISI)'!BQ110</f>
        <v>8367</v>
      </c>
      <c r="CD30" s="491">
        <f>'KELURAHAN (DI ISI)'!BR101+'KELURAHAN (DI ISI)'!BR105+'KELURAHAN (DI ISI)'!BR106+'KELURAHAN (DI ISI)'!BR107+'KELURAHAN (DI ISI)'!BR108+'KELURAHAN (DI ISI)'!BR109+'KELURAHAN (DI ISI)'!BR110</f>
        <v>52</v>
      </c>
      <c r="CE30" s="491">
        <f t="shared" si="13"/>
        <v>4</v>
      </c>
      <c r="CF30" s="491">
        <f t="shared" si="14"/>
        <v>39</v>
      </c>
      <c r="CG30" s="491">
        <f>'KELURAHAN (DI ISI)'!BS101+'KELURAHAN (DI ISI)'!BS105+'KELURAHAN (DI ISI)'!BS106+'KELURAHAN (DI ISI)'!BS107+'KELURAHAN (DI ISI)'!BS108+'KELURAHAN (DI ISI)'!BS109+'KELURAHAN (DI ISI)'!BS110</f>
        <v>0</v>
      </c>
      <c r="CH30" s="491">
        <f>'KELURAHAN (DI ISI)'!BT101+'KELURAHAN (DI ISI)'!BT105+'KELURAHAN (DI ISI)'!BT106+'KELURAHAN (DI ISI)'!BT107+'KELURAHAN (DI ISI)'!BT108+'KELURAHAN (DI ISI)'!BT109+'KELURAHAN (DI ISI)'!BT110</f>
        <v>0</v>
      </c>
      <c r="CI30" s="491">
        <f>'KELURAHAN (DI ISI)'!BU101+'KELURAHAN (DI ISI)'!BU105+'KELURAHAN (DI ISI)'!BU106+'KELURAHAN (DI ISI)'!BU107+'KELURAHAN (DI ISI)'!BU108+'KELURAHAN (DI ISI)'!BU109+'KELURAHAN (DI ISI)'!BU110</f>
        <v>4</v>
      </c>
      <c r="CJ30" s="491">
        <f>'KELURAHAN (DI ISI)'!BV101+'KELURAHAN (DI ISI)'!BV105+'KELURAHAN (DI ISI)'!BV106+'KELURAHAN (DI ISI)'!BV107+'KELURAHAN (DI ISI)'!BV108+'KELURAHAN (DI ISI)'!BV109+'KELURAHAN (DI ISI)'!BV110</f>
        <v>39</v>
      </c>
      <c r="CK30" s="491">
        <f>'KELURAHAN (DI ISI)'!BW101+'KELURAHAN (DI ISI)'!BW105+'KELURAHAN (DI ISI)'!BW106+'KELURAHAN (DI ISI)'!BW107+'KELURAHAN (DI ISI)'!BW108+'KELURAHAN (DI ISI)'!BW109+'KELURAHAN (DI ISI)'!BW110</f>
        <v>0</v>
      </c>
      <c r="CL30" s="491">
        <f>'KELURAHAN (DI ISI)'!BX101+'KELURAHAN (DI ISI)'!BX105+'KELURAHAN (DI ISI)'!BX106+'KELURAHAN (DI ISI)'!BX107+'KELURAHAN (DI ISI)'!BX108+'KELURAHAN (DI ISI)'!BX109+'KELURAHAN (DI ISI)'!BX110</f>
        <v>0</v>
      </c>
      <c r="CM30" s="491">
        <f>'KELURAHAN (DI ISI)'!BY101+'KELURAHAN (DI ISI)'!BY105+'KELURAHAN (DI ISI)'!BY106+'KELURAHAN (DI ISI)'!BY107+'KELURAHAN (DI ISI)'!BY108+'KELURAHAN (DI ISI)'!BY109+'KELURAHAN (DI ISI)'!BY110</f>
        <v>5</v>
      </c>
      <c r="CN30" s="491">
        <f>'KELURAHAN (DI ISI)'!BZ101+'KELURAHAN (DI ISI)'!BZ105+'KELURAHAN (DI ISI)'!BZ106+'KELURAHAN (DI ISI)'!BZ107+'KELURAHAN (DI ISI)'!BZ108+'KELURAHAN (DI ISI)'!BZ109+'KELURAHAN (DI ISI)'!BZ110</f>
        <v>4</v>
      </c>
      <c r="CO30" s="491">
        <f>'KELURAHAN (DI ISI)'!CA101+'KELURAHAN (DI ISI)'!CA105+'KELURAHAN (DI ISI)'!CA106+'KELURAHAN (DI ISI)'!CA107+'KELURAHAN (DI ISI)'!CA108+'KELURAHAN (DI ISI)'!CA109+'KELURAHAN (DI ISI)'!CA110</f>
        <v>0</v>
      </c>
      <c r="CP30" s="491">
        <f>'KELURAHAN (DI ISI)'!CB101+'KELURAHAN (DI ISI)'!CB105+'KELURAHAN (DI ISI)'!CB106+'KELURAHAN (DI ISI)'!CB107+'KELURAHAN (DI ISI)'!CB108+'KELURAHAN (DI ISI)'!CB109+'KELURAHAN (DI ISI)'!CB110</f>
        <v>0</v>
      </c>
      <c r="CQ30" s="491">
        <f>'KELURAHAN (DI ISI)'!CC101+'KELURAHAN (DI ISI)'!CC105+'KELURAHAN (DI ISI)'!CC106+'KELURAHAN (DI ISI)'!CC107+'KELURAHAN (DI ISI)'!CC108+'KELURAHAN (DI ISI)'!CC109+'KELURAHAN (DI ISI)'!CC110</f>
        <v>0</v>
      </c>
      <c r="CR30" s="491">
        <f>'KELURAHAN (DI ISI)'!CD101+'KELURAHAN (DI ISI)'!CD105+'KELURAHAN (DI ISI)'!CD106+'KELURAHAN (DI ISI)'!CD107+'KELURAHAN (DI ISI)'!CD108+'KELURAHAN (DI ISI)'!CD109+'KELURAHAN (DI ISI)'!CD110</f>
        <v>4</v>
      </c>
      <c r="CS30" s="491">
        <f>'KELURAHAN (DI ISI)'!CE101+'KELURAHAN (DI ISI)'!CE105+'KELURAHAN (DI ISI)'!CE106+'KELURAHAN (DI ISI)'!CE107+'KELURAHAN (DI ISI)'!CE108+'KELURAHAN (DI ISI)'!CE109+'KELURAHAN (DI ISI)'!CE110</f>
        <v>0</v>
      </c>
      <c r="CT30" s="491">
        <f>'KELURAHAN (DI ISI)'!CF101+'KELURAHAN (DI ISI)'!CF105+'KELURAHAN (DI ISI)'!CF106+'KELURAHAN (DI ISI)'!CF107+'KELURAHAN (DI ISI)'!CF108+'KELURAHAN (DI ISI)'!CF109+'KELURAHAN (DI ISI)'!CF110</f>
        <v>0</v>
      </c>
      <c r="CU30" s="491">
        <f>'KELURAHAN (DI ISI)'!CG101+'KELURAHAN (DI ISI)'!CG105+'KELURAHAN (DI ISI)'!CG106+'KELURAHAN (DI ISI)'!CG107+'KELURAHAN (DI ISI)'!CG108+'KELURAHAN (DI ISI)'!CG109+'KELURAHAN (DI ISI)'!CG110</f>
        <v>0</v>
      </c>
      <c r="CV30" s="491">
        <f>'KELURAHAN (DI ISI)'!CH101+'KELURAHAN (DI ISI)'!CH105+'KELURAHAN (DI ISI)'!CH106+'KELURAHAN (DI ISI)'!CH107+'KELURAHAN (DI ISI)'!CH108+'KELURAHAN (DI ISI)'!CH109+'KELURAHAN (DI ISI)'!CH110</f>
        <v>0</v>
      </c>
      <c r="CW30" s="491">
        <f>'KELURAHAN (DI ISI)'!CI101+'KELURAHAN (DI ISI)'!CI105+'KELURAHAN (DI ISI)'!CI106+'KELURAHAN (DI ISI)'!CI107+'KELURAHAN (DI ISI)'!CI108+'KELURAHAN (DI ISI)'!CI109+'KELURAHAN (DI ISI)'!CI110</f>
        <v>0</v>
      </c>
      <c r="CX30" s="491">
        <f>'KELURAHAN (DI ISI)'!CJ101+'KELURAHAN (DI ISI)'!CJ105+'KELURAHAN (DI ISI)'!CJ106+'KELURAHAN (DI ISI)'!CJ107+'KELURAHAN (DI ISI)'!CJ108+'KELURAHAN (DI ISI)'!CJ109+'KELURAHAN (DI ISI)'!CJ110</f>
        <v>0</v>
      </c>
      <c r="CY30" s="491">
        <f>'KELURAHAN (DI ISI)'!CK101+'KELURAHAN (DI ISI)'!CK105+'KELURAHAN (DI ISI)'!CK106+'KELURAHAN (DI ISI)'!CK107+'KELURAHAN (DI ISI)'!CK108+'KELURAHAN (DI ISI)'!CK109+'KELURAHAN (DI ISI)'!CK110</f>
        <v>4</v>
      </c>
      <c r="CZ30" s="491">
        <f>'KELURAHAN (DI ISI)'!CL101+'KELURAHAN (DI ISI)'!CL105+'KELURAHAN (DI ISI)'!CL106+'KELURAHAN (DI ISI)'!CL107+'KELURAHAN (DI ISI)'!CL108+'KELURAHAN (DI ISI)'!CL109+'KELURAHAN (DI ISI)'!CL110</f>
        <v>8367</v>
      </c>
      <c r="DA30" s="491">
        <f>'KELURAHAN (DI ISI)'!CM101+'KELURAHAN (DI ISI)'!CM105+'KELURAHAN (DI ISI)'!CM106+'KELURAHAN (DI ISI)'!CM107+'KELURAHAN (DI ISI)'!CM108+'KELURAHAN (DI ISI)'!CM109+'KELURAHAN (DI ISI)'!CM110</f>
        <v>3468</v>
      </c>
      <c r="DB30" s="491">
        <f>'KELURAHAN (DI ISI)'!CN101+'KELURAHAN (DI ISI)'!CN105+'KELURAHAN (DI ISI)'!CN106+'KELURAHAN (DI ISI)'!CN107+'KELURAHAN (DI ISI)'!CN108+'KELURAHAN (DI ISI)'!CN109+'KELURAHAN (DI ISI)'!CN110</f>
        <v>35</v>
      </c>
      <c r="DC30" s="491">
        <f t="shared" si="15"/>
        <v>14</v>
      </c>
      <c r="DD30" s="491">
        <f t="shared" si="16"/>
        <v>21</v>
      </c>
      <c r="DE30" s="491">
        <f>'KELURAHAN (DI ISI)'!CO101+'KELURAHAN (DI ISI)'!CO105+'KELURAHAN (DI ISI)'!CO106+'KELURAHAN (DI ISI)'!CO107+'KELURAHAN (DI ISI)'!CO108+'KELURAHAN (DI ISI)'!CO109+'KELURAHAN (DI ISI)'!CO110</f>
        <v>0</v>
      </c>
      <c r="DF30" s="491">
        <f>'KELURAHAN (DI ISI)'!CP101+'KELURAHAN (DI ISI)'!CP105+'KELURAHAN (DI ISI)'!CP106+'KELURAHAN (DI ISI)'!CP107+'KELURAHAN (DI ISI)'!CP108+'KELURAHAN (DI ISI)'!CP109+'KELURAHAN (DI ISI)'!CP110</f>
        <v>0</v>
      </c>
      <c r="DG30" s="491">
        <f>'KELURAHAN (DI ISI)'!CQ101+'KELURAHAN (DI ISI)'!CQ105+'KELURAHAN (DI ISI)'!CQ106+'KELURAHAN (DI ISI)'!CQ107+'KELURAHAN (DI ISI)'!CQ108+'KELURAHAN (DI ISI)'!CQ109+'KELURAHAN (DI ISI)'!CQ110</f>
        <v>14</v>
      </c>
      <c r="DH30" s="491">
        <f>'KELURAHAN (DI ISI)'!CR101+'KELURAHAN (DI ISI)'!CR105+'KELURAHAN (DI ISI)'!CR106+'KELURAHAN (DI ISI)'!CR107+'KELURAHAN (DI ISI)'!CR108+'KELURAHAN (DI ISI)'!CR109+'KELURAHAN (DI ISI)'!CR110</f>
        <v>21</v>
      </c>
      <c r="DI30" s="491">
        <f>'KELURAHAN (DI ISI)'!CS101+'KELURAHAN (DI ISI)'!CS105+'KELURAHAN (DI ISI)'!CS106+'KELURAHAN (DI ISI)'!CS107+'KELURAHAN (DI ISI)'!CS108+'KELURAHAN (DI ISI)'!CS109+'KELURAHAN (DI ISI)'!CS110</f>
        <v>0</v>
      </c>
      <c r="DJ30" s="491">
        <f>'KELURAHAN (DI ISI)'!CT101+'KELURAHAN (DI ISI)'!CT105+'KELURAHAN (DI ISI)'!CT106+'KELURAHAN (DI ISI)'!CT107+'KELURAHAN (DI ISI)'!CT108+'KELURAHAN (DI ISI)'!CT109+'KELURAHAN (DI ISI)'!CT110</f>
        <v>0</v>
      </c>
      <c r="DK30" s="491">
        <f>'KELURAHAN (DI ISI)'!CU101+'KELURAHAN (DI ISI)'!CU105+'KELURAHAN (DI ISI)'!CU106+'KELURAHAN (DI ISI)'!CU107+'KELURAHAN (DI ISI)'!CU108+'KELURAHAN (DI ISI)'!CU109+'KELURAHAN (DI ISI)'!CU110</f>
        <v>0</v>
      </c>
      <c r="DL30" s="491">
        <f>'KELURAHAN (DI ISI)'!CV101+'KELURAHAN (DI ISI)'!CV105+'KELURAHAN (DI ISI)'!CV106+'KELURAHAN (DI ISI)'!CV107+'KELURAHAN (DI ISI)'!CV108+'KELURAHAN (DI ISI)'!CV109+'KELURAHAN (DI ISI)'!CV110</f>
        <v>0</v>
      </c>
      <c r="DM30" s="491">
        <f>'KELURAHAN (DI ISI)'!CW101+'KELURAHAN (DI ISI)'!CW105+'KELURAHAN (DI ISI)'!CW106+'KELURAHAN (DI ISI)'!CW107+'KELURAHAN (DI ISI)'!CW108+'KELURAHAN (DI ISI)'!CW109+'KELURAHAN (DI ISI)'!CW110</f>
        <v>0</v>
      </c>
      <c r="DN30" s="491">
        <f>'KELURAHAN (DI ISI)'!CX101+'KELURAHAN (DI ISI)'!CX105+'KELURAHAN (DI ISI)'!CX106+'KELURAHAN (DI ISI)'!CX107+'KELURAHAN (DI ISI)'!CX108+'KELURAHAN (DI ISI)'!CX109+'KELURAHAN (DI ISI)'!CX110</f>
        <v>0</v>
      </c>
      <c r="DO30" s="491">
        <f>'KELURAHAN (DI ISI)'!CY101+'KELURAHAN (DI ISI)'!CY105+'KELURAHAN (DI ISI)'!CY106+'KELURAHAN (DI ISI)'!CY107+'KELURAHAN (DI ISI)'!CY108+'KELURAHAN (DI ISI)'!CY109+'KELURAHAN (DI ISI)'!CY110</f>
        <v>2</v>
      </c>
      <c r="DP30" s="491">
        <f>'KELURAHAN (DI ISI)'!CZ101+'KELURAHAN (DI ISI)'!CZ105+'KELURAHAN (DI ISI)'!CZ106+'KELURAHAN (DI ISI)'!CZ107+'KELURAHAN (DI ISI)'!CZ108+'KELURAHAN (DI ISI)'!CZ109+'KELURAHAN (DI ISI)'!CZ110</f>
        <v>4</v>
      </c>
      <c r="DQ30" s="491">
        <f>'KELURAHAN (DI ISI)'!DA101+'KELURAHAN (DI ISI)'!DA105+'KELURAHAN (DI ISI)'!DA106+'KELURAHAN (DI ISI)'!DA107+'KELURAHAN (DI ISI)'!DA108+'KELURAHAN (DI ISI)'!DA109+'KELURAHAN (DI ISI)'!DA110</f>
        <v>0</v>
      </c>
      <c r="DR30" s="491">
        <f>'KELURAHAN (DI ISI)'!DB101+'KELURAHAN (DI ISI)'!DB105+'KELURAHAN (DI ISI)'!DB106+'KELURAHAN (DI ISI)'!DB107+'KELURAHAN (DI ISI)'!DB108+'KELURAHAN (DI ISI)'!DB109+'KELURAHAN (DI ISI)'!DB110</f>
        <v>0</v>
      </c>
      <c r="DS30" s="491">
        <f>'KELURAHAN (DI ISI)'!DC101+'KELURAHAN (DI ISI)'!DC105+'KELURAHAN (DI ISI)'!DC106+'KELURAHAN (DI ISI)'!DC107+'KELURAHAN (DI ISI)'!DC108+'KELURAHAN (DI ISI)'!DC109+'KELURAHAN (DI ISI)'!DC110</f>
        <v>0</v>
      </c>
      <c r="DT30" s="491">
        <f>'KELURAHAN (DI ISI)'!DD101+'KELURAHAN (DI ISI)'!DD105+'KELURAHAN (DI ISI)'!DD106+'KELURAHAN (DI ISI)'!DD107+'KELURAHAN (DI ISI)'!DD108+'KELURAHAN (DI ISI)'!DD109+'KELURAHAN (DI ISI)'!DD110</f>
        <v>0</v>
      </c>
      <c r="DU30" s="491">
        <f>'KELURAHAN (DI ISI)'!DE101+'KELURAHAN (DI ISI)'!DE105+'KELURAHAN (DI ISI)'!DE106+'KELURAHAN (DI ISI)'!DE107+'KELURAHAN (DI ISI)'!DE108+'KELURAHAN (DI ISI)'!DE109+'KELURAHAN (DI ISI)'!DE110</f>
        <v>0</v>
      </c>
      <c r="DV30" s="491">
        <f>'KELURAHAN (DI ISI)'!DF101+'KELURAHAN (DI ISI)'!DF105+'KELURAHAN (DI ISI)'!DF106+'KELURAHAN (DI ISI)'!DF107+'KELURAHAN (DI ISI)'!DF108+'KELURAHAN (DI ISI)'!DF109+'KELURAHAN (DI ISI)'!DF110</f>
        <v>0</v>
      </c>
      <c r="DW30" s="491">
        <f>'KELURAHAN (DI ISI)'!DG101+'KELURAHAN (DI ISI)'!DG105+'KELURAHAN (DI ISI)'!DG106+'KELURAHAN (DI ISI)'!DG107+'KELURAHAN (DI ISI)'!DG108+'KELURAHAN (DI ISI)'!DG109+'KELURAHAN (DI ISI)'!DG110</f>
        <v>6</v>
      </c>
      <c r="DX30" s="491">
        <f>'KELURAHAN (DI ISI)'!DH101+'KELURAHAN (DI ISI)'!DH105+'KELURAHAN (DI ISI)'!DH106+'KELURAHAN (DI ISI)'!DH107+'KELURAHAN (DI ISI)'!DH108+'KELURAHAN (DI ISI)'!DH109+'KELURAHAN (DI ISI)'!DH110</f>
        <v>7641</v>
      </c>
      <c r="DY30" s="491">
        <f>'KELURAHAN (DI ISI)'!DI101+'KELURAHAN (DI ISI)'!DI105+'KELURAHAN (DI ISI)'!DI106+'KELURAHAN (DI ISI)'!DI107+'KELURAHAN (DI ISI)'!DI108+'KELURAHAN (DI ISI)'!DI109+'KELURAHAN (DI ISI)'!DI110</f>
        <v>2397</v>
      </c>
      <c r="DZ30" s="491">
        <f>'KELURAHAN (DI ISI)'!DJ101+'KELURAHAN (DI ISI)'!DJ105+'KELURAHAN (DI ISI)'!DJ106+'KELURAHAN (DI ISI)'!DJ107+'KELURAHAN (DI ISI)'!DJ108+'KELURAHAN (DI ISI)'!DJ109+'KELURAHAN (DI ISI)'!DJ110</f>
        <v>7173</v>
      </c>
      <c r="EA30" s="491">
        <f>'KELURAHAN (DI ISI)'!DK101+'KELURAHAN (DI ISI)'!DK105+'KELURAHAN (DI ISI)'!DK106+'KELURAHAN (DI ISI)'!DK107+'KELURAHAN (DI ISI)'!DK108+'KELURAHAN (DI ISI)'!DK109+'KELURAHAN (DI ISI)'!DK110</f>
        <v>1939</v>
      </c>
      <c r="EB30" s="491">
        <f>'KELURAHAN (DI ISI)'!DL101+'KELURAHAN (DI ISI)'!DL105+'KELURAHAN (DI ISI)'!DL106+'KELURAHAN (DI ISI)'!DL107+'KELURAHAN (DI ISI)'!DL108+'KELURAHAN (DI ISI)'!DL109+'KELURAHAN (DI ISI)'!DL110</f>
        <v>28</v>
      </c>
      <c r="EC30" s="491">
        <f>'KELURAHAN (DI ISI)'!DM101+'KELURAHAN (DI ISI)'!DM105+'KELURAHAN (DI ISI)'!DM106+'KELURAHAN (DI ISI)'!DM107+'KELURAHAN (DI ISI)'!DM108+'KELURAHAN (DI ISI)'!DM109+'KELURAHAN (DI ISI)'!DM110</f>
        <v>10</v>
      </c>
      <c r="ED30" s="491">
        <f t="shared" si="17"/>
        <v>18</v>
      </c>
      <c r="EE30" s="491">
        <f>'KELURAHAN (DI ISI)'!DO101+'KELURAHAN (DI ISI)'!DO105+'KELURAHAN (DI ISI)'!DO106+'KELURAHAN (DI ISI)'!DO107+'KELURAHAN (DI ISI)'!DO108+'KELURAHAN (DI ISI)'!DO109+'KELURAHAN (DI ISI)'!DO110</f>
        <v>0</v>
      </c>
      <c r="EF30" s="491">
        <f>'KELURAHAN (DI ISI)'!DP101+'KELURAHAN (DI ISI)'!DP105+'KELURAHAN (DI ISI)'!DP106+'KELURAHAN (DI ISI)'!DP107+'KELURAHAN (DI ISI)'!DP108+'KELURAHAN (DI ISI)'!DP109+'KELURAHAN (DI ISI)'!DP110</f>
        <v>0</v>
      </c>
      <c r="EG30" s="491">
        <f>'KELURAHAN (DI ISI)'!DQ101+'KELURAHAN (DI ISI)'!DQ105+'KELURAHAN (DI ISI)'!DQ106+'KELURAHAN (DI ISI)'!DQ107+'KELURAHAN (DI ISI)'!DQ108+'KELURAHAN (DI ISI)'!DQ109+'KELURAHAN (DI ISI)'!DQ110</f>
        <v>6</v>
      </c>
      <c r="EH30" s="491">
        <f>'KELURAHAN (DI ISI)'!DR101+'KELURAHAN (DI ISI)'!DR105+'KELURAHAN (DI ISI)'!DR106+'KELURAHAN (DI ISI)'!DR107+'KELURAHAN (DI ISI)'!DR108+'KELURAHAN (DI ISI)'!DR109+'KELURAHAN (DI ISI)'!DR110</f>
        <v>12</v>
      </c>
      <c r="EI30" s="491">
        <f>'KELURAHAN (DI ISI)'!DS101+'KELURAHAN (DI ISI)'!DS105+'KELURAHAN (DI ISI)'!DS106+'KELURAHAN (DI ISI)'!DS107+'KELURAHAN (DI ISI)'!DS108+'KELURAHAN (DI ISI)'!DS109+'KELURAHAN (DI ISI)'!DS110</f>
        <v>0</v>
      </c>
      <c r="EJ30" s="491">
        <f>'KELURAHAN (DI ISI)'!DT101+'KELURAHAN (DI ISI)'!DT105+'KELURAHAN (DI ISI)'!DT106+'KELURAHAN (DI ISI)'!DT107+'KELURAHAN (DI ISI)'!DT108+'KELURAHAN (DI ISI)'!DT109+'KELURAHAN (DI ISI)'!DT110</f>
        <v>0</v>
      </c>
      <c r="EK30" s="491">
        <f>'KELURAHAN (DI ISI)'!DU101+'KELURAHAN (DI ISI)'!DU105+'KELURAHAN (DI ISI)'!DU106+'KELURAHAN (DI ISI)'!DU107+'KELURAHAN (DI ISI)'!DU108+'KELURAHAN (DI ISI)'!DU109+'KELURAHAN (DI ISI)'!DU110</f>
        <v>4</v>
      </c>
      <c r="EL30" s="491">
        <f>'KELURAHAN (DI ISI)'!DV101+'KELURAHAN (DI ISI)'!DV105+'KELURAHAN (DI ISI)'!DV106+'KELURAHAN (DI ISI)'!DV107+'KELURAHAN (DI ISI)'!DV108+'KELURAHAN (DI ISI)'!DV109+'KELURAHAN (DI ISI)'!DV110</f>
        <v>6</v>
      </c>
      <c r="EM30" s="491">
        <f>'KELURAHAN (DI ISI)'!DW101+'KELURAHAN (DI ISI)'!DW105+'KELURAHAN (DI ISI)'!DW106+'KELURAHAN (DI ISI)'!DW107+'KELURAHAN (DI ISI)'!DW108+'KELURAHAN (DI ISI)'!DW109+'KELURAHAN (DI ISI)'!DW110</f>
        <v>0</v>
      </c>
      <c r="EN30" s="491">
        <f>'KELURAHAN (DI ISI)'!DX101+'KELURAHAN (DI ISI)'!DX105+'KELURAHAN (DI ISI)'!DX106+'KELURAHAN (DI ISI)'!DX107+'KELURAHAN (DI ISI)'!DX108+'KELURAHAN (DI ISI)'!DX109+'KELURAHAN (DI ISI)'!DX110</f>
        <v>0</v>
      </c>
      <c r="EO30" s="491">
        <f>'KELURAHAN (DI ISI)'!DY101+'KELURAHAN (DI ISI)'!DY105+'KELURAHAN (DI ISI)'!DY106+'KELURAHAN (DI ISI)'!DY107+'KELURAHAN (DI ISI)'!DY108+'KELURAHAN (DI ISI)'!DY109+'KELURAHAN (DI ISI)'!DY110</f>
        <v>7</v>
      </c>
      <c r="EP30" s="491">
        <f>'KELURAHAN (DI ISI)'!DZ101+'KELURAHAN (DI ISI)'!DZ105+'KELURAHAN (DI ISI)'!DZ106+'KELURAHAN (DI ISI)'!DZ107+'KELURAHAN (DI ISI)'!DZ108+'KELURAHAN (DI ISI)'!DZ109+'KELURAHAN (DI ISI)'!DZ110</f>
        <v>9</v>
      </c>
      <c r="EQ30" s="491">
        <f>'KELURAHAN (DI ISI)'!EA101+'KELURAHAN (DI ISI)'!EA105+'KELURAHAN (DI ISI)'!EA106+'KELURAHAN (DI ISI)'!EA107+'KELURAHAN (DI ISI)'!EA108+'KELURAHAN (DI ISI)'!EA109+'KELURAHAN (DI ISI)'!EA110</f>
        <v>0</v>
      </c>
      <c r="ER30" s="491">
        <f>'KELURAHAN (DI ISI)'!EB101+'KELURAHAN (DI ISI)'!EB105+'KELURAHAN (DI ISI)'!EB106+'KELURAHAN (DI ISI)'!EB107+'KELURAHAN (DI ISI)'!EB108+'KELURAHAN (DI ISI)'!EB109+'KELURAHAN (DI ISI)'!EB110</f>
        <v>0</v>
      </c>
      <c r="ES30" s="491">
        <f>'KELURAHAN (DI ISI)'!EC101+'KELURAHAN (DI ISI)'!EC105+'KELURAHAN (DI ISI)'!EC106+'KELURAHAN (DI ISI)'!EC107+'KELURAHAN (DI ISI)'!EC108+'KELURAHAN (DI ISI)'!EC109+'KELURAHAN (DI ISI)'!EC110</f>
        <v>0</v>
      </c>
      <c r="ET30" s="491">
        <f>'KELURAHAN (DI ISI)'!ED101+'KELURAHAN (DI ISI)'!ED105+'KELURAHAN (DI ISI)'!ED106+'KELURAHAN (DI ISI)'!ED107+'KELURAHAN (DI ISI)'!ED108+'KELURAHAN (DI ISI)'!ED109+'KELURAHAN (DI ISI)'!ED110</f>
        <v>0</v>
      </c>
      <c r="EU30" s="491">
        <f>'KELURAHAN (DI ISI)'!EE101+'KELURAHAN (DI ISI)'!EE105+'KELURAHAN (DI ISI)'!EE106+'KELURAHAN (DI ISI)'!EE107+'KELURAHAN (DI ISI)'!EE108+'KELURAHAN (DI ISI)'!EE109+'KELURAHAN (DI ISI)'!EE110</f>
        <v>0</v>
      </c>
      <c r="EV30" s="491">
        <f>'KELURAHAN (DI ISI)'!EF101+'KELURAHAN (DI ISI)'!EF105+'KELURAHAN (DI ISI)'!EF106+'KELURAHAN (DI ISI)'!EF107+'KELURAHAN (DI ISI)'!EF108+'KELURAHAN (DI ISI)'!EF109+'KELURAHAN (DI ISI)'!EF110</f>
        <v>1</v>
      </c>
      <c r="EW30" s="491">
        <f>'KELURAHAN (DI ISI)'!EG101+'KELURAHAN (DI ISI)'!EG105+'KELURAHAN (DI ISI)'!EG106+'KELURAHAN (DI ISI)'!EG107+'KELURAHAN (DI ISI)'!EG108+'KELURAHAN (DI ISI)'!EG109+'KELURAHAN (DI ISI)'!EG110</f>
        <v>17</v>
      </c>
      <c r="EX30" s="491">
        <f>'KELURAHAN (DI ISI)'!EH101+'KELURAHAN (DI ISI)'!EH105+'KELURAHAN (DI ISI)'!EH106+'KELURAHAN (DI ISI)'!EH107+'KELURAHAN (DI ISI)'!EH108+'KELURAHAN (DI ISI)'!EH109+'KELURAHAN (DI ISI)'!EH110</f>
        <v>8</v>
      </c>
      <c r="EY30" s="491">
        <f>'KELURAHAN (DI ISI)'!EI101+'KELURAHAN (DI ISI)'!EI105+'KELURAHAN (DI ISI)'!EI106+'KELURAHAN (DI ISI)'!EI107+'KELURAHAN (DI ISI)'!EI108+'KELURAHAN (DI ISI)'!EI109+'KELURAHAN (DI ISI)'!EI110</f>
        <v>7641</v>
      </c>
      <c r="EZ30" s="491">
        <f>'KELURAHAN (DI ISI)'!EJ101+'KELURAHAN (DI ISI)'!EJ105+'KELURAHAN (DI ISI)'!EJ106+'KELURAHAN (DI ISI)'!EJ107+'KELURAHAN (DI ISI)'!EJ108+'KELURAHAN (DI ISI)'!EJ109+'KELURAHAN (DI ISI)'!EJ110</f>
        <v>2282</v>
      </c>
      <c r="FA30" s="491">
        <f>'KELURAHAN (DI ISI)'!EK101+'KELURAHAN (DI ISI)'!EK105+'KELURAHAN (DI ISI)'!EK106+'KELURAHAN (DI ISI)'!EK107+'KELURAHAN (DI ISI)'!EK108+'KELURAHAN (DI ISI)'!EK109+'KELURAHAN (DI ISI)'!EK110</f>
        <v>7213</v>
      </c>
      <c r="FB30" s="491">
        <f>'KELURAHAN (DI ISI)'!EL101+'KELURAHAN (DI ISI)'!EL105+'KELURAHAN (DI ISI)'!EL106+'KELURAHAN (DI ISI)'!EL107+'KELURAHAN (DI ISI)'!EL108+'KELURAHAN (DI ISI)'!EL109+'KELURAHAN (DI ISI)'!EL110</f>
        <v>1976</v>
      </c>
      <c r="FC30" s="491">
        <f>'KELURAHAN (DI ISI)'!EM101+'KELURAHAN (DI ISI)'!EM105+'KELURAHAN (DI ISI)'!EM106+'KELURAHAN (DI ISI)'!EM107+'KELURAHAN (DI ISI)'!EM108+'KELURAHAN (DI ISI)'!EM109+'KELURAHAN (DI ISI)'!EM110</f>
        <v>36</v>
      </c>
      <c r="FD30" s="491">
        <f>'KELURAHAN (DI ISI)'!EN101+'KELURAHAN (DI ISI)'!EN105+'KELURAHAN (DI ISI)'!EN106+'KELURAHAN (DI ISI)'!EN107+'KELURAHAN (DI ISI)'!EN108+'KELURAHAN (DI ISI)'!EN109+'KELURAHAN (DI ISI)'!EN110</f>
        <v>11</v>
      </c>
      <c r="FE30" s="491">
        <f t="shared" si="18"/>
        <v>25</v>
      </c>
      <c r="FF30" s="491">
        <f>'KELURAHAN (DI ISI)'!EP101+'KELURAHAN (DI ISI)'!EP105+'KELURAHAN (DI ISI)'!EP106+'KELURAHAN (DI ISI)'!EP107+'KELURAHAN (DI ISI)'!EP108+'KELURAHAN (DI ISI)'!EP109+'KELURAHAN (DI ISI)'!EP110</f>
        <v>0</v>
      </c>
      <c r="FG30" s="491">
        <f>'KELURAHAN (DI ISI)'!EQ101+'KELURAHAN (DI ISI)'!EQ105+'KELURAHAN (DI ISI)'!EQ106+'KELURAHAN (DI ISI)'!EQ107+'KELURAHAN (DI ISI)'!EQ108+'KELURAHAN (DI ISI)'!EQ109+'KELURAHAN (DI ISI)'!EQ110</f>
        <v>0</v>
      </c>
      <c r="FH30" s="491">
        <f>'KELURAHAN (DI ISI)'!ER101+'KELURAHAN (DI ISI)'!ER105+'KELURAHAN (DI ISI)'!ER106+'KELURAHAN (DI ISI)'!ER107+'KELURAHAN (DI ISI)'!ER108+'KELURAHAN (DI ISI)'!ER109+'KELURAHAN (DI ISI)'!ER110</f>
        <v>5</v>
      </c>
      <c r="FI30" s="491">
        <f>'KELURAHAN (DI ISI)'!ES101+'KELURAHAN (DI ISI)'!ES105+'KELURAHAN (DI ISI)'!ES106+'KELURAHAN (DI ISI)'!ES107+'KELURAHAN (DI ISI)'!ES108+'KELURAHAN (DI ISI)'!ES109+'KELURAHAN (DI ISI)'!ES110</f>
        <v>16</v>
      </c>
      <c r="FJ30" s="491">
        <f>'KELURAHAN (DI ISI)'!ET101+'KELURAHAN (DI ISI)'!ET105+'KELURAHAN (DI ISI)'!ET106+'KELURAHAN (DI ISI)'!ET107+'KELURAHAN (DI ISI)'!ET108+'KELURAHAN (DI ISI)'!ET109+'KELURAHAN (DI ISI)'!ET110</f>
        <v>0</v>
      </c>
      <c r="FK30" s="491">
        <f>'KELURAHAN (DI ISI)'!EU101+'KELURAHAN (DI ISI)'!EU105+'KELURAHAN (DI ISI)'!EU106+'KELURAHAN (DI ISI)'!EU107+'KELURAHAN (DI ISI)'!EU108+'KELURAHAN (DI ISI)'!EU109+'KELURAHAN (DI ISI)'!EU110</f>
        <v>2</v>
      </c>
      <c r="FL30" s="491">
        <f>'KELURAHAN (DI ISI)'!EV101+'KELURAHAN (DI ISI)'!EV105+'KELURAHAN (DI ISI)'!EV106+'KELURAHAN (DI ISI)'!EV107+'KELURAHAN (DI ISI)'!EV108+'KELURAHAN (DI ISI)'!EV109+'KELURAHAN (DI ISI)'!EV110</f>
        <v>4</v>
      </c>
      <c r="FM30" s="491">
        <f>'KELURAHAN (DI ISI)'!EW101+'KELURAHAN (DI ISI)'!EW105+'KELURAHAN (DI ISI)'!EW106+'KELURAHAN (DI ISI)'!EW107+'KELURAHAN (DI ISI)'!EW108+'KELURAHAN (DI ISI)'!EW109+'KELURAHAN (DI ISI)'!EW110</f>
        <v>9</v>
      </c>
      <c r="FN30" s="491">
        <f>'KELURAHAN (DI ISI)'!EX101+'KELURAHAN (DI ISI)'!EX105+'KELURAHAN (DI ISI)'!EX106+'KELURAHAN (DI ISI)'!EX107+'KELURAHAN (DI ISI)'!EX108+'KELURAHAN (DI ISI)'!EX109+'KELURAHAN (DI ISI)'!EX110</f>
        <v>0</v>
      </c>
      <c r="FO30" s="491">
        <f>'KELURAHAN (DI ISI)'!EY101+'KELURAHAN (DI ISI)'!EY105+'KELURAHAN (DI ISI)'!EY106+'KELURAHAN (DI ISI)'!EY107+'KELURAHAN (DI ISI)'!EY108+'KELURAHAN (DI ISI)'!EY109+'KELURAHAN (DI ISI)'!EY110</f>
        <v>0</v>
      </c>
      <c r="FP30" s="491">
        <f>'KELURAHAN (DI ISI)'!EZ101+'KELURAHAN (DI ISI)'!EZ105+'KELURAHAN (DI ISI)'!EZ106+'KELURAHAN (DI ISI)'!EZ107+'KELURAHAN (DI ISI)'!EZ108+'KELURAHAN (DI ISI)'!EZ109+'KELURAHAN (DI ISI)'!EZ110</f>
        <v>2</v>
      </c>
      <c r="FQ30" s="491">
        <f>'KELURAHAN (DI ISI)'!FA101+'KELURAHAN (DI ISI)'!FA105+'KELURAHAN (DI ISI)'!FA106+'KELURAHAN (DI ISI)'!FA107+'KELURAHAN (DI ISI)'!FA108+'KELURAHAN (DI ISI)'!FA109+'KELURAHAN (DI ISI)'!FA110</f>
        <v>5</v>
      </c>
      <c r="FR30" s="491">
        <f>'KELURAHAN (DI ISI)'!FB101+'KELURAHAN (DI ISI)'!FB105+'KELURAHAN (DI ISI)'!FB106+'KELURAHAN (DI ISI)'!FB107+'KELURAHAN (DI ISI)'!FB108+'KELURAHAN (DI ISI)'!FB109+'KELURAHAN (DI ISI)'!FB110</f>
        <v>0</v>
      </c>
      <c r="FS30" s="491">
        <f>'KELURAHAN (DI ISI)'!FC101+'KELURAHAN (DI ISI)'!FC105+'KELURAHAN (DI ISI)'!FC106+'KELURAHAN (DI ISI)'!FC107+'KELURAHAN (DI ISI)'!FC108+'KELURAHAN (DI ISI)'!FC109+'KELURAHAN (DI ISI)'!FC110</f>
        <v>0</v>
      </c>
      <c r="FT30" s="491">
        <f>'KELURAHAN (DI ISI)'!FD101+'KELURAHAN (DI ISI)'!FD105+'KELURAHAN (DI ISI)'!FD106+'KELURAHAN (DI ISI)'!FD107+'KELURAHAN (DI ISI)'!FD108+'KELURAHAN (DI ISI)'!FD109+'KELURAHAN (DI ISI)'!FD110</f>
        <v>0</v>
      </c>
      <c r="FU30" s="491">
        <f>'KELURAHAN (DI ISI)'!FE101+'KELURAHAN (DI ISI)'!FE105+'KELURAHAN (DI ISI)'!FE106+'KELURAHAN (DI ISI)'!FE107+'KELURAHAN (DI ISI)'!FE108+'KELURAHAN (DI ISI)'!FE109+'KELURAHAN (DI ISI)'!FE110</f>
        <v>0</v>
      </c>
      <c r="FV30" s="491">
        <f>'KELURAHAN (DI ISI)'!FF101+'KELURAHAN (DI ISI)'!FF105+'KELURAHAN (DI ISI)'!FF106+'KELURAHAN (DI ISI)'!FF107+'KELURAHAN (DI ISI)'!FF108+'KELURAHAN (DI ISI)'!FF109+'KELURAHAN (DI ISI)'!FF110</f>
        <v>0</v>
      </c>
      <c r="FW30" s="491">
        <f>'KELURAHAN (DI ISI)'!FG101+'KELURAHAN (DI ISI)'!FG105+'KELURAHAN (DI ISI)'!FG106+'KELURAHAN (DI ISI)'!FG107+'KELURAHAN (DI ISI)'!FG108+'KELURAHAN (DI ISI)'!FG109+'KELURAHAN (DI ISI)'!FG110</f>
        <v>0</v>
      </c>
      <c r="FX30" s="491">
        <f>'KELURAHAN (DI ISI)'!FH101+'KELURAHAN (DI ISI)'!FH105+'KELURAHAN (DI ISI)'!FH106+'KELURAHAN (DI ISI)'!FH107+'KELURAHAN (DI ISI)'!FH108+'KELURAHAN (DI ISI)'!FH109+'KELURAHAN (DI ISI)'!FH110</f>
        <v>7</v>
      </c>
      <c r="FY30" s="491">
        <f>'KELURAHAN (DI ISI)'!FI101+'KELURAHAN (DI ISI)'!FI105+'KELURAHAN (DI ISI)'!FI106+'KELURAHAN (DI ISI)'!FI107+'KELURAHAN (DI ISI)'!FI108+'KELURAHAN (DI ISI)'!FI109+'KELURAHAN (DI ISI)'!FI110</f>
        <v>2</v>
      </c>
      <c r="FZ30" s="491">
        <f>'KELURAHAN (DI ISI)'!FJ101+'KELURAHAN (DI ISI)'!FJ105+'KELURAHAN (DI ISI)'!FJ106+'KELURAHAN (DI ISI)'!FJ107+'KELURAHAN (DI ISI)'!FJ108+'KELURAHAN (DI ISI)'!FJ109+'KELURAHAN (DI ISI)'!FJ110</f>
        <v>7607</v>
      </c>
      <c r="GA30" s="491">
        <f>'KELURAHAN (DI ISI)'!FK101+'KELURAHAN (DI ISI)'!FK105+'KELURAHAN (DI ISI)'!FK106+'KELURAHAN (DI ISI)'!FK107+'KELURAHAN (DI ISI)'!FK108+'KELURAHAN (DI ISI)'!FK109+'KELURAHAN (DI ISI)'!FK110</f>
        <v>2207</v>
      </c>
      <c r="GB30" s="491">
        <f>'KELURAHAN (DI ISI)'!FL101+'KELURAHAN (DI ISI)'!FL105+'KELURAHAN (DI ISI)'!FL106+'KELURAHAN (DI ISI)'!FL107+'KELURAHAN (DI ISI)'!FL108+'KELURAHAN (DI ISI)'!FL109+'KELURAHAN (DI ISI)'!FL110</f>
        <v>7106</v>
      </c>
      <c r="GC30" s="491">
        <f>'KELURAHAN (DI ISI)'!FM101+'KELURAHAN (DI ISI)'!FM105+'KELURAHAN (DI ISI)'!FM106+'KELURAHAN (DI ISI)'!FM107+'KELURAHAN (DI ISI)'!FM108+'KELURAHAN (DI ISI)'!FM109+'KELURAHAN (DI ISI)'!FM110</f>
        <v>1903</v>
      </c>
      <c r="GD30" s="570">
        <v>7106.0</v>
      </c>
      <c r="GE30" s="571">
        <f>'KELURAHAN (DI ISI)'!FO101+'KELURAHAN (DI ISI)'!FO105+'KELURAHAN (DI ISI)'!FO106+'KELURAHAN (DI ISI)'!FO107+'KELURAHAN (DI ISI)'!FO108+'KELURAHAN (DI ISI)'!FO109+'KELURAHAN (DI ISI)'!FO110</f>
        <v>31</v>
      </c>
      <c r="GF30" s="571">
        <f>'KELURAHAN (DI ISI)'!FP101+'KELURAHAN (DI ISI)'!FP105+'KELURAHAN (DI ISI)'!FP106+'KELURAHAN (DI ISI)'!FP107+'KELURAHAN (DI ISI)'!FP108+'KELURAHAN (DI ISI)'!FP109+'KELURAHAN (DI ISI)'!FP110</f>
        <v>31</v>
      </c>
      <c r="GG30" s="571">
        <f>'KELURAHAN (DI ISI)'!FP101+'KELURAHAN (DI ISI)'!FP105+'KELURAHAN (DI ISI)'!FP106+'KELURAHAN (DI ISI)'!FP107+'KELURAHAN (DI ISI)'!FP108+'KELURAHAN (DI ISI)'!FP109+'KELURAHAN (DI ISI)'!FP110</f>
        <v>31</v>
      </c>
      <c r="GH30" s="571">
        <f>'KELURAHAN (DI ISI)'!FQ101+'KELURAHAN (DI ISI)'!FQ105+'KELURAHAN (DI ISI)'!FQ106+'KELURAHAN (DI ISI)'!FQ107+'KELURAHAN (DI ISI)'!FQ108+'KELURAHAN (DI ISI)'!FQ109+'KELURAHAN (DI ISI)'!FQ110</f>
        <v>9</v>
      </c>
      <c r="GI30" s="571">
        <f t="shared" si="19"/>
        <v>22</v>
      </c>
      <c r="GJ30" s="491">
        <f>'KELURAHAN (DI ISI)'!FS101+'KELURAHAN (DI ISI)'!FS105+'KELURAHAN (DI ISI)'!FS106+'KELURAHAN (DI ISI)'!FS107+'KELURAHAN (DI ISI)'!FS108+'KELURAHAN (DI ISI)'!FS109+'KELURAHAN (DI ISI)'!FS110</f>
        <v>0</v>
      </c>
      <c r="GK30" s="491">
        <f>'KELURAHAN (DI ISI)'!FT101+'KELURAHAN (DI ISI)'!FT105+'KELURAHAN (DI ISI)'!FT106+'KELURAHAN (DI ISI)'!FT107+'KELURAHAN (DI ISI)'!FT108+'KELURAHAN (DI ISI)'!FT109+'KELURAHAN (DI ISI)'!FT110</f>
        <v>0</v>
      </c>
      <c r="GL30" s="491">
        <f>'KELURAHAN (DI ISI)'!FU101+'KELURAHAN (DI ISI)'!FU105+'KELURAHAN (DI ISI)'!FU106+'KELURAHAN (DI ISI)'!FU107+'KELURAHAN (DI ISI)'!FU108+'KELURAHAN (DI ISI)'!FU109+'KELURAHAN (DI ISI)'!FU110</f>
        <v>6</v>
      </c>
      <c r="GM30" s="491">
        <f>'KELURAHAN (DI ISI)'!FV101+'KELURAHAN (DI ISI)'!FV105+'KELURAHAN (DI ISI)'!FV106+'KELURAHAN (DI ISI)'!FV107+'KELURAHAN (DI ISI)'!FV108+'KELURAHAN (DI ISI)'!FV109+'KELURAHAN (DI ISI)'!FV110</f>
        <v>19</v>
      </c>
      <c r="GN30" s="491">
        <f>'KELURAHAN (DI ISI)'!FW101+'KELURAHAN (DI ISI)'!FW105+'KELURAHAN (DI ISI)'!FW106+'KELURAHAN (DI ISI)'!FW107+'KELURAHAN (DI ISI)'!FW108+'KELURAHAN (DI ISI)'!FW109+'KELURAHAN (DI ISI)'!FW110</f>
        <v>0</v>
      </c>
      <c r="GO30" s="491">
        <f>'KELURAHAN (DI ISI)'!FX101+'KELURAHAN (DI ISI)'!FX105+'KELURAHAN (DI ISI)'!FX106+'KELURAHAN (DI ISI)'!FX107+'KELURAHAN (DI ISI)'!FX108+'KELURAHAN (DI ISI)'!FX109+'KELURAHAN (DI ISI)'!FX110</f>
        <v>0</v>
      </c>
      <c r="GP30" s="491">
        <f>'KELURAHAN (DI ISI)'!FY101+'KELURAHAN (DI ISI)'!FY105+'KELURAHAN (DI ISI)'!FY106+'KELURAHAN (DI ISI)'!FY107+'KELURAHAN (DI ISI)'!FY108+'KELURAHAN (DI ISI)'!FY109+'KELURAHAN (DI ISI)'!FY110</f>
        <v>3</v>
      </c>
      <c r="GQ30" s="491">
        <f>'KELURAHAN (DI ISI)'!FZ101+'KELURAHAN (DI ISI)'!FZ105+'KELURAHAN (DI ISI)'!FZ106+'KELURAHAN (DI ISI)'!FZ107+'KELURAHAN (DI ISI)'!FZ108+'KELURAHAN (DI ISI)'!FZ109+'KELURAHAN (DI ISI)'!FZ110</f>
        <v>3</v>
      </c>
      <c r="GR30" s="491">
        <f>'KELURAHAN (DI ISI)'!GA101+'KELURAHAN (DI ISI)'!GA105+'KELURAHAN (DI ISI)'!GA106+'KELURAHAN (DI ISI)'!GA107+'KELURAHAN (DI ISI)'!GA108+'KELURAHAN (DI ISI)'!GA109+'KELURAHAN (DI ISI)'!GA110</f>
        <v>0</v>
      </c>
      <c r="GS30" s="491">
        <f>'KELURAHAN (DI ISI)'!GB101+'KELURAHAN (DI ISI)'!GB105+'KELURAHAN (DI ISI)'!GB106+'KELURAHAN (DI ISI)'!GB107+'KELURAHAN (DI ISI)'!GB108+'KELURAHAN (DI ISI)'!GB109+'KELURAHAN (DI ISI)'!GB110</f>
        <v>1</v>
      </c>
      <c r="GT30" s="491">
        <f>'KELURAHAN (DI ISI)'!GC101+'KELURAHAN (DI ISI)'!GC105+'KELURAHAN (DI ISI)'!GC106+'KELURAHAN (DI ISI)'!GC107+'KELURAHAN (DI ISI)'!GC108+'KELURAHAN (DI ISI)'!GC109+'KELURAHAN (DI ISI)'!GC110</f>
        <v>1</v>
      </c>
      <c r="GU30" s="491">
        <f>'KELURAHAN (DI ISI)'!GD101+'KELURAHAN (DI ISI)'!GD105+'KELURAHAN (DI ISI)'!GD106+'KELURAHAN (DI ISI)'!GD107+'KELURAHAN (DI ISI)'!GD108+'KELURAHAN (DI ISI)'!GD109+'KELURAHAN (DI ISI)'!GD110</f>
        <v>6</v>
      </c>
      <c r="GV30" s="491">
        <f>'KELURAHAN (DI ISI)'!GE101+'KELURAHAN (DI ISI)'!GE105+'KELURAHAN (DI ISI)'!GE106+'KELURAHAN (DI ISI)'!GE107+'KELURAHAN (DI ISI)'!GE108+'KELURAHAN (DI ISI)'!GE109+'KELURAHAN (DI ISI)'!GE110</f>
        <v>0</v>
      </c>
      <c r="GW30" s="491">
        <f>'KELURAHAN (DI ISI)'!GF101+'KELURAHAN (DI ISI)'!GF105+'KELURAHAN (DI ISI)'!GF106+'KELURAHAN (DI ISI)'!GF107+'KELURAHAN (DI ISI)'!GF108+'KELURAHAN (DI ISI)'!GF109+'KELURAHAN (DI ISI)'!GF110</f>
        <v>0</v>
      </c>
      <c r="GX30" s="491">
        <f>'KELURAHAN (DI ISI)'!GG101+'KELURAHAN (DI ISI)'!GG105+'KELURAHAN (DI ISI)'!GG106+'KELURAHAN (DI ISI)'!GG107+'KELURAHAN (DI ISI)'!GG108+'KELURAHAN (DI ISI)'!GG109+'KELURAHAN (DI ISI)'!GG110</f>
        <v>1</v>
      </c>
      <c r="GY30" s="491">
        <f>'KELURAHAN (DI ISI)'!GH101+'KELURAHAN (DI ISI)'!GH105+'KELURAHAN (DI ISI)'!GH106+'KELURAHAN (DI ISI)'!GH107+'KELURAHAN (DI ISI)'!GH108+'KELURAHAN (DI ISI)'!GH109+'KELURAHAN (DI ISI)'!GH110</f>
        <v>2</v>
      </c>
      <c r="GZ30" s="491">
        <f>'KELURAHAN (DI ISI)'!GI101+'KELURAHAN (DI ISI)'!GI105+'KELURAHAN (DI ISI)'!GI106+'KELURAHAN (DI ISI)'!GI107+'KELURAHAN (DI ISI)'!GI108+'KELURAHAN (DI ISI)'!GI109+'KELURAHAN (DI ISI)'!GI110</f>
        <v>0</v>
      </c>
      <c r="HA30" s="491">
        <f>'KELURAHAN (DI ISI)'!GJ101+'KELURAHAN (DI ISI)'!GJ105+'KELURAHAN (DI ISI)'!GJ106+'KELURAHAN (DI ISI)'!GJ107+'KELURAHAN (DI ISI)'!GJ108+'KELURAHAN (DI ISI)'!GJ109+'KELURAHAN (DI ISI)'!GJ110</f>
        <v>0</v>
      </c>
      <c r="HB30" s="572">
        <f>'KELURAHAN (DI ISI)'!GK101+'KELURAHAN (DI ISI)'!GK105+'KELURAHAN (DI ISI)'!GK106+'KELURAHAN (DI ISI)'!GK107+'KELURAHAN (DI ISI)'!GK108+'KELURAHAN (DI ISI)'!GK109+'KELURAHAN (DI ISI)'!GK110</f>
        <v>11</v>
      </c>
      <c r="HC30" s="572">
        <f>'KELURAHAN (DI ISI)'!GL101+'KELURAHAN (DI ISI)'!GL105+'KELURAHAN (DI ISI)'!GL106+'KELURAHAN (DI ISI)'!GL107+'KELURAHAN (DI ISI)'!GL108+'KELURAHAN (DI ISI)'!GL109+'KELURAHAN (DI ISI)'!GL110</f>
        <v>3</v>
      </c>
      <c r="HD30" s="491">
        <f>'KELURAHAN (DI ISI)'!GM101+'KELURAHAN (DI ISI)'!GM105+'KELURAHAN (DI ISI)'!GM106+'KELURAHAN (DI ISI)'!GM107+'KELURAHAN (DI ISI)'!GM108+'KELURAHAN (DI ISI)'!GM109+'KELURAHAN (DI ISI)'!GM110</f>
        <v>7430</v>
      </c>
      <c r="HE30" s="491">
        <f>'KELURAHAN (DI ISI)'!GN101+'KELURAHAN (DI ISI)'!GN105+'KELURAHAN (DI ISI)'!GN106+'KELURAHAN (DI ISI)'!GN107+'KELURAHAN (DI ISI)'!GN108+'KELURAHAN (DI ISI)'!GN109+'KELURAHAN (DI ISI)'!GN110</f>
        <v>2034</v>
      </c>
      <c r="HF30" s="491">
        <f>'KELURAHAN (DI ISI)'!GO101+'KELURAHAN (DI ISI)'!GO105+'KELURAHAN (DI ISI)'!GO106+'KELURAHAN (DI ISI)'!GO107+'KELURAHAN (DI ISI)'!GO108+'KELURAHAN (DI ISI)'!GO109+'KELURAHAN (DI ISI)'!GO110</f>
        <v>7076</v>
      </c>
      <c r="HG30" s="491">
        <f>'KELURAHAN (DI ISI)'!GP101+'KELURAHAN (DI ISI)'!GP105+'KELURAHAN (DI ISI)'!GP106+'KELURAHAN (DI ISI)'!GP107+'KELURAHAN (DI ISI)'!GP108+'KELURAHAN (DI ISI)'!GP109+'KELURAHAN (DI ISI)'!GP110</f>
        <v>1850</v>
      </c>
      <c r="HH30" s="570">
        <v>7106.0</v>
      </c>
      <c r="HI30" s="225">
        <f>'KELURAHAN (DI ISI)'!GR101+'KELURAHAN (DI ISI)'!GR105+'KELURAHAN (DI ISI)'!GR106+'KELURAHAN (DI ISI)'!GR107+'KELURAHAN (DI ISI)'!GR108+'KELURAHAN (DI ISI)'!GR109+'KELURAHAN (DI ISI)'!GR110</f>
        <v>34</v>
      </c>
      <c r="HJ30" s="225">
        <f>'KELURAHAN (DI ISI)'!GS101+'KELURAHAN (DI ISI)'!GS105+'KELURAHAN (DI ISI)'!GS106+'KELURAHAN (DI ISI)'!GS107+'KELURAHAN (DI ISI)'!GS108+'KELURAHAN (DI ISI)'!GS109+'KELURAHAN (DI ISI)'!GS110</f>
        <v>11</v>
      </c>
      <c r="HK30" s="573">
        <f>'KELURAHAN (DI ISI)'!GT101+'KELURAHAN (DI ISI)'!GT105+'KELURAHAN (DI ISI)'!GT106+'KELURAHAN (DI ISI)'!GT107+'KELURAHAN (DI ISI)'!GT108+'KELURAHAN (DI ISI)'!GT109+'KELURAHAN (DI ISI)'!GT110</f>
        <v>34</v>
      </c>
      <c r="HL30" s="573">
        <f>'KELURAHAN (DI ISI)'!GU101+'KELURAHAN (DI ISI)'!GU105+'KELURAHAN (DI ISI)'!GU106+'KELURAHAN (DI ISI)'!GU107+'KELURAHAN (DI ISI)'!GU108+'KELURAHAN (DI ISI)'!GU109+'KELURAHAN (DI ISI)'!GU110</f>
        <v>11</v>
      </c>
      <c r="HM30" s="573">
        <f t="shared" si="20"/>
        <v>23</v>
      </c>
      <c r="HN30" s="491">
        <f>'KELURAHAN (DI ISI)'!GW101+'KELURAHAN (DI ISI)'!GW105+'KELURAHAN (DI ISI)'!GW106+'KELURAHAN (DI ISI)'!GW107+'KELURAHAN (DI ISI)'!GW108+'KELURAHAN (DI ISI)'!GW109+'KELURAHAN (DI ISI)'!GW110</f>
        <v>0</v>
      </c>
      <c r="HO30" s="491">
        <f>'KELURAHAN (DI ISI)'!GX101+'KELURAHAN (DI ISI)'!GX105+'KELURAHAN (DI ISI)'!GX106+'KELURAHAN (DI ISI)'!GX107+'KELURAHAN (DI ISI)'!GX108+'KELURAHAN (DI ISI)'!GX109+'KELURAHAN (DI ISI)'!GX110</f>
        <v>0</v>
      </c>
      <c r="HP30" s="491">
        <f>'KELURAHAN (DI ISI)'!GY101+'KELURAHAN (DI ISI)'!GY105+'KELURAHAN (DI ISI)'!GY106+'KELURAHAN (DI ISI)'!GY107+'KELURAHAN (DI ISI)'!GY108+'KELURAHAN (DI ISI)'!GY109+'KELURAHAN (DI ISI)'!GY110</f>
        <v>8</v>
      </c>
      <c r="HQ30" s="491">
        <f>'KELURAHAN (DI ISI)'!GZ101+'KELURAHAN (DI ISI)'!GZ105+'KELURAHAN (DI ISI)'!GZ106+'KELURAHAN (DI ISI)'!GZ107+'KELURAHAN (DI ISI)'!GZ108+'KELURAHAN (DI ISI)'!GZ109+'KELURAHAN (DI ISI)'!GZ110</f>
        <v>16</v>
      </c>
      <c r="HR30" s="491">
        <f>'KELURAHAN (DI ISI)'!HA101+'KELURAHAN (DI ISI)'!HA105+'KELURAHAN (DI ISI)'!HA106+'KELURAHAN (DI ISI)'!HA107+'KELURAHAN (DI ISI)'!HA108+'KELURAHAN (DI ISI)'!HA109+'KELURAHAN (DI ISI)'!HA110</f>
        <v>0</v>
      </c>
      <c r="HS30" s="491">
        <f>'KELURAHAN (DI ISI)'!HB101+'KELURAHAN (DI ISI)'!HB105+'KELURAHAN (DI ISI)'!HB106+'KELURAHAN (DI ISI)'!HB107+'KELURAHAN (DI ISI)'!HB108+'KELURAHAN (DI ISI)'!HB109+'KELURAHAN (DI ISI)'!HB110</f>
        <v>1</v>
      </c>
      <c r="HT30" s="491">
        <f>'KELURAHAN (DI ISI)'!HC101+'KELURAHAN (DI ISI)'!HC105+'KELURAHAN (DI ISI)'!HC106+'KELURAHAN (DI ISI)'!HC107+'KELURAHAN (DI ISI)'!HC108+'KELURAHAN (DI ISI)'!HC109+'KELURAHAN (DI ISI)'!HC110</f>
        <v>2</v>
      </c>
      <c r="HU30" s="491">
        <f>'KELURAHAN (DI ISI)'!HD101+'KELURAHAN (DI ISI)'!HD105+'KELURAHAN (DI ISI)'!HD106+'KELURAHAN (DI ISI)'!HD107+'KELURAHAN (DI ISI)'!HD108+'KELURAHAN (DI ISI)'!HD109+'KELURAHAN (DI ISI)'!HD110</f>
        <v>7</v>
      </c>
      <c r="HV30" s="491">
        <f>'KELURAHAN (DI ISI)'!HE101+'KELURAHAN (DI ISI)'!HE105+'KELURAHAN (DI ISI)'!HE106+'KELURAHAN (DI ISI)'!HE107+'KELURAHAN (DI ISI)'!HE108+'KELURAHAN (DI ISI)'!HE109+'KELURAHAN (DI ISI)'!HE110</f>
        <v>0</v>
      </c>
      <c r="HW30" s="491">
        <f>'KELURAHAN (DI ISI)'!HF101+'KELURAHAN (DI ISI)'!HF105+'KELURAHAN (DI ISI)'!HF106+'KELURAHAN (DI ISI)'!HF107+'KELURAHAN (DI ISI)'!HF108+'KELURAHAN (DI ISI)'!HF109+'KELURAHAN (DI ISI)'!HF110</f>
        <v>0</v>
      </c>
      <c r="HX30" s="491">
        <f>'KELURAHAN (DI ISI)'!HG101+'KELURAHAN (DI ISI)'!HG105+'KELURAHAN (DI ISI)'!HG106+'KELURAHAN (DI ISI)'!HG107+'KELURAHAN (DI ISI)'!HG108+'KELURAHAN (DI ISI)'!HG109+'KELURAHAN (DI ISI)'!HG110</f>
        <v>1</v>
      </c>
      <c r="HY30" s="491">
        <f>'KELURAHAN (DI ISI)'!HH101+'KELURAHAN (DI ISI)'!HH105+'KELURAHAN (DI ISI)'!HH106+'KELURAHAN (DI ISI)'!HH107+'KELURAHAN (DI ISI)'!HH108+'KELURAHAN (DI ISI)'!HH109+'KELURAHAN (DI ISI)'!HH110</f>
        <v>3</v>
      </c>
      <c r="HZ30" s="491">
        <f>'KELURAHAN (DI ISI)'!HI101+'KELURAHAN (DI ISI)'!HI105+'KELURAHAN (DI ISI)'!HI106+'KELURAHAN (DI ISI)'!HI107+'KELURAHAN (DI ISI)'!HI108+'KELURAHAN (DI ISI)'!HI109+'KELURAHAN (DI ISI)'!HI110</f>
        <v>0</v>
      </c>
      <c r="IA30" s="491">
        <f>'KELURAHAN (DI ISI)'!HJ101+'KELURAHAN (DI ISI)'!HJ105+'KELURAHAN (DI ISI)'!HJ106+'KELURAHAN (DI ISI)'!HJ107+'KELURAHAN (DI ISI)'!HJ108+'KELURAHAN (DI ISI)'!HJ109+'KELURAHAN (DI ISI)'!HJ110</f>
        <v>0</v>
      </c>
      <c r="IB30" s="491">
        <f>'KELURAHAN (DI ISI)'!HK101+'KELURAHAN (DI ISI)'!HK105+'KELURAHAN (DI ISI)'!HK106+'KELURAHAN (DI ISI)'!HK107+'KELURAHAN (DI ISI)'!HK108+'KELURAHAN (DI ISI)'!HK109+'KELURAHAN (DI ISI)'!HK110</f>
        <v>0</v>
      </c>
      <c r="IC30" s="491">
        <f>'KELURAHAN (DI ISI)'!HL101+'KELURAHAN (DI ISI)'!HL105+'KELURAHAN (DI ISI)'!HL106+'KELURAHAN (DI ISI)'!HL107+'KELURAHAN (DI ISI)'!HL108+'KELURAHAN (DI ISI)'!HL109+'KELURAHAN (DI ISI)'!HL110</f>
        <v>0</v>
      </c>
      <c r="ID30" s="491">
        <f>'KELURAHAN (DI ISI)'!HM101+'KELURAHAN (DI ISI)'!HM105+'KELURAHAN (DI ISI)'!HM106+'KELURAHAN (DI ISI)'!HM107+'KELURAHAN (DI ISI)'!HM108+'KELURAHAN (DI ISI)'!HM109+'KELURAHAN (DI ISI)'!HM110</f>
        <v>0</v>
      </c>
      <c r="IE30" s="491">
        <f>'KELURAHAN (DI ISI)'!HN101+'KELURAHAN (DI ISI)'!HN105+'KELURAHAN (DI ISI)'!HN106+'KELURAHAN (DI ISI)'!HN107+'KELURAHAN (DI ISI)'!HN108+'KELURAHAN (DI ISI)'!HN109+'KELURAHAN (DI ISI)'!HN110</f>
        <v>0</v>
      </c>
      <c r="IF30" s="573">
        <f>'KELURAHAN (DI ISI)'!HO101+'KELURAHAN (DI ISI)'!HO105+'KELURAHAN (DI ISI)'!HO106+'KELURAHAN (DI ISI)'!HO107+'KELURAHAN (DI ISI)'!HO108+'KELURAHAN (DI ISI)'!HO109+'KELURAHAN (DI ISI)'!HO110</f>
        <v>0</v>
      </c>
      <c r="IG30" s="573">
        <f>'KELURAHAN (DI ISI)'!HP101+'KELURAHAN (DI ISI)'!HP105+'KELURAHAN (DI ISI)'!HP106+'KELURAHAN (DI ISI)'!HP107+'KELURAHAN (DI ISI)'!HP108+'KELURAHAN (DI ISI)'!HP109+'KELURAHAN (DI ISI)'!HP110</f>
        <v>0</v>
      </c>
      <c r="IK30" s="198">
        <f t="shared" si="21"/>
        <v>79</v>
      </c>
      <c r="IL30" s="198">
        <f t="shared" si="22"/>
        <v>79</v>
      </c>
      <c r="IM30" s="198">
        <f t="shared" si="23"/>
        <v>84</v>
      </c>
      <c r="IN30" s="198">
        <f t="shared" si="24"/>
        <v>43</v>
      </c>
      <c r="IO30" s="198">
        <f t="shared" si="25"/>
        <v>52</v>
      </c>
      <c r="IP30" s="198">
        <f t="shared" si="26"/>
        <v>82</v>
      </c>
      <c r="IQ30" s="574">
        <f t="shared" si="27"/>
        <v>52</v>
      </c>
      <c r="IR30" s="574">
        <f t="shared" si="28"/>
        <v>35</v>
      </c>
      <c r="IS30" s="574">
        <f t="shared" si="29"/>
        <v>28</v>
      </c>
      <c r="IT30" s="574">
        <f t="shared" si="30"/>
        <v>36</v>
      </c>
      <c r="IU30" s="574">
        <f t="shared" si="31"/>
        <v>31</v>
      </c>
      <c r="IV30" s="575">
        <f t="shared" si="32"/>
        <v>34</v>
      </c>
      <c r="IW30" s="583"/>
      <c r="IX30" s="576">
        <f t="shared" si="33"/>
        <v>-34</v>
      </c>
      <c r="IZ30" s="577"/>
      <c r="JA30" s="162">
        <f t="shared" si="34"/>
        <v>-7430</v>
      </c>
      <c r="JB30" s="578"/>
      <c r="JC30" s="579">
        <f t="shared" si="35"/>
        <v>-2034</v>
      </c>
      <c r="JD30" s="600"/>
      <c r="JE30" s="594"/>
      <c r="JF30" s="577"/>
      <c r="JG30" s="234">
        <f t="shared" si="36"/>
        <v>-7076</v>
      </c>
      <c r="JH30" s="578"/>
      <c r="JI30" s="579">
        <f t="shared" si="37"/>
        <v>-1850</v>
      </c>
      <c r="JJ30" s="247"/>
    </row>
    <row r="31" ht="14.25" customHeight="1">
      <c r="A31" s="158">
        <v>24.0</v>
      </c>
      <c r="B31" s="157" t="s">
        <v>191</v>
      </c>
      <c r="C31" s="253">
        <v>3374120.0</v>
      </c>
      <c r="D31" s="569" t="s">
        <v>194</v>
      </c>
      <c r="E31" s="253"/>
      <c r="F31" s="259">
        <f>'KELURAHAN (DI ISI)'!F99+'KELURAHAN (DI ISI)'!F100+'KELURAHAN (DI ISI)'!F102+'KELURAHAN (DI ISI)'!F103+'KELURAHAN (DI ISI)'!F104</f>
        <v>61</v>
      </c>
      <c r="G31" s="259">
        <f>'KELURAHAN (DI ISI)'!G99+'KELURAHAN (DI ISI)'!G100+'KELURAHAN (DI ISI)'!G102+'KELURAHAN (DI ISI)'!G103+'KELURAHAN (DI ISI)'!G104</f>
        <v>3690</v>
      </c>
      <c r="H31" s="259">
        <f>'KELURAHAN (DI ISI)'!H99+'KELURAHAN (DI ISI)'!H100+'KELURAHAN (DI ISI)'!H102+'KELURAHAN (DI ISI)'!H103+'KELURAHAN (DI ISI)'!H104</f>
        <v>30</v>
      </c>
      <c r="I31" s="491">
        <f t="shared" si="1"/>
        <v>12</v>
      </c>
      <c r="J31" s="491">
        <f t="shared" si="2"/>
        <v>18</v>
      </c>
      <c r="K31" s="491">
        <f>'KELURAHAN (DI ISI)'!I99+'KELURAHAN (DI ISI)'!I100+'KELURAHAN (DI ISI)'!I102+'KELURAHAN (DI ISI)'!I103+'KELURAHAN (DI ISI)'!I104</f>
        <v>0</v>
      </c>
      <c r="L31" s="491">
        <f>'KELURAHAN (DI ISI)'!J99+'KELURAHAN (DI ISI)'!J100+'KELURAHAN (DI ISI)'!J102+'KELURAHAN (DI ISI)'!J103+'KELURAHAN (DI ISI)'!J104</f>
        <v>1</v>
      </c>
      <c r="M31" s="491">
        <f>'KELURAHAN (DI ISI)'!K99+'KELURAHAN (DI ISI)'!K100+'KELURAHAN (DI ISI)'!K102+'KELURAHAN (DI ISI)'!K103+'KELURAHAN (DI ISI)'!K104</f>
        <v>11</v>
      </c>
      <c r="N31" s="491">
        <f>'KELURAHAN (DI ISI)'!L99+'KELURAHAN (DI ISI)'!L100+'KELURAHAN (DI ISI)'!L102+'KELURAHAN (DI ISI)'!L103+'KELURAHAN (DI ISI)'!L104</f>
        <v>18</v>
      </c>
      <c r="O31" s="491">
        <f>'KELURAHAN (DI ISI)'!M99+'KELURAHAN (DI ISI)'!M100+'KELURAHAN (DI ISI)'!M102+'KELURAHAN (DI ISI)'!M103+'KELURAHAN (DI ISI)'!M104</f>
        <v>0</v>
      </c>
      <c r="P31" s="491">
        <f>'KELURAHAN (DI ISI)'!N99+'KELURAHAN (DI ISI)'!N100+'KELURAHAN (DI ISI)'!N102+'KELURAHAN (DI ISI)'!N103+'KELURAHAN (DI ISI)'!N104</f>
        <v>0</v>
      </c>
      <c r="Q31" s="491">
        <f>'KELURAHAN (DI ISI)'!O99+'KELURAHAN (DI ISI)'!O100+'KELURAHAN (DI ISI)'!O102+'KELURAHAN (DI ISI)'!O103+'KELURAHAN (DI ISI)'!O104</f>
        <v>30</v>
      </c>
      <c r="R31" s="491">
        <f>'KELURAHAN (DI ISI)'!P99+'KELURAHAN (DI ISI)'!P100+'KELURAHAN (DI ISI)'!P102+'KELURAHAN (DI ISI)'!P103+'KELURAHAN (DI ISI)'!P104</f>
        <v>29</v>
      </c>
      <c r="S31" s="491">
        <f t="shared" si="3"/>
        <v>12</v>
      </c>
      <c r="T31" s="491">
        <f t="shared" si="4"/>
        <v>17</v>
      </c>
      <c r="U31" s="491">
        <f>'KELURAHAN (DI ISI)'!Q99+'KELURAHAN (DI ISI)'!Q100+'KELURAHAN (DI ISI)'!Q102+'KELURAHAN (DI ISI)'!Q103+'KELURAHAN (DI ISI)'!Q104</f>
        <v>0</v>
      </c>
      <c r="V31" s="491">
        <f>'KELURAHAN (DI ISI)'!R99+'KELURAHAN (DI ISI)'!R100+'KELURAHAN (DI ISI)'!R102+'KELURAHAN (DI ISI)'!R103+'KELURAHAN (DI ISI)'!R104</f>
        <v>1</v>
      </c>
      <c r="W31" s="491">
        <f>'KELURAHAN (DI ISI)'!S99+'KELURAHAN (DI ISI)'!S100+'KELURAHAN (DI ISI)'!S102+'KELURAHAN (DI ISI)'!S103+'KELURAHAN (DI ISI)'!S104</f>
        <v>11</v>
      </c>
      <c r="X31" s="491">
        <f>'KELURAHAN (DI ISI)'!T99+'KELURAHAN (DI ISI)'!T100+'KELURAHAN (DI ISI)'!T102+'KELURAHAN (DI ISI)'!T103+'KELURAHAN (DI ISI)'!T104</f>
        <v>17</v>
      </c>
      <c r="Y31" s="491">
        <f>'KELURAHAN (DI ISI)'!U99+'KELURAHAN (DI ISI)'!U100+'KELURAHAN (DI ISI)'!U102+'KELURAHAN (DI ISI)'!U103+'KELURAHAN (DI ISI)'!U104</f>
        <v>2</v>
      </c>
      <c r="Z31" s="491">
        <f>'KELURAHAN (DI ISI)'!V99+'KELURAHAN (DI ISI)'!V100+'KELURAHAN (DI ISI)'!V102+'KELURAHAN (DI ISI)'!V103+'KELURAHAN (DI ISI)'!V104</f>
        <v>1</v>
      </c>
      <c r="AA31" s="491">
        <f>'KELURAHAN (DI ISI)'!W99+'KELURAHAN (DI ISI)'!W100+'KELURAHAN (DI ISI)'!W102+'KELURAHAN (DI ISI)'!W103+'KELURAHAN (DI ISI)'!W104</f>
        <v>26</v>
      </c>
      <c r="AB31" s="491">
        <f>'KELURAHAN (DI ISI)'!X99+'KELURAHAN (DI ISI)'!X100+'KELURAHAN (DI ISI)'!X102+'KELURAHAN (DI ISI)'!X103+'KELURAHAN (DI ISI)'!X104</f>
        <v>30</v>
      </c>
      <c r="AC31" s="491">
        <f t="shared" si="5"/>
        <v>12</v>
      </c>
      <c r="AD31" s="491">
        <f t="shared" si="6"/>
        <v>18</v>
      </c>
      <c r="AE31" s="491">
        <f>'KELURAHAN (DI ISI)'!Y99+'KELURAHAN (DI ISI)'!Y100+'KELURAHAN (DI ISI)'!Y102+'KELURAHAN (DI ISI)'!Y103+'KELURAHAN (DI ISI)'!Y104</f>
        <v>0</v>
      </c>
      <c r="AF31" s="491">
        <f>'KELURAHAN (DI ISI)'!Z99+'KELURAHAN (DI ISI)'!Z100+'KELURAHAN (DI ISI)'!Z102+'KELURAHAN (DI ISI)'!Z103+'KELURAHAN (DI ISI)'!Z104</f>
        <v>1</v>
      </c>
      <c r="AG31" s="491">
        <f>'KELURAHAN (DI ISI)'!AA99+'KELURAHAN (DI ISI)'!AA100+'KELURAHAN (DI ISI)'!AA102+'KELURAHAN (DI ISI)'!AA103+'KELURAHAN (DI ISI)'!AA104</f>
        <v>11</v>
      </c>
      <c r="AH31" s="491">
        <f>'KELURAHAN (DI ISI)'!AB99+'KELURAHAN (DI ISI)'!AB100+'KELURAHAN (DI ISI)'!AB102+'KELURAHAN (DI ISI)'!AB103+'KELURAHAN (DI ISI)'!AB104</f>
        <v>18</v>
      </c>
      <c r="AI31" s="491">
        <f>'KELURAHAN (DI ISI)'!AC99+'KELURAHAN (DI ISI)'!AC100+'KELURAHAN (DI ISI)'!AC102+'KELURAHAN (DI ISI)'!AC103+'KELURAHAN (DI ISI)'!AC104</f>
        <v>1</v>
      </c>
      <c r="AJ31" s="491">
        <f>'KELURAHAN (DI ISI)'!AD99+'KELURAHAN (DI ISI)'!AD100+'KELURAHAN (DI ISI)'!AD102+'KELURAHAN (DI ISI)'!AD103+'KELURAHAN (DI ISI)'!AD104</f>
        <v>1</v>
      </c>
      <c r="AK31" s="491">
        <f>'KELURAHAN (DI ISI)'!AE99+'KELURAHAN (DI ISI)'!AE100+'KELURAHAN (DI ISI)'!AE102+'KELURAHAN (DI ISI)'!AE103+'KELURAHAN (DI ISI)'!AE104</f>
        <v>28</v>
      </c>
      <c r="AL31" s="491">
        <f>'KELURAHAN (DI ISI)'!AF99+'KELURAHAN (DI ISI)'!AF100+'KELURAHAN (DI ISI)'!AF102+'KELURAHAN (DI ISI)'!AF103+'KELURAHAN (DI ISI)'!AF104</f>
        <v>28</v>
      </c>
      <c r="AM31" s="491">
        <f t="shared" si="7"/>
        <v>12</v>
      </c>
      <c r="AN31" s="491">
        <f t="shared" si="8"/>
        <v>16</v>
      </c>
      <c r="AO31" s="491">
        <f>'KELURAHAN (DI ISI)'!AG99+'KELURAHAN (DI ISI)'!AG100+'KELURAHAN (DI ISI)'!AG102+'KELURAHAN (DI ISI)'!AG103+'KELURAHAN (DI ISI)'!AG104</f>
        <v>0</v>
      </c>
      <c r="AP31" s="491">
        <f>'KELURAHAN (DI ISI)'!AH99+'KELURAHAN (DI ISI)'!AH100+'KELURAHAN (DI ISI)'!AH102+'KELURAHAN (DI ISI)'!AH103+'KELURAHAN (DI ISI)'!AH104</f>
        <v>1</v>
      </c>
      <c r="AQ31" s="491">
        <f>'KELURAHAN (DI ISI)'!AI99+'KELURAHAN (DI ISI)'!AI100+'KELURAHAN (DI ISI)'!AI102+'KELURAHAN (DI ISI)'!AI103+'KELURAHAN (DI ISI)'!AI104</f>
        <v>11</v>
      </c>
      <c r="AR31" s="491">
        <f>'KELURAHAN (DI ISI)'!AJ99+'KELURAHAN (DI ISI)'!AJ100+'KELURAHAN (DI ISI)'!AJ102+'KELURAHAN (DI ISI)'!AJ103+'KELURAHAN (DI ISI)'!AJ104</f>
        <v>16</v>
      </c>
      <c r="AS31" s="491">
        <f>'KELURAHAN (DI ISI)'!AK99+'KELURAHAN (DI ISI)'!AK100+'KELURAHAN (DI ISI)'!AK102+'KELURAHAN (DI ISI)'!AK103+'KELURAHAN (DI ISI)'!AK104</f>
        <v>1</v>
      </c>
      <c r="AT31" s="491">
        <f>'KELURAHAN (DI ISI)'!AL99+'KELURAHAN (DI ISI)'!AL100+'KELURAHAN (DI ISI)'!AL102+'KELURAHAN (DI ISI)'!AL103+'KELURAHAN (DI ISI)'!AL104</f>
        <v>1</v>
      </c>
      <c r="AU31" s="491">
        <f>'KELURAHAN (DI ISI)'!AM99+'KELURAHAN (DI ISI)'!AM100+'KELURAHAN (DI ISI)'!AM102+'KELURAHAN (DI ISI)'!AM103+'KELURAHAN (DI ISI)'!AM104</f>
        <v>26</v>
      </c>
      <c r="AV31" s="491">
        <f>'KELURAHAN (DI ISI)'!AN99+'KELURAHAN (DI ISI)'!AN100+'KELURAHAN (DI ISI)'!AN102+'KELURAHAN (DI ISI)'!AN103+'KELURAHAN (DI ISI)'!AN104</f>
        <v>28</v>
      </c>
      <c r="AW31" s="491">
        <f t="shared" si="9"/>
        <v>9</v>
      </c>
      <c r="AX31" s="491">
        <f t="shared" si="10"/>
        <v>19</v>
      </c>
      <c r="AY31" s="491">
        <f>'KELURAHAN (DI ISI)'!AO99+'KELURAHAN (DI ISI)'!AO100+'KELURAHAN (DI ISI)'!AO102+'KELURAHAN (DI ISI)'!AO103+'KELURAHAN (DI ISI)'!AO104</f>
        <v>0</v>
      </c>
      <c r="AZ31" s="491">
        <f>'KELURAHAN (DI ISI)'!AP99+'KELURAHAN (DI ISI)'!AP100+'KELURAHAN (DI ISI)'!AP102+'KELURAHAN (DI ISI)'!AP103+'KELURAHAN (DI ISI)'!AP104</f>
        <v>1</v>
      </c>
      <c r="BA31" s="491">
        <f>'KELURAHAN (DI ISI)'!AQ99+'KELURAHAN (DI ISI)'!AQ100+'KELURAHAN (DI ISI)'!AQ102+'KELURAHAN (DI ISI)'!AQ103+'KELURAHAN (DI ISI)'!AQ104</f>
        <v>8</v>
      </c>
      <c r="BB31" s="491">
        <f>'KELURAHAN (DI ISI)'!AR99+'KELURAHAN (DI ISI)'!AR100+'KELURAHAN (DI ISI)'!AR102+'KELURAHAN (DI ISI)'!AR103+'KELURAHAN (DI ISI)'!AR104</f>
        <v>19</v>
      </c>
      <c r="BC31" s="491">
        <f>'KELURAHAN (DI ISI)'!AS99+'KELURAHAN (DI ISI)'!AS100+'KELURAHAN (DI ISI)'!AS102+'KELURAHAN (DI ISI)'!AS103+'KELURAHAN (DI ISI)'!AS104</f>
        <v>0</v>
      </c>
      <c r="BD31" s="491">
        <f>'KELURAHAN (DI ISI)'!AT99+'KELURAHAN (DI ISI)'!AT100+'KELURAHAN (DI ISI)'!AT102+'KELURAHAN (DI ISI)'!AT103+'KELURAHAN (DI ISI)'!AT104</f>
        <v>0</v>
      </c>
      <c r="BE31" s="491">
        <f>'KELURAHAN (DI ISI)'!AU99+'KELURAHAN (DI ISI)'!AU100+'KELURAHAN (DI ISI)'!AU102+'KELURAHAN (DI ISI)'!AU103+'KELURAHAN (DI ISI)'!AU104</f>
        <v>28</v>
      </c>
      <c r="BF31" s="491">
        <f>'KELURAHAN (DI ISI)'!AV99+'KELURAHAN (DI ISI)'!AV100+'KELURAHAN (DI ISI)'!AV102+'KELURAHAN (DI ISI)'!AV103+'KELURAHAN (DI ISI)'!AV104</f>
        <v>3814</v>
      </c>
      <c r="BG31" s="491">
        <f>'KELURAHAN (DI ISI)'!AW99+'KELURAHAN (DI ISI)'!AW100+'KELURAHAN (DI ISI)'!AW102+'KELURAHAN (DI ISI)'!AW103+'KELURAHAN (DI ISI)'!AW104</f>
        <v>27</v>
      </c>
      <c r="BH31" s="491">
        <f t="shared" si="11"/>
        <v>7</v>
      </c>
      <c r="BI31" s="495">
        <f t="shared" si="12"/>
        <v>20</v>
      </c>
      <c r="BJ31" s="491">
        <f>'KELURAHAN (DI ISI)'!AX99+'KELURAHAN (DI ISI)'!AX100+'KELURAHAN (DI ISI)'!AX102+'KELURAHAN (DI ISI)'!AX103+'KELURAHAN (DI ISI)'!AX104</f>
        <v>0</v>
      </c>
      <c r="BK31" s="491">
        <f>'KELURAHAN (DI ISI)'!AY99+'KELURAHAN (DI ISI)'!AY100+'KELURAHAN (DI ISI)'!AY102+'KELURAHAN (DI ISI)'!AY103+'KELURAHAN (DI ISI)'!AY104</f>
        <v>0</v>
      </c>
      <c r="BL31" s="491">
        <f>'KELURAHAN (DI ISI)'!AZ99+'KELURAHAN (DI ISI)'!AZ100+'KELURAHAN (DI ISI)'!AZ102+'KELURAHAN (DI ISI)'!AZ103+'KELURAHAN (DI ISI)'!AZ104</f>
        <v>7</v>
      </c>
      <c r="BM31" s="491">
        <f>'KELURAHAN (DI ISI)'!BA99+'KELURAHAN (DI ISI)'!BA100+'KELURAHAN (DI ISI)'!BA102+'KELURAHAN (DI ISI)'!BA103+'KELURAHAN (DI ISI)'!BA104</f>
        <v>20</v>
      </c>
      <c r="BN31" s="491">
        <f>'KELURAHAN (DI ISI)'!BB99+'KELURAHAN (DI ISI)'!BB100+'KELURAHAN (DI ISI)'!BB102+'KELURAHAN (DI ISI)'!BB103+'KELURAHAN (DI ISI)'!BB104</f>
        <v>0</v>
      </c>
      <c r="BO31" s="491">
        <f>'KELURAHAN (DI ISI)'!BC99+'KELURAHAN (DI ISI)'!BC100+'KELURAHAN (DI ISI)'!BC102+'KELURAHAN (DI ISI)'!BC103+'KELURAHAN (DI ISI)'!BC104</f>
        <v>0</v>
      </c>
      <c r="BP31" s="491">
        <f>'KELURAHAN (DI ISI)'!BD99+'KELURAHAN (DI ISI)'!BD100+'KELURAHAN (DI ISI)'!BD102+'KELURAHAN (DI ISI)'!BD103+'KELURAHAN (DI ISI)'!BD104</f>
        <v>0</v>
      </c>
      <c r="BQ31" s="491">
        <f>'KELURAHAN (DI ISI)'!BE99+'KELURAHAN (DI ISI)'!BE100+'KELURAHAN (DI ISI)'!BE102+'KELURAHAN (DI ISI)'!BE103+'KELURAHAN (DI ISI)'!BE104</f>
        <v>0</v>
      </c>
      <c r="BR31" s="491">
        <f>'KELURAHAN (DI ISI)'!BF99+'KELURAHAN (DI ISI)'!BF100+'KELURAHAN (DI ISI)'!BF102+'KELURAHAN (DI ISI)'!BF103+'KELURAHAN (DI ISI)'!BF104</f>
        <v>0</v>
      </c>
      <c r="BS31" s="491">
        <f>'KELURAHAN (DI ISI)'!BG99+'KELURAHAN (DI ISI)'!BG100+'KELURAHAN (DI ISI)'!BG102+'KELURAHAN (DI ISI)'!BG103+'KELURAHAN (DI ISI)'!BG104</f>
        <v>0</v>
      </c>
      <c r="BT31" s="491">
        <f>'KELURAHAN (DI ISI)'!BH99+'KELURAHAN (DI ISI)'!BH100+'KELURAHAN (DI ISI)'!BH102+'KELURAHAN (DI ISI)'!BH103+'KELURAHAN (DI ISI)'!BH104</f>
        <v>0</v>
      </c>
      <c r="BU31" s="491">
        <f>'KELURAHAN (DI ISI)'!BI99+'KELURAHAN (DI ISI)'!BI100+'KELURAHAN (DI ISI)'!BI102+'KELURAHAN (DI ISI)'!BI103+'KELURAHAN (DI ISI)'!BI104</f>
        <v>0</v>
      </c>
      <c r="BV31" s="491">
        <f>'KELURAHAN (DI ISI)'!BJ99+'KELURAHAN (DI ISI)'!BJ100+'KELURAHAN (DI ISI)'!BJ102+'KELURAHAN (DI ISI)'!BJ103+'KELURAHAN (DI ISI)'!BJ104</f>
        <v>0</v>
      </c>
      <c r="BW31" s="491">
        <f>'KELURAHAN (DI ISI)'!BK99+'KELURAHAN (DI ISI)'!BK100+'KELURAHAN (DI ISI)'!BK102+'KELURAHAN (DI ISI)'!BK103+'KELURAHAN (DI ISI)'!BK104</f>
        <v>0</v>
      </c>
      <c r="BX31" s="491">
        <f>'KELURAHAN (DI ISI)'!BL99+'KELURAHAN (DI ISI)'!BL100+'KELURAHAN (DI ISI)'!BL102+'KELURAHAN (DI ISI)'!BL103+'KELURAHAN (DI ISI)'!BL104</f>
        <v>0</v>
      </c>
      <c r="BY31" s="491">
        <f>'KELURAHAN (DI ISI)'!BM99+'KELURAHAN (DI ISI)'!BM100+'KELURAHAN (DI ISI)'!BM102+'KELURAHAN (DI ISI)'!BM103+'KELURAHAN (DI ISI)'!BM104</f>
        <v>0</v>
      </c>
      <c r="BZ31" s="491">
        <f>'KELURAHAN (DI ISI)'!BN99+'KELURAHAN (DI ISI)'!BN100+'KELURAHAN (DI ISI)'!BN102+'KELURAHAN (DI ISI)'!BN103+'KELURAHAN (DI ISI)'!BN104</f>
        <v>0</v>
      </c>
      <c r="CA31" s="491">
        <f>'KELURAHAN (DI ISI)'!BO99+'KELURAHAN (DI ISI)'!BO100+'KELURAHAN (DI ISI)'!BO102+'KELURAHAN (DI ISI)'!BO103+'KELURAHAN (DI ISI)'!BO104</f>
        <v>0</v>
      </c>
      <c r="CB31" s="491">
        <f>'KELURAHAN (DI ISI)'!BP99+'KELURAHAN (DI ISI)'!BP100+'KELURAHAN (DI ISI)'!BP102+'KELURAHAN (DI ISI)'!BP103+'KELURAHAN (DI ISI)'!BP104</f>
        <v>0</v>
      </c>
      <c r="CC31" s="491">
        <f>'KELURAHAN (DI ISI)'!BQ99+'KELURAHAN (DI ISI)'!BQ100+'KELURAHAN (DI ISI)'!BQ102+'KELURAHAN (DI ISI)'!BQ103+'KELURAHAN (DI ISI)'!BQ104</f>
        <v>3883</v>
      </c>
      <c r="CD31" s="491">
        <f>'KELURAHAN (DI ISI)'!BR99+'KELURAHAN (DI ISI)'!BR100+'KELURAHAN (DI ISI)'!BR102+'KELURAHAN (DI ISI)'!BR103+'KELURAHAN (DI ISI)'!BR104</f>
        <v>28</v>
      </c>
      <c r="CE31" s="491">
        <f t="shared" si="13"/>
        <v>3</v>
      </c>
      <c r="CF31" s="491">
        <f t="shared" si="14"/>
        <v>24</v>
      </c>
      <c r="CG31" s="491">
        <f>'KELURAHAN (DI ISI)'!BS99+'KELURAHAN (DI ISI)'!BS100+'KELURAHAN (DI ISI)'!BS102+'KELURAHAN (DI ISI)'!BS103+'KELURAHAN (DI ISI)'!BS104</f>
        <v>0</v>
      </c>
      <c r="CH31" s="491">
        <f>'KELURAHAN (DI ISI)'!BT99+'KELURAHAN (DI ISI)'!BT100+'KELURAHAN (DI ISI)'!BT102+'KELURAHAN (DI ISI)'!BT103+'KELURAHAN (DI ISI)'!BT104</f>
        <v>0</v>
      </c>
      <c r="CI31" s="491">
        <f>'KELURAHAN (DI ISI)'!BU99+'KELURAHAN (DI ISI)'!BU100+'KELURAHAN (DI ISI)'!BU102+'KELURAHAN (DI ISI)'!BU103+'KELURAHAN (DI ISI)'!BU104</f>
        <v>3</v>
      </c>
      <c r="CJ31" s="491">
        <f>'KELURAHAN (DI ISI)'!BV99+'KELURAHAN (DI ISI)'!BV100+'KELURAHAN (DI ISI)'!BV102+'KELURAHAN (DI ISI)'!BV103+'KELURAHAN (DI ISI)'!BV104</f>
        <v>24</v>
      </c>
      <c r="CK31" s="491">
        <f>'KELURAHAN (DI ISI)'!BW99+'KELURAHAN (DI ISI)'!BW100+'KELURAHAN (DI ISI)'!BW102+'KELURAHAN (DI ISI)'!BW103+'KELURAHAN (DI ISI)'!BW104</f>
        <v>0</v>
      </c>
      <c r="CL31" s="491">
        <f>'KELURAHAN (DI ISI)'!BX99+'KELURAHAN (DI ISI)'!BX100+'KELURAHAN (DI ISI)'!BX102+'KELURAHAN (DI ISI)'!BX103+'KELURAHAN (DI ISI)'!BX104</f>
        <v>0</v>
      </c>
      <c r="CM31" s="491">
        <f>'KELURAHAN (DI ISI)'!BY99+'KELURAHAN (DI ISI)'!BY100+'KELURAHAN (DI ISI)'!BY102+'KELURAHAN (DI ISI)'!BY103+'KELURAHAN (DI ISI)'!BY104</f>
        <v>0</v>
      </c>
      <c r="CN31" s="491">
        <f>'KELURAHAN (DI ISI)'!BZ99+'KELURAHAN (DI ISI)'!BZ100+'KELURAHAN (DI ISI)'!BZ102+'KELURAHAN (DI ISI)'!BZ103+'KELURAHAN (DI ISI)'!BZ104</f>
        <v>1</v>
      </c>
      <c r="CO31" s="491">
        <f>'KELURAHAN (DI ISI)'!CA99+'KELURAHAN (DI ISI)'!CA100+'KELURAHAN (DI ISI)'!CA102+'KELURAHAN (DI ISI)'!CA103+'KELURAHAN (DI ISI)'!CA104</f>
        <v>0</v>
      </c>
      <c r="CP31" s="491">
        <f>'KELURAHAN (DI ISI)'!CB99+'KELURAHAN (DI ISI)'!CB100+'KELURAHAN (DI ISI)'!CB102+'KELURAHAN (DI ISI)'!CB103+'KELURAHAN (DI ISI)'!CB104</f>
        <v>0</v>
      </c>
      <c r="CQ31" s="491">
        <f>'KELURAHAN (DI ISI)'!CC99+'KELURAHAN (DI ISI)'!CC100+'KELURAHAN (DI ISI)'!CC102+'KELURAHAN (DI ISI)'!CC103+'KELURAHAN (DI ISI)'!CC104</f>
        <v>0</v>
      </c>
      <c r="CR31" s="491">
        <f>'KELURAHAN (DI ISI)'!CD99+'KELURAHAN (DI ISI)'!CD100+'KELURAHAN (DI ISI)'!CD102+'KELURAHAN (DI ISI)'!CD103+'KELURAHAN (DI ISI)'!CD104</f>
        <v>0</v>
      </c>
      <c r="CS31" s="491">
        <f>'KELURAHAN (DI ISI)'!CE99+'KELURAHAN (DI ISI)'!CE100+'KELURAHAN (DI ISI)'!CE102+'KELURAHAN (DI ISI)'!CE103+'KELURAHAN (DI ISI)'!CE104</f>
        <v>0</v>
      </c>
      <c r="CT31" s="491">
        <f>'KELURAHAN (DI ISI)'!CF99+'KELURAHAN (DI ISI)'!CF100+'KELURAHAN (DI ISI)'!CF102+'KELURAHAN (DI ISI)'!CF103+'KELURAHAN (DI ISI)'!CF104</f>
        <v>0</v>
      </c>
      <c r="CU31" s="491">
        <f>'KELURAHAN (DI ISI)'!CG99+'KELURAHAN (DI ISI)'!CG100+'KELURAHAN (DI ISI)'!CG102+'KELURAHAN (DI ISI)'!CG103+'KELURAHAN (DI ISI)'!CG104</f>
        <v>0</v>
      </c>
      <c r="CV31" s="491">
        <f>'KELURAHAN (DI ISI)'!CH99+'KELURAHAN (DI ISI)'!CH100+'KELURAHAN (DI ISI)'!CH102+'KELURAHAN (DI ISI)'!CH103+'KELURAHAN (DI ISI)'!CH104</f>
        <v>0</v>
      </c>
      <c r="CW31" s="491">
        <f>'KELURAHAN (DI ISI)'!CI99+'KELURAHAN (DI ISI)'!CI100+'KELURAHAN (DI ISI)'!CI102+'KELURAHAN (DI ISI)'!CI103+'KELURAHAN (DI ISI)'!CI104</f>
        <v>0</v>
      </c>
      <c r="CX31" s="491">
        <f>'KELURAHAN (DI ISI)'!CJ99+'KELURAHAN (DI ISI)'!CJ100+'KELURAHAN (DI ISI)'!CJ102+'KELURAHAN (DI ISI)'!CJ103+'KELURAHAN (DI ISI)'!CJ104</f>
        <v>0</v>
      </c>
      <c r="CY31" s="491">
        <f>'KELURAHAN (DI ISI)'!CK99+'KELURAHAN (DI ISI)'!CK100+'KELURAHAN (DI ISI)'!CK102+'KELURAHAN (DI ISI)'!CK103+'KELURAHAN (DI ISI)'!CK104</f>
        <v>0</v>
      </c>
      <c r="CZ31" s="491">
        <f>'KELURAHAN (DI ISI)'!CL99+'KELURAHAN (DI ISI)'!CL100+'KELURAHAN (DI ISI)'!CL102+'KELURAHAN (DI ISI)'!CL103+'KELURAHAN (DI ISI)'!CL104</f>
        <v>3917</v>
      </c>
      <c r="DA31" s="491">
        <f>'KELURAHAN (DI ISI)'!CM99+'KELURAHAN (DI ISI)'!CM100+'KELURAHAN (DI ISI)'!CM102+'KELURAHAN (DI ISI)'!CM103+'KELURAHAN (DI ISI)'!CM104</f>
        <v>1288</v>
      </c>
      <c r="DB31" s="491">
        <f>'KELURAHAN (DI ISI)'!CN99+'KELURAHAN (DI ISI)'!CN100+'KELURAHAN (DI ISI)'!CN102+'KELURAHAN (DI ISI)'!CN103+'KELURAHAN (DI ISI)'!CN104</f>
        <v>32</v>
      </c>
      <c r="DC31" s="491">
        <f t="shared" si="15"/>
        <v>3</v>
      </c>
      <c r="DD31" s="491">
        <f t="shared" si="16"/>
        <v>24</v>
      </c>
      <c r="DE31" s="491">
        <f>'KELURAHAN (DI ISI)'!CO99+'KELURAHAN (DI ISI)'!CO100+'KELURAHAN (DI ISI)'!CO102+'KELURAHAN (DI ISI)'!CO103+'KELURAHAN (DI ISI)'!CO104</f>
        <v>0</v>
      </c>
      <c r="DF31" s="491">
        <f>'KELURAHAN (DI ISI)'!CP99+'KELURAHAN (DI ISI)'!CP100+'KELURAHAN (DI ISI)'!CP102+'KELURAHAN (DI ISI)'!CP103+'KELURAHAN (DI ISI)'!CP104</f>
        <v>0</v>
      </c>
      <c r="DG31" s="491">
        <f>'KELURAHAN (DI ISI)'!CQ99+'KELURAHAN (DI ISI)'!CQ100+'KELURAHAN (DI ISI)'!CQ102+'KELURAHAN (DI ISI)'!CQ103+'KELURAHAN (DI ISI)'!CQ104</f>
        <v>3</v>
      </c>
      <c r="DH31" s="491">
        <f>'KELURAHAN (DI ISI)'!CR99+'KELURAHAN (DI ISI)'!CR100+'KELURAHAN (DI ISI)'!CR102+'KELURAHAN (DI ISI)'!CR103+'KELURAHAN (DI ISI)'!CR104</f>
        <v>24</v>
      </c>
      <c r="DI31" s="491">
        <f>'KELURAHAN (DI ISI)'!CS99+'KELURAHAN (DI ISI)'!CS100+'KELURAHAN (DI ISI)'!CS102+'KELURAHAN (DI ISI)'!CS103+'KELURAHAN (DI ISI)'!CS104</f>
        <v>0</v>
      </c>
      <c r="DJ31" s="491">
        <f>'KELURAHAN (DI ISI)'!CT99+'KELURAHAN (DI ISI)'!CT100+'KELURAHAN (DI ISI)'!CT102+'KELURAHAN (DI ISI)'!CT103+'KELURAHAN (DI ISI)'!CT104</f>
        <v>0</v>
      </c>
      <c r="DK31" s="491">
        <f>'KELURAHAN (DI ISI)'!CU99+'KELURAHAN (DI ISI)'!CU100+'KELURAHAN (DI ISI)'!CU102+'KELURAHAN (DI ISI)'!CU103+'KELURAHAN (DI ISI)'!CU104</f>
        <v>2</v>
      </c>
      <c r="DL31" s="491">
        <f>'KELURAHAN (DI ISI)'!CV99+'KELURAHAN (DI ISI)'!CV100+'KELURAHAN (DI ISI)'!CV102+'KELURAHAN (DI ISI)'!CV103+'KELURAHAN (DI ISI)'!CV104</f>
        <v>3</v>
      </c>
      <c r="DM31" s="491">
        <f>'KELURAHAN (DI ISI)'!CW99+'KELURAHAN (DI ISI)'!CW100+'KELURAHAN (DI ISI)'!CW102+'KELURAHAN (DI ISI)'!CW103+'KELURAHAN (DI ISI)'!CW104</f>
        <v>0</v>
      </c>
      <c r="DN31" s="491">
        <f>'KELURAHAN (DI ISI)'!CX99+'KELURAHAN (DI ISI)'!CX100+'KELURAHAN (DI ISI)'!CX102+'KELURAHAN (DI ISI)'!CX103+'KELURAHAN (DI ISI)'!CX104</f>
        <v>0</v>
      </c>
      <c r="DO31" s="491">
        <f>'KELURAHAN (DI ISI)'!CY99+'KELURAHAN (DI ISI)'!CY100+'KELURAHAN (DI ISI)'!CY102+'KELURAHAN (DI ISI)'!CY103+'KELURAHAN (DI ISI)'!CY104</f>
        <v>0</v>
      </c>
      <c r="DP31" s="491">
        <f>'KELURAHAN (DI ISI)'!CZ99+'KELURAHAN (DI ISI)'!CZ100+'KELURAHAN (DI ISI)'!CZ102+'KELURAHAN (DI ISI)'!CZ103+'KELURAHAN (DI ISI)'!CZ104</f>
        <v>1</v>
      </c>
      <c r="DQ31" s="491">
        <f>'KELURAHAN (DI ISI)'!DA99+'KELURAHAN (DI ISI)'!DA100+'KELURAHAN (DI ISI)'!DA102+'KELURAHAN (DI ISI)'!DA103+'KELURAHAN (DI ISI)'!DA104</f>
        <v>0</v>
      </c>
      <c r="DR31" s="491">
        <f>'KELURAHAN (DI ISI)'!DB99+'KELURAHAN (DI ISI)'!DB100+'KELURAHAN (DI ISI)'!DB102+'KELURAHAN (DI ISI)'!DB103+'KELURAHAN (DI ISI)'!DB104</f>
        <v>0</v>
      </c>
      <c r="DS31" s="491">
        <f>'KELURAHAN (DI ISI)'!DC99+'KELURAHAN (DI ISI)'!DC100+'KELURAHAN (DI ISI)'!DC102+'KELURAHAN (DI ISI)'!DC103+'KELURAHAN (DI ISI)'!DC104</f>
        <v>0</v>
      </c>
      <c r="DT31" s="491">
        <f>'KELURAHAN (DI ISI)'!DD99+'KELURAHAN (DI ISI)'!DD100+'KELURAHAN (DI ISI)'!DD102+'KELURAHAN (DI ISI)'!DD103+'KELURAHAN (DI ISI)'!DD104</f>
        <v>0</v>
      </c>
      <c r="DU31" s="491">
        <f>'KELURAHAN (DI ISI)'!DE99+'KELURAHAN (DI ISI)'!DE100+'KELURAHAN (DI ISI)'!DE102+'KELURAHAN (DI ISI)'!DE103+'KELURAHAN (DI ISI)'!DE104</f>
        <v>0</v>
      </c>
      <c r="DV31" s="491">
        <f>'KELURAHAN (DI ISI)'!DF99+'KELURAHAN (DI ISI)'!DF100+'KELURAHAN (DI ISI)'!DF102+'KELURAHAN (DI ISI)'!DF103+'KELURAHAN (DI ISI)'!DF104</f>
        <v>0</v>
      </c>
      <c r="DW31" s="491">
        <f>'KELURAHAN (DI ISI)'!DG99+'KELURAHAN (DI ISI)'!DG100+'KELURAHAN (DI ISI)'!DG102+'KELURAHAN (DI ISI)'!DG103+'KELURAHAN (DI ISI)'!DG104</f>
        <v>1</v>
      </c>
      <c r="DX31" s="491">
        <f>'KELURAHAN (DI ISI)'!DH99+'KELURAHAN (DI ISI)'!DH100+'KELURAHAN (DI ISI)'!DH102+'KELURAHAN (DI ISI)'!DH103+'KELURAHAN (DI ISI)'!DH104</f>
        <v>4063</v>
      </c>
      <c r="DY31" s="491">
        <f>'KELURAHAN (DI ISI)'!DI99+'KELURAHAN (DI ISI)'!DI100+'KELURAHAN (DI ISI)'!DI102+'KELURAHAN (DI ISI)'!DI103+'KELURAHAN (DI ISI)'!DI104</f>
        <v>1232</v>
      </c>
      <c r="DZ31" s="491">
        <f>'KELURAHAN (DI ISI)'!DJ99+'KELURAHAN (DI ISI)'!DJ100+'KELURAHAN (DI ISI)'!DJ102+'KELURAHAN (DI ISI)'!DJ103+'KELURAHAN (DI ISI)'!DJ104</f>
        <v>3894</v>
      </c>
      <c r="EA31" s="491">
        <f>'KELURAHAN (DI ISI)'!DK99+'KELURAHAN (DI ISI)'!DK100+'KELURAHAN (DI ISI)'!DK102+'KELURAHAN (DI ISI)'!DK103+'KELURAHAN (DI ISI)'!DK104</f>
        <v>1204</v>
      </c>
      <c r="EB31" s="491">
        <f>'KELURAHAN (DI ISI)'!DL99+'KELURAHAN (DI ISI)'!DL100+'KELURAHAN (DI ISI)'!DL102+'KELURAHAN (DI ISI)'!DL103+'KELURAHAN (DI ISI)'!DL104</f>
        <v>39</v>
      </c>
      <c r="EC31" s="491">
        <f>'KELURAHAN (DI ISI)'!DM99+'KELURAHAN (DI ISI)'!DM100+'KELURAHAN (DI ISI)'!DM102+'KELURAHAN (DI ISI)'!DM103+'KELURAHAN (DI ISI)'!DM104</f>
        <v>5</v>
      </c>
      <c r="ED31" s="491">
        <f t="shared" si="17"/>
        <v>34</v>
      </c>
      <c r="EE31" s="491">
        <f>'KELURAHAN (DI ISI)'!DO99+'KELURAHAN (DI ISI)'!DO100+'KELURAHAN (DI ISI)'!DO102+'KELURAHAN (DI ISI)'!DO103+'KELURAHAN (DI ISI)'!DO104</f>
        <v>0</v>
      </c>
      <c r="EF31" s="491">
        <f>'KELURAHAN (DI ISI)'!DP99+'KELURAHAN (DI ISI)'!DP100+'KELURAHAN (DI ISI)'!DP102+'KELURAHAN (DI ISI)'!DP103+'KELURAHAN (DI ISI)'!DP104</f>
        <v>0</v>
      </c>
      <c r="EG31" s="491">
        <f>'KELURAHAN (DI ISI)'!DQ99+'KELURAHAN (DI ISI)'!DQ100+'KELURAHAN (DI ISI)'!DQ102+'KELURAHAN (DI ISI)'!DQ103+'KELURAHAN (DI ISI)'!DQ104</f>
        <v>4</v>
      </c>
      <c r="EH31" s="491">
        <f>'KELURAHAN (DI ISI)'!DR99+'KELURAHAN (DI ISI)'!DR100+'KELURAHAN (DI ISI)'!DR102+'KELURAHAN (DI ISI)'!DR103+'KELURAHAN (DI ISI)'!DR104</f>
        <v>26</v>
      </c>
      <c r="EI31" s="491">
        <f>'KELURAHAN (DI ISI)'!DS99+'KELURAHAN (DI ISI)'!DS100+'KELURAHAN (DI ISI)'!DS102+'KELURAHAN (DI ISI)'!DS103+'KELURAHAN (DI ISI)'!DS104</f>
        <v>0</v>
      </c>
      <c r="EJ31" s="491">
        <f>'KELURAHAN (DI ISI)'!DT99+'KELURAHAN (DI ISI)'!DT100+'KELURAHAN (DI ISI)'!DT102+'KELURAHAN (DI ISI)'!DT103+'KELURAHAN (DI ISI)'!DT104</f>
        <v>0</v>
      </c>
      <c r="EK31" s="491">
        <f>'KELURAHAN (DI ISI)'!DU99+'KELURAHAN (DI ISI)'!DU100+'KELURAHAN (DI ISI)'!DU102+'KELURAHAN (DI ISI)'!DU103+'KELURAHAN (DI ISI)'!DU104</f>
        <v>1</v>
      </c>
      <c r="EL31" s="491">
        <f>'KELURAHAN (DI ISI)'!DV99+'KELURAHAN (DI ISI)'!DV100+'KELURAHAN (DI ISI)'!DV102+'KELURAHAN (DI ISI)'!DV103+'KELURAHAN (DI ISI)'!DV104</f>
        <v>8</v>
      </c>
      <c r="EM31" s="491">
        <f>'KELURAHAN (DI ISI)'!DW99+'KELURAHAN (DI ISI)'!DW100+'KELURAHAN (DI ISI)'!DW102+'KELURAHAN (DI ISI)'!DW103+'KELURAHAN (DI ISI)'!DW104</f>
        <v>0</v>
      </c>
      <c r="EN31" s="491">
        <f>'KELURAHAN (DI ISI)'!DX99+'KELURAHAN (DI ISI)'!DX100+'KELURAHAN (DI ISI)'!DX102+'KELURAHAN (DI ISI)'!DX103+'KELURAHAN (DI ISI)'!DX104</f>
        <v>0</v>
      </c>
      <c r="EO31" s="491">
        <f>'KELURAHAN (DI ISI)'!DY99+'KELURAHAN (DI ISI)'!DY100+'KELURAHAN (DI ISI)'!DY102+'KELURAHAN (DI ISI)'!DY103+'KELURAHAN (DI ISI)'!DY104</f>
        <v>0</v>
      </c>
      <c r="EP31" s="491">
        <f>'KELURAHAN (DI ISI)'!DZ99+'KELURAHAN (DI ISI)'!DZ100+'KELURAHAN (DI ISI)'!DZ102+'KELURAHAN (DI ISI)'!DZ103+'KELURAHAN (DI ISI)'!DZ104</f>
        <v>0</v>
      </c>
      <c r="EQ31" s="491">
        <f>'KELURAHAN (DI ISI)'!EA99+'KELURAHAN (DI ISI)'!EA100+'KELURAHAN (DI ISI)'!EA102+'KELURAHAN (DI ISI)'!EA103+'KELURAHAN (DI ISI)'!EA104</f>
        <v>0</v>
      </c>
      <c r="ER31" s="491">
        <f>'KELURAHAN (DI ISI)'!EB99+'KELURAHAN (DI ISI)'!EB100+'KELURAHAN (DI ISI)'!EB102+'KELURAHAN (DI ISI)'!EB103+'KELURAHAN (DI ISI)'!EB104</f>
        <v>0</v>
      </c>
      <c r="ES31" s="491">
        <f>'KELURAHAN (DI ISI)'!EC99+'KELURAHAN (DI ISI)'!EC100+'KELURAHAN (DI ISI)'!EC102+'KELURAHAN (DI ISI)'!EC103+'KELURAHAN (DI ISI)'!EC104</f>
        <v>0</v>
      </c>
      <c r="ET31" s="491">
        <f>'KELURAHAN (DI ISI)'!ED99+'KELURAHAN (DI ISI)'!ED100+'KELURAHAN (DI ISI)'!ED102+'KELURAHAN (DI ISI)'!ED103+'KELURAHAN (DI ISI)'!ED104</f>
        <v>0</v>
      </c>
      <c r="EU31" s="491">
        <f>'KELURAHAN (DI ISI)'!EE99+'KELURAHAN (DI ISI)'!EE100+'KELURAHAN (DI ISI)'!EE102+'KELURAHAN (DI ISI)'!EE103+'KELURAHAN (DI ISI)'!EE104</f>
        <v>0</v>
      </c>
      <c r="EV31" s="491">
        <f>'KELURAHAN (DI ISI)'!EF99+'KELURAHAN (DI ISI)'!EF100+'KELURAHAN (DI ISI)'!EF102+'KELURAHAN (DI ISI)'!EF103+'KELURAHAN (DI ISI)'!EF104</f>
        <v>0</v>
      </c>
      <c r="EW31" s="491">
        <f>'KELURAHAN (DI ISI)'!EG99+'KELURAHAN (DI ISI)'!EG100+'KELURAHAN (DI ISI)'!EG102+'KELURAHAN (DI ISI)'!EG103+'KELURAHAN (DI ISI)'!EG104</f>
        <v>0</v>
      </c>
      <c r="EX31" s="491">
        <f>'KELURAHAN (DI ISI)'!EH99+'KELURAHAN (DI ISI)'!EH100+'KELURAHAN (DI ISI)'!EH102+'KELURAHAN (DI ISI)'!EH103+'KELURAHAN (DI ISI)'!EH104</f>
        <v>0</v>
      </c>
      <c r="EY31" s="491">
        <f>'KELURAHAN (DI ISI)'!EI99+'KELURAHAN (DI ISI)'!EI100+'KELURAHAN (DI ISI)'!EI102+'KELURAHAN (DI ISI)'!EI103+'KELURAHAN (DI ISI)'!EI104</f>
        <v>3975</v>
      </c>
      <c r="EZ31" s="491">
        <f>'KELURAHAN (DI ISI)'!EJ99+'KELURAHAN (DI ISI)'!EJ100+'KELURAHAN (DI ISI)'!EJ102+'KELURAHAN (DI ISI)'!EJ103+'KELURAHAN (DI ISI)'!EJ104</f>
        <v>1192</v>
      </c>
      <c r="FA31" s="491">
        <f>'KELURAHAN (DI ISI)'!EK99+'KELURAHAN (DI ISI)'!EK100+'KELURAHAN (DI ISI)'!EK102+'KELURAHAN (DI ISI)'!EK103+'KELURAHAN (DI ISI)'!EK104</f>
        <v>3763</v>
      </c>
      <c r="FB31" s="491">
        <f>'KELURAHAN (DI ISI)'!EL99+'KELURAHAN (DI ISI)'!EL100+'KELURAHAN (DI ISI)'!EL102+'KELURAHAN (DI ISI)'!EL103+'KELURAHAN (DI ISI)'!EL104</f>
        <v>1132</v>
      </c>
      <c r="FC31" s="491">
        <f>'KELURAHAN (DI ISI)'!EM99+'KELURAHAN (DI ISI)'!EM100+'KELURAHAN (DI ISI)'!EM102+'KELURAHAN (DI ISI)'!EM103+'KELURAHAN (DI ISI)'!EM104</f>
        <v>36</v>
      </c>
      <c r="FD31" s="491">
        <f>'KELURAHAN (DI ISI)'!EN99+'KELURAHAN (DI ISI)'!EN100+'KELURAHAN (DI ISI)'!EN102+'KELURAHAN (DI ISI)'!EN103+'KELURAHAN (DI ISI)'!EN104</f>
        <v>4</v>
      </c>
      <c r="FE31" s="491">
        <f t="shared" si="18"/>
        <v>32</v>
      </c>
      <c r="FF31" s="491">
        <f>'KELURAHAN (DI ISI)'!EP99+'KELURAHAN (DI ISI)'!EP100+'KELURAHAN (DI ISI)'!EP102+'KELURAHAN (DI ISI)'!EP103+'KELURAHAN (DI ISI)'!EP104</f>
        <v>0</v>
      </c>
      <c r="FG31" s="491">
        <f>'KELURAHAN (DI ISI)'!EQ99+'KELURAHAN (DI ISI)'!EQ100+'KELURAHAN (DI ISI)'!EQ102+'KELURAHAN (DI ISI)'!EQ103+'KELURAHAN (DI ISI)'!EQ104</f>
        <v>0</v>
      </c>
      <c r="FH31" s="491">
        <f>'KELURAHAN (DI ISI)'!ER99+'KELURAHAN (DI ISI)'!ER100+'KELURAHAN (DI ISI)'!ER102+'KELURAHAN (DI ISI)'!ER103+'KELURAHAN (DI ISI)'!ER104</f>
        <v>4</v>
      </c>
      <c r="FI31" s="491">
        <f>'KELURAHAN (DI ISI)'!ES99+'KELURAHAN (DI ISI)'!ES100+'KELURAHAN (DI ISI)'!ES102+'KELURAHAN (DI ISI)'!ES103+'KELURAHAN (DI ISI)'!ES104</f>
        <v>30</v>
      </c>
      <c r="FJ31" s="491">
        <f>'KELURAHAN (DI ISI)'!ET99+'KELURAHAN (DI ISI)'!ET100+'KELURAHAN (DI ISI)'!ET102+'KELURAHAN (DI ISI)'!ET103+'KELURAHAN (DI ISI)'!ET104</f>
        <v>0</v>
      </c>
      <c r="FK31" s="491">
        <f>'KELURAHAN (DI ISI)'!EU99+'KELURAHAN (DI ISI)'!EU100+'KELURAHAN (DI ISI)'!EU102+'KELURAHAN (DI ISI)'!EU103+'KELURAHAN (DI ISI)'!EU104</f>
        <v>0</v>
      </c>
      <c r="FL31" s="491">
        <f>'KELURAHAN (DI ISI)'!EV99+'KELURAHAN (DI ISI)'!EV100+'KELURAHAN (DI ISI)'!EV102+'KELURAHAN (DI ISI)'!EV103+'KELURAHAN (DI ISI)'!EV104</f>
        <v>0</v>
      </c>
      <c r="FM31" s="491">
        <f>'KELURAHAN (DI ISI)'!EW99+'KELURAHAN (DI ISI)'!EW100+'KELURAHAN (DI ISI)'!EW102+'KELURAHAN (DI ISI)'!EW103+'KELURAHAN (DI ISI)'!EW104</f>
        <v>2</v>
      </c>
      <c r="FN31" s="491">
        <f>'KELURAHAN (DI ISI)'!EX99+'KELURAHAN (DI ISI)'!EX100+'KELURAHAN (DI ISI)'!EX102+'KELURAHAN (DI ISI)'!EX103+'KELURAHAN (DI ISI)'!EX104</f>
        <v>0</v>
      </c>
      <c r="FO31" s="491">
        <f>'KELURAHAN (DI ISI)'!EY99+'KELURAHAN (DI ISI)'!EY100+'KELURAHAN (DI ISI)'!EY102+'KELURAHAN (DI ISI)'!EY103+'KELURAHAN (DI ISI)'!EY104</f>
        <v>0</v>
      </c>
      <c r="FP31" s="491">
        <f>'KELURAHAN (DI ISI)'!EZ99+'KELURAHAN (DI ISI)'!EZ100+'KELURAHAN (DI ISI)'!EZ102+'KELURAHAN (DI ISI)'!EZ103+'KELURAHAN (DI ISI)'!EZ104</f>
        <v>0</v>
      </c>
      <c r="FQ31" s="491">
        <f>'KELURAHAN (DI ISI)'!FA99+'KELURAHAN (DI ISI)'!FA100+'KELURAHAN (DI ISI)'!FA102+'KELURAHAN (DI ISI)'!FA103+'KELURAHAN (DI ISI)'!FA104</f>
        <v>0</v>
      </c>
      <c r="FR31" s="491">
        <f>'KELURAHAN (DI ISI)'!FB99+'KELURAHAN (DI ISI)'!FB100+'KELURAHAN (DI ISI)'!FB102+'KELURAHAN (DI ISI)'!FB103+'KELURAHAN (DI ISI)'!FB104</f>
        <v>0</v>
      </c>
      <c r="FS31" s="491">
        <f>'KELURAHAN (DI ISI)'!FC99+'KELURAHAN (DI ISI)'!FC100+'KELURAHAN (DI ISI)'!FC102+'KELURAHAN (DI ISI)'!FC103+'KELURAHAN (DI ISI)'!FC104</f>
        <v>0</v>
      </c>
      <c r="FT31" s="491">
        <f>'KELURAHAN (DI ISI)'!FD99+'KELURAHAN (DI ISI)'!FD100+'KELURAHAN (DI ISI)'!FD102+'KELURAHAN (DI ISI)'!FD103+'KELURAHAN (DI ISI)'!FD104</f>
        <v>0</v>
      </c>
      <c r="FU31" s="491">
        <f>'KELURAHAN (DI ISI)'!FE99+'KELURAHAN (DI ISI)'!FE100+'KELURAHAN (DI ISI)'!FE102+'KELURAHAN (DI ISI)'!FE103+'KELURAHAN (DI ISI)'!FE104</f>
        <v>0</v>
      </c>
      <c r="FV31" s="491">
        <f>'KELURAHAN (DI ISI)'!FF99+'KELURAHAN (DI ISI)'!FF100+'KELURAHAN (DI ISI)'!FF102+'KELURAHAN (DI ISI)'!FF103+'KELURAHAN (DI ISI)'!FF104</f>
        <v>0</v>
      </c>
      <c r="FW31" s="491">
        <f>'KELURAHAN (DI ISI)'!FG99+'KELURAHAN (DI ISI)'!FG100+'KELURAHAN (DI ISI)'!FG102+'KELURAHAN (DI ISI)'!FG103+'KELURAHAN (DI ISI)'!FG104</f>
        <v>0</v>
      </c>
      <c r="FX31" s="491">
        <f>'KELURAHAN (DI ISI)'!FH99+'KELURAHAN (DI ISI)'!FH100+'KELURAHAN (DI ISI)'!FH102+'KELURAHAN (DI ISI)'!FH103+'KELURAHAN (DI ISI)'!FH104</f>
        <v>0</v>
      </c>
      <c r="FY31" s="491">
        <f>'KELURAHAN (DI ISI)'!FI99+'KELURAHAN (DI ISI)'!FI100+'KELURAHAN (DI ISI)'!FI102+'KELURAHAN (DI ISI)'!FI103+'KELURAHAN (DI ISI)'!FI104</f>
        <v>0</v>
      </c>
      <c r="FZ31" s="491">
        <f>'KELURAHAN (DI ISI)'!FJ99+'KELURAHAN (DI ISI)'!FJ100+'KELURAHAN (DI ISI)'!FJ102+'KELURAHAN (DI ISI)'!FJ103+'KELURAHAN (DI ISI)'!FJ104</f>
        <v>4001</v>
      </c>
      <c r="GA31" s="491">
        <f>'KELURAHAN (DI ISI)'!FK99+'KELURAHAN (DI ISI)'!FK100+'KELURAHAN (DI ISI)'!FK102+'KELURAHAN (DI ISI)'!FK103+'KELURAHAN (DI ISI)'!FK104</f>
        <v>1222</v>
      </c>
      <c r="GB31" s="491">
        <f>'KELURAHAN (DI ISI)'!FL99+'KELURAHAN (DI ISI)'!FL100+'KELURAHAN (DI ISI)'!FL102+'KELURAHAN (DI ISI)'!FL103+'KELURAHAN (DI ISI)'!FL104</f>
        <v>3765</v>
      </c>
      <c r="GC31" s="491">
        <f>'KELURAHAN (DI ISI)'!FM99+'KELURAHAN (DI ISI)'!FM100+'KELURAHAN (DI ISI)'!FM102+'KELURAHAN (DI ISI)'!FM103+'KELURAHAN (DI ISI)'!FM104</f>
        <v>1173</v>
      </c>
      <c r="GD31" s="570">
        <v>3765.0</v>
      </c>
      <c r="GE31" s="571">
        <f>'KELURAHAN (DI ISI)'!FO99+'KELURAHAN (DI ISI)'!FO100+'KELURAHAN (DI ISI)'!FO102+'KELURAHAN (DI ISI)'!FO103+'KELURAHAN (DI ISI)'!FO104</f>
        <v>39</v>
      </c>
      <c r="GF31" s="571">
        <f>'KELURAHAN (DI ISI)'!FP99+'KELURAHAN (DI ISI)'!FP100+'KELURAHAN (DI ISI)'!FP102+'KELURAHAN (DI ISI)'!FP103+'KELURAHAN (DI ISI)'!FP104</f>
        <v>39</v>
      </c>
      <c r="GG31" s="571">
        <f>'KELURAHAN (DI ISI)'!FP99+'KELURAHAN (DI ISI)'!FP100+'KELURAHAN (DI ISI)'!FP102+'KELURAHAN (DI ISI)'!FP103+'KELURAHAN (DI ISI)'!FP104</f>
        <v>39</v>
      </c>
      <c r="GH31" s="571">
        <f>'KELURAHAN (DI ISI)'!FQ99+'KELURAHAN (DI ISI)'!FQ100+'KELURAHAN (DI ISI)'!FQ102+'KELURAHAN (DI ISI)'!FQ103+'KELURAHAN (DI ISI)'!FQ104</f>
        <v>5</v>
      </c>
      <c r="GI31" s="571">
        <f t="shared" si="19"/>
        <v>34</v>
      </c>
      <c r="GJ31" s="491">
        <f>'KELURAHAN (DI ISI)'!FS99+'KELURAHAN (DI ISI)'!FS100+'KELURAHAN (DI ISI)'!FS102+'KELURAHAN (DI ISI)'!FS103+'KELURAHAN (DI ISI)'!FS104</f>
        <v>0</v>
      </c>
      <c r="GK31" s="491">
        <f>'KELURAHAN (DI ISI)'!FT99+'KELURAHAN (DI ISI)'!FT100+'KELURAHAN (DI ISI)'!FT102+'KELURAHAN (DI ISI)'!FT103+'KELURAHAN (DI ISI)'!FT104</f>
        <v>0</v>
      </c>
      <c r="GL31" s="491">
        <f>'KELURAHAN (DI ISI)'!FU99+'KELURAHAN (DI ISI)'!FU100+'KELURAHAN (DI ISI)'!FU102+'KELURAHAN (DI ISI)'!FU103+'KELURAHAN (DI ISI)'!FU104</f>
        <v>4</v>
      </c>
      <c r="GM31" s="491">
        <f>'KELURAHAN (DI ISI)'!FV99+'KELURAHAN (DI ISI)'!FV100+'KELURAHAN (DI ISI)'!FV102+'KELURAHAN (DI ISI)'!FV103+'KELURAHAN (DI ISI)'!FV104</f>
        <v>32</v>
      </c>
      <c r="GN31" s="491">
        <f>'KELURAHAN (DI ISI)'!FW99+'KELURAHAN (DI ISI)'!FW100+'KELURAHAN (DI ISI)'!FW102+'KELURAHAN (DI ISI)'!FW103+'KELURAHAN (DI ISI)'!FW104</f>
        <v>0</v>
      </c>
      <c r="GO31" s="491">
        <f>'KELURAHAN (DI ISI)'!FX99+'KELURAHAN (DI ISI)'!FX100+'KELURAHAN (DI ISI)'!FX102+'KELURAHAN (DI ISI)'!FX103+'KELURAHAN (DI ISI)'!FX104</f>
        <v>0</v>
      </c>
      <c r="GP31" s="491">
        <f>'KELURAHAN (DI ISI)'!FY99+'KELURAHAN (DI ISI)'!FY100+'KELURAHAN (DI ISI)'!FY102+'KELURAHAN (DI ISI)'!FY103+'KELURAHAN (DI ISI)'!FY104</f>
        <v>1</v>
      </c>
      <c r="GQ31" s="491">
        <f>'KELURAHAN (DI ISI)'!FZ99+'KELURAHAN (DI ISI)'!FZ100+'KELURAHAN (DI ISI)'!FZ102+'KELURAHAN (DI ISI)'!FZ103+'KELURAHAN (DI ISI)'!FZ104</f>
        <v>2</v>
      </c>
      <c r="GR31" s="491">
        <f>'KELURAHAN (DI ISI)'!GA99+'KELURAHAN (DI ISI)'!GA100+'KELURAHAN (DI ISI)'!GA102+'KELURAHAN (DI ISI)'!GA103+'KELURAHAN (DI ISI)'!GA104</f>
        <v>0</v>
      </c>
      <c r="GS31" s="491">
        <f>'KELURAHAN (DI ISI)'!GB99+'KELURAHAN (DI ISI)'!GB100+'KELURAHAN (DI ISI)'!GB102+'KELURAHAN (DI ISI)'!GB103+'KELURAHAN (DI ISI)'!GB104</f>
        <v>0</v>
      </c>
      <c r="GT31" s="491">
        <f>'KELURAHAN (DI ISI)'!GC99+'KELURAHAN (DI ISI)'!GC100+'KELURAHAN (DI ISI)'!GC102+'KELURAHAN (DI ISI)'!GC103+'KELURAHAN (DI ISI)'!GC104</f>
        <v>0</v>
      </c>
      <c r="GU31" s="491">
        <f>'KELURAHAN (DI ISI)'!GD99+'KELURAHAN (DI ISI)'!GD100+'KELURAHAN (DI ISI)'!GD102+'KELURAHAN (DI ISI)'!GD103+'KELURAHAN (DI ISI)'!GD104</f>
        <v>0</v>
      </c>
      <c r="GV31" s="491">
        <f>'KELURAHAN (DI ISI)'!GE99+'KELURAHAN (DI ISI)'!GE100+'KELURAHAN (DI ISI)'!GE102+'KELURAHAN (DI ISI)'!GE103+'KELURAHAN (DI ISI)'!GE104</f>
        <v>0</v>
      </c>
      <c r="GW31" s="491">
        <f>'KELURAHAN (DI ISI)'!GF99+'KELURAHAN (DI ISI)'!GF100+'KELURAHAN (DI ISI)'!GF102+'KELURAHAN (DI ISI)'!GF103+'KELURAHAN (DI ISI)'!GF104</f>
        <v>0</v>
      </c>
      <c r="GX31" s="491">
        <f>'KELURAHAN (DI ISI)'!GG99+'KELURAHAN (DI ISI)'!GG100+'KELURAHAN (DI ISI)'!GG102+'KELURAHAN (DI ISI)'!GG103+'KELURAHAN (DI ISI)'!GG104</f>
        <v>0</v>
      </c>
      <c r="GY31" s="491">
        <f>'KELURAHAN (DI ISI)'!GH99+'KELURAHAN (DI ISI)'!GH100+'KELURAHAN (DI ISI)'!GH102+'KELURAHAN (DI ISI)'!GH103+'KELURAHAN (DI ISI)'!GH104</f>
        <v>0</v>
      </c>
      <c r="GZ31" s="491">
        <f>'KELURAHAN (DI ISI)'!GI99+'KELURAHAN (DI ISI)'!GI100+'KELURAHAN (DI ISI)'!GI102+'KELURAHAN (DI ISI)'!GI103+'KELURAHAN (DI ISI)'!GI104</f>
        <v>0</v>
      </c>
      <c r="HA31" s="491">
        <f>'KELURAHAN (DI ISI)'!GJ99+'KELURAHAN (DI ISI)'!GJ100+'KELURAHAN (DI ISI)'!GJ102+'KELURAHAN (DI ISI)'!GJ103+'KELURAHAN (DI ISI)'!GJ104</f>
        <v>0</v>
      </c>
      <c r="HB31" s="572">
        <f>'KELURAHAN (DI ISI)'!GK99+'KELURAHAN (DI ISI)'!GK100+'KELURAHAN (DI ISI)'!GK102+'KELURAHAN (DI ISI)'!GK103+'KELURAHAN (DI ISI)'!GK104</f>
        <v>0</v>
      </c>
      <c r="HC31" s="572">
        <f>'KELURAHAN (DI ISI)'!GL99+'KELURAHAN (DI ISI)'!GL100+'KELURAHAN (DI ISI)'!GL102+'KELURAHAN (DI ISI)'!GL103+'KELURAHAN (DI ISI)'!GL104</f>
        <v>0</v>
      </c>
      <c r="HD31" s="491">
        <f>'KELURAHAN (DI ISI)'!GM99+'KELURAHAN (DI ISI)'!GM100+'KELURAHAN (DI ISI)'!GM102+'KELURAHAN (DI ISI)'!GM103+'KELURAHAN (DI ISI)'!GM104</f>
        <v>4021</v>
      </c>
      <c r="HE31" s="491">
        <f>'KELURAHAN (DI ISI)'!GN99+'KELURAHAN (DI ISI)'!GN100+'KELURAHAN (DI ISI)'!GN102+'KELURAHAN (DI ISI)'!GN103+'KELURAHAN (DI ISI)'!GN104</f>
        <v>1291</v>
      </c>
      <c r="HF31" s="491">
        <f>'KELURAHAN (DI ISI)'!GO99+'KELURAHAN (DI ISI)'!GO100+'KELURAHAN (DI ISI)'!GO102+'KELURAHAN (DI ISI)'!GO103+'KELURAHAN (DI ISI)'!GO104</f>
        <v>3835</v>
      </c>
      <c r="HG31" s="491">
        <f>'KELURAHAN (DI ISI)'!GP99+'KELURAHAN (DI ISI)'!GP100+'KELURAHAN (DI ISI)'!GP102+'KELURAHAN (DI ISI)'!GP103+'KELURAHAN (DI ISI)'!GP104</f>
        <v>1251</v>
      </c>
      <c r="HH31" s="570">
        <v>3765.0</v>
      </c>
      <c r="HI31" s="225">
        <f>'KELURAHAN (DI ISI)'!GR99+'KELURAHAN (DI ISI)'!GR100+'KELURAHAN (DI ISI)'!GR102+'KELURAHAN (DI ISI)'!GR103+'KELURAHAN (DI ISI)'!GR104</f>
        <v>39</v>
      </c>
      <c r="HJ31" s="225">
        <f>'KELURAHAN (DI ISI)'!GS99+'KELURAHAN (DI ISI)'!GS100+'KELURAHAN (DI ISI)'!GS102+'KELURAHAN (DI ISI)'!GS103+'KELURAHAN (DI ISI)'!GS104</f>
        <v>3</v>
      </c>
      <c r="HK31" s="573">
        <f>'KELURAHAN (DI ISI)'!GT99+'KELURAHAN (DI ISI)'!GT100+'KELURAHAN (DI ISI)'!GT102+'KELURAHAN (DI ISI)'!GT103+'KELURAHAN (DI ISI)'!GT104</f>
        <v>39</v>
      </c>
      <c r="HL31" s="573">
        <f>'KELURAHAN (DI ISI)'!GU99+'KELURAHAN (DI ISI)'!GU100+'KELURAHAN (DI ISI)'!GU102+'KELURAHAN (DI ISI)'!GU103+'KELURAHAN (DI ISI)'!GU104</f>
        <v>3</v>
      </c>
      <c r="HM31" s="573">
        <f t="shared" si="20"/>
        <v>36</v>
      </c>
      <c r="HN31" s="491">
        <f>'KELURAHAN (DI ISI)'!GW99+'KELURAHAN (DI ISI)'!GW100+'KELURAHAN (DI ISI)'!GW102+'KELURAHAN (DI ISI)'!GW103+'KELURAHAN (DI ISI)'!GW104</f>
        <v>0</v>
      </c>
      <c r="HO31" s="491">
        <f>'KELURAHAN (DI ISI)'!GX99+'KELURAHAN (DI ISI)'!GX100+'KELURAHAN (DI ISI)'!GX102+'KELURAHAN (DI ISI)'!GX103+'KELURAHAN (DI ISI)'!GX104</f>
        <v>0</v>
      </c>
      <c r="HP31" s="491">
        <f>'KELURAHAN (DI ISI)'!GY99+'KELURAHAN (DI ISI)'!GY100+'KELURAHAN (DI ISI)'!GY102+'KELURAHAN (DI ISI)'!GY103+'KELURAHAN (DI ISI)'!GY104</f>
        <v>3</v>
      </c>
      <c r="HQ31" s="491">
        <f>'KELURAHAN (DI ISI)'!GZ99+'KELURAHAN (DI ISI)'!GZ100+'KELURAHAN (DI ISI)'!GZ102+'KELURAHAN (DI ISI)'!GZ103+'KELURAHAN (DI ISI)'!GZ104</f>
        <v>35</v>
      </c>
      <c r="HR31" s="491">
        <f>'KELURAHAN (DI ISI)'!HA99+'KELURAHAN (DI ISI)'!HA100+'KELURAHAN (DI ISI)'!HA102+'KELURAHAN (DI ISI)'!HA103+'KELURAHAN (DI ISI)'!HA104</f>
        <v>0</v>
      </c>
      <c r="HS31" s="491">
        <f>'KELURAHAN (DI ISI)'!HB99+'KELURAHAN (DI ISI)'!HB100+'KELURAHAN (DI ISI)'!HB102+'KELURAHAN (DI ISI)'!HB103+'KELURAHAN (DI ISI)'!HB104</f>
        <v>0</v>
      </c>
      <c r="HT31" s="491">
        <f>'KELURAHAN (DI ISI)'!HC99+'KELURAHAN (DI ISI)'!HC100+'KELURAHAN (DI ISI)'!HC102+'KELURAHAN (DI ISI)'!HC103+'KELURAHAN (DI ISI)'!HC104</f>
        <v>0</v>
      </c>
      <c r="HU31" s="491">
        <f>'KELURAHAN (DI ISI)'!HD99+'KELURAHAN (DI ISI)'!HD100+'KELURAHAN (DI ISI)'!HD102+'KELURAHAN (DI ISI)'!HD103+'KELURAHAN (DI ISI)'!HD104</f>
        <v>1</v>
      </c>
      <c r="HV31" s="491">
        <f>'KELURAHAN (DI ISI)'!HE99+'KELURAHAN (DI ISI)'!HE100+'KELURAHAN (DI ISI)'!HE102+'KELURAHAN (DI ISI)'!HE103+'KELURAHAN (DI ISI)'!HE104</f>
        <v>0</v>
      </c>
      <c r="HW31" s="491">
        <f>'KELURAHAN (DI ISI)'!HF99+'KELURAHAN (DI ISI)'!HF100+'KELURAHAN (DI ISI)'!HF102+'KELURAHAN (DI ISI)'!HF103+'KELURAHAN (DI ISI)'!HF104</f>
        <v>0</v>
      </c>
      <c r="HX31" s="491">
        <f>'KELURAHAN (DI ISI)'!HG99+'KELURAHAN (DI ISI)'!HG100+'KELURAHAN (DI ISI)'!HG102+'KELURAHAN (DI ISI)'!HG103+'KELURAHAN (DI ISI)'!HG104</f>
        <v>0</v>
      </c>
      <c r="HY31" s="491">
        <f>'KELURAHAN (DI ISI)'!HH99+'KELURAHAN (DI ISI)'!HH100+'KELURAHAN (DI ISI)'!HH102+'KELURAHAN (DI ISI)'!HH103+'KELURAHAN (DI ISI)'!HH104</f>
        <v>0</v>
      </c>
      <c r="HZ31" s="491">
        <f>'KELURAHAN (DI ISI)'!HI99+'KELURAHAN (DI ISI)'!HI100+'KELURAHAN (DI ISI)'!HI102+'KELURAHAN (DI ISI)'!HI103+'KELURAHAN (DI ISI)'!HI104</f>
        <v>0</v>
      </c>
      <c r="IA31" s="491">
        <f>'KELURAHAN (DI ISI)'!HJ99+'KELURAHAN (DI ISI)'!HJ100+'KELURAHAN (DI ISI)'!HJ102+'KELURAHAN (DI ISI)'!HJ103+'KELURAHAN (DI ISI)'!HJ104</f>
        <v>0</v>
      </c>
      <c r="IB31" s="491">
        <f>'KELURAHAN (DI ISI)'!HK99+'KELURAHAN (DI ISI)'!HK100+'KELURAHAN (DI ISI)'!HK102+'KELURAHAN (DI ISI)'!HK103+'KELURAHAN (DI ISI)'!HK104</f>
        <v>0</v>
      </c>
      <c r="IC31" s="491">
        <f>'KELURAHAN (DI ISI)'!HL99+'KELURAHAN (DI ISI)'!HL100+'KELURAHAN (DI ISI)'!HL102+'KELURAHAN (DI ISI)'!HL103+'KELURAHAN (DI ISI)'!HL104</f>
        <v>0</v>
      </c>
      <c r="ID31" s="491">
        <f>'KELURAHAN (DI ISI)'!HM99+'KELURAHAN (DI ISI)'!HM100+'KELURAHAN (DI ISI)'!HM102+'KELURAHAN (DI ISI)'!HM103+'KELURAHAN (DI ISI)'!HM104</f>
        <v>1</v>
      </c>
      <c r="IE31" s="491">
        <f>'KELURAHAN (DI ISI)'!HN99+'KELURAHAN (DI ISI)'!HN100+'KELURAHAN (DI ISI)'!HN102+'KELURAHAN (DI ISI)'!HN103+'KELURAHAN (DI ISI)'!HN104</f>
        <v>0</v>
      </c>
      <c r="IF31" s="573">
        <f>'KELURAHAN (DI ISI)'!HO99+'KELURAHAN (DI ISI)'!HO100+'KELURAHAN (DI ISI)'!HO102+'KELURAHAN (DI ISI)'!HO103+'KELURAHAN (DI ISI)'!HO104</f>
        <v>0</v>
      </c>
      <c r="IG31" s="573">
        <f>'KELURAHAN (DI ISI)'!HP99+'KELURAHAN (DI ISI)'!HP100+'KELURAHAN (DI ISI)'!HP102+'KELURAHAN (DI ISI)'!HP103+'KELURAHAN (DI ISI)'!HP104</f>
        <v>0</v>
      </c>
      <c r="IK31" s="198">
        <f t="shared" si="21"/>
        <v>30</v>
      </c>
      <c r="IL31" s="198">
        <f t="shared" si="22"/>
        <v>29</v>
      </c>
      <c r="IM31" s="198">
        <f t="shared" si="23"/>
        <v>30</v>
      </c>
      <c r="IN31" s="198">
        <f t="shared" si="24"/>
        <v>28</v>
      </c>
      <c r="IO31" s="198">
        <f t="shared" si="25"/>
        <v>28</v>
      </c>
      <c r="IP31" s="198">
        <f t="shared" si="26"/>
        <v>27</v>
      </c>
      <c r="IQ31" s="574">
        <f t="shared" si="27"/>
        <v>28</v>
      </c>
      <c r="IR31" s="574">
        <f t="shared" si="28"/>
        <v>32</v>
      </c>
      <c r="IS31" s="574">
        <f t="shared" si="29"/>
        <v>39</v>
      </c>
      <c r="IT31" s="574">
        <f t="shared" si="30"/>
        <v>36</v>
      </c>
      <c r="IU31" s="574">
        <f t="shared" si="31"/>
        <v>39</v>
      </c>
      <c r="IV31" s="575">
        <f t="shared" si="32"/>
        <v>39</v>
      </c>
      <c r="IW31" s="583"/>
      <c r="IX31" s="576">
        <f t="shared" si="33"/>
        <v>-39</v>
      </c>
      <c r="IZ31" s="237"/>
      <c r="JA31" s="162">
        <f t="shared" si="34"/>
        <v>-4021</v>
      </c>
      <c r="JB31" s="578"/>
      <c r="JC31" s="579">
        <f t="shared" si="35"/>
        <v>-1291</v>
      </c>
      <c r="JD31" s="586"/>
      <c r="JE31" s="602"/>
      <c r="JF31" s="577"/>
      <c r="JG31" s="234">
        <f t="shared" si="36"/>
        <v>-3835</v>
      </c>
      <c r="JH31" s="578"/>
      <c r="JI31" s="579">
        <f t="shared" si="37"/>
        <v>-1251</v>
      </c>
      <c r="JJ31" s="593"/>
    </row>
    <row r="32" ht="14.25" customHeight="1">
      <c r="A32" s="158">
        <v>25.0</v>
      </c>
      <c r="B32" s="157" t="s">
        <v>206</v>
      </c>
      <c r="C32" s="253">
        <v>3374110.0</v>
      </c>
      <c r="D32" s="569" t="s">
        <v>218</v>
      </c>
      <c r="E32" s="253"/>
      <c r="F32" s="603">
        <f>'KELURAHAN (DI ISI)'!F118+'KELURAHAN (DI ISI)'!F119+'KELURAHAN (DI ISI)'!F121</f>
        <v>27</v>
      </c>
      <c r="G32" s="603">
        <f>'KELURAHAN (DI ISI)'!G118+'KELURAHAN (DI ISI)'!G119+'KELURAHAN (DI ISI)'!G121</f>
        <v>1934</v>
      </c>
      <c r="H32" s="603">
        <f>'KELURAHAN (DI ISI)'!H118+'KELURAHAN (DI ISI)'!H119+'KELURAHAN (DI ISI)'!H121</f>
        <v>17</v>
      </c>
      <c r="I32" s="491">
        <f t="shared" si="1"/>
        <v>5</v>
      </c>
      <c r="J32" s="491">
        <f t="shared" si="2"/>
        <v>12</v>
      </c>
      <c r="K32" s="324">
        <f>'KELURAHAN (DI ISI)'!I118+'KELURAHAN (DI ISI)'!I119+'KELURAHAN (DI ISI)'!I121</f>
        <v>0</v>
      </c>
      <c r="L32" s="324">
        <f>'KELURAHAN (DI ISI)'!J118+'KELURAHAN (DI ISI)'!J119+'KELURAHAN (DI ISI)'!J121</f>
        <v>3</v>
      </c>
      <c r="M32" s="324">
        <f>'KELURAHAN (DI ISI)'!K118+'KELURAHAN (DI ISI)'!K119+'KELURAHAN (DI ISI)'!K121</f>
        <v>2</v>
      </c>
      <c r="N32" s="324">
        <f>'KELURAHAN (DI ISI)'!L118+'KELURAHAN (DI ISI)'!L119+'KELURAHAN (DI ISI)'!L121</f>
        <v>12</v>
      </c>
      <c r="O32" s="324">
        <v>7.0</v>
      </c>
      <c r="P32" s="324">
        <f>'KELURAHAN (DI ISI)'!N118+'KELURAHAN (DI ISI)'!N119+'KELURAHAN (DI ISI)'!N121</f>
        <v>0</v>
      </c>
      <c r="Q32" s="324">
        <v>10.0</v>
      </c>
      <c r="R32" s="491">
        <f>'KELURAHAN (DI ISI)'!P118+'KELURAHAN (DI ISI)'!P119+'KELURAHAN (DI ISI)'!P121</f>
        <v>28</v>
      </c>
      <c r="S32" s="491">
        <f t="shared" si="3"/>
        <v>13</v>
      </c>
      <c r="T32" s="491">
        <f t="shared" si="4"/>
        <v>15</v>
      </c>
      <c r="U32" s="324">
        <f>'KELURAHAN (DI ISI)'!Q118+'KELURAHAN (DI ISI)'!Q119+'KELURAHAN (DI ISI)'!Q121</f>
        <v>3</v>
      </c>
      <c r="V32" s="324">
        <f>'KELURAHAN (DI ISI)'!R118+'KELURAHAN (DI ISI)'!R119+'KELURAHAN (DI ISI)'!R121</f>
        <v>3</v>
      </c>
      <c r="W32" s="324">
        <f>'KELURAHAN (DI ISI)'!S118+'KELURAHAN (DI ISI)'!S119+'KELURAHAN (DI ISI)'!S121</f>
        <v>7</v>
      </c>
      <c r="X32" s="324">
        <f>'KELURAHAN (DI ISI)'!T118+'KELURAHAN (DI ISI)'!T119+'KELURAHAN (DI ISI)'!T121</f>
        <v>15</v>
      </c>
      <c r="Y32" s="324">
        <f>'KELURAHAN (DI ISI)'!U118+'KELURAHAN (DI ISI)'!U119+'KELURAHAN (DI ISI)'!U121</f>
        <v>11</v>
      </c>
      <c r="Z32" s="324">
        <f>'KELURAHAN (DI ISI)'!V118+'KELURAHAN (DI ISI)'!V119+'KELURAHAN (DI ISI)'!V121</f>
        <v>0</v>
      </c>
      <c r="AA32" s="324">
        <f>'KELURAHAN (DI ISI)'!W118+'KELURAHAN (DI ISI)'!W119+'KELURAHAN (DI ISI)'!W121</f>
        <v>17</v>
      </c>
      <c r="AB32" s="324">
        <f>'KELURAHAN (DI ISI)'!X118+'KELURAHAN (DI ISI)'!X119+'KELURAHAN (DI ISI)'!X121</f>
        <v>42</v>
      </c>
      <c r="AC32" s="491">
        <f t="shared" si="5"/>
        <v>16</v>
      </c>
      <c r="AD32" s="491">
        <f t="shared" si="6"/>
        <v>26</v>
      </c>
      <c r="AE32" s="324">
        <f>'KELURAHAN (DI ISI)'!Y118+'KELURAHAN (DI ISI)'!Y119+'KELURAHAN (DI ISI)'!Y121</f>
        <v>1</v>
      </c>
      <c r="AF32" s="324">
        <f>'KELURAHAN (DI ISI)'!Z118+'KELURAHAN (DI ISI)'!Z119+'KELURAHAN (DI ISI)'!Z121</f>
        <v>1</v>
      </c>
      <c r="AG32" s="324">
        <f>'KELURAHAN (DI ISI)'!AA118+'KELURAHAN (DI ISI)'!AA119+'KELURAHAN (DI ISI)'!AA121</f>
        <v>14</v>
      </c>
      <c r="AH32" s="324">
        <f>'KELURAHAN (DI ISI)'!AB118+'KELURAHAN (DI ISI)'!AB119+'KELURAHAN (DI ISI)'!AB121</f>
        <v>26</v>
      </c>
      <c r="AI32" s="324">
        <f>'KELURAHAN (DI ISI)'!AC118+'KELURAHAN (DI ISI)'!AC119+'KELURAHAN (DI ISI)'!AC121</f>
        <v>14</v>
      </c>
      <c r="AJ32" s="324">
        <f>'KELURAHAN (DI ISI)'!AD118+'KELURAHAN (DI ISI)'!AD119+'KELURAHAN (DI ISI)'!AD121</f>
        <v>0</v>
      </c>
      <c r="AK32" s="324">
        <f>'KELURAHAN (DI ISI)'!AE118+'KELURAHAN (DI ISI)'!AE119+'KELURAHAN (DI ISI)'!AE121</f>
        <v>28</v>
      </c>
      <c r="AL32" s="324">
        <f>'KELURAHAN (DI ISI)'!AF118+'KELURAHAN (DI ISI)'!AF119+'KELURAHAN (DI ISI)'!AF121</f>
        <v>21</v>
      </c>
      <c r="AM32" s="491">
        <f t="shared" si="7"/>
        <v>10</v>
      </c>
      <c r="AN32" s="491">
        <f t="shared" si="8"/>
        <v>11</v>
      </c>
      <c r="AO32" s="324">
        <f>'KELURAHAN (DI ISI)'!AG118+'KELURAHAN (DI ISI)'!AG119+'KELURAHAN (DI ISI)'!AG121</f>
        <v>0</v>
      </c>
      <c r="AP32" s="324">
        <f>'KELURAHAN (DI ISI)'!AH118+'KELURAHAN (DI ISI)'!AH119+'KELURAHAN (DI ISI)'!AH121</f>
        <v>3</v>
      </c>
      <c r="AQ32" s="324">
        <f>'KELURAHAN (DI ISI)'!AI118+'KELURAHAN (DI ISI)'!AI119+'KELURAHAN (DI ISI)'!AI121</f>
        <v>7</v>
      </c>
      <c r="AR32" s="324">
        <f>'KELURAHAN (DI ISI)'!AJ118+'KELURAHAN (DI ISI)'!AJ119+'KELURAHAN (DI ISI)'!AJ121</f>
        <v>11</v>
      </c>
      <c r="AS32" s="324">
        <f>'KELURAHAN (DI ISI)'!AK118+'KELURAHAN (DI ISI)'!AK119+'KELURAHAN (DI ISI)'!AK121</f>
        <v>0</v>
      </c>
      <c r="AT32" s="324">
        <f>'KELURAHAN (DI ISI)'!AL118+'KELURAHAN (DI ISI)'!AL119+'KELURAHAN (DI ISI)'!AL121</f>
        <v>8</v>
      </c>
      <c r="AU32" s="324">
        <f>'KELURAHAN (DI ISI)'!AM118+'KELURAHAN (DI ISI)'!AM119+'KELURAHAN (DI ISI)'!AM121</f>
        <v>13</v>
      </c>
      <c r="AV32" s="324">
        <f>'KELURAHAN (DI ISI)'!AN118+'KELURAHAN (DI ISI)'!AN119+'KELURAHAN (DI ISI)'!AN121</f>
        <v>22</v>
      </c>
      <c r="AW32" s="491">
        <f t="shared" si="9"/>
        <v>12</v>
      </c>
      <c r="AX32" s="491">
        <f t="shared" si="10"/>
        <v>10</v>
      </c>
      <c r="AY32" s="324">
        <f>'KELURAHAN (DI ISI)'!AO118+'KELURAHAN (DI ISI)'!AO119+'KELURAHAN (DI ISI)'!AO121</f>
        <v>4</v>
      </c>
      <c r="AZ32" s="324">
        <f>'KELURAHAN (DI ISI)'!AP118+'KELURAHAN (DI ISI)'!AP119+'KELURAHAN (DI ISI)'!AP121</f>
        <v>3</v>
      </c>
      <c r="BA32" s="324">
        <f>'KELURAHAN (DI ISI)'!AQ118+'KELURAHAN (DI ISI)'!AQ119+'KELURAHAN (DI ISI)'!AQ121</f>
        <v>5</v>
      </c>
      <c r="BB32" s="324">
        <f>'KELURAHAN (DI ISI)'!AR118+'KELURAHAN (DI ISI)'!AR119+'KELURAHAN (DI ISI)'!AR121</f>
        <v>10</v>
      </c>
      <c r="BC32" s="324">
        <f>'KELURAHAN (DI ISI)'!AS118+'KELURAHAN (DI ISI)'!AS119+'KELURAHAN (DI ISI)'!AS121</f>
        <v>3</v>
      </c>
      <c r="BD32" s="324">
        <f>'KELURAHAN (DI ISI)'!AT118+'KELURAHAN (DI ISI)'!AT119+'KELURAHAN (DI ISI)'!AT121</f>
        <v>2</v>
      </c>
      <c r="BE32" s="324">
        <f>'KELURAHAN (DI ISI)'!AU118+'KELURAHAN (DI ISI)'!AU119+'KELURAHAN (DI ISI)'!AU121</f>
        <v>17</v>
      </c>
      <c r="BF32" s="324">
        <f>'KELURAHAN (DI ISI)'!AV118+'KELURAHAN (DI ISI)'!AV119+'KELURAHAN (DI ISI)'!AV121</f>
        <v>1934</v>
      </c>
      <c r="BG32" s="324">
        <f>'KELURAHAN (DI ISI)'!AW118+'KELURAHAN (DI ISI)'!AW119+'KELURAHAN (DI ISI)'!AW121</f>
        <v>22</v>
      </c>
      <c r="BH32" s="491">
        <f t="shared" si="11"/>
        <v>9</v>
      </c>
      <c r="BI32" s="495">
        <f t="shared" si="12"/>
        <v>10</v>
      </c>
      <c r="BJ32" s="324">
        <f>'KELURAHAN (DI ISI)'!AX118+'KELURAHAN (DI ISI)'!AX119+'KELURAHAN (DI ISI)'!AX121</f>
        <v>2</v>
      </c>
      <c r="BK32" s="324">
        <f>'KELURAHAN (DI ISI)'!AY118+'KELURAHAN (DI ISI)'!AY119+'KELURAHAN (DI ISI)'!AY121</f>
        <v>4</v>
      </c>
      <c r="BL32" s="324">
        <f>'KELURAHAN (DI ISI)'!AZ118+'KELURAHAN (DI ISI)'!AZ119+'KELURAHAN (DI ISI)'!AZ121</f>
        <v>3</v>
      </c>
      <c r="BM32" s="324">
        <f>'KELURAHAN (DI ISI)'!BA118+'KELURAHAN (DI ISI)'!BA119+'KELURAHAN (DI ISI)'!BA121</f>
        <v>10</v>
      </c>
      <c r="BN32" s="324">
        <f>'KELURAHAN (DI ISI)'!BB118+'KELURAHAN (DI ISI)'!BB119+'KELURAHAN (DI ISI)'!BB121</f>
        <v>0</v>
      </c>
      <c r="BO32" s="324">
        <f>'KELURAHAN (DI ISI)'!BC118+'KELURAHAN (DI ISI)'!BC119+'KELURAHAN (DI ISI)'!BC121</f>
        <v>1</v>
      </c>
      <c r="BP32" s="324">
        <f>'KELURAHAN (DI ISI)'!BD118+'KELURAHAN (DI ISI)'!BD119+'KELURAHAN (DI ISI)'!BD121</f>
        <v>0</v>
      </c>
      <c r="BQ32" s="324">
        <f>'KELURAHAN (DI ISI)'!BE118+'KELURAHAN (DI ISI)'!BE119+'KELURAHAN (DI ISI)'!BE121</f>
        <v>2</v>
      </c>
      <c r="BR32" s="324">
        <f>'KELURAHAN (DI ISI)'!BF118+'KELURAHAN (DI ISI)'!BF119+'KELURAHAN (DI ISI)'!BF121</f>
        <v>0</v>
      </c>
      <c r="BS32" s="324">
        <f>'KELURAHAN (DI ISI)'!BG118+'KELURAHAN (DI ISI)'!BG119+'KELURAHAN (DI ISI)'!BG121</f>
        <v>0</v>
      </c>
      <c r="BT32" s="324">
        <f>'KELURAHAN (DI ISI)'!BH118+'KELURAHAN (DI ISI)'!BH119+'KELURAHAN (DI ISI)'!BH121</f>
        <v>0</v>
      </c>
      <c r="BU32" s="324">
        <f>'KELURAHAN (DI ISI)'!BI118+'KELURAHAN (DI ISI)'!BI119+'KELURAHAN (DI ISI)'!BI121</f>
        <v>1</v>
      </c>
      <c r="BV32" s="324">
        <f>'KELURAHAN (DI ISI)'!BJ118+'KELURAHAN (DI ISI)'!BJ119+'KELURAHAN (DI ISI)'!BJ121</f>
        <v>0</v>
      </c>
      <c r="BW32" s="324">
        <f>'KELURAHAN (DI ISI)'!BK118+'KELURAHAN (DI ISI)'!BK119+'KELURAHAN (DI ISI)'!BK121</f>
        <v>0</v>
      </c>
      <c r="BX32" s="324">
        <f>'KELURAHAN (DI ISI)'!BL118+'KELURAHAN (DI ISI)'!BL119+'KELURAHAN (DI ISI)'!BL121</f>
        <v>0</v>
      </c>
      <c r="BY32" s="324">
        <f>'KELURAHAN (DI ISI)'!BM118+'KELURAHAN (DI ISI)'!BM119+'KELURAHAN (DI ISI)'!BM121</f>
        <v>0</v>
      </c>
      <c r="BZ32" s="324">
        <f>'KELURAHAN (DI ISI)'!BN118+'KELURAHAN (DI ISI)'!BN119+'KELURAHAN (DI ISI)'!BN121</f>
        <v>1</v>
      </c>
      <c r="CA32" s="324">
        <f>'KELURAHAN (DI ISI)'!BO118+'KELURAHAN (DI ISI)'!BO119+'KELURAHAN (DI ISI)'!BO121</f>
        <v>0</v>
      </c>
      <c r="CB32" s="324">
        <f>'KELURAHAN (DI ISI)'!BP118+'KELURAHAN (DI ISI)'!BP119+'KELURAHAN (DI ISI)'!BP121</f>
        <v>2</v>
      </c>
      <c r="CC32" s="324">
        <f>'KELURAHAN (DI ISI)'!BQ118+'KELURAHAN (DI ISI)'!BQ119+'KELURAHAN (DI ISI)'!BQ121</f>
        <v>1907</v>
      </c>
      <c r="CD32" s="324">
        <f>'KELURAHAN (DI ISI)'!BR118+'KELURAHAN (DI ISI)'!BR119+'KELURAHAN (DI ISI)'!BR121</f>
        <v>23</v>
      </c>
      <c r="CE32" s="491">
        <f t="shared" si="13"/>
        <v>8</v>
      </c>
      <c r="CF32" s="491">
        <f t="shared" si="14"/>
        <v>11</v>
      </c>
      <c r="CG32" s="324">
        <f>'KELURAHAN (DI ISI)'!BS118+'KELURAHAN (DI ISI)'!BS119+'KELURAHAN (DI ISI)'!BS121</f>
        <v>2</v>
      </c>
      <c r="CH32" s="324">
        <f>'KELURAHAN (DI ISI)'!BT118+'KELURAHAN (DI ISI)'!BT119+'KELURAHAN (DI ISI)'!BT121</f>
        <v>4</v>
      </c>
      <c r="CI32" s="324">
        <f>'KELURAHAN (DI ISI)'!BU118+'KELURAHAN (DI ISI)'!BU119+'KELURAHAN (DI ISI)'!BU121</f>
        <v>2</v>
      </c>
      <c r="CJ32" s="324">
        <f>'KELURAHAN (DI ISI)'!BV118+'KELURAHAN (DI ISI)'!BV119+'KELURAHAN (DI ISI)'!BV121</f>
        <v>11</v>
      </c>
      <c r="CK32" s="324">
        <f>'KELURAHAN (DI ISI)'!BW118+'KELURAHAN (DI ISI)'!BW119+'KELURAHAN (DI ISI)'!BW121</f>
        <v>0</v>
      </c>
      <c r="CL32" s="324">
        <f>'KELURAHAN (DI ISI)'!BX118+'KELURAHAN (DI ISI)'!BX119+'KELURAHAN (DI ISI)'!BX121</f>
        <v>0</v>
      </c>
      <c r="CM32" s="324">
        <f>'KELURAHAN (DI ISI)'!BY118+'KELURAHAN (DI ISI)'!BY119+'KELURAHAN (DI ISI)'!BY121</f>
        <v>0</v>
      </c>
      <c r="CN32" s="324">
        <f>'KELURAHAN (DI ISI)'!BZ118+'KELURAHAN (DI ISI)'!BZ119+'KELURAHAN (DI ISI)'!BZ121</f>
        <v>4</v>
      </c>
      <c r="CO32" s="324">
        <f>'KELURAHAN (DI ISI)'!CA118+'KELURAHAN (DI ISI)'!CA119+'KELURAHAN (DI ISI)'!CA121</f>
        <v>0</v>
      </c>
      <c r="CP32" s="324">
        <f>'KELURAHAN (DI ISI)'!CB118+'KELURAHAN (DI ISI)'!CB119+'KELURAHAN (DI ISI)'!CB121</f>
        <v>1</v>
      </c>
      <c r="CQ32" s="324">
        <f>'KELURAHAN (DI ISI)'!CC118+'KELURAHAN (DI ISI)'!CC119+'KELURAHAN (DI ISI)'!CC121</f>
        <v>1</v>
      </c>
      <c r="CR32" s="324">
        <f>'KELURAHAN (DI ISI)'!CD118+'KELURAHAN (DI ISI)'!CD119+'KELURAHAN (DI ISI)'!CD121</f>
        <v>0</v>
      </c>
      <c r="CS32" s="324">
        <f>'KELURAHAN (DI ISI)'!CE118+'KELURAHAN (DI ISI)'!CE119+'KELURAHAN (DI ISI)'!CE121</f>
        <v>0</v>
      </c>
      <c r="CT32" s="324">
        <f>'KELURAHAN (DI ISI)'!CF118+'KELURAHAN (DI ISI)'!CF119+'KELURAHAN (DI ISI)'!CF121</f>
        <v>0</v>
      </c>
      <c r="CU32" s="324">
        <f>'KELURAHAN (DI ISI)'!CG118+'KELURAHAN (DI ISI)'!CG119+'KELURAHAN (DI ISI)'!CG121</f>
        <v>0</v>
      </c>
      <c r="CV32" s="324">
        <f>'KELURAHAN (DI ISI)'!CH118+'KELURAHAN (DI ISI)'!CH119+'KELURAHAN (DI ISI)'!CH121</f>
        <v>0</v>
      </c>
      <c r="CW32" s="324">
        <f>'KELURAHAN (DI ISI)'!CI118+'KELURAHAN (DI ISI)'!CI119+'KELURAHAN (DI ISI)'!CI121</f>
        <v>1</v>
      </c>
      <c r="CX32" s="324">
        <f>'KELURAHAN (DI ISI)'!CJ118+'KELURAHAN (DI ISI)'!CJ119+'KELURAHAN (DI ISI)'!CJ121</f>
        <v>0</v>
      </c>
      <c r="CY32" s="324">
        <f>'KELURAHAN (DI ISI)'!CK118+'KELURAHAN (DI ISI)'!CK119+'KELURAHAN (DI ISI)'!CK121</f>
        <v>3</v>
      </c>
      <c r="CZ32" s="324">
        <f>'KELURAHAN (DI ISI)'!CL118+'KELURAHAN (DI ISI)'!CL119+'KELURAHAN (DI ISI)'!CL121</f>
        <v>1885</v>
      </c>
      <c r="DA32" s="324">
        <f>'KELURAHAN (DI ISI)'!CM118+'KELURAHAN (DI ISI)'!CM119+'KELURAHAN (DI ISI)'!CM121</f>
        <v>545</v>
      </c>
      <c r="DB32" s="324">
        <f>'KELURAHAN (DI ISI)'!CN118+'KELURAHAN (DI ISI)'!CN119+'KELURAHAN (DI ISI)'!CN121</f>
        <v>25</v>
      </c>
      <c r="DC32" s="491">
        <f t="shared" si="15"/>
        <v>4</v>
      </c>
      <c r="DD32" s="491">
        <f t="shared" si="16"/>
        <v>13</v>
      </c>
      <c r="DE32" s="324">
        <f>'KELURAHAN (DI ISI)'!CO118+'KELURAHAN (DI ISI)'!CO119+'KELURAHAN (DI ISI)'!CO121</f>
        <v>1</v>
      </c>
      <c r="DF32" s="324">
        <f>'KELURAHAN (DI ISI)'!CP118+'KELURAHAN (DI ISI)'!CP119+'KELURAHAN (DI ISI)'!CP121</f>
        <v>1</v>
      </c>
      <c r="DG32" s="324">
        <f>'KELURAHAN (DI ISI)'!CQ118+'KELURAHAN (DI ISI)'!CQ119+'KELURAHAN (DI ISI)'!CQ121</f>
        <v>2</v>
      </c>
      <c r="DH32" s="324">
        <f>'KELURAHAN (DI ISI)'!CR118+'KELURAHAN (DI ISI)'!CR119+'KELURAHAN (DI ISI)'!CR121</f>
        <v>13</v>
      </c>
      <c r="DI32" s="324">
        <f>'KELURAHAN (DI ISI)'!CS118+'KELURAHAN (DI ISI)'!CS119+'KELURAHAN (DI ISI)'!CS121</f>
        <v>2</v>
      </c>
      <c r="DJ32" s="324">
        <f>'KELURAHAN (DI ISI)'!CT118+'KELURAHAN (DI ISI)'!CT119+'KELURAHAN (DI ISI)'!CT121</f>
        <v>1</v>
      </c>
      <c r="DK32" s="324">
        <f>'KELURAHAN (DI ISI)'!CU118+'KELURAHAN (DI ISI)'!CU119+'KELURAHAN (DI ISI)'!CU121</f>
        <v>4</v>
      </c>
      <c r="DL32" s="324">
        <f>'KELURAHAN (DI ISI)'!CV118+'KELURAHAN (DI ISI)'!CV119+'KELURAHAN (DI ISI)'!CV121</f>
        <v>1</v>
      </c>
      <c r="DM32" s="324">
        <f>'KELURAHAN (DI ISI)'!CW118+'KELURAHAN (DI ISI)'!CW119+'KELURAHAN (DI ISI)'!CW121</f>
        <v>0</v>
      </c>
      <c r="DN32" s="324">
        <f>'KELURAHAN (DI ISI)'!CX118+'KELURAHAN (DI ISI)'!CX119+'KELURAHAN (DI ISI)'!CX121</f>
        <v>1</v>
      </c>
      <c r="DO32" s="324">
        <f>'KELURAHAN (DI ISI)'!CY118+'KELURAHAN (DI ISI)'!CY119+'KELURAHAN (DI ISI)'!CY121</f>
        <v>1</v>
      </c>
      <c r="DP32" s="324">
        <f>'KELURAHAN (DI ISI)'!CZ118+'KELURAHAN (DI ISI)'!CZ119+'KELURAHAN (DI ISI)'!CZ121</f>
        <v>6</v>
      </c>
      <c r="DQ32" s="324">
        <f>'KELURAHAN (DI ISI)'!DA118+'KELURAHAN (DI ISI)'!DA119+'KELURAHAN (DI ISI)'!DA121</f>
        <v>0</v>
      </c>
      <c r="DR32" s="324">
        <f>'KELURAHAN (DI ISI)'!DB118+'KELURAHAN (DI ISI)'!DB119+'KELURAHAN (DI ISI)'!DB121</f>
        <v>0</v>
      </c>
      <c r="DS32" s="324">
        <f>'KELURAHAN (DI ISI)'!DC118+'KELURAHAN (DI ISI)'!DC119+'KELURAHAN (DI ISI)'!DC121</f>
        <v>0</v>
      </c>
      <c r="DT32" s="324">
        <f>'KELURAHAN (DI ISI)'!DD118+'KELURAHAN (DI ISI)'!DD119+'KELURAHAN (DI ISI)'!DD121</f>
        <v>0</v>
      </c>
      <c r="DU32" s="324">
        <f>'KELURAHAN (DI ISI)'!DE118+'KELURAHAN (DI ISI)'!DE119+'KELURAHAN (DI ISI)'!DE121</f>
        <v>0</v>
      </c>
      <c r="DV32" s="324">
        <f>'KELURAHAN (DI ISI)'!DF118+'KELURAHAN (DI ISI)'!DF119+'KELURAHAN (DI ISI)'!DF121</f>
        <v>0</v>
      </c>
      <c r="DW32" s="324">
        <f>'KELURAHAN (DI ISI)'!DG118+'KELURAHAN (DI ISI)'!DG119+'KELURAHAN (DI ISI)'!DG121</f>
        <v>8</v>
      </c>
      <c r="DX32" s="324">
        <f>'KELURAHAN (DI ISI)'!DH118+'KELURAHAN (DI ISI)'!DH119+'KELURAHAN (DI ISI)'!DH121</f>
        <v>1593</v>
      </c>
      <c r="DY32" s="324">
        <f>'KELURAHAN (DI ISI)'!DI118+'KELURAHAN (DI ISI)'!DI119+'KELURAHAN (DI ISI)'!DI121</f>
        <v>496</v>
      </c>
      <c r="DZ32" s="324">
        <f>'KELURAHAN (DI ISI)'!DJ118+'KELURAHAN (DI ISI)'!DJ119+'KELURAHAN (DI ISI)'!DJ121</f>
        <v>1593</v>
      </c>
      <c r="EA32" s="324">
        <f>'KELURAHAN (DI ISI)'!DK118+'KELURAHAN (DI ISI)'!DK119+'KELURAHAN (DI ISI)'!DK121</f>
        <v>496</v>
      </c>
      <c r="EB32" s="324">
        <f>'KELURAHAN (DI ISI)'!DL118+'KELURAHAN (DI ISI)'!DL119+'KELURAHAN (DI ISI)'!DL121</f>
        <v>22</v>
      </c>
      <c r="EC32" s="324">
        <f>'KELURAHAN (DI ISI)'!DM118+'KELURAHAN (DI ISI)'!DM119+'KELURAHAN (DI ISI)'!DM121</f>
        <v>7</v>
      </c>
      <c r="ED32" s="491">
        <f t="shared" si="17"/>
        <v>15</v>
      </c>
      <c r="EE32" s="324">
        <f>'KELURAHAN (DI ISI)'!DO118+'KELURAHAN (DI ISI)'!DO119+'KELURAHAN (DI ISI)'!DO121</f>
        <v>0</v>
      </c>
      <c r="EF32" s="324">
        <f>'KELURAHAN (DI ISI)'!DP118+'KELURAHAN (DI ISI)'!DP119+'KELURAHAN (DI ISI)'!DP121</f>
        <v>1</v>
      </c>
      <c r="EG32" s="324">
        <f>'KELURAHAN (DI ISI)'!DQ118+'KELURAHAN (DI ISI)'!DQ119+'KELURAHAN (DI ISI)'!DQ121</f>
        <v>5</v>
      </c>
      <c r="EH32" s="324">
        <f>'KELURAHAN (DI ISI)'!DR118+'KELURAHAN (DI ISI)'!DR119+'KELURAHAN (DI ISI)'!DR121</f>
        <v>13</v>
      </c>
      <c r="EI32" s="324">
        <f>'KELURAHAN (DI ISI)'!DS118+'KELURAHAN (DI ISI)'!DS119+'KELURAHAN (DI ISI)'!DS121</f>
        <v>0</v>
      </c>
      <c r="EJ32" s="324">
        <f>'KELURAHAN (DI ISI)'!DT118+'KELURAHAN (DI ISI)'!DT119+'KELURAHAN (DI ISI)'!DT121</f>
        <v>0</v>
      </c>
      <c r="EK32" s="324">
        <f>'KELURAHAN (DI ISI)'!DU118+'KELURAHAN (DI ISI)'!DU119+'KELURAHAN (DI ISI)'!DU121</f>
        <v>1</v>
      </c>
      <c r="EL32" s="324">
        <f>'KELURAHAN (DI ISI)'!DV118+'KELURAHAN (DI ISI)'!DV119+'KELURAHAN (DI ISI)'!DV121</f>
        <v>2</v>
      </c>
      <c r="EM32" s="324">
        <f>'KELURAHAN (DI ISI)'!DW118+'KELURAHAN (DI ISI)'!DW119+'KELURAHAN (DI ISI)'!DW121</f>
        <v>2</v>
      </c>
      <c r="EN32" s="324">
        <f>'KELURAHAN (DI ISI)'!DX118+'KELURAHAN (DI ISI)'!DX119+'KELURAHAN (DI ISI)'!DX121</f>
        <v>1</v>
      </c>
      <c r="EO32" s="324">
        <f>'KELURAHAN (DI ISI)'!DY118+'KELURAHAN (DI ISI)'!DY119+'KELURAHAN (DI ISI)'!DY121</f>
        <v>1</v>
      </c>
      <c r="EP32" s="324">
        <f>'KELURAHAN (DI ISI)'!DZ118+'KELURAHAN (DI ISI)'!DZ119+'KELURAHAN (DI ISI)'!DZ121</f>
        <v>2</v>
      </c>
      <c r="EQ32" s="324">
        <f>'KELURAHAN (DI ISI)'!EA118+'KELURAHAN (DI ISI)'!EA119+'KELURAHAN (DI ISI)'!EA121</f>
        <v>0</v>
      </c>
      <c r="ER32" s="324">
        <f>'KELURAHAN (DI ISI)'!EB118+'KELURAHAN (DI ISI)'!EB119+'KELURAHAN (DI ISI)'!EB121</f>
        <v>0</v>
      </c>
      <c r="ES32" s="324">
        <f>'KELURAHAN (DI ISI)'!EC118+'KELURAHAN (DI ISI)'!EC119+'KELURAHAN (DI ISI)'!EC121</f>
        <v>0</v>
      </c>
      <c r="ET32" s="324">
        <f>'KELURAHAN (DI ISI)'!ED118+'KELURAHAN (DI ISI)'!ED119+'KELURAHAN (DI ISI)'!ED121</f>
        <v>0</v>
      </c>
      <c r="EU32" s="324">
        <f>'KELURAHAN (DI ISI)'!EE118+'KELURAHAN (DI ISI)'!EE119+'KELURAHAN (DI ISI)'!EE121</f>
        <v>0</v>
      </c>
      <c r="EV32" s="324">
        <f>'KELURAHAN (DI ISI)'!EF118+'KELURAHAN (DI ISI)'!EF119+'KELURAHAN (DI ISI)'!EF121</f>
        <v>0</v>
      </c>
      <c r="EW32" s="324">
        <f>'KELURAHAN (DI ISI)'!EG118+'KELURAHAN (DI ISI)'!EG119+'KELURAHAN (DI ISI)'!EG121</f>
        <v>6</v>
      </c>
      <c r="EX32" s="324">
        <f>'KELURAHAN (DI ISI)'!EH118+'KELURAHAN (DI ISI)'!EH119+'KELURAHAN (DI ISI)'!EH121</f>
        <v>4</v>
      </c>
      <c r="EY32" s="324">
        <f>'KELURAHAN (DI ISI)'!EI118+'KELURAHAN (DI ISI)'!EI119+'KELURAHAN (DI ISI)'!EI121</f>
        <v>1591</v>
      </c>
      <c r="EZ32" s="324">
        <f>'KELURAHAN (DI ISI)'!EJ118+'KELURAHAN (DI ISI)'!EJ119+'KELURAHAN (DI ISI)'!EJ121</f>
        <v>485</v>
      </c>
      <c r="FA32" s="324">
        <f>'KELURAHAN (DI ISI)'!EK118+'KELURAHAN (DI ISI)'!EK119+'KELURAHAN (DI ISI)'!EK121</f>
        <v>1591</v>
      </c>
      <c r="FB32" s="324">
        <f>'KELURAHAN (DI ISI)'!EL118+'KELURAHAN (DI ISI)'!EL119+'KELURAHAN (DI ISI)'!EL121</f>
        <v>485</v>
      </c>
      <c r="FC32" s="324">
        <f>'KELURAHAN (DI ISI)'!EM118+'KELURAHAN (DI ISI)'!EM119+'KELURAHAN (DI ISI)'!EM121</f>
        <v>24</v>
      </c>
      <c r="FD32" s="324">
        <f>'KELURAHAN (DI ISI)'!EN118+'KELURAHAN (DI ISI)'!EN119+'KELURAHAN (DI ISI)'!EN121</f>
        <v>5</v>
      </c>
      <c r="FE32" s="491">
        <f t="shared" si="18"/>
        <v>19</v>
      </c>
      <c r="FF32" s="324">
        <f>'KELURAHAN (DI ISI)'!EP118+'KELURAHAN (DI ISI)'!EP119+'KELURAHAN (DI ISI)'!EP121</f>
        <v>0</v>
      </c>
      <c r="FG32" s="324">
        <f>'KELURAHAN (DI ISI)'!EQ118+'KELURAHAN (DI ISI)'!EQ119+'KELURAHAN (DI ISI)'!EQ121</f>
        <v>1</v>
      </c>
      <c r="FH32" s="324">
        <f>'KELURAHAN (DI ISI)'!ER118+'KELURAHAN (DI ISI)'!ER119+'KELURAHAN (DI ISI)'!ER121</f>
        <v>3</v>
      </c>
      <c r="FI32" s="324">
        <f>'KELURAHAN (DI ISI)'!ES118+'KELURAHAN (DI ISI)'!ES119+'KELURAHAN (DI ISI)'!ES121</f>
        <v>17</v>
      </c>
      <c r="FJ32" s="324">
        <f>'KELURAHAN (DI ISI)'!ET118+'KELURAHAN (DI ISI)'!ET119+'KELURAHAN (DI ISI)'!ET121</f>
        <v>1</v>
      </c>
      <c r="FK32" s="324">
        <f>'KELURAHAN (DI ISI)'!EU118+'KELURAHAN (DI ISI)'!EU119+'KELURAHAN (DI ISI)'!EU121</f>
        <v>0</v>
      </c>
      <c r="FL32" s="324">
        <f>'KELURAHAN (DI ISI)'!EV118+'KELURAHAN (DI ISI)'!EV119+'KELURAHAN (DI ISI)'!EV121</f>
        <v>0</v>
      </c>
      <c r="FM32" s="324">
        <f>'KELURAHAN (DI ISI)'!EW118+'KELURAHAN (DI ISI)'!EW119+'KELURAHAN (DI ISI)'!EW121</f>
        <v>2</v>
      </c>
      <c r="FN32" s="324">
        <f>'KELURAHAN (DI ISI)'!EX118+'KELURAHAN (DI ISI)'!EX119+'KELURAHAN (DI ISI)'!EX121</f>
        <v>0</v>
      </c>
      <c r="FO32" s="324">
        <f>'KELURAHAN (DI ISI)'!EY118+'KELURAHAN (DI ISI)'!EY119+'KELURAHAN (DI ISI)'!EY121</f>
        <v>0</v>
      </c>
      <c r="FP32" s="324">
        <f>'KELURAHAN (DI ISI)'!EZ118+'KELURAHAN (DI ISI)'!EZ119+'KELURAHAN (DI ISI)'!EZ121</f>
        <v>1</v>
      </c>
      <c r="FQ32" s="324">
        <f>'KELURAHAN (DI ISI)'!FA118+'KELURAHAN (DI ISI)'!FA119+'KELURAHAN (DI ISI)'!FA121</f>
        <v>0</v>
      </c>
      <c r="FR32" s="324">
        <f>'KELURAHAN (DI ISI)'!FB118+'KELURAHAN (DI ISI)'!FB119+'KELURAHAN (DI ISI)'!FB121</f>
        <v>0</v>
      </c>
      <c r="FS32" s="324">
        <f>'KELURAHAN (DI ISI)'!FC118+'KELURAHAN (DI ISI)'!FC119+'KELURAHAN (DI ISI)'!FC121</f>
        <v>0</v>
      </c>
      <c r="FT32" s="324">
        <f>'KELURAHAN (DI ISI)'!FD118+'KELURAHAN (DI ISI)'!FD119+'KELURAHAN (DI ISI)'!FD121</f>
        <v>0</v>
      </c>
      <c r="FU32" s="324">
        <f>'KELURAHAN (DI ISI)'!FE118+'KELURAHAN (DI ISI)'!FE119+'KELURAHAN (DI ISI)'!FE121</f>
        <v>0</v>
      </c>
      <c r="FV32" s="324">
        <f>'KELURAHAN (DI ISI)'!FF118+'KELURAHAN (DI ISI)'!FF119+'KELURAHAN (DI ISI)'!FF121</f>
        <v>0</v>
      </c>
      <c r="FW32" s="324">
        <f>'KELURAHAN (DI ISI)'!FG118+'KELURAHAN (DI ISI)'!FG119+'KELURAHAN (DI ISI)'!FG121</f>
        <v>0</v>
      </c>
      <c r="FX32" s="324">
        <f>'KELURAHAN (DI ISI)'!FH118+'KELURAHAN (DI ISI)'!FH119+'KELURAHAN (DI ISI)'!FH121</f>
        <v>1</v>
      </c>
      <c r="FY32" s="324">
        <f>'KELURAHAN (DI ISI)'!FI118+'KELURAHAN (DI ISI)'!FI119+'KELURAHAN (DI ISI)'!FI121</f>
        <v>1</v>
      </c>
      <c r="FZ32" s="324">
        <f>'KELURAHAN (DI ISI)'!FJ118+'KELURAHAN (DI ISI)'!FJ119+'KELURAHAN (DI ISI)'!FJ121</f>
        <v>1586</v>
      </c>
      <c r="GA32" s="324">
        <f>'KELURAHAN (DI ISI)'!FK118+'KELURAHAN (DI ISI)'!FK119+'KELURAHAN (DI ISI)'!FK121</f>
        <v>487</v>
      </c>
      <c r="GB32" s="324">
        <f>'KELURAHAN (DI ISI)'!FL118+'KELURAHAN (DI ISI)'!FL119+'KELURAHAN (DI ISI)'!FL121</f>
        <v>1573</v>
      </c>
      <c r="GC32" s="324">
        <f>'KELURAHAN (DI ISI)'!FM118+'KELURAHAN (DI ISI)'!FM119+'KELURAHAN (DI ISI)'!FM121</f>
        <v>487</v>
      </c>
      <c r="GD32" s="587">
        <v>1573.0</v>
      </c>
      <c r="GE32" s="588">
        <f>'KELURAHAN (DI ISI)'!FO118+'KELURAHAN (DI ISI)'!FO119+'KELURAHAN (DI ISI)'!FO121</f>
        <v>25</v>
      </c>
      <c r="GF32" s="588">
        <f>'KELURAHAN (DI ISI)'!FP118+'KELURAHAN (DI ISI)'!FP119+'KELURAHAN (DI ISI)'!FP121</f>
        <v>25</v>
      </c>
      <c r="GG32" s="588">
        <f>'KELURAHAN (DI ISI)'!FP118+'KELURAHAN (DI ISI)'!FP119+'KELURAHAN (DI ISI)'!FP121</f>
        <v>25</v>
      </c>
      <c r="GH32" s="588">
        <f>'KELURAHAN (DI ISI)'!FQ118+'KELURAHAN (DI ISI)'!FQ119+'KELURAHAN (DI ISI)'!FQ121</f>
        <v>5</v>
      </c>
      <c r="GI32" s="571">
        <f t="shared" si="19"/>
        <v>20</v>
      </c>
      <c r="GJ32" s="324">
        <f>'KELURAHAN (DI ISI)'!FS118+'KELURAHAN (DI ISI)'!FS119+'KELURAHAN (DI ISI)'!FS121</f>
        <v>0</v>
      </c>
      <c r="GK32" s="324">
        <f>'KELURAHAN (DI ISI)'!FT118+'KELURAHAN (DI ISI)'!FT119+'KELURAHAN (DI ISI)'!FT121</f>
        <v>2</v>
      </c>
      <c r="GL32" s="324">
        <f>'KELURAHAN (DI ISI)'!FU118+'KELURAHAN (DI ISI)'!FU119+'KELURAHAN (DI ISI)'!FU121</f>
        <v>3</v>
      </c>
      <c r="GM32" s="324">
        <f>'KELURAHAN (DI ISI)'!FV118+'KELURAHAN (DI ISI)'!FV119+'KELURAHAN (DI ISI)'!FV121</f>
        <v>19</v>
      </c>
      <c r="GN32" s="324">
        <f>'KELURAHAN (DI ISI)'!FW118+'KELURAHAN (DI ISI)'!FW119+'KELURAHAN (DI ISI)'!FW121</f>
        <v>0</v>
      </c>
      <c r="GO32" s="324">
        <f>'KELURAHAN (DI ISI)'!FX118+'KELURAHAN (DI ISI)'!FX119+'KELURAHAN (DI ISI)'!FX121</f>
        <v>0</v>
      </c>
      <c r="GP32" s="324">
        <f>'KELURAHAN (DI ISI)'!FY118+'KELURAHAN (DI ISI)'!FY119+'KELURAHAN (DI ISI)'!FY121</f>
        <v>0</v>
      </c>
      <c r="GQ32" s="324">
        <f>'KELURAHAN (DI ISI)'!FZ118+'KELURAHAN (DI ISI)'!FZ119+'KELURAHAN (DI ISI)'!FZ121</f>
        <v>1</v>
      </c>
      <c r="GR32" s="324">
        <f>'KELURAHAN (DI ISI)'!GA118+'KELURAHAN (DI ISI)'!GA119+'KELURAHAN (DI ISI)'!GA121</f>
        <v>0</v>
      </c>
      <c r="GS32" s="324">
        <f>'KELURAHAN (DI ISI)'!GB118+'KELURAHAN (DI ISI)'!GB119+'KELURAHAN (DI ISI)'!GB121</f>
        <v>0</v>
      </c>
      <c r="GT32" s="324">
        <f>'KELURAHAN (DI ISI)'!GC118+'KELURAHAN (DI ISI)'!GC119+'KELURAHAN (DI ISI)'!GC121</f>
        <v>0</v>
      </c>
      <c r="GU32" s="324">
        <f>'KELURAHAN (DI ISI)'!GD118+'KELURAHAN (DI ISI)'!GD119+'KELURAHAN (DI ISI)'!GD121</f>
        <v>0</v>
      </c>
      <c r="GV32" s="324">
        <f>'KELURAHAN (DI ISI)'!GE118+'KELURAHAN (DI ISI)'!GE119+'KELURAHAN (DI ISI)'!GE121</f>
        <v>0</v>
      </c>
      <c r="GW32" s="324">
        <f>'KELURAHAN (DI ISI)'!GF118+'KELURAHAN (DI ISI)'!GF119+'KELURAHAN (DI ISI)'!GF121</f>
        <v>0</v>
      </c>
      <c r="GX32" s="324">
        <f>'KELURAHAN (DI ISI)'!GG118+'KELURAHAN (DI ISI)'!GG119+'KELURAHAN (DI ISI)'!GG121</f>
        <v>0</v>
      </c>
      <c r="GY32" s="324">
        <f>'KELURAHAN (DI ISI)'!GH118+'KELURAHAN (DI ISI)'!GH119+'KELURAHAN (DI ISI)'!GH121</f>
        <v>0</v>
      </c>
      <c r="GZ32" s="324">
        <f>'KELURAHAN (DI ISI)'!GI118+'KELURAHAN (DI ISI)'!GI119+'KELURAHAN (DI ISI)'!GI121</f>
        <v>0</v>
      </c>
      <c r="HA32" s="324">
        <f>'KELURAHAN (DI ISI)'!GJ118+'KELURAHAN (DI ISI)'!GJ119+'KELURAHAN (DI ISI)'!GJ121</f>
        <v>0</v>
      </c>
      <c r="HB32" s="589">
        <f>'KELURAHAN (DI ISI)'!GK118+'KELURAHAN (DI ISI)'!GK119+'KELURAHAN (DI ISI)'!GK121</f>
        <v>0</v>
      </c>
      <c r="HC32" s="589">
        <f>'KELURAHAN (DI ISI)'!GL118+'KELURAHAN (DI ISI)'!GL119+'KELURAHAN (DI ISI)'!GL121</f>
        <v>0</v>
      </c>
      <c r="HD32" s="324">
        <f>'KELURAHAN (DI ISI)'!GM118+'KELURAHAN (DI ISI)'!GM119+'KELURAHAN (DI ISI)'!GM121</f>
        <v>1548</v>
      </c>
      <c r="HE32" s="324">
        <f>'KELURAHAN (DI ISI)'!GN118+'KELURAHAN (DI ISI)'!GN119+'KELURAHAN (DI ISI)'!GN121</f>
        <v>480</v>
      </c>
      <c r="HF32" s="324">
        <f>'KELURAHAN (DI ISI)'!GO118+'KELURAHAN (DI ISI)'!GO119+'KELURAHAN (DI ISI)'!GO121</f>
        <v>1547</v>
      </c>
      <c r="HG32" s="324">
        <f>'KELURAHAN (DI ISI)'!GP118+'KELURAHAN (DI ISI)'!GP119+'KELURAHAN (DI ISI)'!GP121</f>
        <v>479</v>
      </c>
      <c r="HH32" s="587">
        <v>1573.0</v>
      </c>
      <c r="HI32" s="590">
        <f>'KELURAHAN (DI ISI)'!GR118+'KELURAHAN (DI ISI)'!GR119+'KELURAHAN (DI ISI)'!GR121</f>
        <v>27</v>
      </c>
      <c r="HJ32" s="590">
        <f>'KELURAHAN (DI ISI)'!GS118+'KELURAHAN (DI ISI)'!GS119+'KELURAHAN (DI ISI)'!GS121</f>
        <v>6</v>
      </c>
      <c r="HK32" s="591">
        <f>'KELURAHAN (DI ISI)'!GT118+'KELURAHAN (DI ISI)'!GT119+'KELURAHAN (DI ISI)'!GT121</f>
        <v>27</v>
      </c>
      <c r="HL32" s="591">
        <f>'KELURAHAN (DI ISI)'!GU118+'KELURAHAN (DI ISI)'!GU119+'KELURAHAN (DI ISI)'!GU121</f>
        <v>6</v>
      </c>
      <c r="HM32" s="573">
        <f t="shared" si="20"/>
        <v>21</v>
      </c>
      <c r="HN32" s="324">
        <f>'KELURAHAN (DI ISI)'!GW118+'KELURAHAN (DI ISI)'!GW119+'KELURAHAN (DI ISI)'!GW121</f>
        <v>1</v>
      </c>
      <c r="HO32" s="324">
        <f>'KELURAHAN (DI ISI)'!GX118+'KELURAHAN (DI ISI)'!GX119+'KELURAHAN (DI ISI)'!GX121</f>
        <v>1</v>
      </c>
      <c r="HP32" s="324">
        <f>'KELURAHAN (DI ISI)'!GY118+'KELURAHAN (DI ISI)'!GY119+'KELURAHAN (DI ISI)'!GY121</f>
        <v>3</v>
      </c>
      <c r="HQ32" s="324">
        <f>'KELURAHAN (DI ISI)'!GZ118+'KELURAHAN (DI ISI)'!GZ119+'KELURAHAN (DI ISI)'!GZ121</f>
        <v>20</v>
      </c>
      <c r="HR32" s="324">
        <f>'KELURAHAN (DI ISI)'!HA118+'KELURAHAN (DI ISI)'!HA119+'KELURAHAN (DI ISI)'!HA121</f>
        <v>0</v>
      </c>
      <c r="HS32" s="324">
        <f>'KELURAHAN (DI ISI)'!HB118+'KELURAHAN (DI ISI)'!HB119+'KELURAHAN (DI ISI)'!HB121</f>
        <v>1</v>
      </c>
      <c r="HT32" s="324">
        <f>'KELURAHAN (DI ISI)'!HC118+'KELURAHAN (DI ISI)'!HC119+'KELURAHAN (DI ISI)'!HC121</f>
        <v>0</v>
      </c>
      <c r="HU32" s="324">
        <f>'KELURAHAN (DI ISI)'!HD118+'KELURAHAN (DI ISI)'!HD119+'KELURAHAN (DI ISI)'!HD121</f>
        <v>1</v>
      </c>
      <c r="HV32" s="324">
        <f>'KELURAHAN (DI ISI)'!HE118+'KELURAHAN (DI ISI)'!HE119+'KELURAHAN (DI ISI)'!HE121</f>
        <v>0</v>
      </c>
      <c r="HW32" s="324">
        <f>'KELURAHAN (DI ISI)'!HF118+'KELURAHAN (DI ISI)'!HF119+'KELURAHAN (DI ISI)'!HF121</f>
        <v>0</v>
      </c>
      <c r="HX32" s="324">
        <f>'KELURAHAN (DI ISI)'!HG118+'KELURAHAN (DI ISI)'!HG119+'KELURAHAN (DI ISI)'!HG121</f>
        <v>0</v>
      </c>
      <c r="HY32" s="324">
        <f>'KELURAHAN (DI ISI)'!HH118+'KELURAHAN (DI ISI)'!HH119+'KELURAHAN (DI ISI)'!HH121</f>
        <v>0</v>
      </c>
      <c r="HZ32" s="324">
        <f>'KELURAHAN (DI ISI)'!HI118+'KELURAHAN (DI ISI)'!HI119+'KELURAHAN (DI ISI)'!HI121</f>
        <v>0</v>
      </c>
      <c r="IA32" s="324">
        <f>'KELURAHAN (DI ISI)'!HJ118+'KELURAHAN (DI ISI)'!HJ119+'KELURAHAN (DI ISI)'!HJ121</f>
        <v>0</v>
      </c>
      <c r="IB32" s="324">
        <f>'KELURAHAN (DI ISI)'!HK118+'KELURAHAN (DI ISI)'!HK119+'KELURAHAN (DI ISI)'!HK121</f>
        <v>0</v>
      </c>
      <c r="IC32" s="324">
        <f>'KELURAHAN (DI ISI)'!HL118+'KELURAHAN (DI ISI)'!HL119+'KELURAHAN (DI ISI)'!HL121</f>
        <v>0</v>
      </c>
      <c r="ID32" s="324">
        <f>'KELURAHAN (DI ISI)'!HM118+'KELURAHAN (DI ISI)'!HM119+'KELURAHAN (DI ISI)'!HM121</f>
        <v>0</v>
      </c>
      <c r="IE32" s="324">
        <f>'KELURAHAN (DI ISI)'!HN118+'KELURAHAN (DI ISI)'!HN119+'KELURAHAN (DI ISI)'!HN121</f>
        <v>0</v>
      </c>
      <c r="IF32" s="591">
        <f>'KELURAHAN (DI ISI)'!HO118+'KELURAHAN (DI ISI)'!HO119+'KELURAHAN (DI ISI)'!HO121</f>
        <v>0</v>
      </c>
      <c r="IG32" s="591">
        <f>'KELURAHAN (DI ISI)'!HP118+'KELURAHAN (DI ISI)'!HP119+'KELURAHAN (DI ISI)'!HP121</f>
        <v>0</v>
      </c>
      <c r="IK32" s="198">
        <f t="shared" si="21"/>
        <v>17</v>
      </c>
      <c r="IL32" s="198">
        <f t="shared" si="22"/>
        <v>28</v>
      </c>
      <c r="IM32" s="198">
        <f t="shared" si="23"/>
        <v>42</v>
      </c>
      <c r="IN32" s="198">
        <f t="shared" si="24"/>
        <v>21</v>
      </c>
      <c r="IO32" s="198">
        <f t="shared" si="25"/>
        <v>22</v>
      </c>
      <c r="IP32" s="198">
        <f t="shared" si="26"/>
        <v>22</v>
      </c>
      <c r="IQ32" s="574">
        <f t="shared" si="27"/>
        <v>23</v>
      </c>
      <c r="IR32" s="574">
        <f t="shared" si="28"/>
        <v>25</v>
      </c>
      <c r="IS32" s="574">
        <f t="shared" si="29"/>
        <v>22</v>
      </c>
      <c r="IT32" s="574">
        <f t="shared" si="30"/>
        <v>24</v>
      </c>
      <c r="IU32" s="574">
        <f t="shared" si="31"/>
        <v>25</v>
      </c>
      <c r="IV32" s="575">
        <f t="shared" si="32"/>
        <v>27</v>
      </c>
      <c r="IW32" s="583"/>
      <c r="IX32" s="576">
        <f t="shared" si="33"/>
        <v>-27</v>
      </c>
      <c r="IZ32" s="577"/>
      <c r="JA32" s="162">
        <f t="shared" si="34"/>
        <v>-1548</v>
      </c>
      <c r="JB32" s="578"/>
      <c r="JC32" s="579">
        <f t="shared" si="35"/>
        <v>-480</v>
      </c>
      <c r="JD32" s="597"/>
      <c r="JE32" s="585"/>
      <c r="JF32" s="577"/>
      <c r="JG32" s="234">
        <f t="shared" si="36"/>
        <v>-1547</v>
      </c>
      <c r="JH32" s="578"/>
      <c r="JI32" s="579">
        <f t="shared" si="37"/>
        <v>-479</v>
      </c>
      <c r="JJ32" s="247"/>
    </row>
    <row r="33" ht="14.25" customHeight="1">
      <c r="A33" s="158">
        <v>26.0</v>
      </c>
      <c r="B33" s="157" t="s">
        <v>206</v>
      </c>
      <c r="C33" s="253">
        <v>3374110.0</v>
      </c>
      <c r="D33" s="569" t="s">
        <v>220</v>
      </c>
      <c r="E33" s="253"/>
      <c r="F33" s="603">
        <f>'KELURAHAN (DI ISI)'!F113+'KELURAHAN (DI ISI)'!F114+'KELURAHAN (DI ISI)'!F120</f>
        <v>33</v>
      </c>
      <c r="G33" s="603">
        <f>'KELURAHAN (DI ISI)'!G113+'KELURAHAN (DI ISI)'!G114+'KELURAHAN (DI ISI)'!G120</f>
        <v>1179</v>
      </c>
      <c r="H33" s="603">
        <f>'KELURAHAN (DI ISI)'!H113+'KELURAHAN (DI ISI)'!H114+'KELURAHAN (DI ISI)'!H120</f>
        <v>30</v>
      </c>
      <c r="I33" s="491">
        <f t="shared" si="1"/>
        <v>6</v>
      </c>
      <c r="J33" s="491">
        <f t="shared" si="2"/>
        <v>24</v>
      </c>
      <c r="K33" s="324">
        <f>'KELURAHAN (DI ISI)'!I113+'KELURAHAN (DI ISI)'!I114+'KELURAHAN (DI ISI)'!I120</f>
        <v>0</v>
      </c>
      <c r="L33" s="324">
        <f>'KELURAHAN (DI ISI)'!J113+'KELURAHAN (DI ISI)'!J114+'KELURAHAN (DI ISI)'!J120</f>
        <v>0</v>
      </c>
      <c r="M33" s="324">
        <f>'KELURAHAN (DI ISI)'!K113+'KELURAHAN (DI ISI)'!K114+'KELURAHAN (DI ISI)'!K120</f>
        <v>6</v>
      </c>
      <c r="N33" s="324">
        <f>'KELURAHAN (DI ISI)'!L113+'KELURAHAN (DI ISI)'!L114+'KELURAHAN (DI ISI)'!L120</f>
        <v>24</v>
      </c>
      <c r="O33" s="324">
        <f>'KELURAHAN (DI ISI)'!M113+'KELURAHAN (DI ISI)'!M114+'KELURAHAN (DI ISI)'!M120</f>
        <v>1</v>
      </c>
      <c r="P33" s="324">
        <f>'KELURAHAN (DI ISI)'!N113+'KELURAHAN (DI ISI)'!N114+'KELURAHAN (DI ISI)'!N120</f>
        <v>3</v>
      </c>
      <c r="Q33" s="324">
        <f>'KELURAHAN (DI ISI)'!O113+'KELURAHAN (DI ISI)'!O114+'KELURAHAN (DI ISI)'!O120</f>
        <v>26</v>
      </c>
      <c r="R33" s="491">
        <f>'KELURAHAN (DI ISI)'!P101+'KELURAHAN (DI ISI)'!P102+'KELURAHAN (DI ISI)'!P104+'KELURAHAN (DI ISI)'!P105+'KELURAHAN (DI ISI)'!P106</f>
        <v>30</v>
      </c>
      <c r="S33" s="491">
        <f t="shared" si="3"/>
        <v>10</v>
      </c>
      <c r="T33" s="491">
        <f t="shared" si="4"/>
        <v>20</v>
      </c>
      <c r="U33" s="324">
        <f>'KELURAHAN (DI ISI)'!Q113+'KELURAHAN (DI ISI)'!Q114+'KELURAHAN (DI ISI)'!Q120</f>
        <v>0</v>
      </c>
      <c r="V33" s="324">
        <f>'KELURAHAN (DI ISI)'!R113+'KELURAHAN (DI ISI)'!R114+'KELURAHAN (DI ISI)'!R120</f>
        <v>1</v>
      </c>
      <c r="W33" s="324">
        <f>'KELURAHAN (DI ISI)'!S113+'KELURAHAN (DI ISI)'!S114+'KELURAHAN (DI ISI)'!S120</f>
        <v>9</v>
      </c>
      <c r="X33" s="324">
        <f>'KELURAHAN (DI ISI)'!T113+'KELURAHAN (DI ISI)'!T114+'KELURAHAN (DI ISI)'!T120</f>
        <v>20</v>
      </c>
      <c r="Y33" s="324">
        <f>'KELURAHAN (DI ISI)'!U113+'KELURAHAN (DI ISI)'!U114+'KELURAHAN (DI ISI)'!U120</f>
        <v>3</v>
      </c>
      <c r="Z33" s="324">
        <f>'KELURAHAN (DI ISI)'!V113+'KELURAHAN (DI ISI)'!V114+'KELURAHAN (DI ISI)'!V120</f>
        <v>1</v>
      </c>
      <c r="AA33" s="324">
        <f>'KELURAHAN (DI ISI)'!W113+'KELURAHAN (DI ISI)'!W114+'KELURAHAN (DI ISI)'!W120</f>
        <v>26</v>
      </c>
      <c r="AB33" s="324">
        <f>'KELURAHAN (DI ISI)'!X113+'KELURAHAN (DI ISI)'!X114+'KELURAHAN (DI ISI)'!X120</f>
        <v>34</v>
      </c>
      <c r="AC33" s="491">
        <f t="shared" si="5"/>
        <v>9</v>
      </c>
      <c r="AD33" s="491">
        <f t="shared" si="6"/>
        <v>25</v>
      </c>
      <c r="AE33" s="324">
        <f>'KELURAHAN (DI ISI)'!Y113+'KELURAHAN (DI ISI)'!Y114+'KELURAHAN (DI ISI)'!Y120</f>
        <v>0</v>
      </c>
      <c r="AF33" s="324">
        <f>'KELURAHAN (DI ISI)'!Z113+'KELURAHAN (DI ISI)'!Z114+'KELURAHAN (DI ISI)'!Z120</f>
        <v>0</v>
      </c>
      <c r="AG33" s="324">
        <f>'KELURAHAN (DI ISI)'!AA113+'KELURAHAN (DI ISI)'!AA114+'KELURAHAN (DI ISI)'!AA120</f>
        <v>9</v>
      </c>
      <c r="AH33" s="324">
        <f>'KELURAHAN (DI ISI)'!AB113+'KELURAHAN (DI ISI)'!AB114+'KELURAHAN (DI ISI)'!AB120</f>
        <v>25</v>
      </c>
      <c r="AI33" s="324">
        <f>'KELURAHAN (DI ISI)'!AC113+'KELURAHAN (DI ISI)'!AC114+'KELURAHAN (DI ISI)'!AC120</f>
        <v>0</v>
      </c>
      <c r="AJ33" s="324">
        <f>'KELURAHAN (DI ISI)'!AD113+'KELURAHAN (DI ISI)'!AD114+'KELURAHAN (DI ISI)'!AD120</f>
        <v>0</v>
      </c>
      <c r="AK33" s="324">
        <f>'KELURAHAN (DI ISI)'!AE113+'KELURAHAN (DI ISI)'!AE114+'KELURAHAN (DI ISI)'!AE120</f>
        <v>34</v>
      </c>
      <c r="AL33" s="324">
        <f>'KELURAHAN (DI ISI)'!AF113+'KELURAHAN (DI ISI)'!AF114+'KELURAHAN (DI ISI)'!AF120</f>
        <v>34</v>
      </c>
      <c r="AM33" s="491">
        <f t="shared" si="7"/>
        <v>13</v>
      </c>
      <c r="AN33" s="491">
        <f t="shared" si="8"/>
        <v>21</v>
      </c>
      <c r="AO33" s="324">
        <f>'KELURAHAN (DI ISI)'!AG113+'KELURAHAN (DI ISI)'!AG114+'KELURAHAN (DI ISI)'!AG120</f>
        <v>1</v>
      </c>
      <c r="AP33" s="324">
        <f>'KELURAHAN (DI ISI)'!AH113+'KELURAHAN (DI ISI)'!AH114+'KELURAHAN (DI ISI)'!AH120</f>
        <v>2</v>
      </c>
      <c r="AQ33" s="324">
        <f>'KELURAHAN (DI ISI)'!AI113+'KELURAHAN (DI ISI)'!AI114+'KELURAHAN (DI ISI)'!AI120</f>
        <v>10</v>
      </c>
      <c r="AR33" s="324">
        <f>'KELURAHAN (DI ISI)'!AJ113+'KELURAHAN (DI ISI)'!AJ114+'KELURAHAN (DI ISI)'!AJ120</f>
        <v>21</v>
      </c>
      <c r="AS33" s="324">
        <f>'KELURAHAN (DI ISI)'!AK113+'KELURAHAN (DI ISI)'!AK114+'KELURAHAN (DI ISI)'!AK120</f>
        <v>0</v>
      </c>
      <c r="AT33" s="324">
        <f>'KELURAHAN (DI ISI)'!AL113+'KELURAHAN (DI ISI)'!AL114+'KELURAHAN (DI ISI)'!AL120</f>
        <v>0</v>
      </c>
      <c r="AU33" s="324">
        <f>'KELURAHAN (DI ISI)'!AM113+'KELURAHAN (DI ISI)'!AM114+'KELURAHAN (DI ISI)'!AM120</f>
        <v>34</v>
      </c>
      <c r="AV33" s="324">
        <f>'KELURAHAN (DI ISI)'!AN113+'KELURAHAN (DI ISI)'!AN114+'KELURAHAN (DI ISI)'!AN120</f>
        <v>30</v>
      </c>
      <c r="AW33" s="491">
        <f t="shared" si="9"/>
        <v>6</v>
      </c>
      <c r="AX33" s="491">
        <f t="shared" si="10"/>
        <v>24</v>
      </c>
      <c r="AY33" s="324">
        <f>'KELURAHAN (DI ISI)'!AO113+'KELURAHAN (DI ISI)'!AO114+'KELURAHAN (DI ISI)'!AO120</f>
        <v>0</v>
      </c>
      <c r="AZ33" s="324">
        <f>'KELURAHAN (DI ISI)'!AP113+'KELURAHAN (DI ISI)'!AP114+'KELURAHAN (DI ISI)'!AP120</f>
        <v>0</v>
      </c>
      <c r="BA33" s="324">
        <f>'KELURAHAN (DI ISI)'!AQ113+'KELURAHAN (DI ISI)'!AQ114+'KELURAHAN (DI ISI)'!AQ120</f>
        <v>6</v>
      </c>
      <c r="BB33" s="324">
        <f>'KELURAHAN (DI ISI)'!AR113+'KELURAHAN (DI ISI)'!AR114+'KELURAHAN (DI ISI)'!AR120</f>
        <v>24</v>
      </c>
      <c r="BC33" s="324">
        <f>'KELURAHAN (DI ISI)'!AS113+'KELURAHAN (DI ISI)'!AS114+'KELURAHAN (DI ISI)'!AS120</f>
        <v>1</v>
      </c>
      <c r="BD33" s="324">
        <f>'KELURAHAN (DI ISI)'!AT113+'KELURAHAN (DI ISI)'!AT114+'KELURAHAN (DI ISI)'!AT120</f>
        <v>0</v>
      </c>
      <c r="BE33" s="324">
        <f>'KELURAHAN (DI ISI)'!AU113+'KELURAHAN (DI ISI)'!AU114+'KELURAHAN (DI ISI)'!AU120</f>
        <v>29</v>
      </c>
      <c r="BF33" s="324">
        <f>'KELURAHAN (DI ISI)'!AV113+'KELURAHAN (DI ISI)'!AV114+'KELURAHAN (DI ISI)'!AV120</f>
        <v>1125</v>
      </c>
      <c r="BG33" s="324">
        <f>'KELURAHAN (DI ISI)'!AW113+'KELURAHAN (DI ISI)'!AW114+'KELURAHAN (DI ISI)'!AW120</f>
        <v>30</v>
      </c>
      <c r="BH33" s="491">
        <f t="shared" si="11"/>
        <v>6</v>
      </c>
      <c r="BI33" s="495">
        <f t="shared" si="12"/>
        <v>23</v>
      </c>
      <c r="BJ33" s="324">
        <f>'KELURAHAN (DI ISI)'!AX113+'KELURAHAN (DI ISI)'!AX114+'KELURAHAN (DI ISI)'!AX120</f>
        <v>0</v>
      </c>
      <c r="BK33" s="324">
        <f>'KELURAHAN (DI ISI)'!AY113+'KELURAHAN (DI ISI)'!AY114+'KELURAHAN (DI ISI)'!AY120</f>
        <v>0</v>
      </c>
      <c r="BL33" s="324">
        <f>'KELURAHAN (DI ISI)'!AZ113+'KELURAHAN (DI ISI)'!AZ114+'KELURAHAN (DI ISI)'!AZ120</f>
        <v>6</v>
      </c>
      <c r="BM33" s="324">
        <f>'KELURAHAN (DI ISI)'!BA113+'KELURAHAN (DI ISI)'!BA114+'KELURAHAN (DI ISI)'!BA120</f>
        <v>23</v>
      </c>
      <c r="BN33" s="324">
        <f>'KELURAHAN (DI ISI)'!BB113+'KELURAHAN (DI ISI)'!BB114+'KELURAHAN (DI ISI)'!BB120</f>
        <v>0</v>
      </c>
      <c r="BO33" s="324">
        <f>'KELURAHAN (DI ISI)'!BC113+'KELURAHAN (DI ISI)'!BC114+'KELURAHAN (DI ISI)'!BC120</f>
        <v>1</v>
      </c>
      <c r="BP33" s="324">
        <f>'KELURAHAN (DI ISI)'!BD113+'KELURAHAN (DI ISI)'!BD114+'KELURAHAN (DI ISI)'!BD120</f>
        <v>0</v>
      </c>
      <c r="BQ33" s="324">
        <f>'KELURAHAN (DI ISI)'!BE113+'KELURAHAN (DI ISI)'!BE114+'KELURAHAN (DI ISI)'!BE120</f>
        <v>0</v>
      </c>
      <c r="BR33" s="324">
        <f>'KELURAHAN (DI ISI)'!BF113+'KELURAHAN (DI ISI)'!BF114+'KELURAHAN (DI ISI)'!BF120</f>
        <v>0</v>
      </c>
      <c r="BS33" s="324">
        <f>'KELURAHAN (DI ISI)'!BG113+'KELURAHAN (DI ISI)'!BG114+'KELURAHAN (DI ISI)'!BG120</f>
        <v>1</v>
      </c>
      <c r="BT33" s="324">
        <f>'KELURAHAN (DI ISI)'!BH113+'KELURAHAN (DI ISI)'!BH114+'KELURAHAN (DI ISI)'!BH120</f>
        <v>1</v>
      </c>
      <c r="BU33" s="324">
        <f>'KELURAHAN (DI ISI)'!BI113+'KELURAHAN (DI ISI)'!BI114+'KELURAHAN (DI ISI)'!BI120</f>
        <v>6</v>
      </c>
      <c r="BV33" s="324">
        <f>'KELURAHAN (DI ISI)'!BJ113+'KELURAHAN (DI ISI)'!BJ114+'KELURAHAN (DI ISI)'!BJ120</f>
        <v>0</v>
      </c>
      <c r="BW33" s="324">
        <f>'KELURAHAN (DI ISI)'!BK113+'KELURAHAN (DI ISI)'!BK114+'KELURAHAN (DI ISI)'!BK120</f>
        <v>0</v>
      </c>
      <c r="BX33" s="324">
        <f>'KELURAHAN (DI ISI)'!BL113+'KELURAHAN (DI ISI)'!BL114+'KELURAHAN (DI ISI)'!BL120</f>
        <v>1</v>
      </c>
      <c r="BY33" s="324">
        <f>'KELURAHAN (DI ISI)'!BM113+'KELURAHAN (DI ISI)'!BM114+'KELURAHAN (DI ISI)'!BM120</f>
        <v>0</v>
      </c>
      <c r="BZ33" s="324">
        <f>'KELURAHAN (DI ISI)'!BN113+'KELURAHAN (DI ISI)'!BN114+'KELURAHAN (DI ISI)'!BN120</f>
        <v>0</v>
      </c>
      <c r="CA33" s="324">
        <f>'KELURAHAN (DI ISI)'!BO113+'KELURAHAN (DI ISI)'!BO114+'KELURAHAN (DI ISI)'!BO120</f>
        <v>0</v>
      </c>
      <c r="CB33" s="324">
        <f>'KELURAHAN (DI ISI)'!BP113+'KELURAHAN (DI ISI)'!BP114+'KELURAHAN (DI ISI)'!BP120</f>
        <v>9</v>
      </c>
      <c r="CC33" s="324">
        <f>'KELURAHAN (DI ISI)'!BQ113+'KELURAHAN (DI ISI)'!BQ114+'KELURAHAN (DI ISI)'!BQ120</f>
        <v>1180</v>
      </c>
      <c r="CD33" s="324">
        <f>'KELURAHAN (DI ISI)'!BR113+'KELURAHAN (DI ISI)'!BR114+'KELURAHAN (DI ISI)'!BR120</f>
        <v>32</v>
      </c>
      <c r="CE33" s="491">
        <f t="shared" si="13"/>
        <v>6</v>
      </c>
      <c r="CF33" s="491">
        <f t="shared" si="14"/>
        <v>22</v>
      </c>
      <c r="CG33" s="324">
        <f>'KELURAHAN (DI ISI)'!BS113+'KELURAHAN (DI ISI)'!BS114+'KELURAHAN (DI ISI)'!BS120</f>
        <v>0</v>
      </c>
      <c r="CH33" s="324">
        <f>'KELURAHAN (DI ISI)'!BT113+'KELURAHAN (DI ISI)'!BT114+'KELURAHAN (DI ISI)'!BT120</f>
        <v>1</v>
      </c>
      <c r="CI33" s="324">
        <f>'KELURAHAN (DI ISI)'!BU113+'KELURAHAN (DI ISI)'!BU114+'KELURAHAN (DI ISI)'!BU120</f>
        <v>5</v>
      </c>
      <c r="CJ33" s="324">
        <f>'KELURAHAN (DI ISI)'!BV113+'KELURAHAN (DI ISI)'!BV114+'KELURAHAN (DI ISI)'!BV120</f>
        <v>22</v>
      </c>
      <c r="CK33" s="324">
        <f>'KELURAHAN (DI ISI)'!BW113+'KELURAHAN (DI ISI)'!BW114+'KELURAHAN (DI ISI)'!BW120</f>
        <v>2</v>
      </c>
      <c r="CL33" s="324">
        <f>'KELURAHAN (DI ISI)'!BX113+'KELURAHAN (DI ISI)'!BX114+'KELURAHAN (DI ISI)'!BX120</f>
        <v>0</v>
      </c>
      <c r="CM33" s="324">
        <f>'KELURAHAN (DI ISI)'!BY113+'KELURAHAN (DI ISI)'!BY114+'KELURAHAN (DI ISI)'!BY120</f>
        <v>0</v>
      </c>
      <c r="CN33" s="324">
        <f>'KELURAHAN (DI ISI)'!BZ113+'KELURAHAN (DI ISI)'!BZ114+'KELURAHAN (DI ISI)'!BZ120</f>
        <v>2</v>
      </c>
      <c r="CO33" s="324">
        <f>'KELURAHAN (DI ISI)'!CA113+'KELURAHAN (DI ISI)'!CA114+'KELURAHAN (DI ISI)'!CA120</f>
        <v>0</v>
      </c>
      <c r="CP33" s="324">
        <f>'KELURAHAN (DI ISI)'!CB113+'KELURAHAN (DI ISI)'!CB114+'KELURAHAN (DI ISI)'!CB120</f>
        <v>0</v>
      </c>
      <c r="CQ33" s="324">
        <f>'KELURAHAN (DI ISI)'!CC113+'KELURAHAN (DI ISI)'!CC114+'KELURAHAN (DI ISI)'!CC120</f>
        <v>0</v>
      </c>
      <c r="CR33" s="324">
        <f>'KELURAHAN (DI ISI)'!CD113+'KELURAHAN (DI ISI)'!CD114+'KELURAHAN (DI ISI)'!CD120</f>
        <v>0</v>
      </c>
      <c r="CS33" s="324">
        <f>'KELURAHAN (DI ISI)'!CE113+'KELURAHAN (DI ISI)'!CE114+'KELURAHAN (DI ISI)'!CE120</f>
        <v>0</v>
      </c>
      <c r="CT33" s="324">
        <f>'KELURAHAN (DI ISI)'!CF113+'KELURAHAN (DI ISI)'!CF114+'KELURAHAN (DI ISI)'!CF120</f>
        <v>0</v>
      </c>
      <c r="CU33" s="324">
        <f>'KELURAHAN (DI ISI)'!CG113+'KELURAHAN (DI ISI)'!CG114+'KELURAHAN (DI ISI)'!CG120</f>
        <v>0</v>
      </c>
      <c r="CV33" s="324">
        <f>'KELURAHAN (DI ISI)'!CH113+'KELURAHAN (DI ISI)'!CH114+'KELURAHAN (DI ISI)'!CH120</f>
        <v>0</v>
      </c>
      <c r="CW33" s="324">
        <f>'KELURAHAN (DI ISI)'!CI113+'KELURAHAN (DI ISI)'!CI114+'KELURAHAN (DI ISI)'!CI120</f>
        <v>0</v>
      </c>
      <c r="CX33" s="324">
        <f>'KELURAHAN (DI ISI)'!CJ113+'KELURAHAN (DI ISI)'!CJ114+'KELURAHAN (DI ISI)'!CJ120</f>
        <v>0</v>
      </c>
      <c r="CY33" s="324">
        <f>'KELURAHAN (DI ISI)'!CK113+'KELURAHAN (DI ISI)'!CK114+'KELURAHAN (DI ISI)'!CK120</f>
        <v>0</v>
      </c>
      <c r="CZ33" s="324">
        <f>'KELURAHAN (DI ISI)'!CL113+'KELURAHAN (DI ISI)'!CL114+'KELURAHAN (DI ISI)'!CL120</f>
        <v>1184</v>
      </c>
      <c r="DA33" s="324">
        <f>'KELURAHAN (DI ISI)'!CM113+'KELURAHAN (DI ISI)'!CM114+'KELURAHAN (DI ISI)'!CM120</f>
        <v>341</v>
      </c>
      <c r="DB33" s="324">
        <f>'KELURAHAN (DI ISI)'!CN113+'KELURAHAN (DI ISI)'!CN114+'KELURAHAN (DI ISI)'!CN120</f>
        <v>54</v>
      </c>
      <c r="DC33" s="491">
        <f t="shared" si="15"/>
        <v>5</v>
      </c>
      <c r="DD33" s="491">
        <f t="shared" si="16"/>
        <v>22</v>
      </c>
      <c r="DE33" s="324">
        <f>'KELURAHAN (DI ISI)'!CO113+'KELURAHAN (DI ISI)'!CO114+'KELURAHAN (DI ISI)'!CO120</f>
        <v>1</v>
      </c>
      <c r="DF33" s="324">
        <f>'KELURAHAN (DI ISI)'!CP113+'KELURAHAN (DI ISI)'!CP114+'KELURAHAN (DI ISI)'!CP120</f>
        <v>0</v>
      </c>
      <c r="DG33" s="324">
        <f>'KELURAHAN (DI ISI)'!CQ113+'KELURAHAN (DI ISI)'!CQ114+'KELURAHAN (DI ISI)'!CQ120</f>
        <v>4</v>
      </c>
      <c r="DH33" s="324">
        <f>'KELURAHAN (DI ISI)'!CR113+'KELURAHAN (DI ISI)'!CR114+'KELURAHAN (DI ISI)'!CR120</f>
        <v>22</v>
      </c>
      <c r="DI33" s="324">
        <f>'KELURAHAN (DI ISI)'!CS113+'KELURAHAN (DI ISI)'!CS114+'KELURAHAN (DI ISI)'!CS120</f>
        <v>1</v>
      </c>
      <c r="DJ33" s="324">
        <f>'KELURAHAN (DI ISI)'!CT113+'KELURAHAN (DI ISI)'!CT114+'KELURAHAN (DI ISI)'!CT120</f>
        <v>0</v>
      </c>
      <c r="DK33" s="324">
        <f>'KELURAHAN (DI ISI)'!CU113+'KELURAHAN (DI ISI)'!CU114+'KELURAHAN (DI ISI)'!CU120</f>
        <v>4</v>
      </c>
      <c r="DL33" s="324">
        <f>'KELURAHAN (DI ISI)'!CV113+'KELURAHAN (DI ISI)'!CV114+'KELURAHAN (DI ISI)'!CV120</f>
        <v>22</v>
      </c>
      <c r="DM33" s="324">
        <f>'KELURAHAN (DI ISI)'!CW113+'KELURAHAN (DI ISI)'!CW114+'KELURAHAN (DI ISI)'!CW120</f>
        <v>0</v>
      </c>
      <c r="DN33" s="324">
        <f>'KELURAHAN (DI ISI)'!CX113+'KELURAHAN (DI ISI)'!CX114+'KELURAHAN (DI ISI)'!CX120</f>
        <v>0</v>
      </c>
      <c r="DO33" s="324">
        <f>'KELURAHAN (DI ISI)'!CY113+'KELURAHAN (DI ISI)'!CY114+'KELURAHAN (DI ISI)'!CY120</f>
        <v>1</v>
      </c>
      <c r="DP33" s="324">
        <f>'KELURAHAN (DI ISI)'!CZ113+'KELURAHAN (DI ISI)'!CZ114+'KELURAHAN (DI ISI)'!CZ120</f>
        <v>2</v>
      </c>
      <c r="DQ33" s="324">
        <f>'KELURAHAN (DI ISI)'!DA113+'KELURAHAN (DI ISI)'!DA114+'KELURAHAN (DI ISI)'!DA120</f>
        <v>0</v>
      </c>
      <c r="DR33" s="324">
        <f>'KELURAHAN (DI ISI)'!DB113+'KELURAHAN (DI ISI)'!DB114+'KELURAHAN (DI ISI)'!DB120</f>
        <v>0</v>
      </c>
      <c r="DS33" s="324">
        <f>'KELURAHAN (DI ISI)'!DC113+'KELURAHAN (DI ISI)'!DC114+'KELURAHAN (DI ISI)'!DC120</f>
        <v>0</v>
      </c>
      <c r="DT33" s="324">
        <f>'KELURAHAN (DI ISI)'!DD113+'KELURAHAN (DI ISI)'!DD114+'KELURAHAN (DI ISI)'!DD120</f>
        <v>1</v>
      </c>
      <c r="DU33" s="324">
        <f>'KELURAHAN (DI ISI)'!DE113+'KELURAHAN (DI ISI)'!DE114+'KELURAHAN (DI ISI)'!DE120</f>
        <v>2</v>
      </c>
      <c r="DV33" s="324">
        <f>'KELURAHAN (DI ISI)'!DF113+'KELURAHAN (DI ISI)'!DF114+'KELURAHAN (DI ISI)'!DF120</f>
        <v>0</v>
      </c>
      <c r="DW33" s="324">
        <f>'KELURAHAN (DI ISI)'!DG113+'KELURAHAN (DI ISI)'!DG114+'KELURAHAN (DI ISI)'!DG120</f>
        <v>6</v>
      </c>
      <c r="DX33" s="324">
        <f>'KELURAHAN (DI ISI)'!DH113+'KELURAHAN (DI ISI)'!DH114+'KELURAHAN (DI ISI)'!DH120</f>
        <v>1175</v>
      </c>
      <c r="DY33" s="324">
        <f>'KELURAHAN (DI ISI)'!DI113+'KELURAHAN (DI ISI)'!DI114+'KELURAHAN (DI ISI)'!DI120</f>
        <v>395</v>
      </c>
      <c r="DZ33" s="324">
        <f>'KELURAHAN (DI ISI)'!DJ113+'KELURAHAN (DI ISI)'!DJ114+'KELURAHAN (DI ISI)'!DJ120</f>
        <v>1069</v>
      </c>
      <c r="EA33" s="324">
        <f>'KELURAHAN (DI ISI)'!DK113+'KELURAHAN (DI ISI)'!DK114+'KELURAHAN (DI ISI)'!DK120</f>
        <v>356</v>
      </c>
      <c r="EB33" s="324">
        <f>'KELURAHAN (DI ISI)'!DL113+'KELURAHAN (DI ISI)'!DL114+'KELURAHAN (DI ISI)'!DL120</f>
        <v>45</v>
      </c>
      <c r="EC33" s="324">
        <f>'KELURAHAN (DI ISI)'!DM113+'KELURAHAN (DI ISI)'!DM114+'KELURAHAN (DI ISI)'!DM120</f>
        <v>8</v>
      </c>
      <c r="ED33" s="491">
        <f t="shared" si="17"/>
        <v>37</v>
      </c>
      <c r="EE33" s="324">
        <f>'KELURAHAN (DI ISI)'!DO113+'KELURAHAN (DI ISI)'!DO114+'KELURAHAN (DI ISI)'!DO120</f>
        <v>1</v>
      </c>
      <c r="EF33" s="324">
        <f>'KELURAHAN (DI ISI)'!DP113+'KELURAHAN (DI ISI)'!DP114+'KELURAHAN (DI ISI)'!DP120</f>
        <v>0</v>
      </c>
      <c r="EG33" s="324">
        <f>'KELURAHAN (DI ISI)'!DQ113+'KELURAHAN (DI ISI)'!DQ114+'KELURAHAN (DI ISI)'!DQ120</f>
        <v>5</v>
      </c>
      <c r="EH33" s="324">
        <f>'KELURAHAN (DI ISI)'!DR113+'KELURAHAN (DI ISI)'!DR114+'KELURAHAN (DI ISI)'!DR120</f>
        <v>36</v>
      </c>
      <c r="EI33" s="324">
        <f>'KELURAHAN (DI ISI)'!DS113+'KELURAHAN (DI ISI)'!DS114+'KELURAHAN (DI ISI)'!DS120</f>
        <v>2</v>
      </c>
      <c r="EJ33" s="324">
        <f>'KELURAHAN (DI ISI)'!DT113+'KELURAHAN (DI ISI)'!DT114+'KELURAHAN (DI ISI)'!DT120</f>
        <v>0</v>
      </c>
      <c r="EK33" s="324">
        <f>'KELURAHAN (DI ISI)'!DU113+'KELURAHAN (DI ISI)'!DU114+'KELURAHAN (DI ISI)'!DU120</f>
        <v>0</v>
      </c>
      <c r="EL33" s="324">
        <f>'KELURAHAN (DI ISI)'!DV113+'KELURAHAN (DI ISI)'!DV114+'KELURAHAN (DI ISI)'!DV120</f>
        <v>1</v>
      </c>
      <c r="EM33" s="324">
        <f>'KELURAHAN (DI ISI)'!DW113+'KELURAHAN (DI ISI)'!DW114+'KELURAHAN (DI ISI)'!DW120</f>
        <v>1</v>
      </c>
      <c r="EN33" s="324">
        <f>'KELURAHAN (DI ISI)'!DX113+'KELURAHAN (DI ISI)'!DX114+'KELURAHAN (DI ISI)'!DX120</f>
        <v>0</v>
      </c>
      <c r="EO33" s="324">
        <f>'KELURAHAN (DI ISI)'!DY113+'KELURAHAN (DI ISI)'!DY114+'KELURAHAN (DI ISI)'!DY120</f>
        <v>1</v>
      </c>
      <c r="EP33" s="324">
        <f>'KELURAHAN (DI ISI)'!DZ113+'KELURAHAN (DI ISI)'!DZ114+'KELURAHAN (DI ISI)'!DZ120</f>
        <v>6</v>
      </c>
      <c r="EQ33" s="324">
        <f>'KELURAHAN (DI ISI)'!EA113+'KELURAHAN (DI ISI)'!EA114+'KELURAHAN (DI ISI)'!EA120</f>
        <v>0</v>
      </c>
      <c r="ER33" s="324">
        <f>'KELURAHAN (DI ISI)'!EB113+'KELURAHAN (DI ISI)'!EB114+'KELURAHAN (DI ISI)'!EB120</f>
        <v>0</v>
      </c>
      <c r="ES33" s="324">
        <f>'KELURAHAN (DI ISI)'!EC113+'KELURAHAN (DI ISI)'!EC114+'KELURAHAN (DI ISI)'!EC120</f>
        <v>0</v>
      </c>
      <c r="ET33" s="324">
        <f>'KELURAHAN (DI ISI)'!ED113+'KELURAHAN (DI ISI)'!ED114+'KELURAHAN (DI ISI)'!ED120</f>
        <v>1</v>
      </c>
      <c r="EU33" s="324">
        <f>'KELURAHAN (DI ISI)'!EE113+'KELURAHAN (DI ISI)'!EE114+'KELURAHAN (DI ISI)'!EE120</f>
        <v>1</v>
      </c>
      <c r="EV33" s="324">
        <f>'KELURAHAN (DI ISI)'!EF113+'KELURAHAN (DI ISI)'!EF114+'KELURAHAN (DI ISI)'!EF120</f>
        <v>0</v>
      </c>
      <c r="EW33" s="324">
        <f>'KELURAHAN (DI ISI)'!EG113+'KELURAHAN (DI ISI)'!EG114+'KELURAHAN (DI ISI)'!EG120</f>
        <v>10</v>
      </c>
      <c r="EX33" s="324">
        <f>'KELURAHAN (DI ISI)'!EH113+'KELURAHAN (DI ISI)'!EH114+'KELURAHAN (DI ISI)'!EH120</f>
        <v>3</v>
      </c>
      <c r="EY33" s="324">
        <f>'KELURAHAN (DI ISI)'!EI113+'KELURAHAN (DI ISI)'!EI114+'KELURAHAN (DI ISI)'!EI120</f>
        <v>1165</v>
      </c>
      <c r="EZ33" s="324">
        <f>'KELURAHAN (DI ISI)'!EJ113+'KELURAHAN (DI ISI)'!EJ114+'KELURAHAN (DI ISI)'!EJ120</f>
        <v>380</v>
      </c>
      <c r="FA33" s="324">
        <f>'KELURAHAN (DI ISI)'!EK113+'KELURAHAN (DI ISI)'!EK114+'KELURAHAN (DI ISI)'!EK120</f>
        <v>1060</v>
      </c>
      <c r="FB33" s="324">
        <f>'KELURAHAN (DI ISI)'!EL113+'KELURAHAN (DI ISI)'!EL114+'KELURAHAN (DI ISI)'!EL120</f>
        <v>350</v>
      </c>
      <c r="FC33" s="324">
        <f>'KELURAHAN (DI ISI)'!EM113+'KELURAHAN (DI ISI)'!EM114+'KELURAHAN (DI ISI)'!EM120</f>
        <v>42</v>
      </c>
      <c r="FD33" s="324">
        <f>'KELURAHAN (DI ISI)'!EN113+'KELURAHAN (DI ISI)'!EN114+'KELURAHAN (DI ISI)'!EN120</f>
        <v>6</v>
      </c>
      <c r="FE33" s="491">
        <f t="shared" si="18"/>
        <v>36</v>
      </c>
      <c r="FF33" s="324">
        <f>'KELURAHAN (DI ISI)'!EP113+'KELURAHAN (DI ISI)'!EP114+'KELURAHAN (DI ISI)'!EP120</f>
        <v>2</v>
      </c>
      <c r="FG33" s="324">
        <f>'KELURAHAN (DI ISI)'!EQ113+'KELURAHAN (DI ISI)'!EQ114+'KELURAHAN (DI ISI)'!EQ120</f>
        <v>1</v>
      </c>
      <c r="FH33" s="324">
        <f>'KELURAHAN (DI ISI)'!ER113+'KELURAHAN (DI ISI)'!ER114+'KELURAHAN (DI ISI)'!ER120</f>
        <v>3</v>
      </c>
      <c r="FI33" s="324">
        <f>'KELURAHAN (DI ISI)'!ES113+'KELURAHAN (DI ISI)'!ES114+'KELURAHAN (DI ISI)'!ES120</f>
        <v>35</v>
      </c>
      <c r="FJ33" s="324">
        <f>'KELURAHAN (DI ISI)'!ET113+'KELURAHAN (DI ISI)'!ET114+'KELURAHAN (DI ISI)'!ET120</f>
        <v>0</v>
      </c>
      <c r="FK33" s="324">
        <f>'KELURAHAN (DI ISI)'!EU113+'KELURAHAN (DI ISI)'!EU114+'KELURAHAN (DI ISI)'!EU120</f>
        <v>0</v>
      </c>
      <c r="FL33" s="324">
        <f>'KELURAHAN (DI ISI)'!EV113+'KELURAHAN (DI ISI)'!EV114+'KELURAHAN (DI ISI)'!EV120</f>
        <v>0</v>
      </c>
      <c r="FM33" s="324">
        <f>'KELURAHAN (DI ISI)'!EW113+'KELURAHAN (DI ISI)'!EW114+'KELURAHAN (DI ISI)'!EW120</f>
        <v>1</v>
      </c>
      <c r="FN33" s="324">
        <f>'KELURAHAN (DI ISI)'!EX113+'KELURAHAN (DI ISI)'!EX114+'KELURAHAN (DI ISI)'!EX120</f>
        <v>0</v>
      </c>
      <c r="FO33" s="324">
        <f>'KELURAHAN (DI ISI)'!EY113+'KELURAHAN (DI ISI)'!EY114+'KELURAHAN (DI ISI)'!EY120</f>
        <v>0</v>
      </c>
      <c r="FP33" s="324">
        <f>'KELURAHAN (DI ISI)'!EZ113+'KELURAHAN (DI ISI)'!EZ114+'KELURAHAN (DI ISI)'!EZ120</f>
        <v>1</v>
      </c>
      <c r="FQ33" s="324">
        <f>'KELURAHAN (DI ISI)'!FA113+'KELURAHAN (DI ISI)'!FA114+'KELURAHAN (DI ISI)'!FA120</f>
        <v>2</v>
      </c>
      <c r="FR33" s="324">
        <f>'KELURAHAN (DI ISI)'!FB113+'KELURAHAN (DI ISI)'!FB114+'KELURAHAN (DI ISI)'!FB120</f>
        <v>0</v>
      </c>
      <c r="FS33" s="324">
        <f>'KELURAHAN (DI ISI)'!FC113+'KELURAHAN (DI ISI)'!FC114+'KELURAHAN (DI ISI)'!FC120</f>
        <v>0</v>
      </c>
      <c r="FT33" s="324">
        <f>'KELURAHAN (DI ISI)'!FD113+'KELURAHAN (DI ISI)'!FD114+'KELURAHAN (DI ISI)'!FD120</f>
        <v>0</v>
      </c>
      <c r="FU33" s="324">
        <f>'KELURAHAN (DI ISI)'!FE113+'KELURAHAN (DI ISI)'!FE114+'KELURAHAN (DI ISI)'!FE120</f>
        <v>1</v>
      </c>
      <c r="FV33" s="324">
        <f>'KELURAHAN (DI ISI)'!FF113+'KELURAHAN (DI ISI)'!FF114+'KELURAHAN (DI ISI)'!FF120</f>
        <v>0</v>
      </c>
      <c r="FW33" s="324">
        <f>'KELURAHAN (DI ISI)'!FG113+'KELURAHAN (DI ISI)'!FG114+'KELURAHAN (DI ISI)'!FG120</f>
        <v>0</v>
      </c>
      <c r="FX33" s="324">
        <f>'KELURAHAN (DI ISI)'!FH113+'KELURAHAN (DI ISI)'!FH114+'KELURAHAN (DI ISI)'!FH120</f>
        <v>4</v>
      </c>
      <c r="FY33" s="324">
        <f>'KELURAHAN (DI ISI)'!FI113+'KELURAHAN (DI ISI)'!FI114+'KELURAHAN (DI ISI)'!FI120</f>
        <v>1</v>
      </c>
      <c r="FZ33" s="324">
        <f>'KELURAHAN (DI ISI)'!FJ113+'KELURAHAN (DI ISI)'!FJ114+'KELURAHAN (DI ISI)'!FJ120</f>
        <v>1162</v>
      </c>
      <c r="GA33" s="324">
        <f>'KELURAHAN (DI ISI)'!FK113+'KELURAHAN (DI ISI)'!FK114+'KELURAHAN (DI ISI)'!FK120</f>
        <v>380</v>
      </c>
      <c r="GB33" s="324">
        <f>'KELURAHAN (DI ISI)'!FL113+'KELURAHAN (DI ISI)'!FL114+'KELURAHAN (DI ISI)'!FL120</f>
        <v>1091</v>
      </c>
      <c r="GC33" s="324">
        <f>'KELURAHAN (DI ISI)'!FM113+'KELURAHAN (DI ISI)'!FM114+'KELURAHAN (DI ISI)'!FM120</f>
        <v>364</v>
      </c>
      <c r="GD33" s="587">
        <v>1091.0</v>
      </c>
      <c r="GE33" s="588">
        <f>'KELURAHAN (DI ISI)'!FO113+'KELURAHAN (DI ISI)'!FO114+'KELURAHAN (DI ISI)'!FO120</f>
        <v>36</v>
      </c>
      <c r="GF33" s="588">
        <f>'KELURAHAN (DI ISI)'!FP113+'KELURAHAN (DI ISI)'!FP114+'KELURAHAN (DI ISI)'!FP120</f>
        <v>36</v>
      </c>
      <c r="GG33" s="588">
        <f>'KELURAHAN (DI ISI)'!FP113+'KELURAHAN (DI ISI)'!FP114+'KELURAHAN (DI ISI)'!FP120</f>
        <v>36</v>
      </c>
      <c r="GH33" s="588">
        <f>'KELURAHAN (DI ISI)'!FQ113+'KELURAHAN (DI ISI)'!FQ114+'KELURAHAN (DI ISI)'!FQ120</f>
        <v>6</v>
      </c>
      <c r="GI33" s="571">
        <f t="shared" si="19"/>
        <v>30</v>
      </c>
      <c r="GJ33" s="324">
        <f>'KELURAHAN (DI ISI)'!FS113+'KELURAHAN (DI ISI)'!FS114+'KELURAHAN (DI ISI)'!FS120</f>
        <v>2</v>
      </c>
      <c r="GK33" s="324">
        <f>'KELURAHAN (DI ISI)'!FT113+'KELURAHAN (DI ISI)'!FT114+'KELURAHAN (DI ISI)'!FT120</f>
        <v>0</v>
      </c>
      <c r="GL33" s="324">
        <f>'KELURAHAN (DI ISI)'!FU113+'KELURAHAN (DI ISI)'!FU114+'KELURAHAN (DI ISI)'!FU120</f>
        <v>3</v>
      </c>
      <c r="GM33" s="324">
        <f>'KELURAHAN (DI ISI)'!FV113+'KELURAHAN (DI ISI)'!FV114+'KELURAHAN (DI ISI)'!FV120</f>
        <v>30</v>
      </c>
      <c r="GN33" s="324">
        <f>'KELURAHAN (DI ISI)'!FW113+'KELURAHAN (DI ISI)'!FW114+'KELURAHAN (DI ISI)'!FW120</f>
        <v>0</v>
      </c>
      <c r="GO33" s="324">
        <f>'KELURAHAN (DI ISI)'!FX113+'KELURAHAN (DI ISI)'!FX114+'KELURAHAN (DI ISI)'!FX120</f>
        <v>0</v>
      </c>
      <c r="GP33" s="324">
        <f>'KELURAHAN (DI ISI)'!FY113+'KELURAHAN (DI ISI)'!FY114+'KELURAHAN (DI ISI)'!FY120</f>
        <v>1</v>
      </c>
      <c r="GQ33" s="324">
        <f>'KELURAHAN (DI ISI)'!FZ113+'KELURAHAN (DI ISI)'!FZ114+'KELURAHAN (DI ISI)'!FZ120</f>
        <v>0</v>
      </c>
      <c r="GR33" s="324">
        <f>'KELURAHAN (DI ISI)'!GA113+'KELURAHAN (DI ISI)'!GA114+'KELURAHAN (DI ISI)'!GA120</f>
        <v>1</v>
      </c>
      <c r="GS33" s="324">
        <f>'KELURAHAN (DI ISI)'!GB113+'KELURAHAN (DI ISI)'!GB114+'KELURAHAN (DI ISI)'!GB120</f>
        <v>0</v>
      </c>
      <c r="GT33" s="324">
        <f>'KELURAHAN (DI ISI)'!GC113+'KELURAHAN (DI ISI)'!GC114+'KELURAHAN (DI ISI)'!GC120</f>
        <v>0</v>
      </c>
      <c r="GU33" s="324">
        <f>'KELURAHAN (DI ISI)'!GD113+'KELURAHAN (DI ISI)'!GD114+'KELURAHAN (DI ISI)'!GD120</f>
        <v>3</v>
      </c>
      <c r="GV33" s="324">
        <f>'KELURAHAN (DI ISI)'!GE113+'KELURAHAN (DI ISI)'!GE114+'KELURAHAN (DI ISI)'!GE120</f>
        <v>0</v>
      </c>
      <c r="GW33" s="324">
        <f>'KELURAHAN (DI ISI)'!GF113+'KELURAHAN (DI ISI)'!GF114+'KELURAHAN (DI ISI)'!GF120</f>
        <v>0</v>
      </c>
      <c r="GX33" s="324">
        <f>'KELURAHAN (DI ISI)'!GG113+'KELURAHAN (DI ISI)'!GG114+'KELURAHAN (DI ISI)'!GG120</f>
        <v>0</v>
      </c>
      <c r="GY33" s="324">
        <f>'KELURAHAN (DI ISI)'!GH113+'KELURAHAN (DI ISI)'!GH114+'KELURAHAN (DI ISI)'!GH120</f>
        <v>0</v>
      </c>
      <c r="GZ33" s="324">
        <f>'KELURAHAN (DI ISI)'!GI113+'KELURAHAN (DI ISI)'!GI114+'KELURAHAN (DI ISI)'!GI120</f>
        <v>3</v>
      </c>
      <c r="HA33" s="324">
        <f>'KELURAHAN (DI ISI)'!GJ113+'KELURAHAN (DI ISI)'!GJ114+'KELURAHAN (DI ISI)'!GJ120</f>
        <v>0</v>
      </c>
      <c r="HB33" s="589">
        <f>'KELURAHAN (DI ISI)'!GK113+'KELURAHAN (DI ISI)'!GK114+'KELURAHAN (DI ISI)'!GK120</f>
        <v>7</v>
      </c>
      <c r="HC33" s="589">
        <f>'KELURAHAN (DI ISI)'!GL113+'KELURAHAN (DI ISI)'!GL114+'KELURAHAN (DI ISI)'!GL120</f>
        <v>1</v>
      </c>
      <c r="HD33" s="324">
        <f>'KELURAHAN (DI ISI)'!GM113+'KELURAHAN (DI ISI)'!GM114+'KELURAHAN (DI ISI)'!GM120</f>
        <v>1143</v>
      </c>
      <c r="HE33" s="324">
        <f>'KELURAHAN (DI ISI)'!GN113+'KELURAHAN (DI ISI)'!GN114+'KELURAHAN (DI ISI)'!GN120</f>
        <v>376</v>
      </c>
      <c r="HF33" s="324">
        <f>'KELURAHAN (DI ISI)'!GO113+'KELURAHAN (DI ISI)'!GO114+'KELURAHAN (DI ISI)'!GO120</f>
        <v>1092</v>
      </c>
      <c r="HG33" s="324">
        <f>'KELURAHAN (DI ISI)'!GP113+'KELURAHAN (DI ISI)'!GP114+'KELURAHAN (DI ISI)'!GP120</f>
        <v>354</v>
      </c>
      <c r="HH33" s="587">
        <v>1091.0</v>
      </c>
      <c r="HI33" s="590">
        <f>'KELURAHAN (DI ISI)'!GR113+'KELURAHAN (DI ISI)'!GR114+'KELURAHAN (DI ISI)'!GR120</f>
        <v>35</v>
      </c>
      <c r="HJ33" s="590">
        <f>'KELURAHAN (DI ISI)'!GS113+'KELURAHAN (DI ISI)'!GS114+'KELURAHAN (DI ISI)'!GS120</f>
        <v>6</v>
      </c>
      <c r="HK33" s="591">
        <f>'KELURAHAN (DI ISI)'!GT113+'KELURAHAN (DI ISI)'!GT114+'KELURAHAN (DI ISI)'!GT120</f>
        <v>35</v>
      </c>
      <c r="HL33" s="591">
        <f>'KELURAHAN (DI ISI)'!GU113+'KELURAHAN (DI ISI)'!GU114+'KELURAHAN (DI ISI)'!GU120</f>
        <v>6</v>
      </c>
      <c r="HM33" s="573">
        <f t="shared" si="20"/>
        <v>29</v>
      </c>
      <c r="HN33" s="324">
        <f>'KELURAHAN (DI ISI)'!GW113+'KELURAHAN (DI ISI)'!GW114+'KELURAHAN (DI ISI)'!GW120</f>
        <v>2</v>
      </c>
      <c r="HO33" s="324">
        <f>'KELURAHAN (DI ISI)'!GX113+'KELURAHAN (DI ISI)'!GX114+'KELURAHAN (DI ISI)'!GX120</f>
        <v>0</v>
      </c>
      <c r="HP33" s="324">
        <f>'KELURAHAN (DI ISI)'!GY113+'KELURAHAN (DI ISI)'!GY114+'KELURAHAN (DI ISI)'!GY120</f>
        <v>4</v>
      </c>
      <c r="HQ33" s="324">
        <f>'KELURAHAN (DI ISI)'!GZ113+'KELURAHAN (DI ISI)'!GZ114+'KELURAHAN (DI ISI)'!GZ120</f>
        <v>29</v>
      </c>
      <c r="HR33" s="324">
        <f>'KELURAHAN (DI ISI)'!HA113+'KELURAHAN (DI ISI)'!HA114+'KELURAHAN (DI ISI)'!HA120</f>
        <v>0</v>
      </c>
      <c r="HS33" s="324">
        <f>'KELURAHAN (DI ISI)'!HB113+'KELURAHAN (DI ISI)'!HB114+'KELURAHAN (DI ISI)'!HB120</f>
        <v>0</v>
      </c>
      <c r="HT33" s="324">
        <f>'KELURAHAN (DI ISI)'!HC113+'KELURAHAN (DI ISI)'!HC114+'KELURAHAN (DI ISI)'!HC120</f>
        <v>0</v>
      </c>
      <c r="HU33" s="324">
        <f>'KELURAHAN (DI ISI)'!HD113+'KELURAHAN (DI ISI)'!HD114+'KELURAHAN (DI ISI)'!HD120</f>
        <v>0</v>
      </c>
      <c r="HV33" s="324">
        <f>'KELURAHAN (DI ISI)'!HE113+'KELURAHAN (DI ISI)'!HE114+'KELURAHAN (DI ISI)'!HE120</f>
        <v>0</v>
      </c>
      <c r="HW33" s="324">
        <f>'KELURAHAN (DI ISI)'!HF113+'KELURAHAN (DI ISI)'!HF114+'KELURAHAN (DI ISI)'!HF120</f>
        <v>0</v>
      </c>
      <c r="HX33" s="324">
        <f>'KELURAHAN (DI ISI)'!HG113+'KELURAHAN (DI ISI)'!HG114+'KELURAHAN (DI ISI)'!HG120</f>
        <v>0</v>
      </c>
      <c r="HY33" s="324">
        <f>'KELURAHAN (DI ISI)'!HH113+'KELURAHAN (DI ISI)'!HH114+'KELURAHAN (DI ISI)'!HH120</f>
        <v>0</v>
      </c>
      <c r="HZ33" s="324">
        <f>'KELURAHAN (DI ISI)'!HI113+'KELURAHAN (DI ISI)'!HI114+'KELURAHAN (DI ISI)'!HI120</f>
        <v>0</v>
      </c>
      <c r="IA33" s="324">
        <f>'KELURAHAN (DI ISI)'!HJ113+'KELURAHAN (DI ISI)'!HJ114+'KELURAHAN (DI ISI)'!HJ120</f>
        <v>0</v>
      </c>
      <c r="IB33" s="324">
        <f>'KELURAHAN (DI ISI)'!HK113+'KELURAHAN (DI ISI)'!HK114+'KELURAHAN (DI ISI)'!HK120</f>
        <v>0</v>
      </c>
      <c r="IC33" s="324">
        <f>'KELURAHAN (DI ISI)'!HL113+'KELURAHAN (DI ISI)'!HL114+'KELURAHAN (DI ISI)'!HL120</f>
        <v>0</v>
      </c>
      <c r="ID33" s="324">
        <f>'KELURAHAN (DI ISI)'!HM113+'KELURAHAN (DI ISI)'!HM114+'KELURAHAN (DI ISI)'!HM120</f>
        <v>1</v>
      </c>
      <c r="IE33" s="324">
        <f>'KELURAHAN (DI ISI)'!HN113+'KELURAHAN (DI ISI)'!HN114+'KELURAHAN (DI ISI)'!HN120</f>
        <v>0</v>
      </c>
      <c r="IF33" s="591">
        <f>'KELURAHAN (DI ISI)'!HO113+'KELURAHAN (DI ISI)'!HO114+'KELURAHAN (DI ISI)'!HO120</f>
        <v>0</v>
      </c>
      <c r="IG33" s="591">
        <f>'KELURAHAN (DI ISI)'!HP113+'KELURAHAN (DI ISI)'!HP114+'KELURAHAN (DI ISI)'!HP120</f>
        <v>0</v>
      </c>
      <c r="IK33" s="198">
        <f t="shared" si="21"/>
        <v>30</v>
      </c>
      <c r="IL33" s="198">
        <f t="shared" si="22"/>
        <v>30</v>
      </c>
      <c r="IM33" s="198">
        <f t="shared" si="23"/>
        <v>34</v>
      </c>
      <c r="IN33" s="198">
        <f t="shared" si="24"/>
        <v>34</v>
      </c>
      <c r="IO33" s="198">
        <f t="shared" si="25"/>
        <v>30</v>
      </c>
      <c r="IP33" s="198">
        <f t="shared" si="26"/>
        <v>30</v>
      </c>
      <c r="IQ33" s="574">
        <f t="shared" si="27"/>
        <v>32</v>
      </c>
      <c r="IR33" s="574">
        <f t="shared" si="28"/>
        <v>54</v>
      </c>
      <c r="IS33" s="574">
        <f t="shared" si="29"/>
        <v>45</v>
      </c>
      <c r="IT33" s="574">
        <f t="shared" si="30"/>
        <v>42</v>
      </c>
      <c r="IU33" s="574">
        <f t="shared" si="31"/>
        <v>36</v>
      </c>
      <c r="IV33" s="575">
        <f t="shared" si="32"/>
        <v>35</v>
      </c>
      <c r="IW33" s="583"/>
      <c r="IX33" s="576">
        <f t="shared" si="33"/>
        <v>-35</v>
      </c>
      <c r="IZ33" s="577"/>
      <c r="JA33" s="162">
        <f t="shared" si="34"/>
        <v>-1143</v>
      </c>
      <c r="JB33" s="578"/>
      <c r="JC33" s="579">
        <f t="shared" si="35"/>
        <v>-376</v>
      </c>
      <c r="JD33" s="584"/>
      <c r="JE33" s="602"/>
      <c r="JF33" s="577"/>
      <c r="JG33" s="234">
        <f t="shared" si="36"/>
        <v>-1092</v>
      </c>
      <c r="JH33" s="578"/>
      <c r="JI33" s="579">
        <f t="shared" si="37"/>
        <v>-354</v>
      </c>
      <c r="JJ33" s="593"/>
    </row>
    <row r="34" ht="14.25" customHeight="1">
      <c r="A34" s="158">
        <v>27.0</v>
      </c>
      <c r="B34" s="157" t="s">
        <v>206</v>
      </c>
      <c r="C34" s="253">
        <v>3374110.0</v>
      </c>
      <c r="D34" s="569" t="s">
        <v>334</v>
      </c>
      <c r="E34" s="253"/>
      <c r="F34" s="603">
        <f>'KELURAHAN (DI ISI)'!F115+'KELURAHAN (DI ISI)'!F116+'KELURAHAN (DI ISI)'!F117</f>
        <v>44</v>
      </c>
      <c r="G34" s="603">
        <f>'KELURAHAN (DI ISI)'!G115+'KELURAHAN (DI ISI)'!G116+'KELURAHAN (DI ISI)'!G117</f>
        <v>2721</v>
      </c>
      <c r="H34" s="603">
        <f>'KELURAHAN (DI ISI)'!H115+'KELURAHAN (DI ISI)'!H116+'KELURAHAN (DI ISI)'!H117</f>
        <v>18</v>
      </c>
      <c r="I34" s="491">
        <f t="shared" si="1"/>
        <v>4</v>
      </c>
      <c r="J34" s="491">
        <f t="shared" si="2"/>
        <v>14</v>
      </c>
      <c r="K34" s="324">
        <f>'KELURAHAN (DI ISI)'!I115+'KELURAHAN (DI ISI)'!I116+'KELURAHAN (DI ISI)'!I117</f>
        <v>0</v>
      </c>
      <c r="L34" s="324">
        <f>'KELURAHAN (DI ISI)'!J115+'KELURAHAN (DI ISI)'!J116+'KELURAHAN (DI ISI)'!J117</f>
        <v>1</v>
      </c>
      <c r="M34" s="324">
        <f>'KELURAHAN (DI ISI)'!K115+'KELURAHAN (DI ISI)'!K116+'KELURAHAN (DI ISI)'!K117</f>
        <v>3</v>
      </c>
      <c r="N34" s="324">
        <f>'KELURAHAN (DI ISI)'!L115+'KELURAHAN (DI ISI)'!L116+'KELURAHAN (DI ISI)'!L117</f>
        <v>14</v>
      </c>
      <c r="O34" s="324">
        <f>'KELURAHAN (DI ISI)'!M115+'KELURAHAN (DI ISI)'!M116+'KELURAHAN (DI ISI)'!M117</f>
        <v>0</v>
      </c>
      <c r="P34" s="324">
        <f>'KELURAHAN (DI ISI)'!N115+'KELURAHAN (DI ISI)'!N116+'KELURAHAN (DI ISI)'!N117</f>
        <v>0</v>
      </c>
      <c r="Q34" s="324">
        <f>'KELURAHAN (DI ISI)'!O115+'KELURAHAN (DI ISI)'!O116+'KELURAHAN (DI ISI)'!O117</f>
        <v>18</v>
      </c>
      <c r="R34" s="324">
        <f>'KELURAHAN (DI ISI)'!P115+'KELURAHAN (DI ISI)'!P116+'KELURAHAN (DI ISI)'!P117</f>
        <v>21</v>
      </c>
      <c r="S34" s="491">
        <f t="shared" si="3"/>
        <v>3</v>
      </c>
      <c r="T34" s="491">
        <f t="shared" si="4"/>
        <v>18</v>
      </c>
      <c r="U34" s="324">
        <f>'KELURAHAN (DI ISI)'!Q115+'KELURAHAN (DI ISI)'!Q116+'KELURAHAN (DI ISI)'!Q117</f>
        <v>0</v>
      </c>
      <c r="V34" s="324">
        <f>'KELURAHAN (DI ISI)'!R115+'KELURAHAN (DI ISI)'!R116+'KELURAHAN (DI ISI)'!R117</f>
        <v>0</v>
      </c>
      <c r="W34" s="324">
        <f>'KELURAHAN (DI ISI)'!S115+'KELURAHAN (DI ISI)'!S116+'KELURAHAN (DI ISI)'!S117</f>
        <v>3</v>
      </c>
      <c r="X34" s="324">
        <f>'KELURAHAN (DI ISI)'!T115+'KELURAHAN (DI ISI)'!T116+'KELURAHAN (DI ISI)'!T117</f>
        <v>18</v>
      </c>
      <c r="Y34" s="324">
        <f>'KELURAHAN (DI ISI)'!U115+'KELURAHAN (DI ISI)'!U116+'KELURAHAN (DI ISI)'!U117</f>
        <v>4</v>
      </c>
      <c r="Z34" s="324">
        <f>'KELURAHAN (DI ISI)'!V115+'KELURAHAN (DI ISI)'!V116+'KELURAHAN (DI ISI)'!V117</f>
        <v>1</v>
      </c>
      <c r="AA34" s="324">
        <f>'KELURAHAN (DI ISI)'!W115+'KELURAHAN (DI ISI)'!W116+'KELURAHAN (DI ISI)'!W117</f>
        <v>16</v>
      </c>
      <c r="AB34" s="324">
        <f>'KELURAHAN (DI ISI)'!X115+'KELURAHAN (DI ISI)'!X116+'KELURAHAN (DI ISI)'!X117</f>
        <v>17</v>
      </c>
      <c r="AC34" s="491">
        <f t="shared" si="5"/>
        <v>7</v>
      </c>
      <c r="AD34" s="491">
        <f t="shared" si="6"/>
        <v>10</v>
      </c>
      <c r="AE34" s="324">
        <f>'KELURAHAN (DI ISI)'!Y115+'KELURAHAN (DI ISI)'!Y116+'KELURAHAN (DI ISI)'!Y117</f>
        <v>2</v>
      </c>
      <c r="AF34" s="324">
        <f>'KELURAHAN (DI ISI)'!Z115+'KELURAHAN (DI ISI)'!Z116+'KELURAHAN (DI ISI)'!Z117</f>
        <v>0</v>
      </c>
      <c r="AG34" s="324">
        <f>'KELURAHAN (DI ISI)'!AA115+'KELURAHAN (DI ISI)'!AA116+'KELURAHAN (DI ISI)'!AA117</f>
        <v>5</v>
      </c>
      <c r="AH34" s="324">
        <f>'KELURAHAN (DI ISI)'!AB115+'KELURAHAN (DI ISI)'!AB116+'KELURAHAN (DI ISI)'!AB117</f>
        <v>10</v>
      </c>
      <c r="AI34" s="324">
        <f>'KELURAHAN (DI ISI)'!AC115+'KELURAHAN (DI ISI)'!AC116+'KELURAHAN (DI ISI)'!AC117</f>
        <v>0</v>
      </c>
      <c r="AJ34" s="324">
        <f>'KELURAHAN (DI ISI)'!AD115+'KELURAHAN (DI ISI)'!AD116+'KELURAHAN (DI ISI)'!AD117</f>
        <v>0</v>
      </c>
      <c r="AK34" s="324">
        <f>'KELURAHAN (DI ISI)'!AE115+'KELURAHAN (DI ISI)'!AE116+'KELURAHAN (DI ISI)'!AE117</f>
        <v>17</v>
      </c>
      <c r="AL34" s="324">
        <f>'KELURAHAN (DI ISI)'!AF115+'KELURAHAN (DI ISI)'!AF116+'KELURAHAN (DI ISI)'!AF117</f>
        <v>22</v>
      </c>
      <c r="AM34" s="491">
        <f t="shared" si="7"/>
        <v>7</v>
      </c>
      <c r="AN34" s="491">
        <f t="shared" si="8"/>
        <v>15</v>
      </c>
      <c r="AO34" s="324">
        <f>'KELURAHAN (DI ISI)'!AG115+'KELURAHAN (DI ISI)'!AG116+'KELURAHAN (DI ISI)'!AG117</f>
        <v>1</v>
      </c>
      <c r="AP34" s="324">
        <f>'KELURAHAN (DI ISI)'!AH115+'KELURAHAN (DI ISI)'!AH116+'KELURAHAN (DI ISI)'!AH117</f>
        <v>0</v>
      </c>
      <c r="AQ34" s="324">
        <f>'KELURAHAN (DI ISI)'!AI115+'KELURAHAN (DI ISI)'!AI116+'KELURAHAN (DI ISI)'!AI117</f>
        <v>6</v>
      </c>
      <c r="AR34" s="324">
        <f>'KELURAHAN (DI ISI)'!AJ115+'KELURAHAN (DI ISI)'!AJ116+'KELURAHAN (DI ISI)'!AJ117</f>
        <v>15</v>
      </c>
      <c r="AS34" s="324">
        <f>'KELURAHAN (DI ISI)'!AK115+'KELURAHAN (DI ISI)'!AK116+'KELURAHAN (DI ISI)'!AK117</f>
        <v>2</v>
      </c>
      <c r="AT34" s="324">
        <f>'KELURAHAN (DI ISI)'!AL115+'KELURAHAN (DI ISI)'!AL116+'KELURAHAN (DI ISI)'!AL117</f>
        <v>1</v>
      </c>
      <c r="AU34" s="324">
        <f>'KELURAHAN (DI ISI)'!AM115+'KELURAHAN (DI ISI)'!AM116+'KELURAHAN (DI ISI)'!AM117</f>
        <v>19</v>
      </c>
      <c r="AV34" s="324">
        <f>'KELURAHAN (DI ISI)'!AN115+'KELURAHAN (DI ISI)'!AN116+'KELURAHAN (DI ISI)'!AN117</f>
        <v>16</v>
      </c>
      <c r="AW34" s="491">
        <f t="shared" si="9"/>
        <v>6</v>
      </c>
      <c r="AX34" s="491">
        <f t="shared" si="10"/>
        <v>10</v>
      </c>
      <c r="AY34" s="324">
        <f>'KELURAHAN (DI ISI)'!AO115+'KELURAHAN (DI ISI)'!AO116+'KELURAHAN (DI ISI)'!AO117</f>
        <v>0</v>
      </c>
      <c r="AZ34" s="324">
        <f>'KELURAHAN (DI ISI)'!AP115+'KELURAHAN (DI ISI)'!AP116+'KELURAHAN (DI ISI)'!AP117</f>
        <v>0</v>
      </c>
      <c r="BA34" s="324">
        <f>'KELURAHAN (DI ISI)'!AQ115+'KELURAHAN (DI ISI)'!AQ116+'KELURAHAN (DI ISI)'!AQ117</f>
        <v>6</v>
      </c>
      <c r="BB34" s="324">
        <f>'KELURAHAN (DI ISI)'!AR115+'KELURAHAN (DI ISI)'!AR116+'KELURAHAN (DI ISI)'!AR117</f>
        <v>10</v>
      </c>
      <c r="BC34" s="324">
        <f>'KELURAHAN (DI ISI)'!AS115+'KELURAHAN (DI ISI)'!AS116+'KELURAHAN (DI ISI)'!AS117</f>
        <v>0</v>
      </c>
      <c r="BD34" s="324">
        <f>'KELURAHAN (DI ISI)'!AT115+'KELURAHAN (DI ISI)'!AT116+'KELURAHAN (DI ISI)'!AT117</f>
        <v>0</v>
      </c>
      <c r="BE34" s="324">
        <f>'KELURAHAN (DI ISI)'!AU115+'KELURAHAN (DI ISI)'!AU116+'KELURAHAN (DI ISI)'!AU117</f>
        <v>16</v>
      </c>
      <c r="BF34" s="324">
        <f>'KELURAHAN (DI ISI)'!AV115+'KELURAHAN (DI ISI)'!AV116+'KELURAHAN (DI ISI)'!AV117</f>
        <v>2693</v>
      </c>
      <c r="BG34" s="324">
        <f>'KELURAHAN (DI ISI)'!AW115+'KELURAHAN (DI ISI)'!AW116+'KELURAHAN (DI ISI)'!AW117</f>
        <v>23</v>
      </c>
      <c r="BH34" s="491">
        <f t="shared" si="11"/>
        <v>6</v>
      </c>
      <c r="BI34" s="495">
        <f t="shared" si="12"/>
        <v>10</v>
      </c>
      <c r="BJ34" s="324">
        <f>'KELURAHAN (DI ISI)'!AX115+'KELURAHAN (DI ISI)'!AX116+'KELURAHAN (DI ISI)'!AX117</f>
        <v>0</v>
      </c>
      <c r="BK34" s="324">
        <f>'KELURAHAN (DI ISI)'!AY115+'KELURAHAN (DI ISI)'!AY116+'KELURAHAN (DI ISI)'!AY117</f>
        <v>0</v>
      </c>
      <c r="BL34" s="324">
        <f>'KELURAHAN (DI ISI)'!AZ115+'KELURAHAN (DI ISI)'!AZ116+'KELURAHAN (DI ISI)'!AZ117</f>
        <v>6</v>
      </c>
      <c r="BM34" s="324">
        <f>'KELURAHAN (DI ISI)'!BA115+'KELURAHAN (DI ISI)'!BA116+'KELURAHAN (DI ISI)'!BA117</f>
        <v>10</v>
      </c>
      <c r="BN34" s="324">
        <f>'KELURAHAN (DI ISI)'!BB115+'KELURAHAN (DI ISI)'!BB116+'KELURAHAN (DI ISI)'!BB117</f>
        <v>0</v>
      </c>
      <c r="BO34" s="324">
        <f>'KELURAHAN (DI ISI)'!BD115+'KELURAHAN (DI ISI)'!BC116+'KELURAHAN (DI ISI)'!BC117</f>
        <v>2</v>
      </c>
      <c r="BP34" s="313">
        <v>0.0</v>
      </c>
      <c r="BQ34" s="324">
        <f>'KELURAHAN (DI ISI)'!BE115+'KELURAHAN (DI ISI)'!BE116+'KELURAHAN (DI ISI)'!BE117</f>
        <v>2</v>
      </c>
      <c r="BR34" s="324">
        <f>'KELURAHAN (DI ISI)'!BF115+'KELURAHAN (DI ISI)'!BF116+'KELURAHAN (DI ISI)'!BH116</f>
        <v>0</v>
      </c>
      <c r="BS34" s="324">
        <f>'KELURAHAN (DI ISI)'!BG115+'KELURAHAN (DI ISI)'!BG116+'KELURAHAN (DI ISI)'!BG117</f>
        <v>0</v>
      </c>
      <c r="BT34" s="313">
        <v>0.0</v>
      </c>
      <c r="BU34" s="324">
        <f>'KELURAHAN (DI ISI)'!BI115+'KELURAHAN (DI ISI)'!BI116+'KELURAHAN (DI ISI)'!BI117</f>
        <v>1</v>
      </c>
      <c r="BV34" s="324">
        <f>'KELURAHAN (DI ISI)'!BJ115+'KELURAHAN (DI ISI)'!BJ116+'KELURAHAN (DI ISI)'!BJ117</f>
        <v>0</v>
      </c>
      <c r="BW34" s="324">
        <f>'KELURAHAN (DI ISI)'!BK115+'KELURAHAN (DI ISI)'!BK116+'KELURAHAN (DI ISI)'!BK117</f>
        <v>0</v>
      </c>
      <c r="BX34" s="324">
        <f>'KELURAHAN (DI ISI)'!BL115+'KELURAHAN (DI ISI)'!BL116+'KELURAHAN (DI ISI)'!BL117</f>
        <v>0</v>
      </c>
      <c r="BY34" s="324">
        <f>'KELURAHAN (DI ISI)'!BM115+'KELURAHAN (DI ISI)'!BM116+'KELURAHAN (DI ISI)'!BM117</f>
        <v>0</v>
      </c>
      <c r="BZ34" s="324">
        <f>'KELURAHAN (DI ISI)'!BN115+'KELURAHAN (DI ISI)'!BN116+'KELURAHAN (DI ISI)'!BN117</f>
        <v>0</v>
      </c>
      <c r="CA34" s="324">
        <f>'KELURAHAN (DI ISI)'!BO115+'KELURAHAN (DI ISI)'!BO116+'KELURAHAN (DI ISI)'!BO117</f>
        <v>0</v>
      </c>
      <c r="CB34" s="324">
        <f>'KELURAHAN (DI ISI)'!BP115+'KELURAHAN (DI ISI)'!BP116+'KELURAHAN (DI ISI)'!BP117</f>
        <v>1</v>
      </c>
      <c r="CC34" s="324">
        <f>'KELURAHAN (DI ISI)'!BQ115+'KELURAHAN (DI ISI)'!BQ116+'KELURAHAN (DI ISI)'!BQ117</f>
        <v>2678</v>
      </c>
      <c r="CD34" s="324">
        <f>'KELURAHAN (DI ISI)'!BR115+'KELURAHAN (DI ISI)'!BR116+'KELURAHAN (DI ISI)'!BR117</f>
        <v>14</v>
      </c>
      <c r="CE34" s="491">
        <f t="shared" si="13"/>
        <v>4</v>
      </c>
      <c r="CF34" s="491">
        <f t="shared" si="14"/>
        <v>9</v>
      </c>
      <c r="CG34" s="324">
        <f>'KELURAHAN (DI ISI)'!BS115+'KELURAHAN (DI ISI)'!BS116+'KELURAHAN (DI ISI)'!BS117</f>
        <v>0</v>
      </c>
      <c r="CH34" s="324">
        <f>'KELURAHAN (DI ISI)'!BT115+'KELURAHAN (DI ISI)'!BT116+'KELURAHAN (DI ISI)'!BT117</f>
        <v>0</v>
      </c>
      <c r="CI34" s="324">
        <f>'KELURAHAN (DI ISI)'!BU115+'KELURAHAN (DI ISI)'!BU116+'KELURAHAN (DI ISI)'!BU117</f>
        <v>4</v>
      </c>
      <c r="CJ34" s="324">
        <f>'KELURAHAN (DI ISI)'!BV115+'KELURAHAN (DI ISI)'!BV116+'KELURAHAN (DI ISI)'!BV117</f>
        <v>9</v>
      </c>
      <c r="CK34" s="324">
        <f>'KELURAHAN (DI ISI)'!BW115+'KELURAHAN (DI ISI)'!BW116+'KELURAHAN (DI ISI)'!BW117</f>
        <v>1</v>
      </c>
      <c r="CL34" s="324">
        <f>'KELURAHAN (DI ISI)'!BX115+'KELURAHAN (DI ISI)'!BX116+'KELURAHAN (DI ISI)'!BX117</f>
        <v>0</v>
      </c>
      <c r="CM34" s="324">
        <f>'KELURAHAN (DI ISI)'!BY115+'KELURAHAN (DI ISI)'!BY116+'KELURAHAN (DI ISI)'!BY117</f>
        <v>0</v>
      </c>
      <c r="CN34" s="324">
        <f>'KELURAHAN (DI ISI)'!BZ115+'KELURAHAN (DI ISI)'!BZ116+'KELURAHAN (DI ISI)'!BZ117</f>
        <v>0</v>
      </c>
      <c r="CO34" s="324">
        <f>'KELURAHAN (DI ISI)'!CA115+'KELURAHAN (DI ISI)'!CA116+'KELURAHAN (DI ISI)'!CC116</f>
        <v>0</v>
      </c>
      <c r="CP34" s="324">
        <f>'KELURAHAN (DI ISI)'!CB115+'KELURAHAN (DI ISI)'!CB116+'KELURAHAN (DI ISI)'!CB117</f>
        <v>0</v>
      </c>
      <c r="CQ34" s="324">
        <f>'KELURAHAN (DI ISI)'!CC115+'KELURAHAN (DI ISI)'!CC116+'KELURAHAN (DI ISI)'!CC117</f>
        <v>0</v>
      </c>
      <c r="CR34" s="324">
        <f>'KELURAHAN (DI ISI)'!CD115+'KELURAHAN (DI ISI)'!CD116+'KELURAHAN (DI ISI)'!CD117</f>
        <v>0</v>
      </c>
      <c r="CS34" s="324">
        <f>'KELURAHAN (DI ISI)'!CE115+'KELURAHAN (DI ISI)'!CE116+'KELURAHAN (DI ISI)'!CE117</f>
        <v>0</v>
      </c>
      <c r="CT34" s="324">
        <f>'KELURAHAN (DI ISI)'!CF115+'KELURAHAN (DI ISI)'!CF116+'KELURAHAN (DI ISI)'!CF117</f>
        <v>0</v>
      </c>
      <c r="CU34" s="324">
        <f>'KELURAHAN (DI ISI)'!CG115+'KELURAHAN (DI ISI)'!CG116+'KELURAHAN (DI ISI)'!CG117</f>
        <v>0</v>
      </c>
      <c r="CV34" s="324">
        <f>'KELURAHAN (DI ISI)'!CH115+'KELURAHAN (DI ISI)'!CH116+'KELURAHAN (DI ISI)'!CH117</f>
        <v>0</v>
      </c>
      <c r="CW34" s="324">
        <f>'KELURAHAN (DI ISI)'!CI115+'KELURAHAN (DI ISI)'!CI116+'KELURAHAN (DI ISI)'!CI117</f>
        <v>0</v>
      </c>
      <c r="CX34" s="324">
        <f>'KELURAHAN (DI ISI)'!CJ115+'KELURAHAN (DI ISI)'!CJ116+'KELURAHAN (DI ISI)'!CJ117</f>
        <v>0</v>
      </c>
      <c r="CY34" s="324">
        <f>'KELURAHAN (DI ISI)'!CK115+'KELURAHAN (DI ISI)'!CK116+'KELURAHAN (DI ISI)'!CK117</f>
        <v>0</v>
      </c>
      <c r="CZ34" s="324">
        <f>'KELURAHAN (DI ISI)'!CL115+'KELURAHAN (DI ISI)'!CL116+'KELURAHAN (DI ISI)'!CL117</f>
        <v>2788</v>
      </c>
      <c r="DA34" s="324">
        <f>'KELURAHAN (DI ISI)'!CM115+'KELURAHAN (DI ISI)'!CM116+'KELURAHAN (DI ISI)'!CM117</f>
        <v>868</v>
      </c>
      <c r="DB34" s="324">
        <f>'KELURAHAN (DI ISI)'!CN115+'KELURAHAN (DI ISI)'!CN116+'KELURAHAN (DI ISI)'!CN117</f>
        <v>19</v>
      </c>
      <c r="DC34" s="491">
        <f t="shared" si="15"/>
        <v>7</v>
      </c>
      <c r="DD34" s="491">
        <f t="shared" si="16"/>
        <v>9</v>
      </c>
      <c r="DE34" s="324">
        <f>'KELURAHAN (DI ISI)'!CO115+'KELURAHAN (DI ISI)'!CO116+'KELURAHAN (DI ISI)'!CO117</f>
        <v>1</v>
      </c>
      <c r="DF34" s="324">
        <f>'KELURAHAN (DI ISI)'!CP115+'KELURAHAN (DI ISI)'!CP116+'KELURAHAN (DI ISI)'!CP117</f>
        <v>2</v>
      </c>
      <c r="DG34" s="324">
        <f>'KELURAHAN (DI ISI)'!CQ115+'KELURAHAN (DI ISI)'!CQ116+'KELURAHAN (DI ISI)'!CQ117</f>
        <v>4</v>
      </c>
      <c r="DH34" s="324">
        <f>'KELURAHAN (DI ISI)'!CR115+'KELURAHAN (DI ISI)'!CR116+'KELURAHAN (DI ISI)'!CR117</f>
        <v>9</v>
      </c>
      <c r="DI34" s="324">
        <f>'KELURAHAN (DI ISI)'!CS115+'KELURAHAN (DI ISI)'!CS116+'KELURAHAN (DI ISI)'!CS117</f>
        <v>0</v>
      </c>
      <c r="DJ34" s="324">
        <f>'KELURAHAN (DI ISI)'!CT115+'KELURAHAN (DI ISI)'!CT116+'KELURAHAN (DI ISI)'!CT117</f>
        <v>0</v>
      </c>
      <c r="DK34" s="324">
        <f>'KELURAHAN (DI ISI)'!CU115+'KELURAHAN (DI ISI)'!CU116+'KELURAHAN (DI ISI)'!CU117</f>
        <v>2</v>
      </c>
      <c r="DL34" s="324">
        <f>'KELURAHAN (DI ISI)'!CV115+'KELURAHAN (DI ISI)'!CV116+'KELURAHAN (DI ISI)'!CV117</f>
        <v>1</v>
      </c>
      <c r="DM34" s="324">
        <f>'KELURAHAN (DI ISI)'!CW115+'KELURAHAN (DI ISI)'!CW116+'KELURAHAN (DI ISI)'!CY116</f>
        <v>1</v>
      </c>
      <c r="DN34" s="324">
        <f>'KELURAHAN (DI ISI)'!CX115+'KELURAHAN (DI ISI)'!CX116+'KELURAHAN (DI ISI)'!CX117</f>
        <v>0</v>
      </c>
      <c r="DO34" s="313">
        <v>0.0</v>
      </c>
      <c r="DP34" s="324">
        <f>'KELURAHAN (DI ISI)'!CZ115+'KELURAHAN (DI ISI)'!CZ116+'KELURAHAN (DI ISI)'!CZ117</f>
        <v>0</v>
      </c>
      <c r="DQ34" s="324">
        <f>'KELURAHAN (DI ISI)'!DA115+'KELURAHAN (DI ISI)'!DA116+'KELURAHAN (DI ISI)'!DA117</f>
        <v>0</v>
      </c>
      <c r="DR34" s="324">
        <f>'KELURAHAN (DI ISI)'!DB115+'KELURAHAN (DI ISI)'!DB116+'KELURAHAN (DI ISI)'!DB117</f>
        <v>0</v>
      </c>
      <c r="DS34" s="324">
        <f>'KELURAHAN (DI ISI)'!DC115+'KELURAHAN (DI ISI)'!DC116+'KELURAHAN (DI ISI)'!DC117</f>
        <v>0</v>
      </c>
      <c r="DT34" s="324">
        <f>'KELURAHAN (DI ISI)'!DD115+'KELURAHAN (DI ISI)'!DD116+'KELURAHAN (DI ISI)'!DD117</f>
        <v>0</v>
      </c>
      <c r="DU34" s="324">
        <f>'KELURAHAN (DI ISI)'!DE115+'KELURAHAN (DI ISI)'!DE116+'KELURAHAN (DI ISI)'!DE117</f>
        <v>0</v>
      </c>
      <c r="DV34" s="324">
        <f>'KELURAHAN (DI ISI)'!DF115+'KELURAHAN (DI ISI)'!DF116+'KELURAHAN (DI ISI)'!DF117</f>
        <v>0</v>
      </c>
      <c r="DW34" s="324">
        <f>'KELURAHAN (DI ISI)'!DG115+'KELURAHAN (DI ISI)'!DG116+'KELURAHAN (DI ISI)'!DG117</f>
        <v>1</v>
      </c>
      <c r="DX34" s="324">
        <f>'KELURAHAN (DI ISI)'!DH115+'KELURAHAN (DI ISI)'!DH116+'KELURAHAN (DI ISI)'!DH117</f>
        <v>2443</v>
      </c>
      <c r="DY34" s="324">
        <f>'KELURAHAN (DI ISI)'!DI115+'KELURAHAN (DI ISI)'!DI116+'KELURAHAN (DI ISI)'!DI117</f>
        <v>748</v>
      </c>
      <c r="DZ34" s="324">
        <f>'KELURAHAN (DI ISI)'!DJ115+'KELURAHAN (DI ISI)'!DJ116+'KELURAHAN (DI ISI)'!DJ117</f>
        <v>2235</v>
      </c>
      <c r="EA34" s="324">
        <f>'KELURAHAN (DI ISI)'!DK115+'KELURAHAN (DI ISI)'!DK116+'KELURAHAN (DI ISI)'!DK117</f>
        <v>746</v>
      </c>
      <c r="EB34" s="324">
        <f>'KELURAHAN (DI ISI)'!DL115+'KELURAHAN (DI ISI)'!DL116+'KELURAHAN (DI ISI)'!DL117</f>
        <v>19</v>
      </c>
      <c r="EC34" s="324">
        <f>'KELURAHAN (DI ISI)'!DM115+'KELURAHAN (DI ISI)'!DM116+'KELURAHAN (DI ISI)'!DM117</f>
        <v>8</v>
      </c>
      <c r="ED34" s="491">
        <f t="shared" si="17"/>
        <v>11</v>
      </c>
      <c r="EE34" s="324">
        <f>'KELURAHAN (DI ISI)'!DO115+'KELURAHAN (DI ISI)'!DO116+'KELURAHAN (DI ISI)'!DO117</f>
        <v>0</v>
      </c>
      <c r="EF34" s="324">
        <f>'KELURAHAN (DI ISI)'!DP115+'KELURAHAN (DI ISI)'!DP116+'KELURAHAN (DI ISI)'!DP117</f>
        <v>1</v>
      </c>
      <c r="EG34" s="324">
        <f>'KELURAHAN (DI ISI)'!DQ115+'KELURAHAN (DI ISI)'!DQ116+'KELURAHAN (DI ISI)'!DQ117</f>
        <v>5</v>
      </c>
      <c r="EH34" s="324">
        <f>'KELURAHAN (DI ISI)'!DR115+'KELURAHAN (DI ISI)'!DR116+'KELURAHAN (DI ISI)'!DR117</f>
        <v>7</v>
      </c>
      <c r="EI34" s="324">
        <f>'KELURAHAN (DI ISI)'!DS115+'KELURAHAN (DI ISI)'!DS116+'KELURAHAN (DI ISI)'!DS117</f>
        <v>0</v>
      </c>
      <c r="EJ34" s="324">
        <f>'KELURAHAN (DI ISI)'!DT115+'KELURAHAN (DI ISI)'!DT116+'KELURAHAN (DI ISI)'!DT117</f>
        <v>1</v>
      </c>
      <c r="EK34" s="324">
        <f>'KELURAHAN (DI ISI)'!DU115+'KELURAHAN (DI ISI)'!DU116+'KELURAHAN (DI ISI)'!DU117</f>
        <v>1</v>
      </c>
      <c r="EL34" s="324">
        <f>'KELURAHAN (DI ISI)'!DV115+'KELURAHAN (DI ISI)'!DV116+'KELURAHAN (DI ISI)'!DV117</f>
        <v>4</v>
      </c>
      <c r="EM34" s="324">
        <f>'KELURAHAN (DI ISI)'!DW115+'KELURAHAN (DI ISI)'!DW116+'KELURAHAN (DI ISI)'!DW117</f>
        <v>0</v>
      </c>
      <c r="EN34" s="324">
        <f>'KELURAHAN (DI ISI)'!DX115+'KELURAHAN (DI ISI)'!DX116+'KELURAHAN (DI ISI)'!DX117</f>
        <v>1</v>
      </c>
      <c r="EO34" s="324">
        <f>'KELURAHAN (DI ISI)'!DY115+'KELURAHAN (DI ISI)'!DY116+'KELURAHAN (DI ISI)'!DY117</f>
        <v>3</v>
      </c>
      <c r="EP34" s="324">
        <f>'KELURAHAN (DI ISI)'!DZ115+'KELURAHAN (DI ISI)'!DZ116+'KELURAHAN (DI ISI)'!DZ117</f>
        <v>1</v>
      </c>
      <c r="EQ34" s="324">
        <f>'KELURAHAN (DI ISI)'!EA115+'KELURAHAN (DI ISI)'!EA116+'KELURAHAN (DI ISI)'!EA117</f>
        <v>0</v>
      </c>
      <c r="ER34" s="324">
        <f>'KELURAHAN (DI ISI)'!EB115+'KELURAHAN (DI ISI)'!EB116+'KELURAHAN (DI ISI)'!EB117</f>
        <v>0</v>
      </c>
      <c r="ES34" s="324">
        <f>'KELURAHAN (DI ISI)'!EC115+'KELURAHAN (DI ISI)'!EC116+'KELURAHAN (DI ISI)'!EC117</f>
        <v>0</v>
      </c>
      <c r="ET34" s="324">
        <f>'KELURAHAN (DI ISI)'!ED115+'KELURAHAN (DI ISI)'!ED116+'KELURAHAN (DI ISI)'!ED117</f>
        <v>0</v>
      </c>
      <c r="EU34" s="324">
        <f>'KELURAHAN (DI ISI)'!EE115+'KELURAHAN (DI ISI)'!EE116+'KELURAHAN (DI ISI)'!EE117</f>
        <v>1</v>
      </c>
      <c r="EV34" s="324">
        <f>'KELURAHAN (DI ISI)'!EF115+'KELURAHAN (DI ISI)'!EF116+'KELURAHAN (DI ISI)'!EF117</f>
        <v>0</v>
      </c>
      <c r="EW34" s="324">
        <f>'KELURAHAN (DI ISI)'!EG115+'KELURAHAN (DI ISI)'!EG116+'KELURAHAN (DI ISI)'!EG117</f>
        <v>6</v>
      </c>
      <c r="EX34" s="324">
        <f>'KELURAHAN (DI ISI)'!EH115+'KELURAHAN (DI ISI)'!EH116+'KELURAHAN (DI ISI)'!EH117</f>
        <v>5</v>
      </c>
      <c r="EY34" s="324">
        <f>'KELURAHAN (DI ISI)'!EI115+'KELURAHAN (DI ISI)'!EI116+'KELURAHAN (DI ISI)'!EI117</f>
        <v>2396</v>
      </c>
      <c r="EZ34" s="324">
        <f>'KELURAHAN (DI ISI)'!EJ115+'KELURAHAN (DI ISI)'!EJ116+'KELURAHAN (DI ISI)'!EJ117</f>
        <v>756</v>
      </c>
      <c r="FA34" s="324">
        <f>'KELURAHAN (DI ISI)'!EK115+'KELURAHAN (DI ISI)'!EK116+'KELURAHAN (DI ISI)'!EK117</f>
        <v>2195</v>
      </c>
      <c r="FB34" s="324">
        <f>'KELURAHAN (DI ISI)'!EL115+'KELURAHAN (DI ISI)'!EL116+'KELURAHAN (DI ISI)'!EL117</f>
        <v>756</v>
      </c>
      <c r="FC34" s="324">
        <f>'KELURAHAN (DI ISI)'!EM115+'KELURAHAN (DI ISI)'!EM116+'KELURAHAN (DI ISI)'!EM117</f>
        <v>21</v>
      </c>
      <c r="FD34" s="324">
        <f>'KELURAHAN (DI ISI)'!EN115+'KELURAHAN (DI ISI)'!EN116+'KELURAHAN (DI ISI)'!EN117</f>
        <v>9</v>
      </c>
      <c r="FE34" s="491">
        <f t="shared" si="18"/>
        <v>12</v>
      </c>
      <c r="FF34" s="324">
        <f>'KELURAHAN (DI ISI)'!EP115+'KELURAHAN (DI ISI)'!EP116+'KELURAHAN (DI ISI)'!EP117</f>
        <v>0</v>
      </c>
      <c r="FG34" s="324">
        <f>'KELURAHAN (DI ISI)'!EQ115+'KELURAHAN (DI ISI)'!EQ116+'KELURAHAN (DI ISI)'!EQ117</f>
        <v>0</v>
      </c>
      <c r="FH34" s="324">
        <f>'KELURAHAN (DI ISI)'!ER115+'KELURAHAN (DI ISI)'!ER116+'KELURAHAN (DI ISI)'!ER117</f>
        <v>4</v>
      </c>
      <c r="FI34" s="324">
        <f>'KELURAHAN (DI ISI)'!ES115+'KELURAHAN (DI ISI)'!ES116+'KELURAHAN (DI ISI)'!ES117</f>
        <v>9</v>
      </c>
      <c r="FJ34" s="324">
        <f>'KELURAHAN (DI ISI)'!ET115+'KELURAHAN (DI ISI)'!ET116+'KELURAHAN (DI ISI)'!ET117</f>
        <v>2</v>
      </c>
      <c r="FK34" s="324">
        <f>'KELURAHAN (DI ISI)'!EU115+'KELURAHAN (DI ISI)'!EU116+'KELURAHAN (DI ISI)'!EU117</f>
        <v>0</v>
      </c>
      <c r="FL34" s="324">
        <f>'KELURAHAN (DI ISI)'!EV115+'KELURAHAN (DI ISI)'!EV116+'KELURAHAN (DI ISI)'!EV117</f>
        <v>3</v>
      </c>
      <c r="FM34" s="324">
        <f>'KELURAHAN (DI ISI)'!EW115+'KELURAHAN (DI ISI)'!EW116+'KELURAHAN (DI ISI)'!EW117</f>
        <v>3</v>
      </c>
      <c r="FN34" s="324">
        <f>'KELURAHAN (DI ISI)'!EX115+'KELURAHAN (DI ISI)'!EX116+'KELURAHAN (DI ISI)'!EX117</f>
        <v>0</v>
      </c>
      <c r="FO34" s="324">
        <f>'KELURAHAN (DI ISI)'!EY115+'KELURAHAN (DI ISI)'!EY116+'KELURAHAN (DI ISI)'!EY117</f>
        <v>0</v>
      </c>
      <c r="FP34" s="324">
        <f>'KELURAHAN (DI ISI)'!EZ115+'KELURAHAN (DI ISI)'!EZ116+'KELURAHAN (DI ISI)'!EZ117</f>
        <v>0</v>
      </c>
      <c r="FQ34" s="324">
        <f>'KELURAHAN (DI ISI)'!FA115+'KELURAHAN (DI ISI)'!FA116+'KELURAHAN (DI ISI)'!FA117</f>
        <v>2</v>
      </c>
      <c r="FR34" s="324">
        <f>'KELURAHAN (DI ISI)'!FB115+'KELURAHAN (DI ISI)'!FB116+'KELURAHAN (DI ISI)'!FB117</f>
        <v>0</v>
      </c>
      <c r="FS34" s="324">
        <f>'KELURAHAN (DI ISI)'!FC115+'KELURAHAN (DI ISI)'!FC116+'KELURAHAN (DI ISI)'!FC117</f>
        <v>0</v>
      </c>
      <c r="FT34" s="324">
        <f>'KELURAHAN (DI ISI)'!FD115+'KELURAHAN (DI ISI)'!FD116+'KELURAHAN (DI ISI)'!FD117</f>
        <v>0</v>
      </c>
      <c r="FU34" s="324">
        <f>'KELURAHAN (DI ISI)'!FE115+'KELURAHAN (DI ISI)'!FE116+'KELURAHAN (DI ISI)'!FE117</f>
        <v>0</v>
      </c>
      <c r="FV34" s="324">
        <f>'KELURAHAN (DI ISI)'!FF115+'KELURAHAN (DI ISI)'!FF116+'KELURAHAN (DI ISI)'!FF117</f>
        <v>0</v>
      </c>
      <c r="FW34" s="324">
        <f>'KELURAHAN (DI ISI)'!FG115+'KELURAHAN (DI ISI)'!FG116+'KELURAHAN (DI ISI)'!FG117</f>
        <v>0</v>
      </c>
      <c r="FX34" s="324">
        <f>'KELURAHAN (DI ISI)'!FH115+'KELURAHAN (DI ISI)'!FH116+'KELURAHAN (DI ISI)'!FH117</f>
        <v>2</v>
      </c>
      <c r="FY34" s="324">
        <f>'KELURAHAN (DI ISI)'!FI115+'KELURAHAN (DI ISI)'!FI116+'KELURAHAN (DI ISI)'!FI117</f>
        <v>0</v>
      </c>
      <c r="FZ34" s="324">
        <f>'KELURAHAN (DI ISI)'!FJ115+'KELURAHAN (DI ISI)'!FJ116+'KELURAHAN (DI ISI)'!FJ117</f>
        <v>2375</v>
      </c>
      <c r="GA34" s="324">
        <f>'KELURAHAN (DI ISI)'!FK115+'KELURAHAN (DI ISI)'!FK116+'KELURAHAN (DI ISI)'!FK117</f>
        <v>726</v>
      </c>
      <c r="GB34" s="324">
        <f>'KELURAHAN (DI ISI)'!FL115+'KELURAHAN (DI ISI)'!FL116+'KELURAHAN (DI ISI)'!FL117</f>
        <v>2310</v>
      </c>
      <c r="GC34" s="324">
        <f>'KELURAHAN (DI ISI)'!FM115+'KELURAHAN (DI ISI)'!FM116+'KELURAHAN (DI ISI)'!FM117</f>
        <v>726</v>
      </c>
      <c r="GD34" s="587">
        <v>2310.0</v>
      </c>
      <c r="GE34" s="588">
        <f>'KELURAHAN (DI ISI)'!FO115+'KELURAHAN (DI ISI)'!FO116+'KELURAHAN (DI ISI)'!FO117</f>
        <v>24</v>
      </c>
      <c r="GF34" s="588">
        <f>'KELURAHAN (DI ISI)'!FP115+'KELURAHAN (DI ISI)'!FP116+'KELURAHAN (DI ISI)'!FP117</f>
        <v>24</v>
      </c>
      <c r="GG34" s="588">
        <f>'KELURAHAN (DI ISI)'!FP115+'KELURAHAN (DI ISI)'!FP116+'KELURAHAN (DI ISI)'!FP117</f>
        <v>24</v>
      </c>
      <c r="GH34" s="588">
        <f>'KELURAHAN (DI ISI)'!FQ115+'KELURAHAN (DI ISI)'!FQ116+'KELURAHAN (DI ISI)'!FQ117</f>
        <v>8</v>
      </c>
      <c r="GI34" s="571">
        <f t="shared" si="19"/>
        <v>16</v>
      </c>
      <c r="GJ34" s="324">
        <f>'KELURAHAN (DI ISI)'!FS115+'KELURAHAN (DI ISI)'!FS116+'KELURAHAN (DI ISI)'!FS117</f>
        <v>2</v>
      </c>
      <c r="GK34" s="324">
        <f>'KELURAHAN (DI ISI)'!FT115+'KELURAHAN (DI ISI)'!FT116+'KELURAHAN (DI ISI)'!FT117</f>
        <v>0</v>
      </c>
      <c r="GL34" s="324">
        <f>'KELURAHAN (DI ISI)'!FU115+'KELURAHAN (DI ISI)'!FU116+'KELURAHAN (DI ISI)'!FU117</f>
        <v>6</v>
      </c>
      <c r="GM34" s="324">
        <f>'KELURAHAN (DI ISI)'!FV115+'KELURAHAN (DI ISI)'!FV116+'KELURAHAN (DI ISI)'!FV117</f>
        <v>12</v>
      </c>
      <c r="GN34" s="324">
        <f>'KELURAHAN (DI ISI)'!FW115+'KELURAHAN (DI ISI)'!FW116+'KELURAHAN (DI ISI)'!FW117</f>
        <v>0</v>
      </c>
      <c r="GO34" s="324">
        <f>'KELURAHAN (DI ISI)'!FX115+'KELURAHAN (DI ISI)'!FX116+'KELURAHAN (DI ISI)'!FX117</f>
        <v>0</v>
      </c>
      <c r="GP34" s="324">
        <f>'KELURAHAN (DI ISI)'!FY115+'KELURAHAN (DI ISI)'!FY116+'KELURAHAN (DI ISI)'!FY117</f>
        <v>0</v>
      </c>
      <c r="GQ34" s="324">
        <f>'KELURAHAN (DI ISI)'!FZ115+'KELURAHAN (DI ISI)'!FZ116+'KELURAHAN (DI ISI)'!FZ117</f>
        <v>4</v>
      </c>
      <c r="GR34" s="324">
        <f>'KELURAHAN (DI ISI)'!GA115+'KELURAHAN (DI ISI)'!GA116+'KELURAHAN (DI ISI)'!GA117</f>
        <v>0</v>
      </c>
      <c r="GS34" s="324">
        <f>'KELURAHAN (DI ISI)'!GB115+'KELURAHAN (DI ISI)'!GB116+'KELURAHAN (DI ISI)'!GB117</f>
        <v>0</v>
      </c>
      <c r="GT34" s="324">
        <f>'KELURAHAN (DI ISI)'!GC115+'KELURAHAN (DI ISI)'!GC116+'KELURAHAN (DI ISI)'!GC117</f>
        <v>1</v>
      </c>
      <c r="GU34" s="324">
        <f>'KELURAHAN (DI ISI)'!GD115+'KELURAHAN (DI ISI)'!GD116+'KELURAHAN (DI ISI)'!GD117</f>
        <v>0</v>
      </c>
      <c r="GV34" s="324">
        <f>'KELURAHAN (DI ISI)'!GE115+'KELURAHAN (DI ISI)'!GE116+'KELURAHAN (DI ISI)'!GE117</f>
        <v>0</v>
      </c>
      <c r="GW34" s="324">
        <f>'KELURAHAN (DI ISI)'!GF115+'KELURAHAN (DI ISI)'!GF116+'KELURAHAN (DI ISI)'!GF117</f>
        <v>0</v>
      </c>
      <c r="GX34" s="324">
        <f>'KELURAHAN (DI ISI)'!GG115+'KELURAHAN (DI ISI)'!GG116+'KELURAHAN (DI ISI)'!GG117</f>
        <v>0</v>
      </c>
      <c r="GY34" s="324">
        <f>'KELURAHAN (DI ISI)'!GH115+'KELURAHAN (DI ISI)'!GH116+'KELURAHAN (DI ISI)'!GH117</f>
        <v>0</v>
      </c>
      <c r="GZ34" s="324">
        <f>'KELURAHAN (DI ISI)'!GI115+'KELURAHAN (DI ISI)'!GI116+'KELURAHAN (DI ISI)'!GI117</f>
        <v>1</v>
      </c>
      <c r="HA34" s="324">
        <f>'KELURAHAN (DI ISI)'!GJ115+'KELURAHAN (DI ISI)'!GJ116+'KELURAHAN (DI ISI)'!GJ117</f>
        <v>0</v>
      </c>
      <c r="HB34" s="589">
        <f>'KELURAHAN (DI ISI)'!GK115+'KELURAHAN (DI ISI)'!GK116+'KELURAHAN (DI ISI)'!GK117</f>
        <v>2</v>
      </c>
      <c r="HC34" s="589">
        <f>'KELURAHAN (DI ISI)'!GL115+'KELURAHAN (DI ISI)'!GL116+'KELURAHAN (DI ISI)'!GL117</f>
        <v>1</v>
      </c>
      <c r="HD34" s="324">
        <f>'KELURAHAN (DI ISI)'!GM115+'KELURAHAN (DI ISI)'!GM116+'KELURAHAN (DI ISI)'!GM117</f>
        <v>2413</v>
      </c>
      <c r="HE34" s="324">
        <f>'KELURAHAN (DI ISI)'!GN115+'KELURAHAN (DI ISI)'!GN116+'KELURAHAN (DI ISI)'!GN117</f>
        <v>746</v>
      </c>
      <c r="HF34" s="324">
        <f>'KELURAHAN (DI ISI)'!GO115+'KELURAHAN (DI ISI)'!GO116+'KELURAHAN (DI ISI)'!GO117</f>
        <v>2305</v>
      </c>
      <c r="HG34" s="324">
        <f>'KELURAHAN (DI ISI)'!GP115+'KELURAHAN (DI ISI)'!GP116+'KELURAHAN (DI ISI)'!GP117</f>
        <v>746</v>
      </c>
      <c r="HH34" s="587">
        <v>2310.0</v>
      </c>
      <c r="HI34" s="590">
        <f>'KELURAHAN (DI ISI)'!GR115+'KELURAHAN (DI ISI)'!GR116+'KELURAHAN (DI ISI)'!GR117</f>
        <v>23</v>
      </c>
      <c r="HJ34" s="590">
        <f>'KELURAHAN (DI ISI)'!GS115+'KELURAHAN (DI ISI)'!GS116+'KELURAHAN (DI ISI)'!GS117</f>
        <v>7</v>
      </c>
      <c r="HK34" s="591">
        <f>'KELURAHAN (DI ISI)'!GT115+'KELURAHAN (DI ISI)'!GT116+'KELURAHAN (DI ISI)'!GT117</f>
        <v>23</v>
      </c>
      <c r="HL34" s="591">
        <f>'KELURAHAN (DI ISI)'!GU115+'KELURAHAN (DI ISI)'!GU116+'KELURAHAN (DI ISI)'!GU117</f>
        <v>7</v>
      </c>
      <c r="HM34" s="573">
        <f t="shared" si="20"/>
        <v>16</v>
      </c>
      <c r="HN34" s="324">
        <f>'KELURAHAN (DI ISI)'!GW115+'KELURAHAN (DI ISI)'!GW116+'KELURAHAN (DI ISI)'!GW117</f>
        <v>0</v>
      </c>
      <c r="HO34" s="324">
        <f>'KELURAHAN (DI ISI)'!GX115+'KELURAHAN (DI ISI)'!GX116+'KELURAHAN (DI ISI)'!GX117</f>
        <v>2</v>
      </c>
      <c r="HP34" s="324">
        <f>'KELURAHAN (DI ISI)'!GY115+'KELURAHAN (DI ISI)'!GY116+'KELURAHAN (DI ISI)'!GY117</f>
        <v>4</v>
      </c>
      <c r="HQ34" s="324">
        <f>'KELURAHAN (DI ISI)'!GZ115+'KELURAHAN (DI ISI)'!GZ116+'KELURAHAN (DI ISI)'!GZ117</f>
        <v>14</v>
      </c>
      <c r="HR34" s="324">
        <f>'KELURAHAN (DI ISI)'!HA115+'KELURAHAN (DI ISI)'!HA116+'KELURAHAN (DI ISI)'!HA117</f>
        <v>1</v>
      </c>
      <c r="HS34" s="324">
        <f>'KELURAHAN (DI ISI)'!HB115+'KELURAHAN (DI ISI)'!HB116+'KELURAHAN (DI ISI)'!HB117</f>
        <v>0</v>
      </c>
      <c r="HT34" s="324">
        <f>'KELURAHAN (DI ISI)'!HC115+'KELURAHAN (DI ISI)'!HC116+'KELURAHAN (DI ISI)'!HC117</f>
        <v>0</v>
      </c>
      <c r="HU34" s="324">
        <f>'KELURAHAN (DI ISI)'!HD115+'KELURAHAN (DI ISI)'!HD116+'KELURAHAN (DI ISI)'!HD117</f>
        <v>2</v>
      </c>
      <c r="HV34" s="324">
        <f>'KELURAHAN (DI ISI)'!HE115+'KELURAHAN (DI ISI)'!HE116+'KELURAHAN (DI ISI)'!HE117</f>
        <v>0</v>
      </c>
      <c r="HW34" s="324">
        <f>'KELURAHAN (DI ISI)'!HF115+'KELURAHAN (DI ISI)'!HF116+'KELURAHAN (DI ISI)'!HF117</f>
        <v>0</v>
      </c>
      <c r="HX34" s="324">
        <f>'KELURAHAN (DI ISI)'!HG115+'KELURAHAN (DI ISI)'!HG116+'KELURAHAN (DI ISI)'!HG117</f>
        <v>1</v>
      </c>
      <c r="HY34" s="324">
        <f>'KELURAHAN (DI ISI)'!HH115+'KELURAHAN (DI ISI)'!HH116+'KELURAHAN (DI ISI)'!HH117</f>
        <v>3</v>
      </c>
      <c r="HZ34" s="324">
        <f>'KELURAHAN (DI ISI)'!HI115+'KELURAHAN (DI ISI)'!HI116+'KELURAHAN (DI ISI)'!HI117</f>
        <v>0</v>
      </c>
      <c r="IA34" s="324">
        <f>'KELURAHAN (DI ISI)'!HJ115+'KELURAHAN (DI ISI)'!HJ116+'KELURAHAN (DI ISI)'!HJ117</f>
        <v>0</v>
      </c>
      <c r="IB34" s="324">
        <f>'KELURAHAN (DI ISI)'!HK115+'KELURAHAN (DI ISI)'!HK116+'KELURAHAN (DI ISI)'!HK117</f>
        <v>0</v>
      </c>
      <c r="IC34" s="324">
        <f>'KELURAHAN (DI ISI)'!HL115+'KELURAHAN (DI ISI)'!HL116+'KELURAHAN (DI ISI)'!HL117</f>
        <v>0</v>
      </c>
      <c r="ID34" s="324">
        <f>'KELURAHAN (DI ISI)'!HM115+'KELURAHAN (DI ISI)'!HM116+'KELURAHAN (DI ISI)'!HM117</f>
        <v>0</v>
      </c>
      <c r="IE34" s="324">
        <f>'KELURAHAN (DI ISI)'!HN115+'KELURAHAN (DI ISI)'!HN116+'KELURAHAN (DI ISI)'!HN117</f>
        <v>0</v>
      </c>
      <c r="IF34" s="591">
        <f>'KELURAHAN (DI ISI)'!HO115+'KELURAHAN (DI ISI)'!HO116+'KELURAHAN (DI ISI)'!HO117</f>
        <v>0</v>
      </c>
      <c r="IG34" s="591">
        <f>'KELURAHAN (DI ISI)'!HP115+'KELURAHAN (DI ISI)'!HP116+'KELURAHAN (DI ISI)'!HP117</f>
        <v>0</v>
      </c>
      <c r="IK34" s="198">
        <f t="shared" si="21"/>
        <v>18</v>
      </c>
      <c r="IL34" s="198">
        <f t="shared" si="22"/>
        <v>21</v>
      </c>
      <c r="IM34" s="198">
        <f t="shared" si="23"/>
        <v>17</v>
      </c>
      <c r="IN34" s="198">
        <f t="shared" si="24"/>
        <v>22</v>
      </c>
      <c r="IO34" s="198">
        <f t="shared" si="25"/>
        <v>16</v>
      </c>
      <c r="IP34" s="198">
        <f t="shared" si="26"/>
        <v>23</v>
      </c>
      <c r="IQ34" s="574">
        <f t="shared" si="27"/>
        <v>14</v>
      </c>
      <c r="IR34" s="574">
        <f t="shared" si="28"/>
        <v>19</v>
      </c>
      <c r="IS34" s="574">
        <f t="shared" si="29"/>
        <v>19</v>
      </c>
      <c r="IT34" s="574">
        <f t="shared" si="30"/>
        <v>21</v>
      </c>
      <c r="IU34" s="574">
        <f t="shared" si="31"/>
        <v>24</v>
      </c>
      <c r="IV34" s="575">
        <f t="shared" si="32"/>
        <v>23</v>
      </c>
      <c r="IW34" s="583"/>
      <c r="IX34" s="576">
        <f t="shared" si="33"/>
        <v>-23</v>
      </c>
      <c r="IZ34" s="577"/>
      <c r="JA34" s="162">
        <f t="shared" si="34"/>
        <v>-2413</v>
      </c>
      <c r="JB34" s="578"/>
      <c r="JC34" s="579">
        <f t="shared" si="35"/>
        <v>-746</v>
      </c>
      <c r="JD34" s="586"/>
      <c r="JE34" s="585"/>
      <c r="JF34" s="577"/>
      <c r="JG34" s="234">
        <f t="shared" si="36"/>
        <v>-2305</v>
      </c>
      <c r="JH34" s="578"/>
      <c r="JI34" s="579">
        <f t="shared" si="37"/>
        <v>-746</v>
      </c>
      <c r="JJ34" s="247"/>
    </row>
    <row r="35" ht="14.25" customHeight="1">
      <c r="A35" s="158">
        <v>28.0</v>
      </c>
      <c r="B35" s="157" t="s">
        <v>206</v>
      </c>
      <c r="C35" s="158">
        <v>3374110.0</v>
      </c>
      <c r="D35" s="256" t="s">
        <v>335</v>
      </c>
      <c r="E35" s="158"/>
      <c r="F35" s="604">
        <f>'KELURAHAN (DI ISI)'!F111+'KELURAHAN (DI ISI)'!F112</f>
        <v>38</v>
      </c>
      <c r="G35" s="604">
        <f>'KELURAHAN (DI ISI)'!G111+'KELURAHAN (DI ISI)'!G112</f>
        <v>2120</v>
      </c>
      <c r="H35" s="605">
        <f>'KELURAHAN (DI ISI)'!H111+'KELURAHAN (DI ISI)'!H112</f>
        <v>90</v>
      </c>
      <c r="I35" s="491">
        <f t="shared" si="1"/>
        <v>45</v>
      </c>
      <c r="J35" s="491">
        <f t="shared" si="2"/>
        <v>45</v>
      </c>
      <c r="K35" s="605">
        <f>'KELURAHAN (DI ISI)'!I111+'KELURAHAN (DI ISI)'!I112</f>
        <v>14</v>
      </c>
      <c r="L35" s="605">
        <f>'KELURAHAN (DI ISI)'!J111+'KELURAHAN (DI ISI)'!J112</f>
        <v>7</v>
      </c>
      <c r="M35" s="605">
        <f>'KELURAHAN (DI ISI)'!K111+'KELURAHAN (DI ISI)'!K112</f>
        <v>24</v>
      </c>
      <c r="N35" s="605">
        <f>'KELURAHAN (DI ISI)'!L111+'KELURAHAN (DI ISI)'!L112</f>
        <v>45</v>
      </c>
      <c r="O35" s="605">
        <f>'KELURAHAN (DI ISI)'!M111+'KELURAHAN (DI ISI)'!M112</f>
        <v>0</v>
      </c>
      <c r="P35" s="605">
        <f>'KELURAHAN (DI ISI)'!N111+'KELURAHAN (DI ISI)'!N112</f>
        <v>0</v>
      </c>
      <c r="Q35" s="605">
        <f>'KELURAHAN (DI ISI)'!O111+'KELURAHAN (DI ISI)'!O112</f>
        <v>90</v>
      </c>
      <c r="R35" s="605">
        <f>'KELURAHAN (DI ISI)'!P111+'KELURAHAN (DI ISI)'!P112</f>
        <v>74</v>
      </c>
      <c r="S35" s="491">
        <f t="shared" si="3"/>
        <v>30</v>
      </c>
      <c r="T35" s="491">
        <f t="shared" si="4"/>
        <v>44</v>
      </c>
      <c r="U35" s="605">
        <f>'KELURAHAN (DI ISI)'!Q111+'KELURAHAN (DI ISI)'!Q112</f>
        <v>4</v>
      </c>
      <c r="V35" s="605">
        <f>'KELURAHAN (DI ISI)'!R111+'KELURAHAN (DI ISI)'!R112</f>
        <v>4</v>
      </c>
      <c r="W35" s="605">
        <f>'KELURAHAN (DI ISI)'!S111+'KELURAHAN (DI ISI)'!S112</f>
        <v>22</v>
      </c>
      <c r="X35" s="605">
        <f>'KELURAHAN (DI ISI)'!T111+'KELURAHAN (DI ISI)'!T112</f>
        <v>44</v>
      </c>
      <c r="Y35" s="605">
        <f>'KELURAHAN (DI ISI)'!U111+'KELURAHAN (DI ISI)'!U112</f>
        <v>0</v>
      </c>
      <c r="Z35" s="605">
        <f>'KELURAHAN (DI ISI)'!V111+'KELURAHAN (DI ISI)'!V112</f>
        <v>27</v>
      </c>
      <c r="AA35" s="605">
        <f>'KELURAHAN (DI ISI)'!W111+'KELURAHAN (DI ISI)'!W112</f>
        <v>47</v>
      </c>
      <c r="AB35" s="605">
        <f>'KELURAHAN (DI ISI)'!X111+'KELURAHAN (DI ISI)'!X112</f>
        <v>63</v>
      </c>
      <c r="AC35" s="491">
        <f t="shared" si="5"/>
        <v>31</v>
      </c>
      <c r="AD35" s="491">
        <f t="shared" si="6"/>
        <v>32</v>
      </c>
      <c r="AE35" s="605">
        <f>'KELURAHAN (DI ISI)'!Y111+'KELURAHAN (DI ISI)'!Y112</f>
        <v>3</v>
      </c>
      <c r="AF35" s="605">
        <f>'KELURAHAN (DI ISI)'!Z111+'KELURAHAN (DI ISI)'!Z112</f>
        <v>5</v>
      </c>
      <c r="AG35" s="605">
        <f>'KELURAHAN (DI ISI)'!AA111+'KELURAHAN (DI ISI)'!AA112</f>
        <v>23</v>
      </c>
      <c r="AH35" s="605">
        <f>'KELURAHAN (DI ISI)'!AB111+'KELURAHAN (DI ISI)'!AB112</f>
        <v>32</v>
      </c>
      <c r="AI35" s="605">
        <f>'KELURAHAN (DI ISI)'!AC111+'KELURAHAN (DI ISI)'!AC112</f>
        <v>0</v>
      </c>
      <c r="AJ35" s="605">
        <f>'KELURAHAN (DI ISI)'!AD111+'KELURAHAN (DI ISI)'!AD112</f>
        <v>20</v>
      </c>
      <c r="AK35" s="605">
        <f>'KELURAHAN (DI ISI)'!AE111+'KELURAHAN (DI ISI)'!AE112</f>
        <v>43</v>
      </c>
      <c r="AL35" s="605">
        <f>'KELURAHAN (DI ISI)'!AF111+'KELURAHAN (DI ISI)'!AF112</f>
        <v>37</v>
      </c>
      <c r="AM35" s="491">
        <f t="shared" si="7"/>
        <v>15</v>
      </c>
      <c r="AN35" s="491">
        <f t="shared" si="8"/>
        <v>22</v>
      </c>
      <c r="AO35" s="605">
        <f>'KELURAHAN (DI ISI)'!AG111+'KELURAHAN (DI ISI)'!AG112</f>
        <v>4</v>
      </c>
      <c r="AP35" s="605">
        <f>'KELURAHAN (DI ISI)'!AH111+'KELURAHAN (DI ISI)'!AH112</f>
        <v>6</v>
      </c>
      <c r="AQ35" s="605">
        <f>'KELURAHAN (DI ISI)'!AI111+'KELURAHAN (DI ISI)'!AI112</f>
        <v>5</v>
      </c>
      <c r="AR35" s="605">
        <f>'KELURAHAN (DI ISI)'!AJ111+'KELURAHAN (DI ISI)'!AJ112</f>
        <v>22</v>
      </c>
      <c r="AS35" s="605">
        <f>'KELURAHAN (DI ISI)'!AK111+'KELURAHAN (DI ISI)'!AK112</f>
        <v>0</v>
      </c>
      <c r="AT35" s="605">
        <f>'KELURAHAN (DI ISI)'!AL111+'KELURAHAN (DI ISI)'!AL112</f>
        <v>0</v>
      </c>
      <c r="AU35" s="605">
        <f>'KELURAHAN (DI ISI)'!AM111+'KELURAHAN (DI ISI)'!AM112</f>
        <v>37</v>
      </c>
      <c r="AV35" s="605">
        <f>'KELURAHAN (DI ISI)'!AN111+'KELURAHAN (DI ISI)'!AN112</f>
        <v>59</v>
      </c>
      <c r="AW35" s="491">
        <f t="shared" si="9"/>
        <v>21</v>
      </c>
      <c r="AX35" s="491">
        <f t="shared" si="10"/>
        <v>38</v>
      </c>
      <c r="AY35" s="605">
        <f>'KELURAHAN (DI ISI)'!AO111+'KELURAHAN (DI ISI)'!AO112</f>
        <v>1</v>
      </c>
      <c r="AZ35" s="605">
        <f>'KELURAHAN (DI ISI)'!AP111+'KELURAHAN (DI ISI)'!AP112</f>
        <v>4</v>
      </c>
      <c r="BA35" s="605">
        <f>'KELURAHAN (DI ISI)'!AQ111+'KELURAHAN (DI ISI)'!AQ112</f>
        <v>16</v>
      </c>
      <c r="BB35" s="605">
        <f>'KELURAHAN (DI ISI)'!AR111+'KELURAHAN (DI ISI)'!AR112</f>
        <v>38</v>
      </c>
      <c r="BC35" s="605">
        <f>'KELURAHAN (DI ISI)'!AS111+'KELURAHAN (DI ISI)'!AS112</f>
        <v>0</v>
      </c>
      <c r="BD35" s="605">
        <f>'KELURAHAN (DI ISI)'!AT111+'KELURAHAN (DI ISI)'!AT112</f>
        <v>0</v>
      </c>
      <c r="BE35" s="605">
        <f>'KELURAHAN (DI ISI)'!AU111+'KELURAHAN (DI ISI)'!AU112</f>
        <v>59</v>
      </c>
      <c r="BF35" s="605">
        <f>'KELURAHAN (DI ISI)'!AV111+'KELURAHAN (DI ISI)'!AV112</f>
        <v>2118</v>
      </c>
      <c r="BG35" s="605">
        <f>'KELURAHAN (DI ISI)'!AW111+'KELURAHAN (DI ISI)'!AW112</f>
        <v>74</v>
      </c>
      <c r="BH35" s="491">
        <f t="shared" si="11"/>
        <v>25</v>
      </c>
      <c r="BI35" s="495">
        <f t="shared" si="12"/>
        <v>49</v>
      </c>
      <c r="BJ35" s="605">
        <f>'KELURAHAN (DI ISI)'!AX111+'KELURAHAN (DI ISI)'!AX112</f>
        <v>0</v>
      </c>
      <c r="BK35" s="605">
        <f>'KELURAHAN (DI ISI)'!AY111+'KELURAHAN (DI ISI)'!AY112</f>
        <v>7</v>
      </c>
      <c r="BL35" s="605">
        <f>'KELURAHAN (DI ISI)'!AZ111+'KELURAHAN (DI ISI)'!AZ112</f>
        <v>18</v>
      </c>
      <c r="BM35" s="605">
        <f>'KELURAHAN (DI ISI)'!BA111+'KELURAHAN (DI ISI)'!BA112</f>
        <v>49</v>
      </c>
      <c r="BN35" s="605">
        <f>'KELURAHAN (DI ISI)'!BB111+'KELURAHAN (DI ISI)'!BB112</f>
        <v>0</v>
      </c>
      <c r="BO35" s="605">
        <f>'KELURAHAN (DI ISI)'!BC111+'KELURAHAN (DI ISI)'!BC112</f>
        <v>0</v>
      </c>
      <c r="BP35" s="605">
        <f>'KELURAHAN (DI ISI)'!BD111+'KELURAHAN (DI ISI)'!BD112</f>
        <v>0</v>
      </c>
      <c r="BQ35" s="605">
        <f>'KELURAHAN (DI ISI)'!BE111+'KELURAHAN (DI ISI)'!BE112</f>
        <v>0</v>
      </c>
      <c r="BR35" s="605">
        <f>'KELURAHAN (DI ISI)'!BF111+'KELURAHAN (DI ISI)'!BF112</f>
        <v>0</v>
      </c>
      <c r="BS35" s="605">
        <f>'KELURAHAN (DI ISI)'!BG111+'KELURAHAN (DI ISI)'!BG112</f>
        <v>0</v>
      </c>
      <c r="BT35" s="605">
        <f>'KELURAHAN (DI ISI)'!BH111+'KELURAHAN (DI ISI)'!BH112</f>
        <v>0</v>
      </c>
      <c r="BU35" s="605">
        <f>'KELURAHAN (DI ISI)'!BI111+'KELURAHAN (DI ISI)'!BI112</f>
        <v>0</v>
      </c>
      <c r="BV35" s="605">
        <f>'KELURAHAN (DI ISI)'!BJ111+'KELURAHAN (DI ISI)'!BJ112</f>
        <v>0</v>
      </c>
      <c r="BW35" s="605">
        <f>'KELURAHAN (DI ISI)'!BK111+'KELURAHAN (DI ISI)'!BK112</f>
        <v>0</v>
      </c>
      <c r="BX35" s="605">
        <f>'KELURAHAN (DI ISI)'!BL111+'KELURAHAN (DI ISI)'!BL112</f>
        <v>0</v>
      </c>
      <c r="BY35" s="605">
        <f>'KELURAHAN (DI ISI)'!BM111+'KELURAHAN (DI ISI)'!BM112</f>
        <v>0</v>
      </c>
      <c r="BZ35" s="605">
        <f>'KELURAHAN (DI ISI)'!BN111+'KELURAHAN (DI ISI)'!BN112</f>
        <v>0</v>
      </c>
      <c r="CA35" s="605">
        <f>'KELURAHAN (DI ISI)'!BO111+'KELURAHAN (DI ISI)'!BO112</f>
        <v>0</v>
      </c>
      <c r="CB35" s="605">
        <f>'KELURAHAN (DI ISI)'!BP111+'KELURAHAN (DI ISI)'!BP112</f>
        <v>0</v>
      </c>
      <c r="CC35" s="605">
        <f>'KELURAHAN (DI ISI)'!BQ111+'KELURAHAN (DI ISI)'!BQ112</f>
        <v>2118</v>
      </c>
      <c r="CD35" s="605">
        <f>'KELURAHAN (DI ISI)'!BR111+'KELURAHAN (DI ISI)'!BR112</f>
        <v>35</v>
      </c>
      <c r="CE35" s="491">
        <f t="shared" si="13"/>
        <v>12</v>
      </c>
      <c r="CF35" s="491">
        <f t="shared" si="14"/>
        <v>23</v>
      </c>
      <c r="CG35" s="605">
        <f>'KELURAHAN (DI ISI)'!BS111+'KELURAHAN (DI ISI)'!BS112</f>
        <v>0</v>
      </c>
      <c r="CH35" s="605">
        <f>'KELURAHAN (DI ISI)'!BT111+'KELURAHAN (DI ISI)'!BT112</f>
        <v>0</v>
      </c>
      <c r="CI35" s="605">
        <f>'KELURAHAN (DI ISI)'!BU111+'KELURAHAN (DI ISI)'!BU112</f>
        <v>12</v>
      </c>
      <c r="CJ35" s="605">
        <f>'KELURAHAN (DI ISI)'!BV111+'KELURAHAN (DI ISI)'!BV112</f>
        <v>23</v>
      </c>
      <c r="CK35" s="605">
        <f>'KELURAHAN (DI ISI)'!BW111+'KELURAHAN (DI ISI)'!BW112</f>
        <v>0</v>
      </c>
      <c r="CL35" s="605">
        <f>'KELURAHAN (DI ISI)'!BX111+'KELURAHAN (DI ISI)'!BX112</f>
        <v>0</v>
      </c>
      <c r="CM35" s="605">
        <f>'KELURAHAN (DI ISI)'!BY111+'KELURAHAN (DI ISI)'!BY112</f>
        <v>0</v>
      </c>
      <c r="CN35" s="605">
        <f>'KELURAHAN (DI ISI)'!BZ111+'KELURAHAN (DI ISI)'!BZ112</f>
        <v>0</v>
      </c>
      <c r="CO35" s="605">
        <f>'KELURAHAN (DI ISI)'!CA111+'KELURAHAN (DI ISI)'!CA112</f>
        <v>0</v>
      </c>
      <c r="CP35" s="605">
        <f>'KELURAHAN (DI ISI)'!CB111+'KELURAHAN (DI ISI)'!CB112</f>
        <v>5</v>
      </c>
      <c r="CQ35" s="605">
        <f>'KELURAHAN (DI ISI)'!CC111+'KELURAHAN (DI ISI)'!CC112</f>
        <v>11</v>
      </c>
      <c r="CR35" s="605">
        <f>'KELURAHAN (DI ISI)'!CD111+'KELURAHAN (DI ISI)'!CD112</f>
        <v>23</v>
      </c>
      <c r="CS35" s="605">
        <f>'KELURAHAN (DI ISI)'!CE111+'KELURAHAN (DI ISI)'!CE112</f>
        <v>0</v>
      </c>
      <c r="CT35" s="605">
        <f>'KELURAHAN (DI ISI)'!CF111+'KELURAHAN (DI ISI)'!CF112</f>
        <v>0</v>
      </c>
      <c r="CU35" s="605">
        <f>'KELURAHAN (DI ISI)'!CG111+'KELURAHAN (DI ISI)'!CG112</f>
        <v>0</v>
      </c>
      <c r="CV35" s="605">
        <f>'KELURAHAN (DI ISI)'!CH111+'KELURAHAN (DI ISI)'!CH112</f>
        <v>0</v>
      </c>
      <c r="CW35" s="605">
        <f>'KELURAHAN (DI ISI)'!CI111+'KELURAHAN (DI ISI)'!CI112</f>
        <v>0</v>
      </c>
      <c r="CX35" s="605">
        <f>'KELURAHAN (DI ISI)'!CJ111+'KELURAHAN (DI ISI)'!CJ112</f>
        <v>0</v>
      </c>
      <c r="CY35" s="605">
        <f>'KELURAHAN (DI ISI)'!CK111+'KELURAHAN (DI ISI)'!CK112</f>
        <v>39</v>
      </c>
      <c r="CZ35" s="605">
        <f>'KELURAHAN (DI ISI)'!CL111+'KELURAHAN (DI ISI)'!CL112</f>
        <v>2145</v>
      </c>
      <c r="DA35" s="605">
        <f>'KELURAHAN (DI ISI)'!CM111+'KELURAHAN (DI ISI)'!CM112</f>
        <v>491</v>
      </c>
      <c r="DB35" s="605">
        <f>'KELURAHAN (DI ISI)'!CN111+'KELURAHAN (DI ISI)'!CN112</f>
        <v>29</v>
      </c>
      <c r="DC35" s="491">
        <f t="shared" si="15"/>
        <v>9</v>
      </c>
      <c r="DD35" s="491">
        <f t="shared" si="16"/>
        <v>20</v>
      </c>
      <c r="DE35" s="605">
        <f>'KELURAHAN (DI ISI)'!CO111+'KELURAHAN (DI ISI)'!CO112</f>
        <v>0</v>
      </c>
      <c r="DF35" s="605">
        <f>'KELURAHAN (DI ISI)'!CP111+'KELURAHAN (DI ISI)'!CP112</f>
        <v>0</v>
      </c>
      <c r="DG35" s="605">
        <f>'KELURAHAN (DI ISI)'!CQ111+'KELURAHAN (DI ISI)'!CQ112</f>
        <v>9</v>
      </c>
      <c r="DH35" s="605">
        <f>'KELURAHAN (DI ISI)'!CR111+'KELURAHAN (DI ISI)'!CR112</f>
        <v>20</v>
      </c>
      <c r="DI35" s="605">
        <f>'KELURAHAN (DI ISI)'!CS111+'KELURAHAN (DI ISI)'!CS112</f>
        <v>0</v>
      </c>
      <c r="DJ35" s="605">
        <f>'KELURAHAN (DI ISI)'!CT111+'KELURAHAN (DI ISI)'!CT112</f>
        <v>0</v>
      </c>
      <c r="DK35" s="605">
        <f>'KELURAHAN (DI ISI)'!CU111+'KELURAHAN (DI ISI)'!CU112</f>
        <v>0</v>
      </c>
      <c r="DL35" s="605">
        <f>'KELURAHAN (DI ISI)'!CV111+'KELURAHAN (DI ISI)'!CV112</f>
        <v>0</v>
      </c>
      <c r="DM35" s="605">
        <f>'KELURAHAN (DI ISI)'!CW111+'KELURAHAN (DI ISI)'!CW112</f>
        <v>0</v>
      </c>
      <c r="DN35" s="605">
        <f>'KELURAHAN (DI ISI)'!CX111+'KELURAHAN (DI ISI)'!CX112</f>
        <v>2</v>
      </c>
      <c r="DO35" s="605">
        <f>'KELURAHAN (DI ISI)'!CY111+'KELURAHAN (DI ISI)'!CY112</f>
        <v>4</v>
      </c>
      <c r="DP35" s="605">
        <f>'KELURAHAN (DI ISI)'!CZ111+'KELURAHAN (DI ISI)'!CZ112</f>
        <v>0</v>
      </c>
      <c r="DQ35" s="605">
        <f>'KELURAHAN (DI ISI)'!DA111+'KELURAHAN (DI ISI)'!DA112</f>
        <v>0</v>
      </c>
      <c r="DR35" s="605">
        <f>'KELURAHAN (DI ISI)'!DB111+'KELURAHAN (DI ISI)'!DB112</f>
        <v>0</v>
      </c>
      <c r="DS35" s="605">
        <f>'KELURAHAN (DI ISI)'!DC111+'KELURAHAN (DI ISI)'!DC112</f>
        <v>0</v>
      </c>
      <c r="DT35" s="605">
        <f>'KELURAHAN (DI ISI)'!DD111+'KELURAHAN (DI ISI)'!DD112</f>
        <v>0</v>
      </c>
      <c r="DU35" s="605">
        <f>'KELURAHAN (DI ISI)'!DE111+'KELURAHAN (DI ISI)'!DE112</f>
        <v>0</v>
      </c>
      <c r="DV35" s="605">
        <f>'KELURAHAN (DI ISI)'!DF111+'KELURAHAN (DI ISI)'!DF112</f>
        <v>0</v>
      </c>
      <c r="DW35" s="605">
        <f>'KELURAHAN (DI ISI)'!DG111+'KELURAHAN (DI ISI)'!DG112</f>
        <v>6</v>
      </c>
      <c r="DX35" s="605">
        <f>'KELURAHAN (DI ISI)'!DH111+'KELURAHAN (DI ISI)'!DH112</f>
        <v>2010</v>
      </c>
      <c r="DY35" s="605">
        <f>'KELURAHAN (DI ISI)'!DI111+'KELURAHAN (DI ISI)'!DI112</f>
        <v>443</v>
      </c>
      <c r="DZ35" s="605">
        <f>'KELURAHAN (DI ISI)'!DJ111+'KELURAHAN (DI ISI)'!DJ112</f>
        <v>2001</v>
      </c>
      <c r="EA35" s="605">
        <f>'KELURAHAN (DI ISI)'!DK111+'KELURAHAN (DI ISI)'!DK112</f>
        <v>434</v>
      </c>
      <c r="EB35" s="605">
        <f>'KELURAHAN (DI ISI)'!DL111+'KELURAHAN (DI ISI)'!DL112</f>
        <v>26</v>
      </c>
      <c r="EC35" s="605">
        <f>'KELURAHAN (DI ISI)'!DM111+'KELURAHAN (DI ISI)'!DM112</f>
        <v>6</v>
      </c>
      <c r="ED35" s="491">
        <f t="shared" si="17"/>
        <v>20</v>
      </c>
      <c r="EE35" s="605">
        <f>'KELURAHAN (DI ISI)'!DO111+'KELURAHAN (DI ISI)'!DO112</f>
        <v>0</v>
      </c>
      <c r="EF35" s="605">
        <f>'KELURAHAN (DI ISI)'!DP111+'KELURAHAN (DI ISI)'!DP112</f>
        <v>0</v>
      </c>
      <c r="EG35" s="605">
        <f>'KELURAHAN (DI ISI)'!DQ111+'KELURAHAN (DI ISI)'!DQ112</f>
        <v>6</v>
      </c>
      <c r="EH35" s="605">
        <f>'KELURAHAN (DI ISI)'!DR111+'KELURAHAN (DI ISI)'!DR112</f>
        <v>20</v>
      </c>
      <c r="EI35" s="605">
        <f>'KELURAHAN (DI ISI)'!DS111+'KELURAHAN (DI ISI)'!DS112</f>
        <v>0</v>
      </c>
      <c r="EJ35" s="605">
        <f>'KELURAHAN (DI ISI)'!DT111+'KELURAHAN (DI ISI)'!DT112</f>
        <v>0</v>
      </c>
      <c r="EK35" s="605">
        <f>'KELURAHAN (DI ISI)'!DU111+'KELURAHAN (DI ISI)'!DU112</f>
        <v>0</v>
      </c>
      <c r="EL35" s="605">
        <f>'KELURAHAN (DI ISI)'!DV111+'KELURAHAN (DI ISI)'!DV112</f>
        <v>0</v>
      </c>
      <c r="EM35" s="605">
        <f>'KELURAHAN (DI ISI)'!DW111+'KELURAHAN (DI ISI)'!DW112</f>
        <v>0</v>
      </c>
      <c r="EN35" s="605">
        <f>'KELURAHAN (DI ISI)'!DX111+'KELURAHAN (DI ISI)'!DX112</f>
        <v>0</v>
      </c>
      <c r="EO35" s="605">
        <f>'KELURAHAN (DI ISI)'!DY111+'KELURAHAN (DI ISI)'!DY112</f>
        <v>3</v>
      </c>
      <c r="EP35" s="605">
        <f>'KELURAHAN (DI ISI)'!DZ111+'KELURAHAN (DI ISI)'!DZ112</f>
        <v>0</v>
      </c>
      <c r="EQ35" s="605">
        <f>'KELURAHAN (DI ISI)'!EA111+'KELURAHAN (DI ISI)'!EA112</f>
        <v>0</v>
      </c>
      <c r="ER35" s="605">
        <f>'KELURAHAN (DI ISI)'!EB111+'KELURAHAN (DI ISI)'!EB112</f>
        <v>0</v>
      </c>
      <c r="ES35" s="605">
        <f>'KELURAHAN (DI ISI)'!EC111+'KELURAHAN (DI ISI)'!EC112</f>
        <v>0</v>
      </c>
      <c r="ET35" s="605">
        <f>'KELURAHAN (DI ISI)'!ED111+'KELURAHAN (DI ISI)'!ED112</f>
        <v>0</v>
      </c>
      <c r="EU35" s="605">
        <f>'KELURAHAN (DI ISI)'!EE111+'KELURAHAN (DI ISI)'!EE112</f>
        <v>0</v>
      </c>
      <c r="EV35" s="605">
        <f>'KELURAHAN (DI ISI)'!EF111+'KELURAHAN (DI ISI)'!EF112</f>
        <v>0</v>
      </c>
      <c r="EW35" s="605">
        <f>'KELURAHAN (DI ISI)'!EG111+'KELURAHAN (DI ISI)'!EG112</f>
        <v>3</v>
      </c>
      <c r="EX35" s="605">
        <f>'KELURAHAN (DI ISI)'!EH111+'KELURAHAN (DI ISI)'!EH112</f>
        <v>3</v>
      </c>
      <c r="EY35" s="605">
        <f>'KELURAHAN (DI ISI)'!EI111+'KELURAHAN (DI ISI)'!EI112</f>
        <v>2010</v>
      </c>
      <c r="EZ35" s="605">
        <f>'KELURAHAN (DI ISI)'!EJ111+'KELURAHAN (DI ISI)'!EJ112</f>
        <v>456</v>
      </c>
      <c r="FA35" s="605">
        <f>'KELURAHAN (DI ISI)'!EK111+'KELURAHAN (DI ISI)'!EK112</f>
        <v>2010</v>
      </c>
      <c r="FB35" s="605">
        <f>'KELURAHAN (DI ISI)'!EL111+'KELURAHAN (DI ISI)'!EL112</f>
        <v>456</v>
      </c>
      <c r="FC35" s="605">
        <f>'KELURAHAN (DI ISI)'!EM111+'KELURAHAN (DI ISI)'!EM112</f>
        <v>20</v>
      </c>
      <c r="FD35" s="605">
        <f>'KELURAHAN (DI ISI)'!EN111+'KELURAHAN (DI ISI)'!EN112</f>
        <v>3</v>
      </c>
      <c r="FE35" s="491">
        <f t="shared" si="18"/>
        <v>17</v>
      </c>
      <c r="FF35" s="605">
        <f>'KELURAHAN (DI ISI)'!EP111+'KELURAHAN (DI ISI)'!EP112</f>
        <v>0</v>
      </c>
      <c r="FG35" s="605">
        <f>'KELURAHAN (DI ISI)'!EQ111+'KELURAHAN (DI ISI)'!EQ112</f>
        <v>0</v>
      </c>
      <c r="FH35" s="605">
        <f>'KELURAHAN (DI ISI)'!ER111+'KELURAHAN (DI ISI)'!ER112</f>
        <v>3</v>
      </c>
      <c r="FI35" s="605">
        <f>'KELURAHAN (DI ISI)'!ES111+'KELURAHAN (DI ISI)'!ES112</f>
        <v>17</v>
      </c>
      <c r="FJ35" s="605">
        <f>'KELURAHAN (DI ISI)'!ET111+'KELURAHAN (DI ISI)'!ET112</f>
        <v>0</v>
      </c>
      <c r="FK35" s="605">
        <f>'KELURAHAN (DI ISI)'!EU111+'KELURAHAN (DI ISI)'!EU112</f>
        <v>0</v>
      </c>
      <c r="FL35" s="605">
        <f>'KELURAHAN (DI ISI)'!EV111+'KELURAHAN (DI ISI)'!EV112</f>
        <v>0</v>
      </c>
      <c r="FM35" s="605">
        <f>'KELURAHAN (DI ISI)'!EW111+'KELURAHAN (DI ISI)'!EW112</f>
        <v>0</v>
      </c>
      <c r="FN35" s="605">
        <f>'KELURAHAN (DI ISI)'!EX111+'KELURAHAN (DI ISI)'!EX112</f>
        <v>0</v>
      </c>
      <c r="FO35" s="605">
        <f>'KELURAHAN (DI ISI)'!EY111+'KELURAHAN (DI ISI)'!EY112</f>
        <v>0</v>
      </c>
      <c r="FP35" s="605">
        <f>'KELURAHAN (DI ISI)'!EZ111+'KELURAHAN (DI ISI)'!EZ112</f>
        <v>1</v>
      </c>
      <c r="FQ35" s="605">
        <f>'KELURAHAN (DI ISI)'!FA111+'KELURAHAN (DI ISI)'!FA112</f>
        <v>1</v>
      </c>
      <c r="FR35" s="605">
        <f>'KELURAHAN (DI ISI)'!FB111+'KELURAHAN (DI ISI)'!FB112</f>
        <v>0</v>
      </c>
      <c r="FS35" s="605">
        <f>'KELURAHAN (DI ISI)'!FC111+'KELURAHAN (DI ISI)'!FC112</f>
        <v>0</v>
      </c>
      <c r="FT35" s="605">
        <f>'KELURAHAN (DI ISI)'!FD111+'KELURAHAN (DI ISI)'!FD112</f>
        <v>3</v>
      </c>
      <c r="FU35" s="605">
        <f>'KELURAHAN (DI ISI)'!FE111+'KELURAHAN (DI ISI)'!FE112</f>
        <v>0</v>
      </c>
      <c r="FV35" s="605">
        <f>'KELURAHAN (DI ISI)'!FF111+'KELURAHAN (DI ISI)'!FF112</f>
        <v>1</v>
      </c>
      <c r="FW35" s="605">
        <f>'KELURAHAN (DI ISI)'!FG111+'KELURAHAN (DI ISI)'!FG112</f>
        <v>0</v>
      </c>
      <c r="FX35" s="605">
        <f>'KELURAHAN (DI ISI)'!FH111+'KELURAHAN (DI ISI)'!FH112</f>
        <v>6</v>
      </c>
      <c r="FY35" s="605">
        <f>'KELURAHAN (DI ISI)'!FI111+'KELURAHAN (DI ISI)'!FI112</f>
        <v>4</v>
      </c>
      <c r="FZ35" s="605">
        <f>'KELURAHAN (DI ISI)'!FJ111+'KELURAHAN (DI ISI)'!FJ112</f>
        <v>2010</v>
      </c>
      <c r="GA35" s="605">
        <f>'KELURAHAN (DI ISI)'!FK111+'KELURAHAN (DI ISI)'!FK112</f>
        <v>471</v>
      </c>
      <c r="GB35" s="605">
        <f>'KELURAHAN (DI ISI)'!FL111+'KELURAHAN (DI ISI)'!FL112</f>
        <v>2010</v>
      </c>
      <c r="GC35" s="605">
        <f>'KELURAHAN (DI ISI)'!FM111+'KELURAHAN (DI ISI)'!FM112</f>
        <v>471</v>
      </c>
      <c r="GD35" s="570">
        <v>2010.0</v>
      </c>
      <c r="GE35" s="571">
        <f>'KELURAHAN (DI ISI)'!FO111+'KELURAHAN (DI ISI)'!FO112</f>
        <v>16</v>
      </c>
      <c r="GF35" s="571">
        <f>'KELURAHAN (DI ISI)'!FP111+'KELURAHAN (DI ISI)'!FP112</f>
        <v>16</v>
      </c>
      <c r="GG35" s="571">
        <f>'KELURAHAN (DI ISI)'!FP111+'KELURAHAN (DI ISI)'!FP112</f>
        <v>16</v>
      </c>
      <c r="GH35" s="571">
        <f>'KELURAHAN (DI ISI)'!FQ111+'KELURAHAN (DI ISI)'!FQ112</f>
        <v>2</v>
      </c>
      <c r="GI35" s="571">
        <f t="shared" si="19"/>
        <v>14</v>
      </c>
      <c r="GJ35" s="605">
        <f>'KELURAHAN (DI ISI)'!FS111+'KELURAHAN (DI ISI)'!FS112</f>
        <v>0</v>
      </c>
      <c r="GK35" s="605">
        <f>'KELURAHAN (DI ISI)'!FT111+'KELURAHAN (DI ISI)'!FT112</f>
        <v>0</v>
      </c>
      <c r="GL35" s="605">
        <f>'KELURAHAN (DI ISI)'!FU111+'KELURAHAN (DI ISI)'!FU112</f>
        <v>2</v>
      </c>
      <c r="GM35" s="605">
        <f>'KELURAHAN (DI ISI)'!FV111+'KELURAHAN (DI ISI)'!FV112</f>
        <v>14</v>
      </c>
      <c r="GN35" s="605">
        <f>'KELURAHAN (DI ISI)'!FW111+'KELURAHAN (DI ISI)'!FW112</f>
        <v>0</v>
      </c>
      <c r="GO35" s="605">
        <f>'KELURAHAN (DI ISI)'!FX111+'KELURAHAN (DI ISI)'!FX112</f>
        <v>0</v>
      </c>
      <c r="GP35" s="605">
        <f>'KELURAHAN (DI ISI)'!FY111+'KELURAHAN (DI ISI)'!FY112</f>
        <v>0</v>
      </c>
      <c r="GQ35" s="605">
        <f>'KELURAHAN (DI ISI)'!FZ111+'KELURAHAN (DI ISI)'!FZ112</f>
        <v>0</v>
      </c>
      <c r="GR35" s="605">
        <f>'KELURAHAN (DI ISI)'!GA111+'KELURAHAN (DI ISI)'!GA112</f>
        <v>0</v>
      </c>
      <c r="GS35" s="605">
        <f>'KELURAHAN (DI ISI)'!GB111+'KELURAHAN (DI ISI)'!GB112</f>
        <v>0</v>
      </c>
      <c r="GT35" s="605">
        <f>'KELURAHAN (DI ISI)'!GC111+'KELURAHAN (DI ISI)'!GC112</f>
        <v>0</v>
      </c>
      <c r="GU35" s="605">
        <f>'KELURAHAN (DI ISI)'!GD111+'KELURAHAN (DI ISI)'!GD112</f>
        <v>0</v>
      </c>
      <c r="GV35" s="605">
        <f>'KELURAHAN (DI ISI)'!GE111+'KELURAHAN (DI ISI)'!GE112</f>
        <v>0</v>
      </c>
      <c r="GW35" s="605">
        <f>'KELURAHAN (DI ISI)'!GF111+'KELURAHAN (DI ISI)'!GF112</f>
        <v>0</v>
      </c>
      <c r="GX35" s="605">
        <f>'KELURAHAN (DI ISI)'!GG111+'KELURAHAN (DI ISI)'!GG112</f>
        <v>0</v>
      </c>
      <c r="GY35" s="605">
        <f>'KELURAHAN (DI ISI)'!GH111+'KELURAHAN (DI ISI)'!GH112</f>
        <v>0</v>
      </c>
      <c r="GZ35" s="605">
        <f>'KELURAHAN (DI ISI)'!GI111+'KELURAHAN (DI ISI)'!GI112</f>
        <v>4</v>
      </c>
      <c r="HA35" s="605">
        <f>'KELURAHAN (DI ISI)'!GJ111+'KELURAHAN (DI ISI)'!GJ112</f>
        <v>0</v>
      </c>
      <c r="HB35" s="572">
        <f>'KELURAHAN (DI ISI)'!GK111+'KELURAHAN (DI ISI)'!GK112</f>
        <v>4</v>
      </c>
      <c r="HC35" s="572">
        <f>'KELURAHAN (DI ISI)'!GL111+'KELURAHAN (DI ISI)'!GL112</f>
        <v>0</v>
      </c>
      <c r="HD35" s="605">
        <f>'KELURAHAN (DI ISI)'!GM111+'KELURAHAN (DI ISI)'!GM112</f>
        <v>2010</v>
      </c>
      <c r="HE35" s="605">
        <f>'KELURAHAN (DI ISI)'!GN111+'KELURAHAN (DI ISI)'!GN112</f>
        <v>449</v>
      </c>
      <c r="HF35" s="605">
        <f>'KELURAHAN (DI ISI)'!GO111+'KELURAHAN (DI ISI)'!GO112</f>
        <v>2010</v>
      </c>
      <c r="HG35" s="605">
        <f>'KELURAHAN (DI ISI)'!GP111+'KELURAHAN (DI ISI)'!GP112</f>
        <v>447</v>
      </c>
      <c r="HH35" s="570">
        <v>2010.0</v>
      </c>
      <c r="HI35" s="225">
        <f>'KELURAHAN (DI ISI)'!GR111+'KELURAHAN (DI ISI)'!GR112</f>
        <v>16</v>
      </c>
      <c r="HJ35" s="225">
        <f>'KELURAHAN (DI ISI)'!GS111+'KELURAHAN (DI ISI)'!GS112</f>
        <v>1</v>
      </c>
      <c r="HK35" s="573">
        <f>'KELURAHAN (DI ISI)'!GT111+'KELURAHAN (DI ISI)'!GT112</f>
        <v>16</v>
      </c>
      <c r="HL35" s="573">
        <f>'KELURAHAN (DI ISI)'!GU111+'KELURAHAN (DI ISI)'!GU112</f>
        <v>1</v>
      </c>
      <c r="HM35" s="573">
        <f t="shared" si="20"/>
        <v>15</v>
      </c>
      <c r="HN35" s="605">
        <f>'KELURAHAN (DI ISI)'!GW111+'KELURAHAN (DI ISI)'!GW112</f>
        <v>0</v>
      </c>
      <c r="HO35" s="605">
        <f>'KELURAHAN (DI ISI)'!GX111+'KELURAHAN (DI ISI)'!GX112</f>
        <v>0</v>
      </c>
      <c r="HP35" s="605">
        <f>'KELURAHAN (DI ISI)'!GY111+'KELURAHAN (DI ISI)'!GY112</f>
        <v>1</v>
      </c>
      <c r="HQ35" s="605">
        <f>'KELURAHAN (DI ISI)'!GZ111+'KELURAHAN (DI ISI)'!GZ112</f>
        <v>15</v>
      </c>
      <c r="HR35" s="605">
        <f>'KELURAHAN (DI ISI)'!HA111+'KELURAHAN (DI ISI)'!HA112</f>
        <v>0</v>
      </c>
      <c r="HS35" s="605">
        <f>'KELURAHAN (DI ISI)'!HB111+'KELURAHAN (DI ISI)'!HB112</f>
        <v>0</v>
      </c>
      <c r="HT35" s="605">
        <f>'KELURAHAN (DI ISI)'!HC111+'KELURAHAN (DI ISI)'!HC112</f>
        <v>0</v>
      </c>
      <c r="HU35" s="605">
        <f>'KELURAHAN (DI ISI)'!HD111+'KELURAHAN (DI ISI)'!HD112</f>
        <v>0</v>
      </c>
      <c r="HV35" s="605">
        <f>'KELURAHAN (DI ISI)'!HE111+'KELURAHAN (DI ISI)'!HE112</f>
        <v>0</v>
      </c>
      <c r="HW35" s="605">
        <f>'KELURAHAN (DI ISI)'!HF111+'KELURAHAN (DI ISI)'!HF112</f>
        <v>0</v>
      </c>
      <c r="HX35" s="605">
        <f>'KELURAHAN (DI ISI)'!HG111+'KELURAHAN (DI ISI)'!HG112</f>
        <v>0</v>
      </c>
      <c r="HY35" s="605">
        <f>'KELURAHAN (DI ISI)'!HH111+'KELURAHAN (DI ISI)'!HH112</f>
        <v>0</v>
      </c>
      <c r="HZ35" s="605">
        <f>'KELURAHAN (DI ISI)'!HI111+'KELURAHAN (DI ISI)'!HI112</f>
        <v>0</v>
      </c>
      <c r="IA35" s="605">
        <f>'KELURAHAN (DI ISI)'!HJ111+'KELURAHAN (DI ISI)'!HJ112</f>
        <v>0</v>
      </c>
      <c r="IB35" s="605">
        <f>'KELURAHAN (DI ISI)'!HK111+'KELURAHAN (DI ISI)'!HK112</f>
        <v>0</v>
      </c>
      <c r="IC35" s="605">
        <f>'KELURAHAN (DI ISI)'!HL111+'KELURAHAN (DI ISI)'!HL112</f>
        <v>0</v>
      </c>
      <c r="ID35" s="605">
        <f>'KELURAHAN (DI ISI)'!HM111+'KELURAHAN (DI ISI)'!HM112</f>
        <v>0</v>
      </c>
      <c r="IE35" s="605">
        <f>'KELURAHAN (DI ISI)'!HN111+'KELURAHAN (DI ISI)'!HN112</f>
        <v>0</v>
      </c>
      <c r="IF35" s="573">
        <f>'KELURAHAN (DI ISI)'!HO111+'KELURAHAN (DI ISI)'!HO112</f>
        <v>0</v>
      </c>
      <c r="IG35" s="573">
        <f>'KELURAHAN (DI ISI)'!HP111+'KELURAHAN (DI ISI)'!HP112</f>
        <v>0</v>
      </c>
      <c r="IK35" s="198">
        <f t="shared" si="21"/>
        <v>90</v>
      </c>
      <c r="IL35" s="198">
        <f t="shared" si="22"/>
        <v>74</v>
      </c>
      <c r="IM35" s="198">
        <f t="shared" si="23"/>
        <v>63</v>
      </c>
      <c r="IN35" s="198">
        <f t="shared" si="24"/>
        <v>37</v>
      </c>
      <c r="IO35" s="198">
        <f t="shared" si="25"/>
        <v>59</v>
      </c>
      <c r="IP35" s="198">
        <f t="shared" si="26"/>
        <v>74</v>
      </c>
      <c r="IQ35" s="574">
        <f t="shared" si="27"/>
        <v>35</v>
      </c>
      <c r="IR35" s="574">
        <f t="shared" si="28"/>
        <v>29</v>
      </c>
      <c r="IS35" s="574">
        <f t="shared" si="29"/>
        <v>26</v>
      </c>
      <c r="IT35" s="574">
        <f t="shared" si="30"/>
        <v>20</v>
      </c>
      <c r="IU35" s="574">
        <f t="shared" si="31"/>
        <v>16</v>
      </c>
      <c r="IV35" s="575">
        <f t="shared" si="32"/>
        <v>16</v>
      </c>
      <c r="IW35" s="583"/>
      <c r="IX35" s="576">
        <f t="shared" si="33"/>
        <v>-16</v>
      </c>
      <c r="IY35" s="593"/>
      <c r="IZ35" s="577"/>
      <c r="JA35" s="162">
        <f t="shared" si="34"/>
        <v>-2010</v>
      </c>
      <c r="JB35" s="578"/>
      <c r="JC35" s="579">
        <f t="shared" si="35"/>
        <v>-449</v>
      </c>
      <c r="JD35" s="600"/>
      <c r="JE35" s="585"/>
      <c r="JF35" s="577"/>
      <c r="JG35" s="234">
        <f t="shared" si="36"/>
        <v>-2010</v>
      </c>
      <c r="JH35" s="578"/>
      <c r="JI35" s="579">
        <f t="shared" si="37"/>
        <v>-447</v>
      </c>
      <c r="JJ35" s="247"/>
    </row>
    <row r="36" ht="14.25" customHeight="1">
      <c r="A36" s="158">
        <v>29.0</v>
      </c>
      <c r="B36" s="157" t="s">
        <v>222</v>
      </c>
      <c r="C36" s="158">
        <v>3374110.0</v>
      </c>
      <c r="D36" s="256" t="s">
        <v>226</v>
      </c>
      <c r="E36" s="158"/>
      <c r="F36" s="604">
        <f>'KELURAHAN (DI ISI)'!F122+'KELURAHAN (DI ISI)'!F124+'KELURAHAN (DI ISI)'!F123+'KELURAHAN (DI ISI)'!F125+'KELURAHAN (DI ISI)'!F126+'KELURAHAN (DI ISI)'!F127+'KELURAHAN (DI ISI)'!F132+'KELURAHAN (DI ISI)'!F133+'KELURAHAN (DI ISI)'!F134+'KELURAHAN (DI ISI)'!F135+'KELURAHAN (DI ISI)'!F137</f>
        <v>73</v>
      </c>
      <c r="G36" s="604">
        <f>'KELURAHAN (DI ISI)'!G122+'KELURAHAN (DI ISI)'!G124+'KELURAHAN (DI ISI)'!G123+'KELURAHAN (DI ISI)'!G125+'KELURAHAN (DI ISI)'!G126+'KELURAHAN (DI ISI)'!G127+'KELURAHAN (DI ISI)'!G132+'KELURAHAN (DI ISI)'!G133+'KELURAHAN (DI ISI)'!G134+'KELURAHAN (DI ISI)'!G135+'KELURAHAN (DI ISI)'!G137</f>
        <v>3283</v>
      </c>
      <c r="H36" s="604">
        <f>'KELURAHAN (DI ISI)'!H122+'KELURAHAN (DI ISI)'!H124+'KELURAHAN (DI ISI)'!H123+'KELURAHAN (DI ISI)'!H125+'KELURAHAN (DI ISI)'!H126+'KELURAHAN (DI ISI)'!H127+'KELURAHAN (DI ISI)'!H132+'KELURAHAN (DI ISI)'!H133+'KELURAHAN (DI ISI)'!H134+'KELURAHAN (DI ISI)'!H135+'KELURAHAN (DI ISI)'!H137</f>
        <v>24</v>
      </c>
      <c r="I36" s="491">
        <f t="shared" si="1"/>
        <v>15</v>
      </c>
      <c r="J36" s="491">
        <f t="shared" si="2"/>
        <v>8</v>
      </c>
      <c r="K36" s="605">
        <f>'KELURAHAN (DI ISI)'!I122+'KELURAHAN (DI ISI)'!I124+'KELURAHAN (DI ISI)'!I123+'KELURAHAN (DI ISI)'!I125+'KELURAHAN (DI ISI)'!I126+'KELURAHAN (DI ISI)'!I127+'KELURAHAN (DI ISI)'!I132+'KELURAHAN (DI ISI)'!I133+'KELURAHAN (DI ISI)'!I134+'KELURAHAN (DI ISI)'!I135+'KELURAHAN (DI ISI)'!I137</f>
        <v>3</v>
      </c>
      <c r="L36" s="605">
        <f>'KELURAHAN (DI ISI)'!J122+'KELURAHAN (DI ISI)'!J124+'KELURAHAN (DI ISI)'!J123+'KELURAHAN (DI ISI)'!J125+'KELURAHAN (DI ISI)'!J126+'KELURAHAN (DI ISI)'!J127+'KELURAHAN (DI ISI)'!J132+'KELURAHAN (DI ISI)'!J133+'KELURAHAN (DI ISI)'!J134+'KELURAHAN (DI ISI)'!J135+'KELURAHAN (DI ISI)'!J137</f>
        <v>4</v>
      </c>
      <c r="M36" s="605">
        <f>'KELURAHAN (DI ISI)'!K122+'KELURAHAN (DI ISI)'!K124+'KELURAHAN (DI ISI)'!K123+'KELURAHAN (DI ISI)'!K125+'KELURAHAN (DI ISI)'!K126+'KELURAHAN (DI ISI)'!K127+'KELURAHAN (DI ISI)'!K132+'KELURAHAN (DI ISI)'!K133+'KELURAHAN (DI ISI)'!K134+'KELURAHAN (DI ISI)'!K135+'KELURAHAN (DI ISI)'!K137</f>
        <v>8</v>
      </c>
      <c r="N36" s="605">
        <f>'KELURAHAN (DI ISI)'!L122+'KELURAHAN (DI ISI)'!L124+'KELURAHAN (DI ISI)'!L123+'KELURAHAN (DI ISI)'!L125+'KELURAHAN (DI ISI)'!L126+'KELURAHAN (DI ISI)'!L127+'KELURAHAN (DI ISI)'!L132+'KELURAHAN (DI ISI)'!L133+'KELURAHAN (DI ISI)'!L134+'KELURAHAN (DI ISI)'!L135+'KELURAHAN (DI ISI)'!L137</f>
        <v>8</v>
      </c>
      <c r="O36" s="605">
        <f>'KELURAHAN (DI ISI)'!M122+'KELURAHAN (DI ISI)'!M124+'KELURAHAN (DI ISI)'!M123+'KELURAHAN (DI ISI)'!M125+'KELURAHAN (DI ISI)'!M126+'KELURAHAN (DI ISI)'!M127+'KELURAHAN (DI ISI)'!M132+'KELURAHAN (DI ISI)'!M133+'KELURAHAN (DI ISI)'!M134+'KELURAHAN (DI ISI)'!M135+'KELURAHAN (DI ISI)'!M137</f>
        <v>0</v>
      </c>
      <c r="P36" s="605">
        <f>'KELURAHAN (DI ISI)'!N122+'KELURAHAN (DI ISI)'!N124+'KELURAHAN (DI ISI)'!N123+'KELURAHAN (DI ISI)'!N125+'KELURAHAN (DI ISI)'!N126+'KELURAHAN (DI ISI)'!N127+'KELURAHAN (DI ISI)'!N132+'KELURAHAN (DI ISI)'!N133+'KELURAHAN (DI ISI)'!N134+'KELURAHAN (DI ISI)'!N135+'KELURAHAN (DI ISI)'!N137</f>
        <v>0</v>
      </c>
      <c r="Q36" s="605">
        <f>'KELURAHAN (DI ISI)'!O122+'KELURAHAN (DI ISI)'!O124+'KELURAHAN (DI ISI)'!O123+'KELURAHAN (DI ISI)'!O125+'KELURAHAN (DI ISI)'!O126+'KELURAHAN (DI ISI)'!O127+'KELURAHAN (DI ISI)'!O132+'KELURAHAN (DI ISI)'!O133+'KELURAHAN (DI ISI)'!O134+'KELURAHAN (DI ISI)'!O135+'KELURAHAN (DI ISI)'!O137</f>
        <v>23</v>
      </c>
      <c r="R36" s="605">
        <f>'KELURAHAN (DI ISI)'!P122+'KELURAHAN (DI ISI)'!P124+'KELURAHAN (DI ISI)'!P123+'KELURAHAN (DI ISI)'!P125+'KELURAHAN (DI ISI)'!P126+'KELURAHAN (DI ISI)'!P127+'KELURAHAN (DI ISI)'!P132+'KELURAHAN (DI ISI)'!P133+'KELURAHAN (DI ISI)'!P134+'KELURAHAN (DI ISI)'!P135+'KELURAHAN (DI ISI)'!P137</f>
        <v>21</v>
      </c>
      <c r="S36" s="491">
        <f t="shared" si="3"/>
        <v>12</v>
      </c>
      <c r="T36" s="491">
        <f t="shared" si="4"/>
        <v>9</v>
      </c>
      <c r="U36" s="605">
        <f>'KELURAHAN (DI ISI)'!Q122+'KELURAHAN (DI ISI)'!Q124+'KELURAHAN (DI ISI)'!Q123+'KELURAHAN (DI ISI)'!Q125+'KELURAHAN (DI ISI)'!Q126+'KELURAHAN (DI ISI)'!Q127+'KELURAHAN (DI ISI)'!Q132+'KELURAHAN (DI ISI)'!Q133+'KELURAHAN (DI ISI)'!Q134+'KELURAHAN (DI ISI)'!Q135+'KELURAHAN (DI ISI)'!Q137</f>
        <v>1</v>
      </c>
      <c r="V36" s="605">
        <f>'KELURAHAN (DI ISI)'!R122+'KELURAHAN (DI ISI)'!R124+'KELURAHAN (DI ISI)'!R123+'KELURAHAN (DI ISI)'!R125+'KELURAHAN (DI ISI)'!R126+'KELURAHAN (DI ISI)'!R127+'KELURAHAN (DI ISI)'!R132+'KELURAHAN (DI ISI)'!R133+'KELURAHAN (DI ISI)'!R134+'KELURAHAN (DI ISI)'!R135+'KELURAHAN (DI ISI)'!R137</f>
        <v>3</v>
      </c>
      <c r="W36" s="605">
        <f>'KELURAHAN (DI ISI)'!S122+'KELURAHAN (DI ISI)'!S124+'KELURAHAN (DI ISI)'!S123+'KELURAHAN (DI ISI)'!S125+'KELURAHAN (DI ISI)'!S126+'KELURAHAN (DI ISI)'!S127+'KELURAHAN (DI ISI)'!S132+'KELURAHAN (DI ISI)'!S133+'KELURAHAN (DI ISI)'!S134+'KELURAHAN (DI ISI)'!S135+'KELURAHAN (DI ISI)'!S137</f>
        <v>8</v>
      </c>
      <c r="X36" s="605">
        <f>'KELURAHAN (DI ISI)'!T122+'KELURAHAN (DI ISI)'!T124+'KELURAHAN (DI ISI)'!T123+'KELURAHAN (DI ISI)'!T125+'KELURAHAN (DI ISI)'!T126+'KELURAHAN (DI ISI)'!T127+'KELURAHAN (DI ISI)'!T132+'KELURAHAN (DI ISI)'!T133+'KELURAHAN (DI ISI)'!T134+'KELURAHAN (DI ISI)'!T135+'KELURAHAN (DI ISI)'!T137</f>
        <v>9</v>
      </c>
      <c r="Y36" s="605">
        <f>'KELURAHAN (DI ISI)'!U122+'KELURAHAN (DI ISI)'!U124+'KELURAHAN (DI ISI)'!U123+'KELURAHAN (DI ISI)'!U125+'KELURAHAN (DI ISI)'!U126+'KELURAHAN (DI ISI)'!U127+'KELURAHAN (DI ISI)'!U132+'KELURAHAN (DI ISI)'!U133+'KELURAHAN (DI ISI)'!U134+'KELURAHAN (DI ISI)'!U135+'KELURAHAN (DI ISI)'!U137</f>
        <v>2</v>
      </c>
      <c r="Z36" s="605">
        <f>'KELURAHAN (DI ISI)'!V122+'KELURAHAN (DI ISI)'!V124+'KELURAHAN (DI ISI)'!V123+'KELURAHAN (DI ISI)'!V125+'KELURAHAN (DI ISI)'!V126+'KELURAHAN (DI ISI)'!V127+'KELURAHAN (DI ISI)'!V132+'KELURAHAN (DI ISI)'!V133+'KELURAHAN (DI ISI)'!V134+'KELURAHAN (DI ISI)'!V135+'KELURAHAN (DI ISI)'!V137</f>
        <v>0</v>
      </c>
      <c r="AA36" s="605">
        <f>'KELURAHAN (DI ISI)'!W122+'KELURAHAN (DI ISI)'!W124+'KELURAHAN (DI ISI)'!W123+'KELURAHAN (DI ISI)'!W125+'KELURAHAN (DI ISI)'!W126+'KELURAHAN (DI ISI)'!W127+'KELURAHAN (DI ISI)'!W132+'KELURAHAN (DI ISI)'!W133+'KELURAHAN (DI ISI)'!W134+'KELURAHAN (DI ISI)'!W135+'KELURAHAN (DI ISI)'!W137</f>
        <v>19</v>
      </c>
      <c r="AB36" s="605">
        <f>'KELURAHAN (DI ISI)'!X122+'KELURAHAN (DI ISI)'!X124+'KELURAHAN (DI ISI)'!X123+'KELURAHAN (DI ISI)'!X125+'KELURAHAN (DI ISI)'!X126+'KELURAHAN (DI ISI)'!X127+'KELURAHAN (DI ISI)'!X132+'KELURAHAN (DI ISI)'!X133+'KELURAHAN (DI ISI)'!X134+'KELURAHAN (DI ISI)'!X135+'KELURAHAN (DI ISI)'!X137</f>
        <v>23</v>
      </c>
      <c r="AC36" s="491">
        <f t="shared" si="5"/>
        <v>14</v>
      </c>
      <c r="AD36" s="491">
        <f t="shared" si="6"/>
        <v>9</v>
      </c>
      <c r="AE36" s="605">
        <f>'KELURAHAN (DI ISI)'!Y122+'KELURAHAN (DI ISI)'!Y124+'KELURAHAN (DI ISI)'!Y123+'KELURAHAN (DI ISI)'!Y125+'KELURAHAN (DI ISI)'!Y126+'KELURAHAN (DI ISI)'!Y127+'KELURAHAN (DI ISI)'!Y132+'KELURAHAN (DI ISI)'!Y133+'KELURAHAN (DI ISI)'!Y134+'KELURAHAN (DI ISI)'!Y135+'KELURAHAN (DI ISI)'!Y137</f>
        <v>1</v>
      </c>
      <c r="AF36" s="605">
        <f>'KELURAHAN (DI ISI)'!Z122+'KELURAHAN (DI ISI)'!Z124+'KELURAHAN (DI ISI)'!Z123+'KELURAHAN (DI ISI)'!Z125+'KELURAHAN (DI ISI)'!Z126+'KELURAHAN (DI ISI)'!Z127+'KELURAHAN (DI ISI)'!Z132+'KELURAHAN (DI ISI)'!Z133+'KELURAHAN (DI ISI)'!Z134+'KELURAHAN (DI ISI)'!Z135+'KELURAHAN (DI ISI)'!Z137</f>
        <v>6</v>
      </c>
      <c r="AG36" s="605">
        <f>'KELURAHAN (DI ISI)'!AA122+'KELURAHAN (DI ISI)'!AA124+'KELURAHAN (DI ISI)'!AA123+'KELURAHAN (DI ISI)'!AA125+'KELURAHAN (DI ISI)'!AA126+'KELURAHAN (DI ISI)'!AA127+'KELURAHAN (DI ISI)'!AA132+'KELURAHAN (DI ISI)'!AA133+'KELURAHAN (DI ISI)'!AA134+'KELURAHAN (DI ISI)'!AA135+'KELURAHAN (DI ISI)'!AA137</f>
        <v>7</v>
      </c>
      <c r="AH36" s="605">
        <f>'KELURAHAN (DI ISI)'!AB122+'KELURAHAN (DI ISI)'!AB124+'KELURAHAN (DI ISI)'!AB123+'KELURAHAN (DI ISI)'!AB125+'KELURAHAN (DI ISI)'!AB126+'KELURAHAN (DI ISI)'!AB127+'KELURAHAN (DI ISI)'!AB132+'KELURAHAN (DI ISI)'!AB133+'KELURAHAN (DI ISI)'!AB134+'KELURAHAN (DI ISI)'!AB135+'KELURAHAN (DI ISI)'!AB137</f>
        <v>9</v>
      </c>
      <c r="AI36" s="605">
        <f>'KELURAHAN (DI ISI)'!AC122+'KELURAHAN (DI ISI)'!AC124+'KELURAHAN (DI ISI)'!AC123+'KELURAHAN (DI ISI)'!AC125+'KELURAHAN (DI ISI)'!AC126+'KELURAHAN (DI ISI)'!AC127+'KELURAHAN (DI ISI)'!AC132+'KELURAHAN (DI ISI)'!AC133+'KELURAHAN (DI ISI)'!AC134+'KELURAHAN (DI ISI)'!AC135+'KELURAHAN (DI ISI)'!AC137</f>
        <v>0</v>
      </c>
      <c r="AJ36" s="605">
        <f>'KELURAHAN (DI ISI)'!AD122+'KELURAHAN (DI ISI)'!AD124+'KELURAHAN (DI ISI)'!AD123+'KELURAHAN (DI ISI)'!AD125+'KELURAHAN (DI ISI)'!AD126+'KELURAHAN (DI ISI)'!AD127+'KELURAHAN (DI ISI)'!AD132+'KELURAHAN (DI ISI)'!AD133+'KELURAHAN (DI ISI)'!AD134+'KELURAHAN (DI ISI)'!AD135+'KELURAHAN (DI ISI)'!AD137</f>
        <v>0</v>
      </c>
      <c r="AK36" s="605">
        <f>'KELURAHAN (DI ISI)'!AE122+'KELURAHAN (DI ISI)'!AE124+'KELURAHAN (DI ISI)'!AE123+'KELURAHAN (DI ISI)'!AE125+'KELURAHAN (DI ISI)'!AE126+'KELURAHAN (DI ISI)'!AE127+'KELURAHAN (DI ISI)'!AE132+'KELURAHAN (DI ISI)'!AE133+'KELURAHAN (DI ISI)'!AE134+'KELURAHAN (DI ISI)'!AE135+'KELURAHAN (DI ISI)'!AE137</f>
        <v>23</v>
      </c>
      <c r="AL36" s="605">
        <f>'KELURAHAN (DI ISI)'!AF122+'KELURAHAN (DI ISI)'!AF124+'KELURAHAN (DI ISI)'!AF123+'KELURAHAN (DI ISI)'!AF125+'KELURAHAN (DI ISI)'!AF126+'KELURAHAN (DI ISI)'!AF127+'KELURAHAN (DI ISI)'!AF132+'KELURAHAN (DI ISI)'!AF133+'KELURAHAN (DI ISI)'!AF134+'KELURAHAN (DI ISI)'!AF135+'KELURAHAN (DI ISI)'!AF137</f>
        <v>17</v>
      </c>
      <c r="AM36" s="491">
        <f t="shared" si="7"/>
        <v>11</v>
      </c>
      <c r="AN36" s="491">
        <f t="shared" si="8"/>
        <v>6</v>
      </c>
      <c r="AO36" s="605">
        <f>'KELURAHAN (DI ISI)'!AG122+'KELURAHAN (DI ISI)'!AG124+'KELURAHAN (DI ISI)'!AG123+'KELURAHAN (DI ISI)'!AG125+'KELURAHAN (DI ISI)'!AG126+'KELURAHAN (DI ISI)'!AG127+'KELURAHAN (DI ISI)'!AG132+'KELURAHAN (DI ISI)'!AG133+'KELURAHAN (DI ISI)'!AG134+'KELURAHAN (DI ISI)'!AG135+'KELURAHAN (DI ISI)'!AG137</f>
        <v>0</v>
      </c>
      <c r="AP36" s="605">
        <f>'KELURAHAN (DI ISI)'!AH122+'KELURAHAN (DI ISI)'!AH124+'KELURAHAN (DI ISI)'!AH123+'KELURAHAN (DI ISI)'!AH125+'KELURAHAN (DI ISI)'!AH126+'KELURAHAN (DI ISI)'!AH127+'KELURAHAN (DI ISI)'!AH132+'KELURAHAN (DI ISI)'!AH133+'KELURAHAN (DI ISI)'!AH134+'KELURAHAN (DI ISI)'!AH135+'KELURAHAN (DI ISI)'!AH137</f>
        <v>4</v>
      </c>
      <c r="AQ36" s="605">
        <f>'KELURAHAN (DI ISI)'!AI122+'KELURAHAN (DI ISI)'!AI124+'KELURAHAN (DI ISI)'!AI123+'KELURAHAN (DI ISI)'!AI125+'KELURAHAN (DI ISI)'!AI126+'KELURAHAN (DI ISI)'!AI127+'KELURAHAN (DI ISI)'!AI132+'KELURAHAN (DI ISI)'!AI133+'KELURAHAN (DI ISI)'!AI134+'KELURAHAN (DI ISI)'!AI135+'KELURAHAN (DI ISI)'!AI137</f>
        <v>7</v>
      </c>
      <c r="AR36" s="605">
        <f>'KELURAHAN (DI ISI)'!AJ122+'KELURAHAN (DI ISI)'!AJ124+'KELURAHAN (DI ISI)'!AJ123+'KELURAHAN (DI ISI)'!AJ125+'KELURAHAN (DI ISI)'!AJ126+'KELURAHAN (DI ISI)'!AJ127+'KELURAHAN (DI ISI)'!AJ132+'KELURAHAN (DI ISI)'!AJ133+'KELURAHAN (DI ISI)'!AJ134+'KELURAHAN (DI ISI)'!AJ135+'KELURAHAN (DI ISI)'!AJ137</f>
        <v>6</v>
      </c>
      <c r="AS36" s="605">
        <f>'KELURAHAN (DI ISI)'!AK122+'KELURAHAN (DI ISI)'!AK124+'KELURAHAN (DI ISI)'!AK123+'KELURAHAN (DI ISI)'!AK125+'KELURAHAN (DI ISI)'!AK126+'KELURAHAN (DI ISI)'!AK127+'KELURAHAN (DI ISI)'!AK132+'KELURAHAN (DI ISI)'!AK133+'KELURAHAN (DI ISI)'!AK134+'KELURAHAN (DI ISI)'!AK135+'KELURAHAN (DI ISI)'!AK137</f>
        <v>0</v>
      </c>
      <c r="AT36" s="605">
        <f>'KELURAHAN (DI ISI)'!AL122+'KELURAHAN (DI ISI)'!AL124+'KELURAHAN (DI ISI)'!AL123+'KELURAHAN (DI ISI)'!AL125+'KELURAHAN (DI ISI)'!AL126+'KELURAHAN (DI ISI)'!AL127+'KELURAHAN (DI ISI)'!AL132+'KELURAHAN (DI ISI)'!AL133+'KELURAHAN (DI ISI)'!AL134+'KELURAHAN (DI ISI)'!AL135+'KELURAHAN (DI ISI)'!AL137</f>
        <v>3</v>
      </c>
      <c r="AU36" s="605">
        <f>'KELURAHAN (DI ISI)'!AM122+'KELURAHAN (DI ISI)'!AM124+'KELURAHAN (DI ISI)'!AM123+'KELURAHAN (DI ISI)'!AM125+'KELURAHAN (DI ISI)'!AM126+'KELURAHAN (DI ISI)'!AM127+'KELURAHAN (DI ISI)'!AM132+'KELURAHAN (DI ISI)'!AM133+'KELURAHAN (DI ISI)'!AM134+'KELURAHAN (DI ISI)'!AM135+'KELURAHAN (DI ISI)'!AM137</f>
        <v>14</v>
      </c>
      <c r="AV36" s="605">
        <f>'KELURAHAN (DI ISI)'!AN122+'KELURAHAN (DI ISI)'!AN124+'KELURAHAN (DI ISI)'!AN123+'KELURAHAN (DI ISI)'!AN125+'KELURAHAN (DI ISI)'!AN126+'KELURAHAN (DI ISI)'!AN127+'KELURAHAN (DI ISI)'!AN132+'KELURAHAN (DI ISI)'!AN133+'KELURAHAN (DI ISI)'!AN134+'KELURAHAN (DI ISI)'!AN135+'KELURAHAN (DI ISI)'!AN137</f>
        <v>17</v>
      </c>
      <c r="AW36" s="491">
        <f t="shared" si="9"/>
        <v>11</v>
      </c>
      <c r="AX36" s="491">
        <f t="shared" si="10"/>
        <v>6</v>
      </c>
      <c r="AY36" s="605">
        <f>'KELURAHAN (DI ISI)'!AO122+'KELURAHAN (DI ISI)'!AO124+'KELURAHAN (DI ISI)'!AO123+'KELURAHAN (DI ISI)'!AO125+'KELURAHAN (DI ISI)'!AO126+'KELURAHAN (DI ISI)'!AO127+'KELURAHAN (DI ISI)'!AO132+'KELURAHAN (DI ISI)'!AO133+'KELURAHAN (DI ISI)'!AO134+'KELURAHAN (DI ISI)'!AO135+'KELURAHAN (DI ISI)'!AO137</f>
        <v>0</v>
      </c>
      <c r="AZ36" s="605">
        <f>'KELURAHAN (DI ISI)'!AP122+'KELURAHAN (DI ISI)'!AP124+'KELURAHAN (DI ISI)'!AP123+'KELURAHAN (DI ISI)'!AP125+'KELURAHAN (DI ISI)'!AP126+'KELURAHAN (DI ISI)'!AP127+'KELURAHAN (DI ISI)'!AP132+'KELURAHAN (DI ISI)'!AP133+'KELURAHAN (DI ISI)'!AP134+'KELURAHAN (DI ISI)'!AP135+'KELURAHAN (DI ISI)'!AP137</f>
        <v>3</v>
      </c>
      <c r="BA36" s="605">
        <f>'KELURAHAN (DI ISI)'!AQ122+'KELURAHAN (DI ISI)'!AQ124+'KELURAHAN (DI ISI)'!AQ123+'KELURAHAN (DI ISI)'!AQ125+'KELURAHAN (DI ISI)'!AQ126+'KELURAHAN (DI ISI)'!AQ127+'KELURAHAN (DI ISI)'!AQ132+'KELURAHAN (DI ISI)'!AQ133+'KELURAHAN (DI ISI)'!AQ134+'KELURAHAN (DI ISI)'!AQ135+'KELURAHAN (DI ISI)'!AQ137</f>
        <v>8</v>
      </c>
      <c r="BB36" s="605">
        <f>'KELURAHAN (DI ISI)'!AR122+'KELURAHAN (DI ISI)'!AR124+'KELURAHAN (DI ISI)'!AR123+'KELURAHAN (DI ISI)'!AR125+'KELURAHAN (DI ISI)'!AR126+'KELURAHAN (DI ISI)'!AR127+'KELURAHAN (DI ISI)'!AR132+'KELURAHAN (DI ISI)'!AR133+'KELURAHAN (DI ISI)'!AR134+'KELURAHAN (DI ISI)'!AR135+'KELURAHAN (DI ISI)'!AR137</f>
        <v>6</v>
      </c>
      <c r="BC36" s="605">
        <f>'KELURAHAN (DI ISI)'!AS122+'KELURAHAN (DI ISI)'!AS124+'KELURAHAN (DI ISI)'!AS123+'KELURAHAN (DI ISI)'!AS125+'KELURAHAN (DI ISI)'!AS126+'KELURAHAN (DI ISI)'!AS127+'KELURAHAN (DI ISI)'!AS132+'KELURAHAN (DI ISI)'!AS133+'KELURAHAN (DI ISI)'!AS134+'KELURAHAN (DI ISI)'!AS135+'KELURAHAN (DI ISI)'!AS137</f>
        <v>0</v>
      </c>
      <c r="BD36" s="605">
        <f>'KELURAHAN (DI ISI)'!AT122+'KELURAHAN (DI ISI)'!AT124+'KELURAHAN (DI ISI)'!AT123+'KELURAHAN (DI ISI)'!AT125+'KELURAHAN (DI ISI)'!AT126+'KELURAHAN (DI ISI)'!AT127+'KELURAHAN (DI ISI)'!AT132+'KELURAHAN (DI ISI)'!AT133+'KELURAHAN (DI ISI)'!AT134+'KELURAHAN (DI ISI)'!AT135+'KELURAHAN (DI ISI)'!AT137</f>
        <v>1</v>
      </c>
      <c r="BE36" s="605">
        <f>'KELURAHAN (DI ISI)'!AU122+'KELURAHAN (DI ISI)'!AU124+'KELURAHAN (DI ISI)'!AU123+'KELURAHAN (DI ISI)'!AU125+'KELURAHAN (DI ISI)'!AU126+'KELURAHAN (DI ISI)'!AU127+'KELURAHAN (DI ISI)'!AU132+'KELURAHAN (DI ISI)'!AU133+'KELURAHAN (DI ISI)'!AU134+'KELURAHAN (DI ISI)'!AU135+'KELURAHAN (DI ISI)'!AU137</f>
        <v>16</v>
      </c>
      <c r="BF36" s="605">
        <f>'KELURAHAN (DI ISI)'!AV122+'KELURAHAN (DI ISI)'!AV124+'KELURAHAN (DI ISI)'!AV123+'KELURAHAN (DI ISI)'!AV125+'KELURAHAN (DI ISI)'!AV126+'KELURAHAN (DI ISI)'!AV127+'KELURAHAN (DI ISI)'!AV132+'KELURAHAN (DI ISI)'!AV133+'KELURAHAN (DI ISI)'!AV134+'KELURAHAN (DI ISI)'!AV135+'KELURAHAN (DI ISI)'!AV137</f>
        <v>3342</v>
      </c>
      <c r="BG36" s="605">
        <f>'KELURAHAN (DI ISI)'!AW122+'KELURAHAN (DI ISI)'!AW124+'KELURAHAN (DI ISI)'!AW123+'KELURAHAN (DI ISI)'!AW125+'KELURAHAN (DI ISI)'!AW126+'KELURAHAN (DI ISI)'!AW127+'KELURAHAN (DI ISI)'!AW132+'KELURAHAN (DI ISI)'!AW133+'KELURAHAN (DI ISI)'!AW134+'KELURAHAN (DI ISI)'!AW135+'KELURAHAN (DI ISI)'!AW137</f>
        <v>17</v>
      </c>
      <c r="BH36" s="491">
        <f t="shared" si="11"/>
        <v>7</v>
      </c>
      <c r="BI36" s="495">
        <f t="shared" si="12"/>
        <v>7</v>
      </c>
      <c r="BJ36" s="605">
        <f>'KELURAHAN (DI ISI)'!AX122+'KELURAHAN (DI ISI)'!AX124+'KELURAHAN (DI ISI)'!AX123+'KELURAHAN (DI ISI)'!AX125+'KELURAHAN (DI ISI)'!AX126+'KELURAHAN (DI ISI)'!AX127+'KELURAHAN (DI ISI)'!AX132+'KELURAHAN (DI ISI)'!AX133+'KELURAHAN (DI ISI)'!AX134+'KELURAHAN (DI ISI)'!AX135+'KELURAHAN (DI ISI)'!AX137</f>
        <v>0</v>
      </c>
      <c r="BK36" s="605">
        <f>'KELURAHAN (DI ISI)'!AY122+'KELURAHAN (DI ISI)'!AY124+'KELURAHAN (DI ISI)'!AY123+'KELURAHAN (DI ISI)'!AY125+'KELURAHAN (DI ISI)'!AY126+'KELURAHAN (DI ISI)'!AY127+'KELURAHAN (DI ISI)'!AY132+'KELURAHAN (DI ISI)'!AY133+'KELURAHAN (DI ISI)'!AY134+'KELURAHAN (DI ISI)'!AY135+'KELURAHAN (DI ISI)'!AY137</f>
        <v>2</v>
      </c>
      <c r="BL36" s="605">
        <f>'KELURAHAN (DI ISI)'!AZ122+'KELURAHAN (DI ISI)'!AZ124+'KELURAHAN (DI ISI)'!AZ123+'KELURAHAN (DI ISI)'!AZ125+'KELURAHAN (DI ISI)'!AZ126+'KELURAHAN (DI ISI)'!AZ127+'KELURAHAN (DI ISI)'!AZ132+'KELURAHAN (DI ISI)'!AZ133+'KELURAHAN (DI ISI)'!AZ134+'KELURAHAN (DI ISI)'!AZ135+'KELURAHAN (DI ISI)'!AZ137</f>
        <v>5</v>
      </c>
      <c r="BM36" s="605">
        <f>'KELURAHAN (DI ISI)'!BA122+'KELURAHAN (DI ISI)'!BA124+'KELURAHAN (DI ISI)'!BA123+'KELURAHAN (DI ISI)'!BA125+'KELURAHAN (DI ISI)'!BA126+'KELURAHAN (DI ISI)'!BA127+'KELURAHAN (DI ISI)'!BA132+'KELURAHAN (DI ISI)'!BA133+'KELURAHAN (DI ISI)'!BA134+'KELURAHAN (DI ISI)'!BA135+'KELURAHAN (DI ISI)'!BA137</f>
        <v>7</v>
      </c>
      <c r="BN36" s="605">
        <f>'KELURAHAN (DI ISI)'!BB122+'KELURAHAN (DI ISI)'!BB124+'KELURAHAN (DI ISI)'!BB123+'KELURAHAN (DI ISI)'!BB125+'KELURAHAN (DI ISI)'!BB126+'KELURAHAN (DI ISI)'!BB127+'KELURAHAN (DI ISI)'!BB132+'KELURAHAN (DI ISI)'!BB133+'KELURAHAN (DI ISI)'!BB134+'KELURAHAN (DI ISI)'!BB135+'KELURAHAN (DI ISI)'!BB137</f>
        <v>0</v>
      </c>
      <c r="BO36" s="605">
        <f>'KELURAHAN (DI ISI)'!BC122+'KELURAHAN (DI ISI)'!BC124+'KELURAHAN (DI ISI)'!BC123+'KELURAHAN (DI ISI)'!BC125+'KELURAHAN (DI ISI)'!BC126+'KELURAHAN (DI ISI)'!BC127+'KELURAHAN (DI ISI)'!BC132+'KELURAHAN (DI ISI)'!BC133+'KELURAHAN (DI ISI)'!BC134+'KELURAHAN (DI ISI)'!BC135+'KELURAHAN (DI ISI)'!BC137</f>
        <v>0</v>
      </c>
      <c r="BP36" s="605">
        <f>'KELURAHAN (DI ISI)'!BD122+'KELURAHAN (DI ISI)'!BD124+'KELURAHAN (DI ISI)'!BD123+'KELURAHAN (DI ISI)'!BD125+'KELURAHAN (DI ISI)'!BD126+'KELURAHAN (DI ISI)'!BD127+'KELURAHAN (DI ISI)'!BD132+'KELURAHAN (DI ISI)'!BD133+'KELURAHAN (DI ISI)'!BD134+'KELURAHAN (DI ISI)'!BD135+'KELURAHAN (DI ISI)'!BD137</f>
        <v>2</v>
      </c>
      <c r="BQ36" s="605">
        <f>'KELURAHAN (DI ISI)'!BE122+'KELURAHAN (DI ISI)'!BE124+'KELURAHAN (DI ISI)'!BE123+'KELURAHAN (DI ISI)'!BE125+'KELURAHAN (DI ISI)'!BE126+'KELURAHAN (DI ISI)'!BE127+'KELURAHAN (DI ISI)'!BE132+'KELURAHAN (DI ISI)'!BE133+'KELURAHAN (DI ISI)'!BE134+'KELURAHAN (DI ISI)'!BE135+'KELURAHAN (DI ISI)'!BE137</f>
        <v>1</v>
      </c>
      <c r="BR36" s="605">
        <f>'KELURAHAN (DI ISI)'!BF122+'KELURAHAN (DI ISI)'!BF124+'KELURAHAN (DI ISI)'!BF123+'KELURAHAN (DI ISI)'!BF125+'KELURAHAN (DI ISI)'!BF126+'KELURAHAN (DI ISI)'!BF127+'KELURAHAN (DI ISI)'!BF132+'KELURAHAN (DI ISI)'!BF133+'KELURAHAN (DI ISI)'!BF134+'KELURAHAN (DI ISI)'!BF135+'KELURAHAN (DI ISI)'!BF137</f>
        <v>0</v>
      </c>
      <c r="BS36" s="605">
        <f>'KELURAHAN (DI ISI)'!BG122+'KELURAHAN (DI ISI)'!BG124+'KELURAHAN (DI ISI)'!BG123+'KELURAHAN (DI ISI)'!BG125+'KELURAHAN (DI ISI)'!BG126+'KELURAHAN (DI ISI)'!BG127+'KELURAHAN (DI ISI)'!BG132+'KELURAHAN (DI ISI)'!BG133+'KELURAHAN (DI ISI)'!BG134+'KELURAHAN (DI ISI)'!BG135+'KELURAHAN (DI ISI)'!BG137</f>
        <v>1</v>
      </c>
      <c r="BT36" s="605">
        <f>'KELURAHAN (DI ISI)'!BH122+'KELURAHAN (DI ISI)'!BH124+'KELURAHAN (DI ISI)'!BH123+'KELURAHAN (DI ISI)'!BH125+'KELURAHAN (DI ISI)'!BH126+'KELURAHAN (DI ISI)'!BH127+'KELURAHAN (DI ISI)'!BH132+'KELURAHAN (DI ISI)'!BH133+'KELURAHAN (DI ISI)'!BH134+'KELURAHAN (DI ISI)'!BH135+'KELURAHAN (DI ISI)'!BH137</f>
        <v>0</v>
      </c>
      <c r="BU36" s="605">
        <f>'KELURAHAN (DI ISI)'!BI122+'KELURAHAN (DI ISI)'!BI124+'KELURAHAN (DI ISI)'!BI123+'KELURAHAN (DI ISI)'!BI125+'KELURAHAN (DI ISI)'!BI126+'KELURAHAN (DI ISI)'!BI127+'KELURAHAN (DI ISI)'!BI132+'KELURAHAN (DI ISI)'!BI133+'KELURAHAN (DI ISI)'!BI134+'KELURAHAN (DI ISI)'!BI135+'KELURAHAN (DI ISI)'!BI137</f>
        <v>2</v>
      </c>
      <c r="BV36" s="605">
        <f>'KELURAHAN (DI ISI)'!BJ122+'KELURAHAN (DI ISI)'!BJ124+'KELURAHAN (DI ISI)'!BJ123+'KELURAHAN (DI ISI)'!BJ125+'KELURAHAN (DI ISI)'!BJ126+'KELURAHAN (DI ISI)'!BJ127+'KELURAHAN (DI ISI)'!BJ132+'KELURAHAN (DI ISI)'!BJ133+'KELURAHAN (DI ISI)'!BJ134+'KELURAHAN (DI ISI)'!BJ135+'KELURAHAN (DI ISI)'!BJ137</f>
        <v>0</v>
      </c>
      <c r="BW36" s="605">
        <f>'KELURAHAN (DI ISI)'!BK122+'KELURAHAN (DI ISI)'!BK124+'KELURAHAN (DI ISI)'!BK123+'KELURAHAN (DI ISI)'!BK125+'KELURAHAN (DI ISI)'!BK126+'KELURAHAN (DI ISI)'!BK127+'KELURAHAN (DI ISI)'!BK132+'KELURAHAN (DI ISI)'!BK133+'KELURAHAN (DI ISI)'!BK134+'KELURAHAN (DI ISI)'!BK135+'KELURAHAN (DI ISI)'!BK137</f>
        <v>0</v>
      </c>
      <c r="BX36" s="605">
        <f>'KELURAHAN (DI ISI)'!BL122+'KELURAHAN (DI ISI)'!BL124+'KELURAHAN (DI ISI)'!BL123+'KELURAHAN (DI ISI)'!BL125+'KELURAHAN (DI ISI)'!BL126+'KELURAHAN (DI ISI)'!BL127+'KELURAHAN (DI ISI)'!BL132+'KELURAHAN (DI ISI)'!BL133+'KELURAHAN (DI ISI)'!BL134+'KELURAHAN (DI ISI)'!BL135+'KELURAHAN (DI ISI)'!BL137</f>
        <v>0</v>
      </c>
      <c r="BY36" s="605">
        <f>'KELURAHAN (DI ISI)'!BM122+'KELURAHAN (DI ISI)'!BM124+'KELURAHAN (DI ISI)'!BM123+'KELURAHAN (DI ISI)'!BM125+'KELURAHAN (DI ISI)'!BM126+'KELURAHAN (DI ISI)'!BM127+'KELURAHAN (DI ISI)'!BM132+'KELURAHAN (DI ISI)'!BM133+'KELURAHAN (DI ISI)'!BM134+'KELURAHAN (DI ISI)'!BM135+'KELURAHAN (DI ISI)'!BM137</f>
        <v>0</v>
      </c>
      <c r="BZ36" s="605">
        <f>'KELURAHAN (DI ISI)'!BN122+'KELURAHAN (DI ISI)'!BN124+'KELURAHAN (DI ISI)'!BN123+'KELURAHAN (DI ISI)'!BN125+'KELURAHAN (DI ISI)'!BN126+'KELURAHAN (DI ISI)'!BN127+'KELURAHAN (DI ISI)'!BN132+'KELURAHAN (DI ISI)'!BN133+'KELURAHAN (DI ISI)'!BN134+'KELURAHAN (DI ISI)'!BN135+'KELURAHAN (DI ISI)'!BN137</f>
        <v>0</v>
      </c>
      <c r="CA36" s="605">
        <f>'KELURAHAN (DI ISI)'!BO122+'KELURAHAN (DI ISI)'!BO124+'KELURAHAN (DI ISI)'!BO123+'KELURAHAN (DI ISI)'!BO125+'KELURAHAN (DI ISI)'!BO126+'KELURAHAN (DI ISI)'!BO127+'KELURAHAN (DI ISI)'!BO132+'KELURAHAN (DI ISI)'!BO133+'KELURAHAN (DI ISI)'!BO134+'KELURAHAN (DI ISI)'!BO135+'KELURAHAN (DI ISI)'!BO137</f>
        <v>0</v>
      </c>
      <c r="CB36" s="605">
        <f>'KELURAHAN (DI ISI)'!BP122+'KELURAHAN (DI ISI)'!BP124+'KELURAHAN (DI ISI)'!BP123+'KELURAHAN (DI ISI)'!BP125+'KELURAHAN (DI ISI)'!BP126+'KELURAHAN (DI ISI)'!BP127+'KELURAHAN (DI ISI)'!BP132+'KELURAHAN (DI ISI)'!BP133+'KELURAHAN (DI ISI)'!BP134+'KELURAHAN (DI ISI)'!BP135+'KELURAHAN (DI ISI)'!BP137</f>
        <v>3</v>
      </c>
      <c r="CC36" s="605">
        <f>'KELURAHAN (DI ISI)'!BQ122+'KELURAHAN (DI ISI)'!BQ124+'KELURAHAN (DI ISI)'!BQ123+'KELURAHAN (DI ISI)'!BQ125+'KELURAHAN (DI ISI)'!BQ126+'KELURAHAN (DI ISI)'!BQ127+'KELURAHAN (DI ISI)'!BQ132+'KELURAHAN (DI ISI)'!BQ133+'KELURAHAN (DI ISI)'!BQ134+'KELURAHAN (DI ISI)'!BQ135+'KELURAHAN (DI ISI)'!BQ137</f>
        <v>3249</v>
      </c>
      <c r="CD36" s="605">
        <f>'KELURAHAN (DI ISI)'!BR122+'KELURAHAN (DI ISI)'!BR124+'KELURAHAN (DI ISI)'!BR123+'KELURAHAN (DI ISI)'!BR125+'KELURAHAN (DI ISI)'!BR126+'KELURAHAN (DI ISI)'!BR127+'KELURAHAN (DI ISI)'!BR132+'KELURAHAN (DI ISI)'!BR133+'KELURAHAN (DI ISI)'!BR134+'KELURAHAN (DI ISI)'!BR135+'KELURAHAN (DI ISI)'!BR137</f>
        <v>18</v>
      </c>
      <c r="CE36" s="491">
        <f t="shared" si="13"/>
        <v>8</v>
      </c>
      <c r="CF36" s="491">
        <f t="shared" si="14"/>
        <v>9</v>
      </c>
      <c r="CG36" s="605">
        <f>'KELURAHAN (DI ISI)'!BS122+'KELURAHAN (DI ISI)'!BS124+'KELURAHAN (DI ISI)'!BS123+'KELURAHAN (DI ISI)'!BS125+'KELURAHAN (DI ISI)'!BS126+'KELURAHAN (DI ISI)'!BS127+'KELURAHAN (DI ISI)'!BS132+'KELURAHAN (DI ISI)'!BS133+'KELURAHAN (DI ISI)'!BS134+'KELURAHAN (DI ISI)'!BS135+'KELURAHAN (DI ISI)'!BS137</f>
        <v>0</v>
      </c>
      <c r="CH36" s="605">
        <f>'KELURAHAN (DI ISI)'!BT122+'KELURAHAN (DI ISI)'!BT124+'KELURAHAN (DI ISI)'!BT123+'KELURAHAN (DI ISI)'!BT125+'KELURAHAN (DI ISI)'!BT126+'KELURAHAN (DI ISI)'!BT127+'KELURAHAN (DI ISI)'!BT132+'KELURAHAN (DI ISI)'!BT133+'KELURAHAN (DI ISI)'!BT134+'KELURAHAN (DI ISI)'!BT135+'KELURAHAN (DI ISI)'!BT137</f>
        <v>1</v>
      </c>
      <c r="CI36" s="605">
        <f>'KELURAHAN (DI ISI)'!BU122+'KELURAHAN (DI ISI)'!BU124+'KELURAHAN (DI ISI)'!BU123+'KELURAHAN (DI ISI)'!BU125+'KELURAHAN (DI ISI)'!BU126+'KELURAHAN (DI ISI)'!BU127+'KELURAHAN (DI ISI)'!BU132+'KELURAHAN (DI ISI)'!BU133+'KELURAHAN (DI ISI)'!BU134+'KELURAHAN (DI ISI)'!BU135+'KELURAHAN (DI ISI)'!BU137</f>
        <v>7</v>
      </c>
      <c r="CJ36" s="605">
        <f>'KELURAHAN (DI ISI)'!BV122+'KELURAHAN (DI ISI)'!BV124+'KELURAHAN (DI ISI)'!BV123+'KELURAHAN (DI ISI)'!BV125+'KELURAHAN (DI ISI)'!BV126+'KELURAHAN (DI ISI)'!BV127+'KELURAHAN (DI ISI)'!BV132+'KELURAHAN (DI ISI)'!BV133+'KELURAHAN (DI ISI)'!BV134+'KELURAHAN (DI ISI)'!BV135+'KELURAHAN (DI ISI)'!BV137</f>
        <v>9</v>
      </c>
      <c r="CK36" s="605">
        <f>'KELURAHAN (DI ISI)'!BW122+'KELURAHAN (DI ISI)'!BW124+'KELURAHAN (DI ISI)'!BW123+'KELURAHAN (DI ISI)'!BW125+'KELURAHAN (DI ISI)'!BW126+'KELURAHAN (DI ISI)'!BW127+'KELURAHAN (DI ISI)'!BW132+'KELURAHAN (DI ISI)'!BW133+'KELURAHAN (DI ISI)'!BW134+'KELURAHAN (DI ISI)'!BW135+'KELURAHAN (DI ISI)'!BW137</f>
        <v>0</v>
      </c>
      <c r="CL36" s="605">
        <f>'KELURAHAN (DI ISI)'!BX122+'KELURAHAN (DI ISI)'!BX124+'KELURAHAN (DI ISI)'!BX123+'KELURAHAN (DI ISI)'!BX125+'KELURAHAN (DI ISI)'!BX126+'KELURAHAN (DI ISI)'!BX127+'KELURAHAN (DI ISI)'!BX132+'KELURAHAN (DI ISI)'!BX133+'KELURAHAN (DI ISI)'!BX134+'KELURAHAN (DI ISI)'!BX135+'KELURAHAN (DI ISI)'!BX137</f>
        <v>0</v>
      </c>
      <c r="CM36" s="605">
        <f>'KELURAHAN (DI ISI)'!BY122+'KELURAHAN (DI ISI)'!BY124+'KELURAHAN (DI ISI)'!BY123+'KELURAHAN (DI ISI)'!BY125+'KELURAHAN (DI ISI)'!BY126+'KELURAHAN (DI ISI)'!BY127+'KELURAHAN (DI ISI)'!BY132+'KELURAHAN (DI ISI)'!BY133+'KELURAHAN (DI ISI)'!BY134+'KELURAHAN (DI ISI)'!BY135+'KELURAHAN (DI ISI)'!BY137</f>
        <v>0</v>
      </c>
      <c r="CN36" s="605">
        <f>'KELURAHAN (DI ISI)'!BZ122+'KELURAHAN (DI ISI)'!BZ124+'KELURAHAN (DI ISI)'!BZ123+'KELURAHAN (DI ISI)'!BZ125+'KELURAHAN (DI ISI)'!BZ126+'KELURAHAN (DI ISI)'!BZ127+'KELURAHAN (DI ISI)'!BZ132+'KELURAHAN (DI ISI)'!BZ133+'KELURAHAN (DI ISI)'!BZ134+'KELURAHAN (DI ISI)'!BZ135+'KELURAHAN (DI ISI)'!BZ137</f>
        <v>1</v>
      </c>
      <c r="CO36" s="605">
        <f>'KELURAHAN (DI ISI)'!CA122+'KELURAHAN (DI ISI)'!CA124+'KELURAHAN (DI ISI)'!CA123+'KELURAHAN (DI ISI)'!CA125+'KELURAHAN (DI ISI)'!CA126+'KELURAHAN (DI ISI)'!CA127+'KELURAHAN (DI ISI)'!CA132+'KELURAHAN (DI ISI)'!CA133+'KELURAHAN (DI ISI)'!CA134+'KELURAHAN (DI ISI)'!CA135+'KELURAHAN (DI ISI)'!CA137</f>
        <v>0</v>
      </c>
      <c r="CP36" s="605">
        <f>'KELURAHAN (DI ISI)'!CB122+'KELURAHAN (DI ISI)'!CB124+'KELURAHAN (DI ISI)'!CB123+'KELURAHAN (DI ISI)'!CB125+'KELURAHAN (DI ISI)'!CB126+'KELURAHAN (DI ISI)'!CB127+'KELURAHAN (DI ISI)'!CB132+'KELURAHAN (DI ISI)'!CB133+'KELURAHAN (DI ISI)'!CB134+'KELURAHAN (DI ISI)'!CB135+'KELURAHAN (DI ISI)'!CB137</f>
        <v>0</v>
      </c>
      <c r="CQ36" s="605">
        <f>'KELURAHAN (DI ISI)'!CC122+'KELURAHAN (DI ISI)'!CC124+'KELURAHAN (DI ISI)'!CC123+'KELURAHAN (DI ISI)'!CC125+'KELURAHAN (DI ISI)'!CC126+'KELURAHAN (DI ISI)'!CC127+'KELURAHAN (DI ISI)'!CC132+'KELURAHAN (DI ISI)'!CC133+'KELURAHAN (DI ISI)'!CC134+'KELURAHAN (DI ISI)'!CC135+'KELURAHAN (DI ISI)'!CC137</f>
        <v>0</v>
      </c>
      <c r="CR36" s="605">
        <f>'KELURAHAN (DI ISI)'!CD122+'KELURAHAN (DI ISI)'!CD124+'KELURAHAN (DI ISI)'!CD123+'KELURAHAN (DI ISI)'!CD125+'KELURAHAN (DI ISI)'!CD126+'KELURAHAN (DI ISI)'!CD127+'KELURAHAN (DI ISI)'!CD132+'KELURAHAN (DI ISI)'!CD133+'KELURAHAN (DI ISI)'!CD134+'KELURAHAN (DI ISI)'!CD135+'KELURAHAN (DI ISI)'!CD137</f>
        <v>1</v>
      </c>
      <c r="CS36" s="605">
        <f>'KELURAHAN (DI ISI)'!CE122+'KELURAHAN (DI ISI)'!CE124+'KELURAHAN (DI ISI)'!CE123+'KELURAHAN (DI ISI)'!CE125+'KELURAHAN (DI ISI)'!CE126+'KELURAHAN (DI ISI)'!CE127+'KELURAHAN (DI ISI)'!CE132+'KELURAHAN (DI ISI)'!CE133+'KELURAHAN (DI ISI)'!CE134+'KELURAHAN (DI ISI)'!CE135+'KELURAHAN (DI ISI)'!CE137</f>
        <v>0</v>
      </c>
      <c r="CT36" s="605">
        <f>'KELURAHAN (DI ISI)'!CF122+'KELURAHAN (DI ISI)'!CF124+'KELURAHAN (DI ISI)'!CF123+'KELURAHAN (DI ISI)'!CF125+'KELURAHAN (DI ISI)'!CF126+'KELURAHAN (DI ISI)'!CF127+'KELURAHAN (DI ISI)'!CF132+'KELURAHAN (DI ISI)'!CF133+'KELURAHAN (DI ISI)'!CF134+'KELURAHAN (DI ISI)'!CF135+'KELURAHAN (DI ISI)'!CF137</f>
        <v>0</v>
      </c>
      <c r="CU36" s="605">
        <f>'KELURAHAN (DI ISI)'!CG122+'KELURAHAN (DI ISI)'!CG124+'KELURAHAN (DI ISI)'!CG123+'KELURAHAN (DI ISI)'!CG125+'KELURAHAN (DI ISI)'!CG126+'KELURAHAN (DI ISI)'!CG127+'KELURAHAN (DI ISI)'!CG132+'KELURAHAN (DI ISI)'!CG133+'KELURAHAN (DI ISI)'!CG134+'KELURAHAN (DI ISI)'!CG135+'KELURAHAN (DI ISI)'!CG137</f>
        <v>0</v>
      </c>
      <c r="CV36" s="605">
        <f>'KELURAHAN (DI ISI)'!CH122+'KELURAHAN (DI ISI)'!CH124+'KELURAHAN (DI ISI)'!CH123+'KELURAHAN (DI ISI)'!CH125+'KELURAHAN (DI ISI)'!CH126+'KELURAHAN (DI ISI)'!CH127+'KELURAHAN (DI ISI)'!CH132+'KELURAHAN (DI ISI)'!CH133+'KELURAHAN (DI ISI)'!CH134+'KELURAHAN (DI ISI)'!CH135+'KELURAHAN (DI ISI)'!CH137</f>
        <v>0</v>
      </c>
      <c r="CW36" s="605">
        <f>'KELURAHAN (DI ISI)'!CI122+'KELURAHAN (DI ISI)'!CI124+'KELURAHAN (DI ISI)'!CI123+'KELURAHAN (DI ISI)'!CI125+'KELURAHAN (DI ISI)'!CI126+'KELURAHAN (DI ISI)'!CI127+'KELURAHAN (DI ISI)'!CI132+'KELURAHAN (DI ISI)'!CI133+'KELURAHAN (DI ISI)'!CI134+'KELURAHAN (DI ISI)'!CI135+'KELURAHAN (DI ISI)'!CI137</f>
        <v>0</v>
      </c>
      <c r="CX36" s="605">
        <f>'KELURAHAN (DI ISI)'!CJ122+'KELURAHAN (DI ISI)'!CJ124+'KELURAHAN (DI ISI)'!CJ123+'KELURAHAN (DI ISI)'!CJ125+'KELURAHAN (DI ISI)'!CJ126+'KELURAHAN (DI ISI)'!CJ127+'KELURAHAN (DI ISI)'!CJ132+'KELURAHAN (DI ISI)'!CJ133+'KELURAHAN (DI ISI)'!CJ134+'KELURAHAN (DI ISI)'!CJ135+'KELURAHAN (DI ISI)'!CJ137</f>
        <v>0</v>
      </c>
      <c r="CY36" s="605">
        <f>'KELURAHAN (DI ISI)'!CK122+'KELURAHAN (DI ISI)'!CK124+'KELURAHAN (DI ISI)'!CK123+'KELURAHAN (DI ISI)'!CK125+'KELURAHAN (DI ISI)'!CK126+'KELURAHAN (DI ISI)'!CK127+'KELURAHAN (DI ISI)'!CK132+'KELURAHAN (DI ISI)'!CK133+'KELURAHAN (DI ISI)'!CK134+'KELURAHAN (DI ISI)'!CK135+'KELURAHAN (DI ISI)'!CK137</f>
        <v>1</v>
      </c>
      <c r="CZ36" s="605">
        <f>'KELURAHAN (DI ISI)'!CL122+'KELURAHAN (DI ISI)'!CL124+'KELURAHAN (DI ISI)'!CL123+'KELURAHAN (DI ISI)'!CL125+'KELURAHAN (DI ISI)'!CL126+'KELURAHAN (DI ISI)'!CL127+'KELURAHAN (DI ISI)'!CL132+'KELURAHAN (DI ISI)'!CL133+'KELURAHAN (DI ISI)'!CL134+'KELURAHAN (DI ISI)'!CL135+'KELURAHAN (DI ISI)'!CL137</f>
        <v>3319</v>
      </c>
      <c r="DA36" s="605">
        <f>'KELURAHAN (DI ISI)'!CM122+'KELURAHAN (DI ISI)'!CM124+'KELURAHAN (DI ISI)'!CM123+'KELURAHAN (DI ISI)'!CM125+'KELURAHAN (DI ISI)'!CM126+'KELURAHAN (DI ISI)'!CM127+'KELURAHAN (DI ISI)'!CM132+'KELURAHAN (DI ISI)'!CM133+'KELURAHAN (DI ISI)'!CM134+'KELURAHAN (DI ISI)'!CM135+'KELURAHAN (DI ISI)'!CM137</f>
        <v>907</v>
      </c>
      <c r="DB36" s="605">
        <f>'KELURAHAN (DI ISI)'!CN122+'KELURAHAN (DI ISI)'!CN124+'KELURAHAN (DI ISI)'!CN123+'KELURAHAN (DI ISI)'!CN125+'KELURAHAN (DI ISI)'!CN126+'KELURAHAN (DI ISI)'!CN127+'KELURAHAN (DI ISI)'!CN132+'KELURAHAN (DI ISI)'!CN133+'KELURAHAN (DI ISI)'!CN134+'KELURAHAN (DI ISI)'!CN135+'KELURAHAN (DI ISI)'!CN137</f>
        <v>17</v>
      </c>
      <c r="DC36" s="491">
        <f t="shared" si="15"/>
        <v>7</v>
      </c>
      <c r="DD36" s="491">
        <f t="shared" si="16"/>
        <v>9</v>
      </c>
      <c r="DE36" s="605">
        <f>'KELURAHAN (DI ISI)'!CO122+'KELURAHAN (DI ISI)'!CO124+'KELURAHAN (DI ISI)'!CO123+'KELURAHAN (DI ISI)'!CO125+'KELURAHAN (DI ISI)'!CO126+'KELURAHAN (DI ISI)'!CO127+'KELURAHAN (DI ISI)'!CO132+'KELURAHAN (DI ISI)'!CO133+'KELURAHAN (DI ISI)'!CO134+'KELURAHAN (DI ISI)'!CO135+'KELURAHAN (DI ISI)'!CO137</f>
        <v>0</v>
      </c>
      <c r="DF36" s="605">
        <f>'KELURAHAN (DI ISI)'!CP122+'KELURAHAN (DI ISI)'!CP124+'KELURAHAN (DI ISI)'!CP123+'KELURAHAN (DI ISI)'!CP125+'KELURAHAN (DI ISI)'!CP126+'KELURAHAN (DI ISI)'!CP127+'KELURAHAN (DI ISI)'!CP132+'KELURAHAN (DI ISI)'!CP133+'KELURAHAN (DI ISI)'!CP134+'KELURAHAN (DI ISI)'!CP135+'KELURAHAN (DI ISI)'!CP137</f>
        <v>0</v>
      </c>
      <c r="DG36" s="605">
        <f>'KELURAHAN (DI ISI)'!CQ122+'KELURAHAN (DI ISI)'!CQ124+'KELURAHAN (DI ISI)'!CQ123+'KELURAHAN (DI ISI)'!CQ125+'KELURAHAN (DI ISI)'!CQ126+'KELURAHAN (DI ISI)'!CQ127+'KELURAHAN (DI ISI)'!CQ132+'KELURAHAN (DI ISI)'!CQ133+'KELURAHAN (DI ISI)'!CQ134+'KELURAHAN (DI ISI)'!CQ135+'KELURAHAN (DI ISI)'!CQ137</f>
        <v>7</v>
      </c>
      <c r="DH36" s="605">
        <f>'KELURAHAN (DI ISI)'!CR122+'KELURAHAN (DI ISI)'!CR124+'KELURAHAN (DI ISI)'!CR123+'KELURAHAN (DI ISI)'!CR125+'KELURAHAN (DI ISI)'!CR126+'KELURAHAN (DI ISI)'!CR127+'KELURAHAN (DI ISI)'!CR132+'KELURAHAN (DI ISI)'!CR133+'KELURAHAN (DI ISI)'!CR134+'KELURAHAN (DI ISI)'!CR135+'KELURAHAN (DI ISI)'!CR137</f>
        <v>9</v>
      </c>
      <c r="DI36" s="605">
        <f>'KELURAHAN (DI ISI)'!CS122+'KELURAHAN (DI ISI)'!CS124+'KELURAHAN (DI ISI)'!CS123+'KELURAHAN (DI ISI)'!CS125+'KELURAHAN (DI ISI)'!CS126+'KELURAHAN (DI ISI)'!CS127+'KELURAHAN (DI ISI)'!CS132+'KELURAHAN (DI ISI)'!CS133+'KELURAHAN (DI ISI)'!CS134+'KELURAHAN (DI ISI)'!CS135+'KELURAHAN (DI ISI)'!CS137</f>
        <v>0</v>
      </c>
      <c r="DJ36" s="605">
        <f>'KELURAHAN (DI ISI)'!CT122+'KELURAHAN (DI ISI)'!CT124+'KELURAHAN (DI ISI)'!CT123+'KELURAHAN (DI ISI)'!CT125+'KELURAHAN (DI ISI)'!CT126+'KELURAHAN (DI ISI)'!CT127+'KELURAHAN (DI ISI)'!CT132+'KELURAHAN (DI ISI)'!CT133+'KELURAHAN (DI ISI)'!CT134+'KELURAHAN (DI ISI)'!CT135+'KELURAHAN (DI ISI)'!CT137</f>
        <v>1</v>
      </c>
      <c r="DK36" s="605">
        <f>'KELURAHAN (DI ISI)'!CU122+'KELURAHAN (DI ISI)'!CU124+'KELURAHAN (DI ISI)'!CU123+'KELURAHAN (DI ISI)'!CU125+'KELURAHAN (DI ISI)'!CU126+'KELURAHAN (DI ISI)'!CU127+'KELURAHAN (DI ISI)'!CU132+'KELURAHAN (DI ISI)'!CU133+'KELURAHAN (DI ISI)'!CU134+'KELURAHAN (DI ISI)'!CU135+'KELURAHAN (DI ISI)'!CU137</f>
        <v>0</v>
      </c>
      <c r="DL36" s="605">
        <f>'KELURAHAN (DI ISI)'!CV122+'KELURAHAN (DI ISI)'!CV124+'KELURAHAN (DI ISI)'!CV123+'KELURAHAN (DI ISI)'!CV125+'KELURAHAN (DI ISI)'!CV126+'KELURAHAN (DI ISI)'!CV127+'KELURAHAN (DI ISI)'!CV132+'KELURAHAN (DI ISI)'!CV133+'KELURAHAN (DI ISI)'!CV134+'KELURAHAN (DI ISI)'!CV135+'KELURAHAN (DI ISI)'!CV137</f>
        <v>0</v>
      </c>
      <c r="DM36" s="605">
        <f>'KELURAHAN (DI ISI)'!CW122+'KELURAHAN (DI ISI)'!CW124+'KELURAHAN (DI ISI)'!CW123+'KELURAHAN (DI ISI)'!CW125+'KELURAHAN (DI ISI)'!CW126+'KELURAHAN (DI ISI)'!CW127+'KELURAHAN (DI ISI)'!CW132+'KELURAHAN (DI ISI)'!CW133+'KELURAHAN (DI ISI)'!CW134+'KELURAHAN (DI ISI)'!CW135+'KELURAHAN (DI ISI)'!CW137</f>
        <v>0</v>
      </c>
      <c r="DN36" s="605">
        <f>'KELURAHAN (DI ISI)'!CX122+'KELURAHAN (DI ISI)'!CX124+'KELURAHAN (DI ISI)'!CX123+'KELURAHAN (DI ISI)'!CX125+'KELURAHAN (DI ISI)'!CX126+'KELURAHAN (DI ISI)'!CX127+'KELURAHAN (DI ISI)'!CX132+'KELURAHAN (DI ISI)'!CX133+'KELURAHAN (DI ISI)'!CX134+'KELURAHAN (DI ISI)'!CX135+'KELURAHAN (DI ISI)'!CX137</f>
        <v>0</v>
      </c>
      <c r="DO36" s="605">
        <f>'KELURAHAN (DI ISI)'!CY122+'KELURAHAN (DI ISI)'!CY124+'KELURAHAN (DI ISI)'!CY123+'KELURAHAN (DI ISI)'!CY125+'KELURAHAN (DI ISI)'!CY126+'KELURAHAN (DI ISI)'!CY127+'KELURAHAN (DI ISI)'!CY132+'KELURAHAN (DI ISI)'!CY133+'KELURAHAN (DI ISI)'!CY134+'KELURAHAN (DI ISI)'!CY135+'KELURAHAN (DI ISI)'!CY137</f>
        <v>1</v>
      </c>
      <c r="DP36" s="605">
        <f>'KELURAHAN (DI ISI)'!CZ122+'KELURAHAN (DI ISI)'!CZ124+'KELURAHAN (DI ISI)'!CZ123+'KELURAHAN (DI ISI)'!CZ125+'KELURAHAN (DI ISI)'!CZ126+'KELURAHAN (DI ISI)'!CZ127+'KELURAHAN (DI ISI)'!CZ132+'KELURAHAN (DI ISI)'!CZ133+'KELURAHAN (DI ISI)'!CZ134+'KELURAHAN (DI ISI)'!CZ135+'KELURAHAN (DI ISI)'!CZ137</f>
        <v>0</v>
      </c>
      <c r="DQ36" s="605">
        <f>'KELURAHAN (DI ISI)'!DA122+'KELURAHAN (DI ISI)'!DA124+'KELURAHAN (DI ISI)'!DA123+'KELURAHAN (DI ISI)'!DA125+'KELURAHAN (DI ISI)'!DA126+'KELURAHAN (DI ISI)'!DA127+'KELURAHAN (DI ISI)'!DA132+'KELURAHAN (DI ISI)'!DA133+'KELURAHAN (DI ISI)'!DA134+'KELURAHAN (DI ISI)'!DA135+'KELURAHAN (DI ISI)'!DA137</f>
        <v>0</v>
      </c>
      <c r="DR36" s="605">
        <f>'KELURAHAN (DI ISI)'!DB122+'KELURAHAN (DI ISI)'!DB124+'KELURAHAN (DI ISI)'!DB123+'KELURAHAN (DI ISI)'!DB125+'KELURAHAN (DI ISI)'!DB126+'KELURAHAN (DI ISI)'!DB127+'KELURAHAN (DI ISI)'!DB132+'KELURAHAN (DI ISI)'!DB133+'KELURAHAN (DI ISI)'!DB134+'KELURAHAN (DI ISI)'!DB135+'KELURAHAN (DI ISI)'!DB137</f>
        <v>0</v>
      </c>
      <c r="DS36" s="605">
        <f>'KELURAHAN (DI ISI)'!DC122+'KELURAHAN (DI ISI)'!DC124+'KELURAHAN (DI ISI)'!DC123+'KELURAHAN (DI ISI)'!DC125+'KELURAHAN (DI ISI)'!DC126+'KELURAHAN (DI ISI)'!DC127+'KELURAHAN (DI ISI)'!DC132+'KELURAHAN (DI ISI)'!DC133+'KELURAHAN (DI ISI)'!DC134+'KELURAHAN (DI ISI)'!DC135+'KELURAHAN (DI ISI)'!DC137</f>
        <v>0</v>
      </c>
      <c r="DT36" s="605">
        <f>'KELURAHAN (DI ISI)'!DD122+'KELURAHAN (DI ISI)'!DD124+'KELURAHAN (DI ISI)'!DD123+'KELURAHAN (DI ISI)'!DD125+'KELURAHAN (DI ISI)'!DD126+'KELURAHAN (DI ISI)'!DD127+'KELURAHAN (DI ISI)'!DD132+'KELURAHAN (DI ISI)'!DD133+'KELURAHAN (DI ISI)'!DD134+'KELURAHAN (DI ISI)'!DD135+'KELURAHAN (DI ISI)'!DD137</f>
        <v>0</v>
      </c>
      <c r="DU36" s="605">
        <f>'KELURAHAN (DI ISI)'!DE122+'KELURAHAN (DI ISI)'!DE124+'KELURAHAN (DI ISI)'!DE123+'KELURAHAN (DI ISI)'!DE125+'KELURAHAN (DI ISI)'!DE126+'KELURAHAN (DI ISI)'!DE127+'KELURAHAN (DI ISI)'!DE132+'KELURAHAN (DI ISI)'!DE133+'KELURAHAN (DI ISI)'!DE134+'KELURAHAN (DI ISI)'!DE135+'KELURAHAN (DI ISI)'!DE137</f>
        <v>0</v>
      </c>
      <c r="DV36" s="605">
        <f>'KELURAHAN (DI ISI)'!DF122+'KELURAHAN (DI ISI)'!DF124+'KELURAHAN (DI ISI)'!DF123+'KELURAHAN (DI ISI)'!DF125+'KELURAHAN (DI ISI)'!DF126+'KELURAHAN (DI ISI)'!DF127+'KELURAHAN (DI ISI)'!DF132+'KELURAHAN (DI ISI)'!DF133+'KELURAHAN (DI ISI)'!DF134+'KELURAHAN (DI ISI)'!DF135+'KELURAHAN (DI ISI)'!DF137</f>
        <v>0</v>
      </c>
      <c r="DW36" s="605">
        <f>'KELURAHAN (DI ISI)'!DG122+'KELURAHAN (DI ISI)'!DG124+'KELURAHAN (DI ISI)'!DG123+'KELURAHAN (DI ISI)'!DG125+'KELURAHAN (DI ISI)'!DG126+'KELURAHAN (DI ISI)'!DG127+'KELURAHAN (DI ISI)'!DG132+'KELURAHAN (DI ISI)'!DG133+'KELURAHAN (DI ISI)'!DG134+'KELURAHAN (DI ISI)'!DG135+'KELURAHAN (DI ISI)'!DG137</f>
        <v>1</v>
      </c>
      <c r="DX36" s="605">
        <f>'KELURAHAN (DI ISI)'!DH122+'KELURAHAN (DI ISI)'!DH124+'KELURAHAN (DI ISI)'!DH123+'KELURAHAN (DI ISI)'!DH125+'KELURAHAN (DI ISI)'!DH126+'KELURAHAN (DI ISI)'!DH127+'KELURAHAN (DI ISI)'!DH132+'KELURAHAN (DI ISI)'!DH133+'KELURAHAN (DI ISI)'!DH134+'KELURAHAN (DI ISI)'!DH135+'KELURAHAN (DI ISI)'!DH137</f>
        <v>3575</v>
      </c>
      <c r="DY36" s="605">
        <f>'KELURAHAN (DI ISI)'!DI122+'KELURAHAN (DI ISI)'!DI124+'KELURAHAN (DI ISI)'!DI123+'KELURAHAN (DI ISI)'!DI125+'KELURAHAN (DI ISI)'!DI126+'KELURAHAN (DI ISI)'!DI127+'KELURAHAN (DI ISI)'!DI132+'KELURAHAN (DI ISI)'!DI133+'KELURAHAN (DI ISI)'!DI134+'KELURAHAN (DI ISI)'!DI135+'KELURAHAN (DI ISI)'!DI137</f>
        <v>1082</v>
      </c>
      <c r="DZ36" s="605">
        <f>'KELURAHAN (DI ISI)'!DJ122+'KELURAHAN (DI ISI)'!DJ124+'KELURAHAN (DI ISI)'!DJ123+'KELURAHAN (DI ISI)'!DJ125+'KELURAHAN (DI ISI)'!DJ126+'KELURAHAN (DI ISI)'!DJ127+'KELURAHAN (DI ISI)'!DJ132+'KELURAHAN (DI ISI)'!DJ133+'KELURAHAN (DI ISI)'!DJ134+'KELURAHAN (DI ISI)'!DJ135+'KELURAHAN (DI ISI)'!DJ137</f>
        <v>3435</v>
      </c>
      <c r="EA36" s="605">
        <f>'KELURAHAN (DI ISI)'!DK122+'KELURAHAN (DI ISI)'!DK124+'KELURAHAN (DI ISI)'!DK123+'KELURAHAN (DI ISI)'!DK125+'KELURAHAN (DI ISI)'!DK126+'KELURAHAN (DI ISI)'!DK127+'KELURAHAN (DI ISI)'!DK132+'KELURAHAN (DI ISI)'!DK133+'KELURAHAN (DI ISI)'!DK134+'KELURAHAN (DI ISI)'!DK135+'KELURAHAN (DI ISI)'!DK137</f>
        <v>1051</v>
      </c>
      <c r="EB36" s="605">
        <f>'KELURAHAN (DI ISI)'!DL122+'KELURAHAN (DI ISI)'!DL124+'KELURAHAN (DI ISI)'!DL123+'KELURAHAN (DI ISI)'!DL125+'KELURAHAN (DI ISI)'!DL126+'KELURAHAN (DI ISI)'!DL127+'KELURAHAN (DI ISI)'!DL132+'KELURAHAN (DI ISI)'!DL133+'KELURAHAN (DI ISI)'!DL134+'KELURAHAN (DI ISI)'!DL135+'KELURAHAN (DI ISI)'!DL137</f>
        <v>19</v>
      </c>
      <c r="EC36" s="605">
        <f>'KELURAHAN (DI ISI)'!DM122+'KELURAHAN (DI ISI)'!DM124+'KELURAHAN (DI ISI)'!DM123+'KELURAHAN (DI ISI)'!DM125+'KELURAHAN (DI ISI)'!DM126+'KELURAHAN (DI ISI)'!DM127+'KELURAHAN (DI ISI)'!DM132+'KELURAHAN (DI ISI)'!DM133+'KELURAHAN (DI ISI)'!DM134+'KELURAHAN (DI ISI)'!DM135+'KELURAHAN (DI ISI)'!DM137</f>
        <v>8</v>
      </c>
      <c r="ED36" s="491">
        <f t="shared" si="17"/>
        <v>11</v>
      </c>
      <c r="EE36" s="605">
        <f>'KELURAHAN (DI ISI)'!DO122+'KELURAHAN (DI ISI)'!DO124+'KELURAHAN (DI ISI)'!DO123+'KELURAHAN (DI ISI)'!DO125+'KELURAHAN (DI ISI)'!DO126+'KELURAHAN (DI ISI)'!DO127+'KELURAHAN (DI ISI)'!DO132+'KELURAHAN (DI ISI)'!DO133+'KELURAHAN (DI ISI)'!DO134+'KELURAHAN (DI ISI)'!DO135+'KELURAHAN (DI ISI)'!DO137</f>
        <v>0</v>
      </c>
      <c r="EF36" s="605">
        <f>'KELURAHAN (DI ISI)'!DP122+'KELURAHAN (DI ISI)'!DP124+'KELURAHAN (DI ISI)'!DP123+'KELURAHAN (DI ISI)'!DP125+'KELURAHAN (DI ISI)'!DP126+'KELURAHAN (DI ISI)'!DP127+'KELURAHAN (DI ISI)'!DP132+'KELURAHAN (DI ISI)'!DP133+'KELURAHAN (DI ISI)'!DP134+'KELURAHAN (DI ISI)'!DP135+'KELURAHAN (DI ISI)'!DP137</f>
        <v>0</v>
      </c>
      <c r="EG36" s="605">
        <f>'KELURAHAN (DI ISI)'!DQ122+'KELURAHAN (DI ISI)'!DQ124+'KELURAHAN (DI ISI)'!DQ123+'KELURAHAN (DI ISI)'!DQ125+'KELURAHAN (DI ISI)'!DQ126+'KELURAHAN (DI ISI)'!DQ127+'KELURAHAN (DI ISI)'!DQ132+'KELURAHAN (DI ISI)'!DQ133+'KELURAHAN (DI ISI)'!DQ134+'KELURAHAN (DI ISI)'!DQ135+'KELURAHAN (DI ISI)'!DQ137</f>
        <v>6</v>
      </c>
      <c r="EH36" s="605">
        <f>'KELURAHAN (DI ISI)'!DR122+'KELURAHAN (DI ISI)'!DR124+'KELURAHAN (DI ISI)'!DR123+'KELURAHAN (DI ISI)'!DR125+'KELURAHAN (DI ISI)'!DR126+'KELURAHAN (DI ISI)'!DR127+'KELURAHAN (DI ISI)'!DR132+'KELURAHAN (DI ISI)'!DR133+'KELURAHAN (DI ISI)'!DR134+'KELURAHAN (DI ISI)'!DR135+'KELURAHAN (DI ISI)'!DR137</f>
        <v>10</v>
      </c>
      <c r="EI36" s="605">
        <f>'KELURAHAN (DI ISI)'!DS122+'KELURAHAN (DI ISI)'!DS124+'KELURAHAN (DI ISI)'!DS123+'KELURAHAN (DI ISI)'!DS125+'KELURAHAN (DI ISI)'!DS126+'KELURAHAN (DI ISI)'!DS127+'KELURAHAN (DI ISI)'!DS132+'KELURAHAN (DI ISI)'!DS133+'KELURAHAN (DI ISI)'!DS134+'KELURAHAN (DI ISI)'!DS135+'KELURAHAN (DI ISI)'!DS137</f>
        <v>0</v>
      </c>
      <c r="EJ36" s="605">
        <f>'KELURAHAN (DI ISI)'!DT122+'KELURAHAN (DI ISI)'!DT124+'KELURAHAN (DI ISI)'!DT123+'KELURAHAN (DI ISI)'!DT125+'KELURAHAN (DI ISI)'!DT126+'KELURAHAN (DI ISI)'!DT127+'KELURAHAN (DI ISI)'!DT132+'KELURAHAN (DI ISI)'!DT133+'KELURAHAN (DI ISI)'!DT134+'KELURAHAN (DI ISI)'!DT135+'KELURAHAN (DI ISI)'!DT137</f>
        <v>1</v>
      </c>
      <c r="EK36" s="605">
        <f>'KELURAHAN (DI ISI)'!DU122+'KELURAHAN (DI ISI)'!DU124+'KELURAHAN (DI ISI)'!DU123+'KELURAHAN (DI ISI)'!DU125+'KELURAHAN (DI ISI)'!DU126+'KELURAHAN (DI ISI)'!DU127+'KELURAHAN (DI ISI)'!DU132+'KELURAHAN (DI ISI)'!DU133+'KELURAHAN (DI ISI)'!DU134+'KELURAHAN (DI ISI)'!DU135+'KELURAHAN (DI ISI)'!DU137</f>
        <v>1</v>
      </c>
      <c r="EL36" s="605">
        <f>'KELURAHAN (DI ISI)'!DV122+'KELURAHAN (DI ISI)'!DV124+'KELURAHAN (DI ISI)'!DV123+'KELURAHAN (DI ISI)'!DV125+'KELURAHAN (DI ISI)'!DV126+'KELURAHAN (DI ISI)'!DV127+'KELURAHAN (DI ISI)'!DV132+'KELURAHAN (DI ISI)'!DV133+'KELURAHAN (DI ISI)'!DV134+'KELURAHAN (DI ISI)'!DV135+'KELURAHAN (DI ISI)'!DV137</f>
        <v>1</v>
      </c>
      <c r="EM36" s="605">
        <f>'KELURAHAN (DI ISI)'!DW122+'KELURAHAN (DI ISI)'!DW124+'KELURAHAN (DI ISI)'!DW123+'KELURAHAN (DI ISI)'!DW125+'KELURAHAN (DI ISI)'!DW126+'KELURAHAN (DI ISI)'!DW127+'KELURAHAN (DI ISI)'!DW132+'KELURAHAN (DI ISI)'!DW133+'KELURAHAN (DI ISI)'!DW134+'KELURAHAN (DI ISI)'!DW135+'KELURAHAN (DI ISI)'!DW137</f>
        <v>0</v>
      </c>
      <c r="EN36" s="605">
        <f>'KELURAHAN (DI ISI)'!DX122+'KELURAHAN (DI ISI)'!DX124+'KELURAHAN (DI ISI)'!DX123+'KELURAHAN (DI ISI)'!DX125+'KELURAHAN (DI ISI)'!DX126+'KELURAHAN (DI ISI)'!DX127+'KELURAHAN (DI ISI)'!DX132+'KELURAHAN (DI ISI)'!DX133+'KELURAHAN (DI ISI)'!DX134+'KELURAHAN (DI ISI)'!DX135+'KELURAHAN (DI ISI)'!DX137</f>
        <v>0</v>
      </c>
      <c r="EO36" s="605">
        <f>'KELURAHAN (DI ISI)'!DY122+'KELURAHAN (DI ISI)'!DY124+'KELURAHAN (DI ISI)'!DY123+'KELURAHAN (DI ISI)'!DY125+'KELURAHAN (DI ISI)'!DY126+'KELURAHAN (DI ISI)'!DY127+'KELURAHAN (DI ISI)'!DY132+'KELURAHAN (DI ISI)'!DY133+'KELURAHAN (DI ISI)'!DY134+'KELURAHAN (DI ISI)'!DY135+'KELURAHAN (DI ISI)'!DY137</f>
        <v>0</v>
      </c>
      <c r="EP36" s="605">
        <f>'KELURAHAN (DI ISI)'!DZ122+'KELURAHAN (DI ISI)'!DZ124+'KELURAHAN (DI ISI)'!DZ123+'KELURAHAN (DI ISI)'!DZ125+'KELURAHAN (DI ISI)'!DZ126+'KELURAHAN (DI ISI)'!DZ127+'KELURAHAN (DI ISI)'!DZ132+'KELURAHAN (DI ISI)'!DZ133+'KELURAHAN (DI ISI)'!DZ134+'KELURAHAN (DI ISI)'!DZ135+'KELURAHAN (DI ISI)'!DZ137</f>
        <v>0</v>
      </c>
      <c r="EQ36" s="605">
        <f>'KELURAHAN (DI ISI)'!EA122+'KELURAHAN (DI ISI)'!EA124+'KELURAHAN (DI ISI)'!EA123+'KELURAHAN (DI ISI)'!EA125+'KELURAHAN (DI ISI)'!EA126+'KELURAHAN (DI ISI)'!EA127+'KELURAHAN (DI ISI)'!EA132+'KELURAHAN (DI ISI)'!EA133+'KELURAHAN (DI ISI)'!EA134+'KELURAHAN (DI ISI)'!EA135+'KELURAHAN (DI ISI)'!EA137</f>
        <v>0</v>
      </c>
      <c r="ER36" s="605">
        <f>'KELURAHAN (DI ISI)'!EB122+'KELURAHAN (DI ISI)'!EB124+'KELURAHAN (DI ISI)'!EB123+'KELURAHAN (DI ISI)'!EB125+'KELURAHAN (DI ISI)'!EB126+'KELURAHAN (DI ISI)'!EB127+'KELURAHAN (DI ISI)'!EB132+'KELURAHAN (DI ISI)'!EB133+'KELURAHAN (DI ISI)'!EB134+'KELURAHAN (DI ISI)'!EB135+'KELURAHAN (DI ISI)'!EB137</f>
        <v>0</v>
      </c>
      <c r="ES36" s="605">
        <f>'KELURAHAN (DI ISI)'!EC122+'KELURAHAN (DI ISI)'!EC124+'KELURAHAN (DI ISI)'!EC123+'KELURAHAN (DI ISI)'!EC125+'KELURAHAN (DI ISI)'!EC126+'KELURAHAN (DI ISI)'!EC127+'KELURAHAN (DI ISI)'!EC132+'KELURAHAN (DI ISI)'!EC133+'KELURAHAN (DI ISI)'!EC134+'KELURAHAN (DI ISI)'!EC135+'KELURAHAN (DI ISI)'!EC137</f>
        <v>0</v>
      </c>
      <c r="ET36" s="605">
        <f>'KELURAHAN (DI ISI)'!ED122+'KELURAHAN (DI ISI)'!ED124+'KELURAHAN (DI ISI)'!ED123+'KELURAHAN (DI ISI)'!ED125+'KELURAHAN (DI ISI)'!ED126+'KELURAHAN (DI ISI)'!ED127+'KELURAHAN (DI ISI)'!ED132+'KELURAHAN (DI ISI)'!ED133+'KELURAHAN (DI ISI)'!ED134+'KELURAHAN (DI ISI)'!ED135+'KELURAHAN (DI ISI)'!ED137</f>
        <v>0</v>
      </c>
      <c r="EU36" s="605">
        <f>'KELURAHAN (DI ISI)'!EE122+'KELURAHAN (DI ISI)'!EE124+'KELURAHAN (DI ISI)'!EE123+'KELURAHAN (DI ISI)'!EE125+'KELURAHAN (DI ISI)'!EE126+'KELURAHAN (DI ISI)'!EE127+'KELURAHAN (DI ISI)'!EE132+'KELURAHAN (DI ISI)'!EE133+'KELURAHAN (DI ISI)'!EE134+'KELURAHAN (DI ISI)'!EE135+'KELURAHAN (DI ISI)'!EE137</f>
        <v>0</v>
      </c>
      <c r="EV36" s="605">
        <f>'KELURAHAN (DI ISI)'!EF122+'KELURAHAN (DI ISI)'!EF124+'KELURAHAN (DI ISI)'!EF123+'KELURAHAN (DI ISI)'!EF125+'KELURAHAN (DI ISI)'!EF126+'KELURAHAN (DI ISI)'!EF127+'KELURAHAN (DI ISI)'!EF132+'KELURAHAN (DI ISI)'!EF133+'KELURAHAN (DI ISI)'!EF134+'KELURAHAN (DI ISI)'!EF135+'KELURAHAN (DI ISI)'!EF137</f>
        <v>0</v>
      </c>
      <c r="EW36" s="605">
        <f>'KELURAHAN (DI ISI)'!EG122+'KELURAHAN (DI ISI)'!EG124+'KELURAHAN (DI ISI)'!EG123+'KELURAHAN (DI ISI)'!EG125+'KELURAHAN (DI ISI)'!EG126+'KELURAHAN (DI ISI)'!EG127+'KELURAHAN (DI ISI)'!EG132+'KELURAHAN (DI ISI)'!EG133+'KELURAHAN (DI ISI)'!EG134+'KELURAHAN (DI ISI)'!EG135+'KELURAHAN (DI ISI)'!EG137</f>
        <v>0</v>
      </c>
      <c r="EX36" s="605">
        <f>'KELURAHAN (DI ISI)'!EH122+'KELURAHAN (DI ISI)'!EH124+'KELURAHAN (DI ISI)'!EH123+'KELURAHAN (DI ISI)'!EH125+'KELURAHAN (DI ISI)'!EH126+'KELURAHAN (DI ISI)'!EH127+'KELURAHAN (DI ISI)'!EH132+'KELURAHAN (DI ISI)'!EH133+'KELURAHAN (DI ISI)'!EH134+'KELURAHAN (DI ISI)'!EH135+'KELURAHAN (DI ISI)'!EH137</f>
        <v>0</v>
      </c>
      <c r="EY36" s="605">
        <f>'KELURAHAN (DI ISI)'!EI122+'KELURAHAN (DI ISI)'!EI124+'KELURAHAN (DI ISI)'!EI123+'KELURAHAN (DI ISI)'!EI125+'KELURAHAN (DI ISI)'!EI126+'KELURAHAN (DI ISI)'!EI127+'KELURAHAN (DI ISI)'!EI132+'KELURAHAN (DI ISI)'!EI133+'KELURAHAN (DI ISI)'!EI134+'KELURAHAN (DI ISI)'!EI135+'KELURAHAN (DI ISI)'!EI137</f>
        <v>3540</v>
      </c>
      <c r="EZ36" s="605">
        <f>'KELURAHAN (DI ISI)'!EJ122+'KELURAHAN (DI ISI)'!EJ124+'KELURAHAN (DI ISI)'!EJ123+'KELURAHAN (DI ISI)'!EJ125+'KELURAHAN (DI ISI)'!EJ126+'KELURAHAN (DI ISI)'!EJ127+'KELURAHAN (DI ISI)'!EJ132+'KELURAHAN (DI ISI)'!EJ133+'KELURAHAN (DI ISI)'!EJ134+'KELURAHAN (DI ISI)'!EJ135+'KELURAHAN (DI ISI)'!EJ137</f>
        <v>1069</v>
      </c>
      <c r="FA36" s="605">
        <f>'KELURAHAN (DI ISI)'!EK122+'KELURAHAN (DI ISI)'!EK124+'KELURAHAN (DI ISI)'!EK123+'KELURAHAN (DI ISI)'!EK125+'KELURAHAN (DI ISI)'!EK126+'KELURAHAN (DI ISI)'!EK127+'KELURAHAN (DI ISI)'!EK132+'KELURAHAN (DI ISI)'!EK133+'KELURAHAN (DI ISI)'!EK134+'KELURAHAN (DI ISI)'!EK135+'KELURAHAN (DI ISI)'!EK137</f>
        <v>3540</v>
      </c>
      <c r="FB36" s="605">
        <f>'KELURAHAN (DI ISI)'!EL122+'KELURAHAN (DI ISI)'!EL124+'KELURAHAN (DI ISI)'!EL123+'KELURAHAN (DI ISI)'!EL125+'KELURAHAN (DI ISI)'!EL126+'KELURAHAN (DI ISI)'!EL127+'KELURAHAN (DI ISI)'!EL132+'KELURAHAN (DI ISI)'!EL133+'KELURAHAN (DI ISI)'!EL134+'KELURAHAN (DI ISI)'!EL135+'KELURAHAN (DI ISI)'!EL137</f>
        <v>1069</v>
      </c>
      <c r="FC36" s="605">
        <f>'KELURAHAN (DI ISI)'!EM122+'KELURAHAN (DI ISI)'!EM124+'KELURAHAN (DI ISI)'!EM123+'KELURAHAN (DI ISI)'!EM125+'KELURAHAN (DI ISI)'!EM126+'KELURAHAN (DI ISI)'!EM127+'KELURAHAN (DI ISI)'!EM132+'KELURAHAN (DI ISI)'!EM133+'KELURAHAN (DI ISI)'!EM134+'KELURAHAN (DI ISI)'!EM135+'KELURAHAN (DI ISI)'!EM137</f>
        <v>19</v>
      </c>
      <c r="FD36" s="605">
        <f>'KELURAHAN (DI ISI)'!EN122+'KELURAHAN (DI ISI)'!EN124+'KELURAHAN (DI ISI)'!EN123+'KELURAHAN (DI ISI)'!EN125+'KELURAHAN (DI ISI)'!EN126+'KELURAHAN (DI ISI)'!EN127+'KELURAHAN (DI ISI)'!EN132+'KELURAHAN (DI ISI)'!EN133+'KELURAHAN (DI ISI)'!EN134+'KELURAHAN (DI ISI)'!EN135+'KELURAHAN (DI ISI)'!EN137</f>
        <v>8</v>
      </c>
      <c r="FE36" s="491">
        <f t="shared" si="18"/>
        <v>11</v>
      </c>
      <c r="FF36" s="605">
        <f>'KELURAHAN (DI ISI)'!EP122+'KELURAHAN (DI ISI)'!EP124+'KELURAHAN (DI ISI)'!EP123+'KELURAHAN (DI ISI)'!EP125+'KELURAHAN (DI ISI)'!EP126+'KELURAHAN (DI ISI)'!EP127+'KELURAHAN (DI ISI)'!EP132+'KELURAHAN (DI ISI)'!EP133+'KELURAHAN (DI ISI)'!EP134+'KELURAHAN (DI ISI)'!EP135+'KELURAHAN (DI ISI)'!EP137</f>
        <v>0</v>
      </c>
      <c r="FG36" s="605">
        <f>'KELURAHAN (DI ISI)'!EQ122+'KELURAHAN (DI ISI)'!EQ124+'KELURAHAN (DI ISI)'!EQ123+'KELURAHAN (DI ISI)'!EQ125+'KELURAHAN (DI ISI)'!EQ126+'KELURAHAN (DI ISI)'!EQ127+'KELURAHAN (DI ISI)'!EQ132+'KELURAHAN (DI ISI)'!EQ133+'KELURAHAN (DI ISI)'!EQ134+'KELURAHAN (DI ISI)'!EQ135+'KELURAHAN (DI ISI)'!EQ137</f>
        <v>0</v>
      </c>
      <c r="FH36" s="605">
        <f>'KELURAHAN (DI ISI)'!ER122+'KELURAHAN (DI ISI)'!ER124+'KELURAHAN (DI ISI)'!ER123+'KELURAHAN (DI ISI)'!ER125+'KELURAHAN (DI ISI)'!ER126+'KELURAHAN (DI ISI)'!ER127+'KELURAHAN (DI ISI)'!ER132+'KELURAHAN (DI ISI)'!ER133+'KELURAHAN (DI ISI)'!ER134+'KELURAHAN (DI ISI)'!ER135+'KELURAHAN (DI ISI)'!ER137</f>
        <v>7</v>
      </c>
      <c r="FI36" s="605">
        <f>'KELURAHAN (DI ISI)'!ES122+'KELURAHAN (DI ISI)'!ES124+'KELURAHAN (DI ISI)'!ES123+'KELURAHAN (DI ISI)'!ES125+'KELURAHAN (DI ISI)'!ES126+'KELURAHAN (DI ISI)'!ES127+'KELURAHAN (DI ISI)'!ES132+'KELURAHAN (DI ISI)'!ES133+'KELURAHAN (DI ISI)'!ES134+'KELURAHAN (DI ISI)'!ES135+'KELURAHAN (DI ISI)'!ES137</f>
        <v>11</v>
      </c>
      <c r="FJ36" s="605">
        <f>'KELURAHAN (DI ISI)'!ET122+'KELURAHAN (DI ISI)'!ET124+'KELURAHAN (DI ISI)'!ET123+'KELURAHAN (DI ISI)'!ET125+'KELURAHAN (DI ISI)'!ET126+'KELURAHAN (DI ISI)'!ET127+'KELURAHAN (DI ISI)'!ET132+'KELURAHAN (DI ISI)'!ET133+'KELURAHAN (DI ISI)'!ET134+'KELURAHAN (DI ISI)'!ET135+'KELURAHAN (DI ISI)'!ET137</f>
        <v>0</v>
      </c>
      <c r="FK36" s="605">
        <f>'KELURAHAN (DI ISI)'!EU122+'KELURAHAN (DI ISI)'!EU124+'KELURAHAN (DI ISI)'!EU123+'KELURAHAN (DI ISI)'!EU125+'KELURAHAN (DI ISI)'!EU126+'KELURAHAN (DI ISI)'!EU127+'KELURAHAN (DI ISI)'!EU132+'KELURAHAN (DI ISI)'!EU133+'KELURAHAN (DI ISI)'!EU134+'KELURAHAN (DI ISI)'!EU135+'KELURAHAN (DI ISI)'!EU137</f>
        <v>0</v>
      </c>
      <c r="FL36" s="605">
        <f>'KELURAHAN (DI ISI)'!EV122+'KELURAHAN (DI ISI)'!EV124+'KELURAHAN (DI ISI)'!EV123+'KELURAHAN (DI ISI)'!EV125+'KELURAHAN (DI ISI)'!EV126+'KELURAHAN (DI ISI)'!EV127+'KELURAHAN (DI ISI)'!EV132+'KELURAHAN (DI ISI)'!EV133+'KELURAHAN (DI ISI)'!EV134+'KELURAHAN (DI ISI)'!EV135+'KELURAHAN (DI ISI)'!EV137</f>
        <v>1</v>
      </c>
      <c r="FM36" s="605">
        <f>'KELURAHAN (DI ISI)'!EW122+'KELURAHAN (DI ISI)'!EW124+'KELURAHAN (DI ISI)'!EW123+'KELURAHAN (DI ISI)'!EW125+'KELURAHAN (DI ISI)'!EW126+'KELURAHAN (DI ISI)'!EW127+'KELURAHAN (DI ISI)'!EW132+'KELURAHAN (DI ISI)'!EW133+'KELURAHAN (DI ISI)'!EW134+'KELURAHAN (DI ISI)'!EW135+'KELURAHAN (DI ISI)'!EW137</f>
        <v>0</v>
      </c>
      <c r="FN36" s="605">
        <f>'KELURAHAN (DI ISI)'!EX122+'KELURAHAN (DI ISI)'!EX124+'KELURAHAN (DI ISI)'!EX123+'KELURAHAN (DI ISI)'!EX125+'KELURAHAN (DI ISI)'!EX126+'KELURAHAN (DI ISI)'!EX127+'KELURAHAN (DI ISI)'!EX132+'KELURAHAN (DI ISI)'!EX133+'KELURAHAN (DI ISI)'!EX134+'KELURAHAN (DI ISI)'!EX135+'KELURAHAN (DI ISI)'!EX137</f>
        <v>0</v>
      </c>
      <c r="FO36" s="605">
        <f>'KELURAHAN (DI ISI)'!EY122+'KELURAHAN (DI ISI)'!EY124+'KELURAHAN (DI ISI)'!EY123+'KELURAHAN (DI ISI)'!EY125+'KELURAHAN (DI ISI)'!EY126+'KELURAHAN (DI ISI)'!EY127+'KELURAHAN (DI ISI)'!EY132+'KELURAHAN (DI ISI)'!EY133+'KELURAHAN (DI ISI)'!EY134+'KELURAHAN (DI ISI)'!EY135+'KELURAHAN (DI ISI)'!EY137</f>
        <v>0</v>
      </c>
      <c r="FP36" s="605">
        <f>'KELURAHAN (DI ISI)'!EZ122+'KELURAHAN (DI ISI)'!EZ124+'KELURAHAN (DI ISI)'!EZ123+'KELURAHAN (DI ISI)'!EZ125+'KELURAHAN (DI ISI)'!EZ126+'KELURAHAN (DI ISI)'!EZ127+'KELURAHAN (DI ISI)'!EZ132+'KELURAHAN (DI ISI)'!EZ133+'KELURAHAN (DI ISI)'!EZ134+'KELURAHAN (DI ISI)'!EZ135+'KELURAHAN (DI ISI)'!EZ137</f>
        <v>0</v>
      </c>
      <c r="FQ36" s="605">
        <f>'KELURAHAN (DI ISI)'!FA122+'KELURAHAN (DI ISI)'!FA124+'KELURAHAN (DI ISI)'!FA123+'KELURAHAN (DI ISI)'!FA125+'KELURAHAN (DI ISI)'!FA126+'KELURAHAN (DI ISI)'!FA127+'KELURAHAN (DI ISI)'!FA132+'KELURAHAN (DI ISI)'!FA133+'KELURAHAN (DI ISI)'!FA134+'KELURAHAN (DI ISI)'!FA135+'KELURAHAN (DI ISI)'!FA137</f>
        <v>0</v>
      </c>
      <c r="FR36" s="605">
        <f>'KELURAHAN (DI ISI)'!FB122+'KELURAHAN (DI ISI)'!FB124+'KELURAHAN (DI ISI)'!FB123+'KELURAHAN (DI ISI)'!FB125+'KELURAHAN (DI ISI)'!FB126+'KELURAHAN (DI ISI)'!FB127+'KELURAHAN (DI ISI)'!FB132+'KELURAHAN (DI ISI)'!FB133+'KELURAHAN (DI ISI)'!FB134+'KELURAHAN (DI ISI)'!FB135+'KELURAHAN (DI ISI)'!FB137</f>
        <v>0</v>
      </c>
      <c r="FS36" s="605">
        <f>'KELURAHAN (DI ISI)'!FC122+'KELURAHAN (DI ISI)'!FC124+'KELURAHAN (DI ISI)'!FC123+'KELURAHAN (DI ISI)'!FC125+'KELURAHAN (DI ISI)'!FC126+'KELURAHAN (DI ISI)'!FC127+'KELURAHAN (DI ISI)'!FC132+'KELURAHAN (DI ISI)'!FC133+'KELURAHAN (DI ISI)'!FC134+'KELURAHAN (DI ISI)'!FC135+'KELURAHAN (DI ISI)'!FC137</f>
        <v>0</v>
      </c>
      <c r="FT36" s="605">
        <f>'KELURAHAN (DI ISI)'!FD122+'KELURAHAN (DI ISI)'!FD124+'KELURAHAN (DI ISI)'!FD123+'KELURAHAN (DI ISI)'!FD125+'KELURAHAN (DI ISI)'!FD126+'KELURAHAN (DI ISI)'!FD127+'KELURAHAN (DI ISI)'!FD132+'KELURAHAN (DI ISI)'!FD133+'KELURAHAN (DI ISI)'!FD134+'KELURAHAN (DI ISI)'!FD135+'KELURAHAN (DI ISI)'!FD137</f>
        <v>0</v>
      </c>
      <c r="FU36" s="605">
        <f>'KELURAHAN (DI ISI)'!FE122+'KELURAHAN (DI ISI)'!FE124+'KELURAHAN (DI ISI)'!FE123+'KELURAHAN (DI ISI)'!FE125+'KELURAHAN (DI ISI)'!FE126+'KELURAHAN (DI ISI)'!FE127+'KELURAHAN (DI ISI)'!FE132+'KELURAHAN (DI ISI)'!FE133+'KELURAHAN (DI ISI)'!FE134+'KELURAHAN (DI ISI)'!FE135+'KELURAHAN (DI ISI)'!FE137</f>
        <v>0</v>
      </c>
      <c r="FV36" s="605">
        <f>'KELURAHAN (DI ISI)'!FF122+'KELURAHAN (DI ISI)'!FF124+'KELURAHAN (DI ISI)'!FF123+'KELURAHAN (DI ISI)'!FF125+'KELURAHAN (DI ISI)'!FF126+'KELURAHAN (DI ISI)'!FF127+'KELURAHAN (DI ISI)'!FF132+'KELURAHAN (DI ISI)'!FF133+'KELURAHAN (DI ISI)'!FF134+'KELURAHAN (DI ISI)'!FF135+'KELURAHAN (DI ISI)'!FF137</f>
        <v>1</v>
      </c>
      <c r="FW36" s="605">
        <f>'KELURAHAN (DI ISI)'!FG122+'KELURAHAN (DI ISI)'!FG124+'KELURAHAN (DI ISI)'!FG123+'KELURAHAN (DI ISI)'!FG125+'KELURAHAN (DI ISI)'!FG126+'KELURAHAN (DI ISI)'!FG127+'KELURAHAN (DI ISI)'!FG132+'KELURAHAN (DI ISI)'!FG133+'KELURAHAN (DI ISI)'!FG134+'KELURAHAN (DI ISI)'!FG135+'KELURAHAN (DI ISI)'!FG137</f>
        <v>0</v>
      </c>
      <c r="FX36" s="605">
        <f>'KELURAHAN (DI ISI)'!FH122+'KELURAHAN (DI ISI)'!FH124+'KELURAHAN (DI ISI)'!FH123+'KELURAHAN (DI ISI)'!FH125+'KELURAHAN (DI ISI)'!FH126+'KELURAHAN (DI ISI)'!FH127+'KELURAHAN (DI ISI)'!FH132+'KELURAHAN (DI ISI)'!FH133+'KELURAHAN (DI ISI)'!FH134+'KELURAHAN (DI ISI)'!FH135+'KELURAHAN (DI ISI)'!FH137</f>
        <v>1</v>
      </c>
      <c r="FY36" s="605">
        <f>'KELURAHAN (DI ISI)'!FI122+'KELURAHAN (DI ISI)'!FI124+'KELURAHAN (DI ISI)'!FI123+'KELURAHAN (DI ISI)'!FI125+'KELURAHAN (DI ISI)'!FI126+'KELURAHAN (DI ISI)'!FI127+'KELURAHAN (DI ISI)'!FI132+'KELURAHAN (DI ISI)'!FI133+'KELURAHAN (DI ISI)'!FI134+'KELURAHAN (DI ISI)'!FI135+'KELURAHAN (DI ISI)'!FI137</f>
        <v>0</v>
      </c>
      <c r="FZ36" s="605">
        <f>'KELURAHAN (DI ISI)'!FJ122+'KELURAHAN (DI ISI)'!FJ124+'KELURAHAN (DI ISI)'!FJ123+'KELURAHAN (DI ISI)'!FJ125+'KELURAHAN (DI ISI)'!FJ126+'KELURAHAN (DI ISI)'!FJ127+'KELURAHAN (DI ISI)'!FJ132+'KELURAHAN (DI ISI)'!FJ133+'KELURAHAN (DI ISI)'!FJ134+'KELURAHAN (DI ISI)'!FJ135+'KELURAHAN (DI ISI)'!FJ137</f>
        <v>3532</v>
      </c>
      <c r="GA36" s="605">
        <f>'KELURAHAN (DI ISI)'!FK122+'KELURAHAN (DI ISI)'!FK124+'KELURAHAN (DI ISI)'!FK123+'KELURAHAN (DI ISI)'!FK125+'KELURAHAN (DI ISI)'!FK126+'KELURAHAN (DI ISI)'!FK127+'KELURAHAN (DI ISI)'!FK132+'KELURAHAN (DI ISI)'!FK133+'KELURAHAN (DI ISI)'!FK134+'KELURAHAN (DI ISI)'!FK135+'KELURAHAN (DI ISI)'!FK137</f>
        <v>864</v>
      </c>
      <c r="GB36" s="605">
        <f>'KELURAHAN (DI ISI)'!FL122+'KELURAHAN (DI ISI)'!FL124+'KELURAHAN (DI ISI)'!FL123+'KELURAHAN (DI ISI)'!FL125+'KELURAHAN (DI ISI)'!FL126+'KELURAHAN (DI ISI)'!FL127+'KELURAHAN (DI ISI)'!FL132+'KELURAHAN (DI ISI)'!FL133+'KELURAHAN (DI ISI)'!FL134+'KELURAHAN (DI ISI)'!FL135+'KELURAHAN (DI ISI)'!FL137</f>
        <v>3532</v>
      </c>
      <c r="GC36" s="605">
        <f>'KELURAHAN (DI ISI)'!FM122+'KELURAHAN (DI ISI)'!FM124+'KELURAHAN (DI ISI)'!FM123+'KELURAHAN (DI ISI)'!FM125+'KELURAHAN (DI ISI)'!FM126+'KELURAHAN (DI ISI)'!FM127+'KELURAHAN (DI ISI)'!FM132+'KELURAHAN (DI ISI)'!FM133+'KELURAHAN (DI ISI)'!FM134+'KELURAHAN (DI ISI)'!FM135+'KELURAHAN (DI ISI)'!FM137</f>
        <v>864</v>
      </c>
      <c r="GD36" s="570">
        <v>3532.0</v>
      </c>
      <c r="GE36" s="571">
        <f>'KELURAHAN (DI ISI)'!FO122+'KELURAHAN (DI ISI)'!FO124+'KELURAHAN (DI ISI)'!FO123+'KELURAHAN (DI ISI)'!FO125+'KELURAHAN (DI ISI)'!FO126+'KELURAHAN (DI ISI)'!FO127+'KELURAHAN (DI ISI)'!FO132+'KELURAHAN (DI ISI)'!FO133+'KELURAHAN (DI ISI)'!FO134+'KELURAHAN (DI ISI)'!FO135+'KELURAHAN (DI ISI)'!FO137</f>
        <v>19</v>
      </c>
      <c r="GF36" s="571">
        <f>'KELURAHAN (DI ISI)'!FP122+'KELURAHAN (DI ISI)'!FP124+'KELURAHAN (DI ISI)'!FP123+'KELURAHAN (DI ISI)'!FP125+'KELURAHAN (DI ISI)'!FP126+'KELURAHAN (DI ISI)'!FP127+'KELURAHAN (DI ISI)'!FP132+'KELURAHAN (DI ISI)'!FP133+'KELURAHAN (DI ISI)'!FP134+'KELURAHAN (DI ISI)'!FP135+'KELURAHAN (DI ISI)'!FP137</f>
        <v>19</v>
      </c>
      <c r="GG36" s="571">
        <f>'KELURAHAN (DI ISI)'!FP122+'KELURAHAN (DI ISI)'!FP124+'KELURAHAN (DI ISI)'!FP123+'KELURAHAN (DI ISI)'!FP125+'KELURAHAN (DI ISI)'!FP126+'KELURAHAN (DI ISI)'!FP127+'KELURAHAN (DI ISI)'!FP132+'KELURAHAN (DI ISI)'!FP133+'KELURAHAN (DI ISI)'!FP134+'KELURAHAN (DI ISI)'!FP135+'KELURAHAN (DI ISI)'!FP137</f>
        <v>19</v>
      </c>
      <c r="GH36" s="571">
        <f>'KELURAHAN (DI ISI)'!FQ122+'KELURAHAN (DI ISI)'!FQ124+'KELURAHAN (DI ISI)'!FQ123+'KELURAHAN (DI ISI)'!FQ125+'KELURAHAN (DI ISI)'!FQ126+'KELURAHAN (DI ISI)'!FQ127+'KELURAHAN (DI ISI)'!FQ132+'KELURAHAN (DI ISI)'!FQ133+'KELURAHAN (DI ISI)'!FQ134+'KELURAHAN (DI ISI)'!FQ135+'KELURAHAN (DI ISI)'!FQ137</f>
        <v>7</v>
      </c>
      <c r="GI36" s="571">
        <f t="shared" si="19"/>
        <v>12</v>
      </c>
      <c r="GJ36" s="605">
        <f>'KELURAHAN (DI ISI)'!FS122+'KELURAHAN (DI ISI)'!FS124+'KELURAHAN (DI ISI)'!FS123+'KELURAHAN (DI ISI)'!FS125+'KELURAHAN (DI ISI)'!FS126+'KELURAHAN (DI ISI)'!FS127+'KELURAHAN (DI ISI)'!FS132+'KELURAHAN (DI ISI)'!FS133+'KELURAHAN (DI ISI)'!FS134+'KELURAHAN (DI ISI)'!FS135+'KELURAHAN (DI ISI)'!FS137</f>
        <v>0</v>
      </c>
      <c r="GK36" s="605">
        <f>'KELURAHAN (DI ISI)'!FT122+'KELURAHAN (DI ISI)'!FT124+'KELURAHAN (DI ISI)'!FT123+'KELURAHAN (DI ISI)'!FT125+'KELURAHAN (DI ISI)'!FT126+'KELURAHAN (DI ISI)'!FT127+'KELURAHAN (DI ISI)'!FT132+'KELURAHAN (DI ISI)'!FT133+'KELURAHAN (DI ISI)'!FT134+'KELURAHAN (DI ISI)'!FT135+'KELURAHAN (DI ISI)'!FT137</f>
        <v>0</v>
      </c>
      <c r="GL36" s="605">
        <f>'KELURAHAN (DI ISI)'!FU122+'KELURAHAN (DI ISI)'!FU124+'KELURAHAN (DI ISI)'!FU123+'KELURAHAN (DI ISI)'!FU125+'KELURAHAN (DI ISI)'!FU126+'KELURAHAN (DI ISI)'!FU127+'KELURAHAN (DI ISI)'!FU132+'KELURAHAN (DI ISI)'!FU133+'KELURAHAN (DI ISI)'!FU134+'KELURAHAN (DI ISI)'!FU135+'KELURAHAN (DI ISI)'!FU137</f>
        <v>6</v>
      </c>
      <c r="GM36" s="605">
        <f>'KELURAHAN (DI ISI)'!FV122+'KELURAHAN (DI ISI)'!FV124+'KELURAHAN (DI ISI)'!FV123+'KELURAHAN (DI ISI)'!FV125+'KELURAHAN (DI ISI)'!FV126+'KELURAHAN (DI ISI)'!FV127+'KELURAHAN (DI ISI)'!FV132+'KELURAHAN (DI ISI)'!FV133+'KELURAHAN (DI ISI)'!FV134+'KELURAHAN (DI ISI)'!FV135+'KELURAHAN (DI ISI)'!FV137</f>
        <v>12</v>
      </c>
      <c r="GN36" s="605">
        <f>'KELURAHAN (DI ISI)'!FW122+'KELURAHAN (DI ISI)'!FW124+'KELURAHAN (DI ISI)'!FW123+'KELURAHAN (DI ISI)'!FW125+'KELURAHAN (DI ISI)'!FW126+'KELURAHAN (DI ISI)'!FW127+'KELURAHAN (DI ISI)'!FW132+'KELURAHAN (DI ISI)'!FW133+'KELURAHAN (DI ISI)'!FW134+'KELURAHAN (DI ISI)'!FW135+'KELURAHAN (DI ISI)'!FW137</f>
        <v>0</v>
      </c>
      <c r="GO36" s="605">
        <f>'KELURAHAN (DI ISI)'!FX122+'KELURAHAN (DI ISI)'!FX124+'KELURAHAN (DI ISI)'!FX123+'KELURAHAN (DI ISI)'!FX125+'KELURAHAN (DI ISI)'!FX126+'KELURAHAN (DI ISI)'!FX127+'KELURAHAN (DI ISI)'!FX132+'KELURAHAN (DI ISI)'!FX133+'KELURAHAN (DI ISI)'!FX134+'KELURAHAN (DI ISI)'!FX135+'KELURAHAN (DI ISI)'!FX137</f>
        <v>0</v>
      </c>
      <c r="GP36" s="605">
        <f>'KELURAHAN (DI ISI)'!FY122+'KELURAHAN (DI ISI)'!FY124+'KELURAHAN (DI ISI)'!FY123+'KELURAHAN (DI ISI)'!FY125+'KELURAHAN (DI ISI)'!FY126+'KELURAHAN (DI ISI)'!FY127+'KELURAHAN (DI ISI)'!FY132+'KELURAHAN (DI ISI)'!FY133+'KELURAHAN (DI ISI)'!FY134+'KELURAHAN (DI ISI)'!FY135+'KELURAHAN (DI ISI)'!FY137</f>
        <v>1</v>
      </c>
      <c r="GQ36" s="605">
        <f>'KELURAHAN (DI ISI)'!FZ122+'KELURAHAN (DI ISI)'!FZ124+'KELURAHAN (DI ISI)'!FZ123+'KELURAHAN (DI ISI)'!FZ125+'KELURAHAN (DI ISI)'!FZ126+'KELURAHAN (DI ISI)'!FZ127+'KELURAHAN (DI ISI)'!FZ132+'KELURAHAN (DI ISI)'!FZ133+'KELURAHAN (DI ISI)'!FZ134+'KELURAHAN (DI ISI)'!FZ135+'KELURAHAN (DI ISI)'!FZ137</f>
        <v>0</v>
      </c>
      <c r="GR36" s="605">
        <f>'KELURAHAN (DI ISI)'!GA122+'KELURAHAN (DI ISI)'!GA124+'KELURAHAN (DI ISI)'!GA123+'KELURAHAN (DI ISI)'!GA125+'KELURAHAN (DI ISI)'!GA126+'KELURAHAN (DI ISI)'!GA127+'KELURAHAN (DI ISI)'!GA132+'KELURAHAN (DI ISI)'!GA133+'KELURAHAN (DI ISI)'!GA134+'KELURAHAN (DI ISI)'!GA135+'KELURAHAN (DI ISI)'!GA137</f>
        <v>0</v>
      </c>
      <c r="GS36" s="605">
        <f>'KELURAHAN (DI ISI)'!GB122+'KELURAHAN (DI ISI)'!GB124+'KELURAHAN (DI ISI)'!GB123+'KELURAHAN (DI ISI)'!GB125+'KELURAHAN (DI ISI)'!GB126+'KELURAHAN (DI ISI)'!GB127+'KELURAHAN (DI ISI)'!GB132+'KELURAHAN (DI ISI)'!GB133+'KELURAHAN (DI ISI)'!GB134+'KELURAHAN (DI ISI)'!GB135+'KELURAHAN (DI ISI)'!GB137</f>
        <v>0</v>
      </c>
      <c r="GT36" s="605">
        <f>'KELURAHAN (DI ISI)'!GC122+'KELURAHAN (DI ISI)'!GC124+'KELURAHAN (DI ISI)'!GC123+'KELURAHAN (DI ISI)'!GC125+'KELURAHAN (DI ISI)'!GC126+'KELURAHAN (DI ISI)'!GC127+'KELURAHAN (DI ISI)'!GC132+'KELURAHAN (DI ISI)'!GC133+'KELURAHAN (DI ISI)'!GC134+'KELURAHAN (DI ISI)'!GC135+'KELURAHAN (DI ISI)'!GC137</f>
        <v>0</v>
      </c>
      <c r="GU36" s="605">
        <f>'KELURAHAN (DI ISI)'!GD122+'KELURAHAN (DI ISI)'!GD124+'KELURAHAN (DI ISI)'!GD123+'KELURAHAN (DI ISI)'!GD125+'KELURAHAN (DI ISI)'!GD126+'KELURAHAN (DI ISI)'!GD127+'KELURAHAN (DI ISI)'!GD132+'KELURAHAN (DI ISI)'!GD133+'KELURAHAN (DI ISI)'!GD134+'KELURAHAN (DI ISI)'!GD135+'KELURAHAN (DI ISI)'!GD137</f>
        <v>1</v>
      </c>
      <c r="GV36" s="605">
        <f>'KELURAHAN (DI ISI)'!GE122+'KELURAHAN (DI ISI)'!GE124+'KELURAHAN (DI ISI)'!GE123+'KELURAHAN (DI ISI)'!GE125+'KELURAHAN (DI ISI)'!GE126+'KELURAHAN (DI ISI)'!GE127+'KELURAHAN (DI ISI)'!GE132+'KELURAHAN (DI ISI)'!GE133+'KELURAHAN (DI ISI)'!GE134+'KELURAHAN (DI ISI)'!GE135+'KELURAHAN (DI ISI)'!GE137</f>
        <v>0</v>
      </c>
      <c r="GW36" s="605">
        <f>'KELURAHAN (DI ISI)'!GF122+'KELURAHAN (DI ISI)'!GF124+'KELURAHAN (DI ISI)'!GF123+'KELURAHAN (DI ISI)'!GF125+'KELURAHAN (DI ISI)'!GF126+'KELURAHAN (DI ISI)'!GF127+'KELURAHAN (DI ISI)'!GF132+'KELURAHAN (DI ISI)'!GF133+'KELURAHAN (DI ISI)'!GF134+'KELURAHAN (DI ISI)'!GF135+'KELURAHAN (DI ISI)'!GF137</f>
        <v>0</v>
      </c>
      <c r="GX36" s="605">
        <f>'KELURAHAN (DI ISI)'!GG122+'KELURAHAN (DI ISI)'!GG124+'KELURAHAN (DI ISI)'!GG123+'KELURAHAN (DI ISI)'!GG125+'KELURAHAN (DI ISI)'!GG126+'KELURAHAN (DI ISI)'!GG127+'KELURAHAN (DI ISI)'!GG132+'KELURAHAN (DI ISI)'!GG133+'KELURAHAN (DI ISI)'!GG134+'KELURAHAN (DI ISI)'!GG135+'KELURAHAN (DI ISI)'!GG137</f>
        <v>0</v>
      </c>
      <c r="GY36" s="605">
        <f>'KELURAHAN (DI ISI)'!GH122+'KELURAHAN (DI ISI)'!GH124+'KELURAHAN (DI ISI)'!GH123+'KELURAHAN (DI ISI)'!GH125+'KELURAHAN (DI ISI)'!GH126+'KELURAHAN (DI ISI)'!GH127+'KELURAHAN (DI ISI)'!GH132+'KELURAHAN (DI ISI)'!GH133+'KELURAHAN (DI ISI)'!GH134+'KELURAHAN (DI ISI)'!GH135+'KELURAHAN (DI ISI)'!GH137</f>
        <v>0</v>
      </c>
      <c r="GZ36" s="605">
        <f>'KELURAHAN (DI ISI)'!GI122+'KELURAHAN (DI ISI)'!GI124+'KELURAHAN (DI ISI)'!GI123+'KELURAHAN (DI ISI)'!GI125+'KELURAHAN (DI ISI)'!GI126+'KELURAHAN (DI ISI)'!GI127+'KELURAHAN (DI ISI)'!GI132+'KELURAHAN (DI ISI)'!GI133+'KELURAHAN (DI ISI)'!GI134+'KELURAHAN (DI ISI)'!GI135+'KELURAHAN (DI ISI)'!GI137</f>
        <v>0</v>
      </c>
      <c r="HA36" s="605">
        <f>'KELURAHAN (DI ISI)'!GJ122+'KELURAHAN (DI ISI)'!GJ124+'KELURAHAN (DI ISI)'!GJ123+'KELURAHAN (DI ISI)'!GJ125+'KELURAHAN (DI ISI)'!GJ126+'KELURAHAN (DI ISI)'!GJ127+'KELURAHAN (DI ISI)'!GJ132+'KELURAHAN (DI ISI)'!GJ133+'KELURAHAN (DI ISI)'!GJ134+'KELURAHAN (DI ISI)'!GJ135+'KELURAHAN (DI ISI)'!GJ137</f>
        <v>0</v>
      </c>
      <c r="HB36" s="572">
        <f>'KELURAHAN (DI ISI)'!GK122+'KELURAHAN (DI ISI)'!GK124+'KELURAHAN (DI ISI)'!GK123+'KELURAHAN (DI ISI)'!GK125+'KELURAHAN (DI ISI)'!GK126+'KELURAHAN (DI ISI)'!GK127+'KELURAHAN (DI ISI)'!GK132+'KELURAHAN (DI ISI)'!GK133+'KELURAHAN (DI ISI)'!GK134+'KELURAHAN (DI ISI)'!GK135+'KELURAHAN (DI ISI)'!GK137</f>
        <v>1</v>
      </c>
      <c r="HC36" s="572">
        <f>'KELURAHAN (DI ISI)'!GL122+'KELURAHAN (DI ISI)'!GL124+'KELURAHAN (DI ISI)'!GL123+'KELURAHAN (DI ISI)'!GL125+'KELURAHAN (DI ISI)'!GL126+'KELURAHAN (DI ISI)'!GL127+'KELURAHAN (DI ISI)'!GL132+'KELURAHAN (DI ISI)'!GL133+'KELURAHAN (DI ISI)'!GL134+'KELURAHAN (DI ISI)'!GL135+'KELURAHAN (DI ISI)'!GL137</f>
        <v>0</v>
      </c>
      <c r="HD36" s="605">
        <f>'KELURAHAN (DI ISI)'!GM122+'KELURAHAN (DI ISI)'!GM124+'KELURAHAN (DI ISI)'!GM123+'KELURAHAN (DI ISI)'!GM125+'KELURAHAN (DI ISI)'!GM126+'KELURAHAN (DI ISI)'!GM127+'KELURAHAN (DI ISI)'!GM132+'KELURAHAN (DI ISI)'!GM133+'KELURAHAN (DI ISI)'!GM134+'KELURAHAN (DI ISI)'!GM135+'KELURAHAN (DI ISI)'!GM137</f>
        <v>3520</v>
      </c>
      <c r="HE36" s="605">
        <f>'KELURAHAN (DI ISI)'!GN122+'KELURAHAN (DI ISI)'!GN124+'KELURAHAN (DI ISI)'!GN123+'KELURAHAN (DI ISI)'!GN125+'KELURAHAN (DI ISI)'!GN126+'KELURAHAN (DI ISI)'!GN127+'KELURAHAN (DI ISI)'!GN132+'KELURAHAN (DI ISI)'!GN133+'KELURAHAN (DI ISI)'!GN134+'KELURAHAN (DI ISI)'!GN135+'KELURAHAN (DI ISI)'!GN137</f>
        <v>1052</v>
      </c>
      <c r="HF36" s="605">
        <f>'KELURAHAN (DI ISI)'!GO122+'KELURAHAN (DI ISI)'!GO124+'KELURAHAN (DI ISI)'!GO123+'KELURAHAN (DI ISI)'!GO125+'KELURAHAN (DI ISI)'!GO126+'KELURAHAN (DI ISI)'!GO127+'KELURAHAN (DI ISI)'!GO132+'KELURAHAN (DI ISI)'!GO133+'KELURAHAN (DI ISI)'!GO134+'KELURAHAN (DI ISI)'!GO135+'KELURAHAN (DI ISI)'!GO137</f>
        <v>3520</v>
      </c>
      <c r="HG36" s="605">
        <f>'KELURAHAN (DI ISI)'!GP122+'KELURAHAN (DI ISI)'!GP124+'KELURAHAN (DI ISI)'!GP123+'KELURAHAN (DI ISI)'!GP125+'KELURAHAN (DI ISI)'!GP126+'KELURAHAN (DI ISI)'!GP127+'KELURAHAN (DI ISI)'!GP132+'KELURAHAN (DI ISI)'!GP133+'KELURAHAN (DI ISI)'!GP134+'KELURAHAN (DI ISI)'!GP135+'KELURAHAN (DI ISI)'!GP137</f>
        <v>1052</v>
      </c>
      <c r="HH36" s="570">
        <v>3532.0</v>
      </c>
      <c r="HI36" s="225">
        <f>'KELURAHAN (DI ISI)'!GR122+'KELURAHAN (DI ISI)'!GR124+'KELURAHAN (DI ISI)'!GR123+'KELURAHAN (DI ISI)'!GR125+'KELURAHAN (DI ISI)'!GR126+'KELURAHAN (DI ISI)'!GR127+'KELURAHAN (DI ISI)'!GR132+'KELURAHAN (DI ISI)'!GR133+'KELURAHAN (DI ISI)'!GR134+'KELURAHAN (DI ISI)'!GR135+'KELURAHAN (DI ISI)'!GR137</f>
        <v>20</v>
      </c>
      <c r="HJ36" s="225">
        <f>'KELURAHAN (DI ISI)'!GS122+'KELURAHAN (DI ISI)'!GS124+'KELURAHAN (DI ISI)'!GS123+'KELURAHAN (DI ISI)'!GS125+'KELURAHAN (DI ISI)'!GS126+'KELURAHAN (DI ISI)'!GS127+'KELURAHAN (DI ISI)'!GS132+'KELURAHAN (DI ISI)'!GS133+'KELURAHAN (DI ISI)'!GS134+'KELURAHAN (DI ISI)'!GS135+'KELURAHAN (DI ISI)'!GS137</f>
        <v>9</v>
      </c>
      <c r="HK36" s="573">
        <f>'KELURAHAN (DI ISI)'!GT122+'KELURAHAN (DI ISI)'!GT124+'KELURAHAN (DI ISI)'!GT123+'KELURAHAN (DI ISI)'!GT125+'KELURAHAN (DI ISI)'!GT126+'KELURAHAN (DI ISI)'!GT127+'KELURAHAN (DI ISI)'!GT132+'KELURAHAN (DI ISI)'!GT133+'KELURAHAN (DI ISI)'!GT134+'KELURAHAN (DI ISI)'!GT135+'KELURAHAN (DI ISI)'!GT137</f>
        <v>20</v>
      </c>
      <c r="HL36" s="573">
        <f>'KELURAHAN (DI ISI)'!GU122+'KELURAHAN (DI ISI)'!GU124+'KELURAHAN (DI ISI)'!GU123+'KELURAHAN (DI ISI)'!GU125+'KELURAHAN (DI ISI)'!GU126+'KELURAHAN (DI ISI)'!GU127+'KELURAHAN (DI ISI)'!GU132+'KELURAHAN (DI ISI)'!GU133+'KELURAHAN (DI ISI)'!GU134+'KELURAHAN (DI ISI)'!GU135+'KELURAHAN (DI ISI)'!GU137</f>
        <v>9</v>
      </c>
      <c r="HM36" s="573">
        <f t="shared" si="20"/>
        <v>11</v>
      </c>
      <c r="HN36" s="605">
        <f>'KELURAHAN (DI ISI)'!GW122+'KELURAHAN (DI ISI)'!GW124+'KELURAHAN (DI ISI)'!GW123+'KELURAHAN (DI ISI)'!GW125+'KELURAHAN (DI ISI)'!GW126+'KELURAHAN (DI ISI)'!GW127+'KELURAHAN (DI ISI)'!GW132+'KELURAHAN (DI ISI)'!GW133+'KELURAHAN (DI ISI)'!GW134+'KELURAHAN (DI ISI)'!GW135+'KELURAHAN (DI ISI)'!GW137</f>
        <v>0</v>
      </c>
      <c r="HO36" s="605">
        <f>'KELURAHAN (DI ISI)'!GX122+'KELURAHAN (DI ISI)'!GX124+'KELURAHAN (DI ISI)'!GX123+'KELURAHAN (DI ISI)'!GX125+'KELURAHAN (DI ISI)'!GX126+'KELURAHAN (DI ISI)'!GX127+'KELURAHAN (DI ISI)'!GX132+'KELURAHAN (DI ISI)'!GX133+'KELURAHAN (DI ISI)'!GX134+'KELURAHAN (DI ISI)'!GX135+'KELURAHAN (DI ISI)'!GX137</f>
        <v>0</v>
      </c>
      <c r="HP36" s="605">
        <f>'KELURAHAN (DI ISI)'!GY122+'KELURAHAN (DI ISI)'!GY124+'KELURAHAN (DI ISI)'!GY123+'KELURAHAN (DI ISI)'!GY125+'KELURAHAN (DI ISI)'!GY126+'KELURAHAN (DI ISI)'!GY127+'KELURAHAN (DI ISI)'!GY132+'KELURAHAN (DI ISI)'!GY133+'KELURAHAN (DI ISI)'!GY134+'KELURAHAN (DI ISI)'!GY135+'KELURAHAN (DI ISI)'!GY137</f>
        <v>6</v>
      </c>
      <c r="HQ36" s="605">
        <f>'KELURAHAN (DI ISI)'!GZ122+'KELURAHAN (DI ISI)'!GZ124+'KELURAHAN (DI ISI)'!GZ123+'KELURAHAN (DI ISI)'!GZ125+'KELURAHAN (DI ISI)'!GZ126+'KELURAHAN (DI ISI)'!GZ127+'KELURAHAN (DI ISI)'!GZ132+'KELURAHAN (DI ISI)'!GZ133+'KELURAHAN (DI ISI)'!GZ134+'KELURAHAN (DI ISI)'!GZ135+'KELURAHAN (DI ISI)'!GZ137</f>
        <v>10</v>
      </c>
      <c r="HR36" s="605">
        <f>'KELURAHAN (DI ISI)'!HA122+'KELURAHAN (DI ISI)'!HA124+'KELURAHAN (DI ISI)'!HA123+'KELURAHAN (DI ISI)'!HA125+'KELURAHAN (DI ISI)'!HA126+'KELURAHAN (DI ISI)'!HA127+'KELURAHAN (DI ISI)'!HA132+'KELURAHAN (DI ISI)'!HA133+'KELURAHAN (DI ISI)'!HA134+'KELURAHAN (DI ISI)'!HA135+'KELURAHAN (DI ISI)'!HA137</f>
        <v>1</v>
      </c>
      <c r="HS36" s="605">
        <f>'KELURAHAN (DI ISI)'!HB122+'KELURAHAN (DI ISI)'!HB124+'KELURAHAN (DI ISI)'!HB123+'KELURAHAN (DI ISI)'!HB125+'KELURAHAN (DI ISI)'!HB126+'KELURAHAN (DI ISI)'!HB127+'KELURAHAN (DI ISI)'!HB132+'KELURAHAN (DI ISI)'!HB133+'KELURAHAN (DI ISI)'!HB134+'KELURAHAN (DI ISI)'!HB135+'KELURAHAN (DI ISI)'!HB137</f>
        <v>0</v>
      </c>
      <c r="HT36" s="605">
        <f>'KELURAHAN (DI ISI)'!HC122+'KELURAHAN (DI ISI)'!HC124+'KELURAHAN (DI ISI)'!HC123+'KELURAHAN (DI ISI)'!HC125+'KELURAHAN (DI ISI)'!HC126+'KELURAHAN (DI ISI)'!HC127+'KELURAHAN (DI ISI)'!HC132+'KELURAHAN (DI ISI)'!HC133+'KELURAHAN (DI ISI)'!HC134+'KELURAHAN (DI ISI)'!HC135+'KELURAHAN (DI ISI)'!HC137</f>
        <v>2</v>
      </c>
      <c r="HU36" s="605">
        <f>'KELURAHAN (DI ISI)'!HD122+'KELURAHAN (DI ISI)'!HD124+'KELURAHAN (DI ISI)'!HD123+'KELURAHAN (DI ISI)'!HD125+'KELURAHAN (DI ISI)'!HD126+'KELURAHAN (DI ISI)'!HD127+'KELURAHAN (DI ISI)'!HD132+'KELURAHAN (DI ISI)'!HD133+'KELURAHAN (DI ISI)'!HD134+'KELURAHAN (DI ISI)'!HD135+'KELURAHAN (DI ISI)'!HD137</f>
        <v>1</v>
      </c>
      <c r="HV36" s="605">
        <f>'KELURAHAN (DI ISI)'!HE122+'KELURAHAN (DI ISI)'!HE124+'KELURAHAN (DI ISI)'!HE123+'KELURAHAN (DI ISI)'!HE125+'KELURAHAN (DI ISI)'!HE126+'KELURAHAN (DI ISI)'!HE127+'KELURAHAN (DI ISI)'!HE132+'KELURAHAN (DI ISI)'!HE133+'KELURAHAN (DI ISI)'!HE134+'KELURAHAN (DI ISI)'!HE135+'KELURAHAN (DI ISI)'!HE137</f>
        <v>0</v>
      </c>
      <c r="HW36" s="605">
        <f>'KELURAHAN (DI ISI)'!HF122+'KELURAHAN (DI ISI)'!HF124+'KELURAHAN (DI ISI)'!HF123+'KELURAHAN (DI ISI)'!HF125+'KELURAHAN (DI ISI)'!HF126+'KELURAHAN (DI ISI)'!HF127+'KELURAHAN (DI ISI)'!HF132+'KELURAHAN (DI ISI)'!HF133+'KELURAHAN (DI ISI)'!HF134+'KELURAHAN (DI ISI)'!HF135+'KELURAHAN (DI ISI)'!HF137</f>
        <v>0</v>
      </c>
      <c r="HX36" s="605">
        <f>'KELURAHAN (DI ISI)'!HG122+'KELURAHAN (DI ISI)'!HG124+'KELURAHAN (DI ISI)'!HG123+'KELURAHAN (DI ISI)'!HG125+'KELURAHAN (DI ISI)'!HG126+'KELURAHAN (DI ISI)'!HG127+'KELURAHAN (DI ISI)'!HG132+'KELURAHAN (DI ISI)'!HG133+'KELURAHAN (DI ISI)'!HG134+'KELURAHAN (DI ISI)'!HG135+'KELURAHAN (DI ISI)'!HG137</f>
        <v>0</v>
      </c>
      <c r="HY36" s="605">
        <f>'KELURAHAN (DI ISI)'!HH122+'KELURAHAN (DI ISI)'!HH124+'KELURAHAN (DI ISI)'!HH123+'KELURAHAN (DI ISI)'!HH125+'KELURAHAN (DI ISI)'!HH126+'KELURAHAN (DI ISI)'!HH127+'KELURAHAN (DI ISI)'!HH132+'KELURAHAN (DI ISI)'!HH133+'KELURAHAN (DI ISI)'!HH134+'KELURAHAN (DI ISI)'!HH135+'KELURAHAN (DI ISI)'!HH137</f>
        <v>0</v>
      </c>
      <c r="HZ36" s="605">
        <f>'KELURAHAN (DI ISI)'!HI122+'KELURAHAN (DI ISI)'!HI124+'KELURAHAN (DI ISI)'!HI123+'KELURAHAN (DI ISI)'!HI125+'KELURAHAN (DI ISI)'!HI126+'KELURAHAN (DI ISI)'!HI127+'KELURAHAN (DI ISI)'!HI132+'KELURAHAN (DI ISI)'!HI133+'KELURAHAN (DI ISI)'!HI134+'KELURAHAN (DI ISI)'!HI135+'KELURAHAN (DI ISI)'!HI137</f>
        <v>0</v>
      </c>
      <c r="IA36" s="605">
        <f>'KELURAHAN (DI ISI)'!HJ122+'KELURAHAN (DI ISI)'!HJ124+'KELURAHAN (DI ISI)'!HJ123+'KELURAHAN (DI ISI)'!HJ125+'KELURAHAN (DI ISI)'!HJ126+'KELURAHAN (DI ISI)'!HJ127+'KELURAHAN (DI ISI)'!HJ132+'KELURAHAN (DI ISI)'!HJ133+'KELURAHAN (DI ISI)'!HJ134+'KELURAHAN (DI ISI)'!HJ135+'KELURAHAN (DI ISI)'!HJ137</f>
        <v>0</v>
      </c>
      <c r="IB36" s="605">
        <f>'KELURAHAN (DI ISI)'!HK122+'KELURAHAN (DI ISI)'!HK124+'KELURAHAN (DI ISI)'!HK123+'KELURAHAN (DI ISI)'!HK125+'KELURAHAN (DI ISI)'!HK126+'KELURAHAN (DI ISI)'!HK127+'KELURAHAN (DI ISI)'!HK132+'KELURAHAN (DI ISI)'!HK133+'KELURAHAN (DI ISI)'!HK134+'KELURAHAN (DI ISI)'!HK135+'KELURAHAN (DI ISI)'!HK137</f>
        <v>1</v>
      </c>
      <c r="IC36" s="605">
        <f>'KELURAHAN (DI ISI)'!HL122+'KELURAHAN (DI ISI)'!HL124+'KELURAHAN (DI ISI)'!HL123+'KELURAHAN (DI ISI)'!HL125+'KELURAHAN (DI ISI)'!HL126+'KELURAHAN (DI ISI)'!HL127+'KELURAHAN (DI ISI)'!HL132+'KELURAHAN (DI ISI)'!HL133+'KELURAHAN (DI ISI)'!HL134+'KELURAHAN (DI ISI)'!HL135+'KELURAHAN (DI ISI)'!HL137</f>
        <v>0</v>
      </c>
      <c r="ID36" s="605">
        <f>'KELURAHAN (DI ISI)'!HM122+'KELURAHAN (DI ISI)'!HM124+'KELURAHAN (DI ISI)'!HM123+'KELURAHAN (DI ISI)'!HM125+'KELURAHAN (DI ISI)'!HM126+'KELURAHAN (DI ISI)'!HM127+'KELURAHAN (DI ISI)'!HM132+'KELURAHAN (DI ISI)'!HM133+'KELURAHAN (DI ISI)'!HM134+'KELURAHAN (DI ISI)'!HM135+'KELURAHAN (DI ISI)'!HM137</f>
        <v>1</v>
      </c>
      <c r="IE36" s="605">
        <f>'KELURAHAN (DI ISI)'!HN122+'KELURAHAN (DI ISI)'!HN124+'KELURAHAN (DI ISI)'!HN123+'KELURAHAN (DI ISI)'!HN125+'KELURAHAN (DI ISI)'!HN126+'KELURAHAN (DI ISI)'!HN127+'KELURAHAN (DI ISI)'!HN132+'KELURAHAN (DI ISI)'!HN133+'KELURAHAN (DI ISI)'!HN134+'KELURAHAN (DI ISI)'!HN135+'KELURAHAN (DI ISI)'!HN137</f>
        <v>0</v>
      </c>
      <c r="IF36" s="573">
        <f>'KELURAHAN (DI ISI)'!HO122+'KELURAHAN (DI ISI)'!HO124+'KELURAHAN (DI ISI)'!HO123+'KELURAHAN (DI ISI)'!HO125+'KELURAHAN (DI ISI)'!HO126+'KELURAHAN (DI ISI)'!HO127+'KELURAHAN (DI ISI)'!HO132+'KELURAHAN (DI ISI)'!HO133+'KELURAHAN (DI ISI)'!HO134+'KELURAHAN (DI ISI)'!HO135+'KELURAHAN (DI ISI)'!HO137</f>
        <v>0</v>
      </c>
      <c r="IG36" s="573">
        <f>'KELURAHAN (DI ISI)'!HP122+'KELURAHAN (DI ISI)'!HP124+'KELURAHAN (DI ISI)'!HP123+'KELURAHAN (DI ISI)'!HP125+'KELURAHAN (DI ISI)'!HP126+'KELURAHAN (DI ISI)'!HP127+'KELURAHAN (DI ISI)'!HP132+'KELURAHAN (DI ISI)'!HP133+'KELURAHAN (DI ISI)'!HP134+'KELURAHAN (DI ISI)'!HP135+'KELURAHAN (DI ISI)'!HP137</f>
        <v>0</v>
      </c>
      <c r="IK36" s="198">
        <f t="shared" si="21"/>
        <v>24</v>
      </c>
      <c r="IL36" s="198">
        <f t="shared" si="22"/>
        <v>21</v>
      </c>
      <c r="IM36" s="198">
        <f t="shared" si="23"/>
        <v>23</v>
      </c>
      <c r="IN36" s="198">
        <f t="shared" si="24"/>
        <v>17</v>
      </c>
      <c r="IO36" s="198">
        <f t="shared" si="25"/>
        <v>17</v>
      </c>
      <c r="IP36" s="198">
        <f t="shared" si="26"/>
        <v>17</v>
      </c>
      <c r="IQ36" s="574">
        <f t="shared" si="27"/>
        <v>18</v>
      </c>
      <c r="IR36" s="574">
        <f t="shared" si="28"/>
        <v>17</v>
      </c>
      <c r="IS36" s="574">
        <f t="shared" si="29"/>
        <v>19</v>
      </c>
      <c r="IT36" s="574">
        <f t="shared" si="30"/>
        <v>19</v>
      </c>
      <c r="IU36" s="574">
        <f t="shared" si="31"/>
        <v>19</v>
      </c>
      <c r="IV36" s="575">
        <f t="shared" si="32"/>
        <v>20</v>
      </c>
      <c r="IW36" s="583"/>
      <c r="IX36" s="576">
        <f t="shared" si="33"/>
        <v>-20</v>
      </c>
      <c r="IZ36" s="577"/>
      <c r="JA36" s="162">
        <f t="shared" si="34"/>
        <v>-3520</v>
      </c>
      <c r="JB36" s="578"/>
      <c r="JC36" s="579">
        <f t="shared" si="35"/>
        <v>-1052</v>
      </c>
      <c r="JD36" s="597"/>
      <c r="JE36" s="585"/>
      <c r="JF36" s="577"/>
      <c r="JG36" s="234">
        <f t="shared" si="36"/>
        <v>-3520</v>
      </c>
      <c r="JH36" s="578"/>
      <c r="JI36" s="579">
        <f t="shared" si="37"/>
        <v>-1052</v>
      </c>
      <c r="JJ36" s="247"/>
    </row>
    <row r="37" ht="14.25" customHeight="1">
      <c r="A37" s="158">
        <v>30.0</v>
      </c>
      <c r="B37" s="157" t="s">
        <v>222</v>
      </c>
      <c r="C37" s="158">
        <v>3374110.0</v>
      </c>
      <c r="D37" s="256" t="s">
        <v>232</v>
      </c>
      <c r="E37" s="158"/>
      <c r="F37" s="604">
        <f>'KELURAHAN (DI ISI)'!F128+'KELURAHAN (DI ISI)'!F129+'KELURAHAN (DI ISI)'!F130+'KELURAHAN (DI ISI)'!F131+'KELURAHAN (DI ISI)'!F136</f>
        <v>49</v>
      </c>
      <c r="G37" s="604">
        <f>'KELURAHAN (DI ISI)'!G128+'KELURAHAN (DI ISI)'!G129+'KELURAHAN (DI ISI)'!G130+'KELURAHAN (DI ISI)'!G131+'KELURAHAN (DI ISI)'!G136</f>
        <v>2279</v>
      </c>
      <c r="H37" s="604">
        <f>'KELURAHAN (DI ISI)'!H128+'KELURAHAN (DI ISI)'!H129+'KELURAHAN (DI ISI)'!H130+'KELURAHAN (DI ISI)'!H131+'KELURAHAN (DI ISI)'!H136</f>
        <v>44</v>
      </c>
      <c r="I37" s="491">
        <f t="shared" si="1"/>
        <v>10</v>
      </c>
      <c r="J37" s="491">
        <f t="shared" si="2"/>
        <v>34</v>
      </c>
      <c r="K37" s="605">
        <f>'KELURAHAN (DI ISI)'!I128+'KELURAHAN (DI ISI)'!I129+'KELURAHAN (DI ISI)'!I130+'KELURAHAN (DI ISI)'!I131+'KELURAHAN (DI ISI)'!I136</f>
        <v>0</v>
      </c>
      <c r="L37" s="605">
        <f>'KELURAHAN (DI ISI)'!J128+'KELURAHAN (DI ISI)'!J129+'KELURAHAN (DI ISI)'!J130+'KELURAHAN (DI ISI)'!J131+'KELURAHAN (DI ISI)'!J136</f>
        <v>1</v>
      </c>
      <c r="M37" s="605">
        <f>'KELURAHAN (DI ISI)'!K128+'KELURAHAN (DI ISI)'!K129+'KELURAHAN (DI ISI)'!K130+'KELURAHAN (DI ISI)'!K131+'KELURAHAN (DI ISI)'!K136</f>
        <v>9</v>
      </c>
      <c r="N37" s="605">
        <f>'KELURAHAN (DI ISI)'!L128+'KELURAHAN (DI ISI)'!L129+'KELURAHAN (DI ISI)'!L130+'KELURAHAN (DI ISI)'!L131+'KELURAHAN (DI ISI)'!L136</f>
        <v>34</v>
      </c>
      <c r="O37" s="605">
        <f>'KELURAHAN (DI ISI)'!M128+'KELURAHAN (DI ISI)'!M129+'KELURAHAN (DI ISI)'!M130+'KELURAHAN (DI ISI)'!M131+'KELURAHAN (DI ISI)'!M136</f>
        <v>1</v>
      </c>
      <c r="P37" s="605">
        <f>'KELURAHAN (DI ISI)'!N128+'KELURAHAN (DI ISI)'!N129+'KELURAHAN (DI ISI)'!N130+'KELURAHAN (DI ISI)'!N131+'KELURAHAN (DI ISI)'!N136</f>
        <v>0</v>
      </c>
      <c r="Q37" s="605">
        <f>'KELURAHAN (DI ISI)'!O128+'KELURAHAN (DI ISI)'!O129+'KELURAHAN (DI ISI)'!O130+'KELURAHAN (DI ISI)'!O131+'KELURAHAN (DI ISI)'!O136</f>
        <v>43</v>
      </c>
      <c r="R37" s="605">
        <f>'KELURAHAN (DI ISI)'!P128+'KELURAHAN (DI ISI)'!P129+'KELURAHAN (DI ISI)'!P130+'KELURAHAN (DI ISI)'!P131+'KELURAHAN (DI ISI)'!P136</f>
        <v>44</v>
      </c>
      <c r="S37" s="491">
        <f t="shared" si="3"/>
        <v>14</v>
      </c>
      <c r="T37" s="491">
        <f t="shared" si="4"/>
        <v>30</v>
      </c>
      <c r="U37" s="605">
        <f>'KELURAHAN (DI ISI)'!Q128+'KELURAHAN (DI ISI)'!Q129+'KELURAHAN (DI ISI)'!Q130+'KELURAHAN (DI ISI)'!Q131+'KELURAHAN (DI ISI)'!Q136</f>
        <v>0</v>
      </c>
      <c r="V37" s="605">
        <f>'KELURAHAN (DI ISI)'!R128+'KELURAHAN (DI ISI)'!R129+'KELURAHAN (DI ISI)'!R130+'KELURAHAN (DI ISI)'!R131+'KELURAHAN (DI ISI)'!R136</f>
        <v>1</v>
      </c>
      <c r="W37" s="605">
        <f>'KELURAHAN (DI ISI)'!S128+'KELURAHAN (DI ISI)'!S129+'KELURAHAN (DI ISI)'!S130+'KELURAHAN (DI ISI)'!S131+'KELURAHAN (DI ISI)'!S136</f>
        <v>13</v>
      </c>
      <c r="X37" s="605">
        <f>'KELURAHAN (DI ISI)'!T128+'KELURAHAN (DI ISI)'!T129+'KELURAHAN (DI ISI)'!T130+'KELURAHAN (DI ISI)'!T131+'KELURAHAN (DI ISI)'!T136</f>
        <v>30</v>
      </c>
      <c r="Y37" s="605">
        <f>'KELURAHAN (DI ISI)'!U128+'KELURAHAN (DI ISI)'!U129+'KELURAHAN (DI ISI)'!U130+'KELURAHAN (DI ISI)'!U131+'KELURAHAN (DI ISI)'!U136</f>
        <v>9</v>
      </c>
      <c r="Z37" s="605">
        <f>'KELURAHAN (DI ISI)'!V128+'KELURAHAN (DI ISI)'!V129+'KELURAHAN (DI ISI)'!V130+'KELURAHAN (DI ISI)'!V131+'KELURAHAN (DI ISI)'!V136</f>
        <v>0</v>
      </c>
      <c r="AA37" s="605">
        <f>'KELURAHAN (DI ISI)'!W128+'KELURAHAN (DI ISI)'!W129+'KELURAHAN (DI ISI)'!W130+'KELURAHAN (DI ISI)'!W131+'KELURAHAN (DI ISI)'!W136</f>
        <v>35</v>
      </c>
      <c r="AB37" s="605">
        <f>'KELURAHAN (DI ISI)'!X128+'KELURAHAN (DI ISI)'!X129+'KELURAHAN (DI ISI)'!X130+'KELURAHAN (DI ISI)'!X131+'KELURAHAN (DI ISI)'!X136</f>
        <v>67</v>
      </c>
      <c r="AC37" s="491">
        <f t="shared" si="5"/>
        <v>31</v>
      </c>
      <c r="AD37" s="491">
        <f t="shared" si="6"/>
        <v>36</v>
      </c>
      <c r="AE37" s="605">
        <f>'KELURAHAN (DI ISI)'!Y128+'KELURAHAN (DI ISI)'!Y129+'KELURAHAN (DI ISI)'!Y130+'KELURAHAN (DI ISI)'!Y131+'KELURAHAN (DI ISI)'!Y136</f>
        <v>2</v>
      </c>
      <c r="AF37" s="605">
        <f>'KELURAHAN (DI ISI)'!Z128+'KELURAHAN (DI ISI)'!Z129+'KELURAHAN (DI ISI)'!Z130+'KELURAHAN (DI ISI)'!Z131+'KELURAHAN (DI ISI)'!Z136</f>
        <v>8</v>
      </c>
      <c r="AG37" s="605">
        <f>'KELURAHAN (DI ISI)'!AA128+'KELURAHAN (DI ISI)'!AA129+'KELURAHAN (DI ISI)'!AA130+'KELURAHAN (DI ISI)'!AA131+'KELURAHAN (DI ISI)'!AA136</f>
        <v>21</v>
      </c>
      <c r="AH37" s="605">
        <f>'KELURAHAN (DI ISI)'!AB128+'KELURAHAN (DI ISI)'!AB129+'KELURAHAN (DI ISI)'!AB130+'KELURAHAN (DI ISI)'!AB131+'KELURAHAN (DI ISI)'!AB136</f>
        <v>36</v>
      </c>
      <c r="AI37" s="605">
        <f>'KELURAHAN (DI ISI)'!AC128+'KELURAHAN (DI ISI)'!AC129+'KELURAHAN (DI ISI)'!AC130+'KELURAHAN (DI ISI)'!AC131+'KELURAHAN (DI ISI)'!AC136</f>
        <v>18</v>
      </c>
      <c r="AJ37" s="605">
        <f>'KELURAHAN (DI ISI)'!AD128+'KELURAHAN (DI ISI)'!AD129+'KELURAHAN (DI ISI)'!AD130+'KELURAHAN (DI ISI)'!AD131+'KELURAHAN (DI ISI)'!AD136</f>
        <v>0</v>
      </c>
      <c r="AK37" s="605">
        <f>'KELURAHAN (DI ISI)'!AE128+'KELURAHAN (DI ISI)'!AE129+'KELURAHAN (DI ISI)'!AE130+'KELURAHAN (DI ISI)'!AE131+'KELURAHAN (DI ISI)'!AE136</f>
        <v>49</v>
      </c>
      <c r="AL37" s="605">
        <f>'KELURAHAN (DI ISI)'!AF128+'KELURAHAN (DI ISI)'!AF129+'KELURAHAN (DI ISI)'!AF130+'KELURAHAN (DI ISI)'!AF131+'KELURAHAN (DI ISI)'!AF136</f>
        <v>53</v>
      </c>
      <c r="AM37" s="491">
        <f t="shared" si="7"/>
        <v>8</v>
      </c>
      <c r="AN37" s="491">
        <f t="shared" si="8"/>
        <v>45</v>
      </c>
      <c r="AO37" s="605">
        <f>'KELURAHAN (DI ISI)'!AG128+'KELURAHAN (DI ISI)'!AG129+'KELURAHAN (DI ISI)'!AG130+'KELURAHAN (DI ISI)'!AG131+'KELURAHAN (DI ISI)'!AG136</f>
        <v>0</v>
      </c>
      <c r="AP37" s="605">
        <f>'KELURAHAN (DI ISI)'!AH128+'KELURAHAN (DI ISI)'!AH129+'KELURAHAN (DI ISI)'!AH130+'KELURAHAN (DI ISI)'!AH131+'KELURAHAN (DI ISI)'!AH136</f>
        <v>1</v>
      </c>
      <c r="AQ37" s="605">
        <f>'KELURAHAN (DI ISI)'!AI128+'KELURAHAN (DI ISI)'!AI129+'KELURAHAN (DI ISI)'!AI130+'KELURAHAN (DI ISI)'!AI131+'KELURAHAN (DI ISI)'!AI136</f>
        <v>7</v>
      </c>
      <c r="AR37" s="605">
        <f>'KELURAHAN (DI ISI)'!AJ128+'KELURAHAN (DI ISI)'!AJ129+'KELURAHAN (DI ISI)'!AJ130+'KELURAHAN (DI ISI)'!AJ131+'KELURAHAN (DI ISI)'!AJ136</f>
        <v>45</v>
      </c>
      <c r="AS37" s="605">
        <f>'KELURAHAN (DI ISI)'!AK128+'KELURAHAN (DI ISI)'!AK129+'KELURAHAN (DI ISI)'!AK130+'KELURAHAN (DI ISI)'!AK131+'KELURAHAN (DI ISI)'!AK136</f>
        <v>8</v>
      </c>
      <c r="AT37" s="605">
        <f>'KELURAHAN (DI ISI)'!AL128+'KELURAHAN (DI ISI)'!AL129+'KELURAHAN (DI ISI)'!AL130+'KELURAHAN (DI ISI)'!AL131+'KELURAHAN (DI ISI)'!AL136</f>
        <v>0</v>
      </c>
      <c r="AU37" s="605">
        <f>'KELURAHAN (DI ISI)'!AM128+'KELURAHAN (DI ISI)'!AM129+'KELURAHAN (DI ISI)'!AM130+'KELURAHAN (DI ISI)'!AM131+'KELURAHAN (DI ISI)'!AM136</f>
        <v>45</v>
      </c>
      <c r="AV37" s="605">
        <f>'KELURAHAN (DI ISI)'!AN128+'KELURAHAN (DI ISI)'!AN129+'KELURAHAN (DI ISI)'!AN130+'KELURAHAN (DI ISI)'!AN131+'KELURAHAN (DI ISI)'!AN136</f>
        <v>59</v>
      </c>
      <c r="AW37" s="491">
        <f t="shared" si="9"/>
        <v>20</v>
      </c>
      <c r="AX37" s="491">
        <f t="shared" si="10"/>
        <v>39</v>
      </c>
      <c r="AY37" s="605">
        <f>'KELURAHAN (DI ISI)'!AO128+'KELURAHAN (DI ISI)'!AO129+'KELURAHAN (DI ISI)'!AO130+'KELURAHAN (DI ISI)'!AO131+'KELURAHAN (DI ISI)'!AO136</f>
        <v>1</v>
      </c>
      <c r="AZ37" s="605">
        <f>'KELURAHAN (DI ISI)'!AP128+'KELURAHAN (DI ISI)'!AP129+'KELURAHAN (DI ISI)'!AP130+'KELURAHAN (DI ISI)'!AP131+'KELURAHAN (DI ISI)'!AP136</f>
        <v>4</v>
      </c>
      <c r="BA37" s="605">
        <f>'KELURAHAN (DI ISI)'!AQ128+'KELURAHAN (DI ISI)'!AQ129+'KELURAHAN (DI ISI)'!AQ130+'KELURAHAN (DI ISI)'!AQ131+'KELURAHAN (DI ISI)'!AQ136</f>
        <v>15</v>
      </c>
      <c r="BB37" s="605">
        <f>'KELURAHAN (DI ISI)'!AR128+'KELURAHAN (DI ISI)'!AR129+'KELURAHAN (DI ISI)'!AR130+'KELURAHAN (DI ISI)'!AR131+'KELURAHAN (DI ISI)'!AR136</f>
        <v>39</v>
      </c>
      <c r="BC37" s="605">
        <f>'KELURAHAN (DI ISI)'!AS128+'KELURAHAN (DI ISI)'!AS129+'KELURAHAN (DI ISI)'!AS130+'KELURAHAN (DI ISI)'!AS131+'KELURAHAN (DI ISI)'!AS136</f>
        <v>4</v>
      </c>
      <c r="BD37" s="605">
        <f>'KELURAHAN (DI ISI)'!AT128+'KELURAHAN (DI ISI)'!AT129+'KELURAHAN (DI ISI)'!AT130+'KELURAHAN (DI ISI)'!AT131+'KELURAHAN (DI ISI)'!AT136</f>
        <v>0</v>
      </c>
      <c r="BE37" s="605">
        <f>'KELURAHAN (DI ISI)'!AU128+'KELURAHAN (DI ISI)'!AU129+'KELURAHAN (DI ISI)'!AU130+'KELURAHAN (DI ISI)'!AU131+'KELURAHAN (DI ISI)'!AU136</f>
        <v>55</v>
      </c>
      <c r="BF37" s="605">
        <f>'KELURAHAN (DI ISI)'!AV128+'KELURAHAN (DI ISI)'!AV129+'KELURAHAN (DI ISI)'!AV130+'KELURAHAN (DI ISI)'!AV131+'KELURAHAN (DI ISI)'!AV136</f>
        <v>2329</v>
      </c>
      <c r="BG37" s="605">
        <f>'KELURAHAN (DI ISI)'!AW128+'KELURAHAN (DI ISI)'!AW129+'KELURAHAN (DI ISI)'!AW130+'KELURAHAN (DI ISI)'!AW131+'KELURAHAN (DI ISI)'!AW136</f>
        <v>37</v>
      </c>
      <c r="BH37" s="491">
        <f t="shared" si="11"/>
        <v>7</v>
      </c>
      <c r="BI37" s="495">
        <f t="shared" si="12"/>
        <v>21</v>
      </c>
      <c r="BJ37" s="605">
        <f>'KELURAHAN (DI ISI)'!AX128+'KELURAHAN (DI ISI)'!AX129+'KELURAHAN (DI ISI)'!AX130+'KELURAHAN (DI ISI)'!AX131+'KELURAHAN (DI ISI)'!AX136</f>
        <v>0</v>
      </c>
      <c r="BK37" s="605">
        <f>'KELURAHAN (DI ISI)'!AY128+'KELURAHAN (DI ISI)'!AY129+'KELURAHAN (DI ISI)'!AY130+'KELURAHAN (DI ISI)'!AY131+'KELURAHAN (DI ISI)'!AY136</f>
        <v>2</v>
      </c>
      <c r="BL37" s="605">
        <f>'KELURAHAN (DI ISI)'!AZ128+'KELURAHAN (DI ISI)'!AZ129+'KELURAHAN (DI ISI)'!AZ130+'KELURAHAN (DI ISI)'!AZ131+'KELURAHAN (DI ISI)'!AZ136</f>
        <v>5</v>
      </c>
      <c r="BM37" s="605">
        <f>'KELURAHAN (DI ISI)'!BA128+'KELURAHAN (DI ISI)'!BA129+'KELURAHAN (DI ISI)'!BA130+'KELURAHAN (DI ISI)'!BA131+'KELURAHAN (DI ISI)'!BA136</f>
        <v>21</v>
      </c>
      <c r="BN37" s="605">
        <f>'KELURAHAN (DI ISI)'!BB128+'KELURAHAN (DI ISI)'!BB129+'KELURAHAN (DI ISI)'!BB130+'KELURAHAN (DI ISI)'!BB131+'KELURAHAN (DI ISI)'!BB136</f>
        <v>2</v>
      </c>
      <c r="BO37" s="605">
        <f>'KELURAHAN (DI ISI)'!BC128+'KELURAHAN (DI ISI)'!BC129+'KELURAHAN (DI ISI)'!BC130+'KELURAHAN (DI ISI)'!BC131+'KELURAHAN (DI ISI)'!BC136</f>
        <v>1</v>
      </c>
      <c r="BP37" s="605">
        <f>'KELURAHAN (DI ISI)'!BD128+'KELURAHAN (DI ISI)'!BD129+'KELURAHAN (DI ISI)'!BD130+'KELURAHAN (DI ISI)'!BD131+'KELURAHAN (DI ISI)'!BD136</f>
        <v>1</v>
      </c>
      <c r="BQ37" s="605">
        <f>'KELURAHAN (DI ISI)'!BE128+'KELURAHAN (DI ISI)'!BE129+'KELURAHAN (DI ISI)'!BE130+'KELURAHAN (DI ISI)'!BE131+'KELURAHAN (DI ISI)'!BE136</f>
        <v>5</v>
      </c>
      <c r="BR37" s="605">
        <f>'KELURAHAN (DI ISI)'!BF128+'KELURAHAN (DI ISI)'!BF129+'KELURAHAN (DI ISI)'!BF130+'KELURAHAN (DI ISI)'!BF131+'KELURAHAN (DI ISI)'!BF136</f>
        <v>1</v>
      </c>
      <c r="BS37" s="605">
        <f>'KELURAHAN (DI ISI)'!BG128+'KELURAHAN (DI ISI)'!BG129+'KELURAHAN (DI ISI)'!BG130+'KELURAHAN (DI ISI)'!BG131+'KELURAHAN (DI ISI)'!BG136</f>
        <v>2</v>
      </c>
      <c r="BT37" s="605">
        <f>'KELURAHAN (DI ISI)'!BH128+'KELURAHAN (DI ISI)'!BH129+'KELURAHAN (DI ISI)'!BH130+'KELURAHAN (DI ISI)'!BH131+'KELURAHAN (DI ISI)'!BH136</f>
        <v>4</v>
      </c>
      <c r="BU37" s="605">
        <f>'KELURAHAN (DI ISI)'!BI128+'KELURAHAN (DI ISI)'!BI129+'KELURAHAN (DI ISI)'!BI130+'KELURAHAN (DI ISI)'!BI131+'KELURAHAN (DI ISI)'!BI136</f>
        <v>1</v>
      </c>
      <c r="BV37" s="605">
        <f>'KELURAHAN (DI ISI)'!BJ128+'KELURAHAN (DI ISI)'!BJ129+'KELURAHAN (DI ISI)'!BJ130+'KELURAHAN (DI ISI)'!BJ131+'KELURAHAN (DI ISI)'!BJ136</f>
        <v>0</v>
      </c>
      <c r="BW37" s="605">
        <f>'KELURAHAN (DI ISI)'!BK128+'KELURAHAN (DI ISI)'!BK129+'KELURAHAN (DI ISI)'!BK130+'KELURAHAN (DI ISI)'!BK131+'KELURAHAN (DI ISI)'!BK136</f>
        <v>0</v>
      </c>
      <c r="BX37" s="605">
        <f>'KELURAHAN (DI ISI)'!BL128+'KELURAHAN (DI ISI)'!BL129+'KELURAHAN (DI ISI)'!BL130+'KELURAHAN (DI ISI)'!BL131+'KELURAHAN (DI ISI)'!BL136</f>
        <v>0</v>
      </c>
      <c r="BY37" s="605">
        <f>'KELURAHAN (DI ISI)'!BM128+'KELURAHAN (DI ISI)'!BM129+'KELURAHAN (DI ISI)'!BM130+'KELURAHAN (DI ISI)'!BM131+'KELURAHAN (DI ISI)'!BM136</f>
        <v>0</v>
      </c>
      <c r="BZ37" s="605">
        <f>'KELURAHAN (DI ISI)'!BN128+'KELURAHAN (DI ISI)'!BN129+'KELURAHAN (DI ISI)'!BN130+'KELURAHAN (DI ISI)'!BN131+'KELURAHAN (DI ISI)'!BN136</f>
        <v>0</v>
      </c>
      <c r="CA37" s="605">
        <f>'KELURAHAN (DI ISI)'!BO128+'KELURAHAN (DI ISI)'!BO129+'KELURAHAN (DI ISI)'!BO130+'KELURAHAN (DI ISI)'!BO131+'KELURAHAN (DI ISI)'!BO136</f>
        <v>0</v>
      </c>
      <c r="CB37" s="605">
        <f>'KELURAHAN (DI ISI)'!BP128+'KELURAHAN (DI ISI)'!BP129+'KELURAHAN (DI ISI)'!BP130+'KELURAHAN (DI ISI)'!BP131+'KELURAHAN (DI ISI)'!BP136</f>
        <v>8</v>
      </c>
      <c r="CC37" s="605">
        <f>'KELURAHAN (DI ISI)'!BQ128+'KELURAHAN (DI ISI)'!BQ129+'KELURAHAN (DI ISI)'!BQ130+'KELURAHAN (DI ISI)'!BQ131+'KELURAHAN (DI ISI)'!BQ136</f>
        <v>2540</v>
      </c>
      <c r="CD37" s="605">
        <f>'KELURAHAN (DI ISI)'!BR128+'KELURAHAN (DI ISI)'!BR129+'KELURAHAN (DI ISI)'!BR130+'KELURAHAN (DI ISI)'!BR131+'KELURAHAN (DI ISI)'!BR136</f>
        <v>52</v>
      </c>
      <c r="CE37" s="491">
        <f t="shared" si="13"/>
        <v>11</v>
      </c>
      <c r="CF37" s="491">
        <f t="shared" si="14"/>
        <v>22</v>
      </c>
      <c r="CG37" s="605">
        <f>'KELURAHAN (DI ISI)'!BS128+'KELURAHAN (DI ISI)'!BS129+'KELURAHAN (DI ISI)'!BS130+'KELURAHAN (DI ISI)'!BS131+'KELURAHAN (DI ISI)'!BS136</f>
        <v>2</v>
      </c>
      <c r="CH37" s="605">
        <f>'KELURAHAN (DI ISI)'!BT128+'KELURAHAN (DI ISI)'!BT129+'KELURAHAN (DI ISI)'!BT130+'KELURAHAN (DI ISI)'!BT131+'KELURAHAN (DI ISI)'!BT136</f>
        <v>3</v>
      </c>
      <c r="CI37" s="605">
        <f>'KELURAHAN (DI ISI)'!BU128+'KELURAHAN (DI ISI)'!BU129+'KELURAHAN (DI ISI)'!BU130+'KELURAHAN (DI ISI)'!BU131+'KELURAHAN (DI ISI)'!BU136</f>
        <v>6</v>
      </c>
      <c r="CJ37" s="605">
        <f>'KELURAHAN (DI ISI)'!BV128+'KELURAHAN (DI ISI)'!BV129+'KELURAHAN (DI ISI)'!BV130+'KELURAHAN (DI ISI)'!BV131+'KELURAHAN (DI ISI)'!BV136</f>
        <v>22</v>
      </c>
      <c r="CK37" s="605">
        <f>'KELURAHAN (DI ISI)'!BW128+'KELURAHAN (DI ISI)'!BW129+'KELURAHAN (DI ISI)'!BW130+'KELURAHAN (DI ISI)'!BW131+'KELURAHAN (DI ISI)'!BW136</f>
        <v>3</v>
      </c>
      <c r="CL37" s="605">
        <f>'KELURAHAN (DI ISI)'!BX128+'KELURAHAN (DI ISI)'!BX129+'KELURAHAN (DI ISI)'!BX130+'KELURAHAN (DI ISI)'!BX131+'KELURAHAN (DI ISI)'!BX136</f>
        <v>0</v>
      </c>
      <c r="CM37" s="605">
        <f>'KELURAHAN (DI ISI)'!BY128+'KELURAHAN (DI ISI)'!BY129+'KELURAHAN (DI ISI)'!BY130+'KELURAHAN (DI ISI)'!BY131+'KELURAHAN (DI ISI)'!BY136</f>
        <v>8</v>
      </c>
      <c r="CN37" s="605">
        <f>'KELURAHAN (DI ISI)'!BZ128+'KELURAHAN (DI ISI)'!BZ129+'KELURAHAN (DI ISI)'!BZ130+'KELURAHAN (DI ISI)'!BZ131+'KELURAHAN (DI ISI)'!BZ136</f>
        <v>8</v>
      </c>
      <c r="CO37" s="605">
        <f>'KELURAHAN (DI ISI)'!CA128+'KELURAHAN (DI ISI)'!CA129+'KELURAHAN (DI ISI)'!CA130+'KELURAHAN (DI ISI)'!CA131+'KELURAHAN (DI ISI)'!CA136</f>
        <v>0</v>
      </c>
      <c r="CP37" s="605">
        <f>'KELURAHAN (DI ISI)'!CB128+'KELURAHAN (DI ISI)'!CB129+'KELURAHAN (DI ISI)'!CB130+'KELURAHAN (DI ISI)'!CB131+'KELURAHAN (DI ISI)'!CB136</f>
        <v>0</v>
      </c>
      <c r="CQ37" s="605">
        <f>'KELURAHAN (DI ISI)'!CC128+'KELURAHAN (DI ISI)'!CC129+'KELURAHAN (DI ISI)'!CC130+'KELURAHAN (DI ISI)'!CC131+'KELURAHAN (DI ISI)'!CC136</f>
        <v>0</v>
      </c>
      <c r="CR37" s="605">
        <f>'KELURAHAN (DI ISI)'!CD128+'KELURAHAN (DI ISI)'!CD129+'KELURAHAN (DI ISI)'!CD130+'KELURAHAN (DI ISI)'!CD131+'KELURAHAN (DI ISI)'!CD136</f>
        <v>5</v>
      </c>
      <c r="CS37" s="605">
        <f>'KELURAHAN (DI ISI)'!CE128+'KELURAHAN (DI ISI)'!CE129+'KELURAHAN (DI ISI)'!CE130+'KELURAHAN (DI ISI)'!CE131+'KELURAHAN (DI ISI)'!CE136</f>
        <v>0</v>
      </c>
      <c r="CT37" s="605">
        <f>'KELURAHAN (DI ISI)'!CF128+'KELURAHAN (DI ISI)'!CF129+'KELURAHAN (DI ISI)'!CF130+'KELURAHAN (DI ISI)'!CF131+'KELURAHAN (DI ISI)'!CF136</f>
        <v>0</v>
      </c>
      <c r="CU37" s="605">
        <f>'KELURAHAN (DI ISI)'!CG128+'KELURAHAN (DI ISI)'!CG129+'KELURAHAN (DI ISI)'!CG130+'KELURAHAN (DI ISI)'!CG131+'KELURAHAN (DI ISI)'!CG136</f>
        <v>0</v>
      </c>
      <c r="CV37" s="605">
        <f>'KELURAHAN (DI ISI)'!CH128+'KELURAHAN (DI ISI)'!CH129+'KELURAHAN (DI ISI)'!CH130+'KELURAHAN (DI ISI)'!CH131+'KELURAHAN (DI ISI)'!CH136</f>
        <v>0</v>
      </c>
      <c r="CW37" s="605">
        <f>'KELURAHAN (DI ISI)'!CI128+'KELURAHAN (DI ISI)'!CI129+'KELURAHAN (DI ISI)'!CI130+'KELURAHAN (DI ISI)'!CI131+'KELURAHAN (DI ISI)'!CI136</f>
        <v>0</v>
      </c>
      <c r="CX37" s="605">
        <f>'KELURAHAN (DI ISI)'!CJ128+'KELURAHAN (DI ISI)'!CJ129+'KELURAHAN (DI ISI)'!CJ130+'KELURAHAN (DI ISI)'!CJ131+'KELURAHAN (DI ISI)'!CJ136</f>
        <v>0</v>
      </c>
      <c r="CY37" s="605">
        <f>'KELURAHAN (DI ISI)'!CK128+'KELURAHAN (DI ISI)'!CK129+'KELURAHAN (DI ISI)'!CK130+'KELURAHAN (DI ISI)'!CK131+'KELURAHAN (DI ISI)'!CK136</f>
        <v>5</v>
      </c>
      <c r="CZ37" s="605">
        <f>'KELURAHAN (DI ISI)'!CL128+'KELURAHAN (DI ISI)'!CL129+'KELURAHAN (DI ISI)'!CL130+'KELURAHAN (DI ISI)'!CL131+'KELURAHAN (DI ISI)'!CL136</f>
        <v>2573</v>
      </c>
      <c r="DA37" s="605">
        <f>'KELURAHAN (DI ISI)'!CM128+'KELURAHAN (DI ISI)'!CM129+'KELURAHAN (DI ISI)'!CM130+'KELURAHAN (DI ISI)'!CM131+'KELURAHAN (DI ISI)'!CM136</f>
        <v>932</v>
      </c>
      <c r="DB37" s="605">
        <f>'KELURAHAN (DI ISI)'!CN128+'KELURAHAN (DI ISI)'!CN129+'KELURAHAN (DI ISI)'!CN130+'KELURAHAN (DI ISI)'!CN131+'KELURAHAN (DI ISI)'!CN136</f>
        <v>97</v>
      </c>
      <c r="DC37" s="491">
        <f t="shared" si="15"/>
        <v>14</v>
      </c>
      <c r="DD37" s="491">
        <f t="shared" si="16"/>
        <v>31</v>
      </c>
      <c r="DE37" s="605">
        <f>'KELURAHAN (DI ISI)'!CO128+'KELURAHAN (DI ISI)'!CO129+'KELURAHAN (DI ISI)'!CO130+'KELURAHAN (DI ISI)'!CO131+'KELURAHAN (DI ISI)'!CO136</f>
        <v>0</v>
      </c>
      <c r="DF37" s="605">
        <f>'KELURAHAN (DI ISI)'!CP128+'KELURAHAN (DI ISI)'!CP129+'KELURAHAN (DI ISI)'!CP130+'KELURAHAN (DI ISI)'!CP131+'KELURAHAN (DI ISI)'!CP136</f>
        <v>1</v>
      </c>
      <c r="DG37" s="605">
        <f>'KELURAHAN (DI ISI)'!CQ128+'KELURAHAN (DI ISI)'!CQ129+'KELURAHAN (DI ISI)'!CQ130+'KELURAHAN (DI ISI)'!CQ131+'KELURAHAN (DI ISI)'!CQ136</f>
        <v>13</v>
      </c>
      <c r="DH37" s="605">
        <f>'KELURAHAN (DI ISI)'!CR128+'KELURAHAN (DI ISI)'!CR129+'KELURAHAN (DI ISI)'!CR130+'KELURAHAN (DI ISI)'!CR131+'KELURAHAN (DI ISI)'!CR136</f>
        <v>31</v>
      </c>
      <c r="DI37" s="605">
        <f>'KELURAHAN (DI ISI)'!CS128+'KELURAHAN (DI ISI)'!CS129+'KELURAHAN (DI ISI)'!CS130+'KELURAHAN (DI ISI)'!CS131+'KELURAHAN (DI ISI)'!CS136</f>
        <v>0</v>
      </c>
      <c r="DJ37" s="605">
        <f>'KELURAHAN (DI ISI)'!CT128+'KELURAHAN (DI ISI)'!CT129+'KELURAHAN (DI ISI)'!CT130+'KELURAHAN (DI ISI)'!CT131+'KELURAHAN (DI ISI)'!CT136</f>
        <v>2</v>
      </c>
      <c r="DK37" s="605">
        <f>'KELURAHAN (DI ISI)'!CU128+'KELURAHAN (DI ISI)'!CU129+'KELURAHAN (DI ISI)'!CU130+'KELURAHAN (DI ISI)'!CU131+'KELURAHAN (DI ISI)'!CU136</f>
        <v>15</v>
      </c>
      <c r="DL37" s="605">
        <f>'KELURAHAN (DI ISI)'!CV128+'KELURAHAN (DI ISI)'!CV129+'KELURAHAN (DI ISI)'!CV130+'KELURAHAN (DI ISI)'!CV131+'KELURAHAN (DI ISI)'!CV136</f>
        <v>35</v>
      </c>
      <c r="DM37" s="605">
        <f>'KELURAHAN (DI ISI)'!CW128+'KELURAHAN (DI ISI)'!CW129+'KELURAHAN (DI ISI)'!CW130+'KELURAHAN (DI ISI)'!CW131+'KELURAHAN (DI ISI)'!CW136</f>
        <v>5</v>
      </c>
      <c r="DN37" s="605">
        <f>'KELURAHAN (DI ISI)'!CX128+'KELURAHAN (DI ISI)'!CX129+'KELURAHAN (DI ISI)'!CX130+'KELURAHAN (DI ISI)'!CX131+'KELURAHAN (DI ISI)'!CX136</f>
        <v>2</v>
      </c>
      <c r="DO37" s="605">
        <f>'KELURAHAN (DI ISI)'!CY128+'KELURAHAN (DI ISI)'!CY129+'KELURAHAN (DI ISI)'!CY130+'KELURAHAN (DI ISI)'!CY131+'KELURAHAN (DI ISI)'!CY136</f>
        <v>1</v>
      </c>
      <c r="DP37" s="605">
        <f>'KELURAHAN (DI ISI)'!CZ128+'KELURAHAN (DI ISI)'!CZ129+'KELURAHAN (DI ISI)'!CZ130+'KELURAHAN (DI ISI)'!CZ131+'KELURAHAN (DI ISI)'!CZ136</f>
        <v>0</v>
      </c>
      <c r="DQ37" s="605">
        <f>'KELURAHAN (DI ISI)'!DA128+'KELURAHAN (DI ISI)'!DA129+'KELURAHAN (DI ISI)'!DA130+'KELURAHAN (DI ISI)'!DA131+'KELURAHAN (DI ISI)'!DA136</f>
        <v>0</v>
      </c>
      <c r="DR37" s="605">
        <f>'KELURAHAN (DI ISI)'!DB128+'KELURAHAN (DI ISI)'!DB129+'KELURAHAN (DI ISI)'!DB130+'KELURAHAN (DI ISI)'!DB131+'KELURAHAN (DI ISI)'!DB136</f>
        <v>0</v>
      </c>
      <c r="DS37" s="605">
        <f>'KELURAHAN (DI ISI)'!DC128+'KELURAHAN (DI ISI)'!DC129+'KELURAHAN (DI ISI)'!DC130+'KELURAHAN (DI ISI)'!DC131+'KELURAHAN (DI ISI)'!DC136</f>
        <v>0</v>
      </c>
      <c r="DT37" s="605">
        <f>'KELURAHAN (DI ISI)'!DD128+'KELURAHAN (DI ISI)'!DD129+'KELURAHAN (DI ISI)'!DD130+'KELURAHAN (DI ISI)'!DD131+'KELURAHAN (DI ISI)'!DD136</f>
        <v>0</v>
      </c>
      <c r="DU37" s="605">
        <f>'KELURAHAN (DI ISI)'!DE128+'KELURAHAN (DI ISI)'!DE129+'KELURAHAN (DI ISI)'!DE130+'KELURAHAN (DI ISI)'!DE131+'KELURAHAN (DI ISI)'!DE136</f>
        <v>0</v>
      </c>
      <c r="DV37" s="605">
        <f>'KELURAHAN (DI ISI)'!DF128+'KELURAHAN (DI ISI)'!DF129+'KELURAHAN (DI ISI)'!DF130+'KELURAHAN (DI ISI)'!DF131+'KELURAHAN (DI ISI)'!DF136</f>
        <v>0</v>
      </c>
      <c r="DW37" s="605">
        <f>'KELURAHAN (DI ISI)'!DG128+'KELURAHAN (DI ISI)'!DG129+'KELURAHAN (DI ISI)'!DG130+'KELURAHAN (DI ISI)'!DG131+'KELURAHAN (DI ISI)'!DG136</f>
        <v>8</v>
      </c>
      <c r="DX37" s="605">
        <f>'KELURAHAN (DI ISI)'!DH128+'KELURAHAN (DI ISI)'!DH129+'KELURAHAN (DI ISI)'!DH130+'KELURAHAN (DI ISI)'!DH131+'KELURAHAN (DI ISI)'!DH136</f>
        <v>2784</v>
      </c>
      <c r="DY37" s="605">
        <f>'KELURAHAN (DI ISI)'!DI128+'KELURAHAN (DI ISI)'!DI129+'KELURAHAN (DI ISI)'!DI130+'KELURAHAN (DI ISI)'!DI131+'KELURAHAN (DI ISI)'!DI136</f>
        <v>994</v>
      </c>
      <c r="DZ37" s="605">
        <f>'KELURAHAN (DI ISI)'!DJ128+'KELURAHAN (DI ISI)'!DJ129+'KELURAHAN (DI ISI)'!DJ130+'KELURAHAN (DI ISI)'!DJ131+'KELURAHAN (DI ISI)'!DJ136</f>
        <v>2509</v>
      </c>
      <c r="EA37" s="605">
        <f>'KELURAHAN (DI ISI)'!DK128+'KELURAHAN (DI ISI)'!DK129+'KELURAHAN (DI ISI)'!DK130+'KELURAHAN (DI ISI)'!DK131+'KELURAHAN (DI ISI)'!DK136</f>
        <v>821</v>
      </c>
      <c r="EB37" s="605">
        <f>'KELURAHAN (DI ISI)'!DL128+'KELURAHAN (DI ISI)'!DL129+'KELURAHAN (DI ISI)'!DL130+'KELURAHAN (DI ISI)'!DL131+'KELURAHAN (DI ISI)'!DL136</f>
        <v>91</v>
      </c>
      <c r="EC37" s="605">
        <f>'KELURAHAN (DI ISI)'!DM128+'KELURAHAN (DI ISI)'!DM129+'KELURAHAN (DI ISI)'!DM130+'KELURAHAN (DI ISI)'!DM131+'KELURAHAN (DI ISI)'!DM136</f>
        <v>27</v>
      </c>
      <c r="ED37" s="491">
        <f t="shared" si="17"/>
        <v>64</v>
      </c>
      <c r="EE37" s="605">
        <f>'KELURAHAN (DI ISI)'!DO128+'KELURAHAN (DI ISI)'!DO129+'KELURAHAN (DI ISI)'!DO130+'KELURAHAN (DI ISI)'!DO131+'KELURAHAN (DI ISI)'!DO136</f>
        <v>0</v>
      </c>
      <c r="EF37" s="605">
        <f>'KELURAHAN (DI ISI)'!DP128+'KELURAHAN (DI ISI)'!DP129+'KELURAHAN (DI ISI)'!DP130+'KELURAHAN (DI ISI)'!DP131+'KELURAHAN (DI ISI)'!DP136</f>
        <v>1</v>
      </c>
      <c r="EG37" s="605">
        <f>'KELURAHAN (DI ISI)'!DQ128+'KELURAHAN (DI ISI)'!DQ129+'KELURAHAN (DI ISI)'!DQ130+'KELURAHAN (DI ISI)'!DQ131+'KELURAHAN (DI ISI)'!DQ136</f>
        <v>26</v>
      </c>
      <c r="EH37" s="605">
        <f>'KELURAHAN (DI ISI)'!DR128+'KELURAHAN (DI ISI)'!DR129+'KELURAHAN (DI ISI)'!DR130+'KELURAHAN (DI ISI)'!DR131+'KELURAHAN (DI ISI)'!DR136</f>
        <v>62</v>
      </c>
      <c r="EI37" s="605">
        <f>'KELURAHAN (DI ISI)'!DS128+'KELURAHAN (DI ISI)'!DS129+'KELURAHAN (DI ISI)'!DS130+'KELURAHAN (DI ISI)'!DS131+'KELURAHAN (DI ISI)'!DS136</f>
        <v>0</v>
      </c>
      <c r="EJ37" s="605">
        <f>'KELURAHAN (DI ISI)'!DT128+'KELURAHAN (DI ISI)'!DT129+'KELURAHAN (DI ISI)'!DT130+'KELURAHAN (DI ISI)'!DT131+'KELURAHAN (DI ISI)'!DT136</f>
        <v>0</v>
      </c>
      <c r="EK37" s="605">
        <f>'KELURAHAN (DI ISI)'!DU128+'KELURAHAN (DI ISI)'!DU129+'KELURAHAN (DI ISI)'!DU130+'KELURAHAN (DI ISI)'!DU131+'KELURAHAN (DI ISI)'!DU136</f>
        <v>0</v>
      </c>
      <c r="EL37" s="605">
        <f>'KELURAHAN (DI ISI)'!DV128+'KELURAHAN (DI ISI)'!DV129+'KELURAHAN (DI ISI)'!DV130+'KELURAHAN (DI ISI)'!DV131+'KELURAHAN (DI ISI)'!DV136</f>
        <v>2</v>
      </c>
      <c r="EM37" s="605">
        <f>'KELURAHAN (DI ISI)'!DW128+'KELURAHAN (DI ISI)'!DW129+'KELURAHAN (DI ISI)'!DW130+'KELURAHAN (DI ISI)'!DW131+'KELURAHAN (DI ISI)'!DW136</f>
        <v>0</v>
      </c>
      <c r="EN37" s="605">
        <f>'KELURAHAN (DI ISI)'!DX128+'KELURAHAN (DI ISI)'!DX129+'KELURAHAN (DI ISI)'!DX130+'KELURAHAN (DI ISI)'!DX131+'KELURAHAN (DI ISI)'!DX136</f>
        <v>1</v>
      </c>
      <c r="EO37" s="605">
        <f>'KELURAHAN (DI ISI)'!DY128+'KELURAHAN (DI ISI)'!DY129+'KELURAHAN (DI ISI)'!DY130+'KELURAHAN (DI ISI)'!DY131+'KELURAHAN (DI ISI)'!DY136</f>
        <v>0</v>
      </c>
      <c r="EP37" s="605">
        <f>'KELURAHAN (DI ISI)'!DZ128+'KELURAHAN (DI ISI)'!DZ129+'KELURAHAN (DI ISI)'!DZ130+'KELURAHAN (DI ISI)'!DZ131+'KELURAHAN (DI ISI)'!DZ136</f>
        <v>4</v>
      </c>
      <c r="EQ37" s="605">
        <f>'KELURAHAN (DI ISI)'!EA128+'KELURAHAN (DI ISI)'!EA129+'KELURAHAN (DI ISI)'!EA130+'KELURAHAN (DI ISI)'!EA131+'KELURAHAN (DI ISI)'!EA136</f>
        <v>0</v>
      </c>
      <c r="ER37" s="605">
        <f>'KELURAHAN (DI ISI)'!EB128+'KELURAHAN (DI ISI)'!EB129+'KELURAHAN (DI ISI)'!EB130+'KELURAHAN (DI ISI)'!EB131+'KELURAHAN (DI ISI)'!EB136</f>
        <v>0</v>
      </c>
      <c r="ES37" s="605">
        <f>'KELURAHAN (DI ISI)'!EC128+'KELURAHAN (DI ISI)'!EC129+'KELURAHAN (DI ISI)'!EC130+'KELURAHAN (DI ISI)'!EC131+'KELURAHAN (DI ISI)'!EC136</f>
        <v>0</v>
      </c>
      <c r="ET37" s="605">
        <f>'KELURAHAN (DI ISI)'!ED128+'KELURAHAN (DI ISI)'!ED129+'KELURAHAN (DI ISI)'!ED130+'KELURAHAN (DI ISI)'!ED131+'KELURAHAN (DI ISI)'!ED136</f>
        <v>1</v>
      </c>
      <c r="EU37" s="605">
        <f>'KELURAHAN (DI ISI)'!EE128+'KELURAHAN (DI ISI)'!EE129+'KELURAHAN (DI ISI)'!EE130+'KELURAHAN (DI ISI)'!EE131+'KELURAHAN (DI ISI)'!EE136</f>
        <v>0</v>
      </c>
      <c r="EV37" s="605">
        <f>'KELURAHAN (DI ISI)'!EF128+'KELURAHAN (DI ISI)'!EF129+'KELURAHAN (DI ISI)'!EF130+'KELURAHAN (DI ISI)'!EF131+'KELURAHAN (DI ISI)'!EF136</f>
        <v>0</v>
      </c>
      <c r="EW37" s="605">
        <f>'KELURAHAN (DI ISI)'!EG128+'KELURAHAN (DI ISI)'!EG129+'KELURAHAN (DI ISI)'!EG130+'KELURAHAN (DI ISI)'!EG131+'KELURAHAN (DI ISI)'!EG136</f>
        <v>6</v>
      </c>
      <c r="EX37" s="605">
        <f>'KELURAHAN (DI ISI)'!EH128+'KELURAHAN (DI ISI)'!EH129+'KELURAHAN (DI ISI)'!EH130+'KELURAHAN (DI ISI)'!EH131+'KELURAHAN (DI ISI)'!EH136</f>
        <v>1</v>
      </c>
      <c r="EY37" s="605">
        <f>'KELURAHAN (DI ISI)'!EI128+'KELURAHAN (DI ISI)'!EI129+'KELURAHAN (DI ISI)'!EI130+'KELURAHAN (DI ISI)'!EI131+'KELURAHAN (DI ISI)'!EI136</f>
        <v>2874</v>
      </c>
      <c r="EZ37" s="605">
        <f>'KELURAHAN (DI ISI)'!EJ128+'KELURAHAN (DI ISI)'!EJ129+'KELURAHAN (DI ISI)'!EJ130+'KELURAHAN (DI ISI)'!EJ131+'KELURAHAN (DI ISI)'!EJ136</f>
        <v>1068</v>
      </c>
      <c r="FA37" s="605">
        <f>'KELURAHAN (DI ISI)'!EK128+'KELURAHAN (DI ISI)'!EK129+'KELURAHAN (DI ISI)'!EK130+'KELURAHAN (DI ISI)'!EK131+'KELURAHAN (DI ISI)'!EK136</f>
        <v>2746</v>
      </c>
      <c r="FB37" s="605">
        <f>'KELURAHAN (DI ISI)'!EL128+'KELURAHAN (DI ISI)'!EL129+'KELURAHAN (DI ISI)'!EL130+'KELURAHAN (DI ISI)'!EL131+'KELURAHAN (DI ISI)'!EL136</f>
        <v>954</v>
      </c>
      <c r="FC37" s="605">
        <f>'KELURAHAN (DI ISI)'!EM128+'KELURAHAN (DI ISI)'!EM129+'KELURAHAN (DI ISI)'!EM130+'KELURAHAN (DI ISI)'!EM131+'KELURAHAN (DI ISI)'!EM136</f>
        <v>91</v>
      </c>
      <c r="FD37" s="605">
        <f>'KELURAHAN (DI ISI)'!EN128+'KELURAHAN (DI ISI)'!EN129+'KELURAHAN (DI ISI)'!EN130+'KELURAHAN (DI ISI)'!EN131+'KELURAHAN (DI ISI)'!EN136</f>
        <v>24</v>
      </c>
      <c r="FE37" s="491">
        <f t="shared" si="18"/>
        <v>67</v>
      </c>
      <c r="FF37" s="605">
        <f>'KELURAHAN (DI ISI)'!EP128+'KELURAHAN (DI ISI)'!EP129+'KELURAHAN (DI ISI)'!EP130+'KELURAHAN (DI ISI)'!EP131+'KELURAHAN (DI ISI)'!EP136</f>
        <v>0</v>
      </c>
      <c r="FG37" s="605">
        <f>'KELURAHAN (DI ISI)'!EQ128+'KELURAHAN (DI ISI)'!EQ129+'KELURAHAN (DI ISI)'!EQ130+'KELURAHAN (DI ISI)'!EQ131+'KELURAHAN (DI ISI)'!EQ136</f>
        <v>1</v>
      </c>
      <c r="FH37" s="605">
        <f>'KELURAHAN (DI ISI)'!ER128+'KELURAHAN (DI ISI)'!ER129+'KELURAHAN (DI ISI)'!ER130+'KELURAHAN (DI ISI)'!ER131+'KELURAHAN (DI ISI)'!ER136</f>
        <v>22</v>
      </c>
      <c r="FI37" s="605">
        <f>'KELURAHAN (DI ISI)'!ES128+'KELURAHAN (DI ISI)'!ES129+'KELURAHAN (DI ISI)'!ES130+'KELURAHAN (DI ISI)'!ES131+'KELURAHAN (DI ISI)'!ES136</f>
        <v>61</v>
      </c>
      <c r="FJ37" s="605">
        <f>'KELURAHAN (DI ISI)'!ET128+'KELURAHAN (DI ISI)'!ET129+'KELURAHAN (DI ISI)'!ET130+'KELURAHAN (DI ISI)'!ET131+'KELURAHAN (DI ISI)'!ET136</f>
        <v>1</v>
      </c>
      <c r="FK37" s="605">
        <f>'KELURAHAN (DI ISI)'!EU128+'KELURAHAN (DI ISI)'!EU129+'KELURAHAN (DI ISI)'!EU130+'KELURAHAN (DI ISI)'!EU131+'KELURAHAN (DI ISI)'!EU136</f>
        <v>0</v>
      </c>
      <c r="FL37" s="605">
        <f>'KELURAHAN (DI ISI)'!EV128+'KELURAHAN (DI ISI)'!EV129+'KELURAHAN (DI ISI)'!EV130+'KELURAHAN (DI ISI)'!EV131+'KELURAHAN (DI ISI)'!EV136</f>
        <v>0</v>
      </c>
      <c r="FM37" s="605">
        <f>'KELURAHAN (DI ISI)'!EW128+'KELURAHAN (DI ISI)'!EW129+'KELURAHAN (DI ISI)'!EW130+'KELURAHAN (DI ISI)'!EW131+'KELURAHAN (DI ISI)'!EW136</f>
        <v>6</v>
      </c>
      <c r="FN37" s="605">
        <f>'KELURAHAN (DI ISI)'!EX128+'KELURAHAN (DI ISI)'!EX129+'KELURAHAN (DI ISI)'!EX130+'KELURAHAN (DI ISI)'!EX131+'KELURAHAN (DI ISI)'!EX136</f>
        <v>0</v>
      </c>
      <c r="FO37" s="605">
        <f>'KELURAHAN (DI ISI)'!EY128+'KELURAHAN (DI ISI)'!EY129+'KELURAHAN (DI ISI)'!EY130+'KELURAHAN (DI ISI)'!EY131+'KELURAHAN (DI ISI)'!EY136</f>
        <v>0</v>
      </c>
      <c r="FP37" s="605">
        <f>'KELURAHAN (DI ISI)'!EZ128+'KELURAHAN (DI ISI)'!EZ129+'KELURAHAN (DI ISI)'!EZ130+'KELURAHAN (DI ISI)'!EZ131+'KELURAHAN (DI ISI)'!EZ136</f>
        <v>1</v>
      </c>
      <c r="FQ37" s="605">
        <f>'KELURAHAN (DI ISI)'!FA128+'KELURAHAN (DI ISI)'!FA129+'KELURAHAN (DI ISI)'!FA130+'KELURAHAN (DI ISI)'!FA131+'KELURAHAN (DI ISI)'!FA136</f>
        <v>0</v>
      </c>
      <c r="FR37" s="605">
        <f>'KELURAHAN (DI ISI)'!FB128+'KELURAHAN (DI ISI)'!FB129+'KELURAHAN (DI ISI)'!FB130+'KELURAHAN (DI ISI)'!FB131+'KELURAHAN (DI ISI)'!FB136</f>
        <v>0</v>
      </c>
      <c r="FS37" s="605">
        <f>'KELURAHAN (DI ISI)'!FC128+'KELURAHAN (DI ISI)'!FC129+'KELURAHAN (DI ISI)'!FC130+'KELURAHAN (DI ISI)'!FC131+'KELURAHAN (DI ISI)'!FC136</f>
        <v>0</v>
      </c>
      <c r="FT37" s="605">
        <f>'KELURAHAN (DI ISI)'!FD128+'KELURAHAN (DI ISI)'!FD129+'KELURAHAN (DI ISI)'!FD130+'KELURAHAN (DI ISI)'!FD131+'KELURAHAN (DI ISI)'!FD136</f>
        <v>0</v>
      </c>
      <c r="FU37" s="605">
        <f>'KELURAHAN (DI ISI)'!FE128+'KELURAHAN (DI ISI)'!FE129+'KELURAHAN (DI ISI)'!FE130+'KELURAHAN (DI ISI)'!FE131+'KELURAHAN (DI ISI)'!FE136</f>
        <v>0</v>
      </c>
      <c r="FV37" s="605">
        <f>'KELURAHAN (DI ISI)'!FF128+'KELURAHAN (DI ISI)'!FF129+'KELURAHAN (DI ISI)'!FF130+'KELURAHAN (DI ISI)'!FF131+'KELURAHAN (DI ISI)'!FF136</f>
        <v>0</v>
      </c>
      <c r="FW37" s="605">
        <f>'KELURAHAN (DI ISI)'!FG128+'KELURAHAN (DI ISI)'!FG129+'KELURAHAN (DI ISI)'!FG130+'KELURAHAN (DI ISI)'!FG131+'KELURAHAN (DI ISI)'!FG136</f>
        <v>0</v>
      </c>
      <c r="FX37" s="605">
        <f>'KELURAHAN (DI ISI)'!FH128+'KELURAHAN (DI ISI)'!FH129+'KELURAHAN (DI ISI)'!FH130+'KELURAHAN (DI ISI)'!FH131+'KELURAHAN (DI ISI)'!FH136</f>
        <v>1</v>
      </c>
      <c r="FY37" s="605">
        <f>'KELURAHAN (DI ISI)'!FI128+'KELURAHAN (DI ISI)'!FI129+'KELURAHAN (DI ISI)'!FI130+'KELURAHAN (DI ISI)'!FI131+'KELURAHAN (DI ISI)'!FI136</f>
        <v>1</v>
      </c>
      <c r="FZ37" s="605">
        <f>'KELURAHAN (DI ISI)'!FJ128+'KELURAHAN (DI ISI)'!FJ129+'KELURAHAN (DI ISI)'!FJ130+'KELURAHAN (DI ISI)'!FJ131+'KELURAHAN (DI ISI)'!FJ136</f>
        <v>2889</v>
      </c>
      <c r="GA37" s="605">
        <f>'KELURAHAN (DI ISI)'!FK128+'KELURAHAN (DI ISI)'!FK129+'KELURAHAN (DI ISI)'!FK130+'KELURAHAN (DI ISI)'!FK131+'KELURAHAN (DI ISI)'!FK136</f>
        <v>1069</v>
      </c>
      <c r="GB37" s="605">
        <f>'KELURAHAN (DI ISI)'!FL128+'KELURAHAN (DI ISI)'!FL129+'KELURAHAN (DI ISI)'!FL130+'KELURAHAN (DI ISI)'!FL131+'KELURAHAN (DI ISI)'!FL136</f>
        <v>2748</v>
      </c>
      <c r="GC37" s="605">
        <f>'KELURAHAN (DI ISI)'!FM128+'KELURAHAN (DI ISI)'!FM129+'KELURAHAN (DI ISI)'!FM130+'KELURAHAN (DI ISI)'!FM131+'KELURAHAN (DI ISI)'!FM136</f>
        <v>929</v>
      </c>
      <c r="GD37" s="570">
        <v>2748.0</v>
      </c>
      <c r="GE37" s="571">
        <f>'KELURAHAN (DI ISI)'!FO128+'KELURAHAN (DI ISI)'!FO129+'KELURAHAN (DI ISI)'!FO130+'KELURAHAN (DI ISI)'!FO131+'KELURAHAN (DI ISI)'!FO136</f>
        <v>90</v>
      </c>
      <c r="GF37" s="571">
        <f>'KELURAHAN (DI ISI)'!FP128+'KELURAHAN (DI ISI)'!FP129+'KELURAHAN (DI ISI)'!FP130+'KELURAHAN (DI ISI)'!FP131+'KELURAHAN (DI ISI)'!FP136</f>
        <v>90</v>
      </c>
      <c r="GG37" s="571">
        <f>'KELURAHAN (DI ISI)'!FP128+'KELURAHAN (DI ISI)'!FP129+'KELURAHAN (DI ISI)'!FP130+'KELURAHAN (DI ISI)'!FP131+'KELURAHAN (DI ISI)'!FP136</f>
        <v>90</v>
      </c>
      <c r="GH37" s="571">
        <f>'KELURAHAN (DI ISI)'!FQ128+'KELURAHAN (DI ISI)'!FQ129+'KELURAHAN (DI ISI)'!FQ130+'KELURAHAN (DI ISI)'!FQ131+'KELURAHAN (DI ISI)'!FQ136</f>
        <v>17</v>
      </c>
      <c r="GI37" s="571">
        <f t="shared" si="19"/>
        <v>73</v>
      </c>
      <c r="GJ37" s="605">
        <f>'KELURAHAN (DI ISI)'!FS128+'KELURAHAN (DI ISI)'!FS129+'KELURAHAN (DI ISI)'!FS130+'KELURAHAN (DI ISI)'!FS131+'KELURAHAN (DI ISI)'!FS136</f>
        <v>0</v>
      </c>
      <c r="GK37" s="605">
        <f>'KELURAHAN (DI ISI)'!FT128+'KELURAHAN (DI ISI)'!FT129+'KELURAHAN (DI ISI)'!FT130+'KELURAHAN (DI ISI)'!FT131+'KELURAHAN (DI ISI)'!FT136</f>
        <v>1</v>
      </c>
      <c r="GL37" s="605">
        <f>'KELURAHAN (DI ISI)'!FU128+'KELURAHAN (DI ISI)'!FU129+'KELURAHAN (DI ISI)'!FU130+'KELURAHAN (DI ISI)'!FU131+'KELURAHAN (DI ISI)'!FU136</f>
        <v>16</v>
      </c>
      <c r="GM37" s="605">
        <f>'KELURAHAN (DI ISI)'!FV128+'KELURAHAN (DI ISI)'!FV129+'KELURAHAN (DI ISI)'!FV130+'KELURAHAN (DI ISI)'!FV131+'KELURAHAN (DI ISI)'!FV136</f>
        <v>71</v>
      </c>
      <c r="GN37" s="605">
        <f>'KELURAHAN (DI ISI)'!FW128+'KELURAHAN (DI ISI)'!FW129+'KELURAHAN (DI ISI)'!FW130+'KELURAHAN (DI ISI)'!FW131+'KELURAHAN (DI ISI)'!FW136</f>
        <v>0</v>
      </c>
      <c r="GO37" s="605">
        <f>'KELURAHAN (DI ISI)'!FX128+'KELURAHAN (DI ISI)'!FX129+'KELURAHAN (DI ISI)'!FX130+'KELURAHAN (DI ISI)'!FX131+'KELURAHAN (DI ISI)'!FX136</f>
        <v>0</v>
      </c>
      <c r="GP37" s="605">
        <f>'KELURAHAN (DI ISI)'!FY128+'KELURAHAN (DI ISI)'!FY129+'KELURAHAN (DI ISI)'!FY130+'KELURAHAN (DI ISI)'!FY131+'KELURAHAN (DI ISI)'!FY136</f>
        <v>0</v>
      </c>
      <c r="GQ37" s="605">
        <f>'KELURAHAN (DI ISI)'!FZ128+'KELURAHAN (DI ISI)'!FZ129+'KELURAHAN (DI ISI)'!FZ130+'KELURAHAN (DI ISI)'!FZ131+'KELURAHAN (DI ISI)'!FZ136</f>
        <v>2</v>
      </c>
      <c r="GR37" s="605">
        <f>'KELURAHAN (DI ISI)'!GA128+'KELURAHAN (DI ISI)'!GA129+'KELURAHAN (DI ISI)'!GA130+'KELURAHAN (DI ISI)'!GA131+'KELURAHAN (DI ISI)'!GA136</f>
        <v>1</v>
      </c>
      <c r="GS37" s="605">
        <f>'KELURAHAN (DI ISI)'!GB128+'KELURAHAN (DI ISI)'!GB129+'KELURAHAN (DI ISI)'!GB130+'KELURAHAN (DI ISI)'!GB131+'KELURAHAN (DI ISI)'!GB136</f>
        <v>0</v>
      </c>
      <c r="GT37" s="605">
        <f>'KELURAHAN (DI ISI)'!GC128+'KELURAHAN (DI ISI)'!GC129+'KELURAHAN (DI ISI)'!GC130+'KELURAHAN (DI ISI)'!GC131+'KELURAHAN (DI ISI)'!GC136</f>
        <v>0</v>
      </c>
      <c r="GU37" s="605">
        <f>'KELURAHAN (DI ISI)'!GD128+'KELURAHAN (DI ISI)'!GD129+'KELURAHAN (DI ISI)'!GD130+'KELURAHAN (DI ISI)'!GD131+'KELURAHAN (DI ISI)'!GD136</f>
        <v>0</v>
      </c>
      <c r="GV37" s="605">
        <f>'KELURAHAN (DI ISI)'!GE128+'KELURAHAN (DI ISI)'!GE129+'KELURAHAN (DI ISI)'!GE130+'KELURAHAN (DI ISI)'!GE131+'KELURAHAN (DI ISI)'!GE136</f>
        <v>0</v>
      </c>
      <c r="GW37" s="605">
        <f>'KELURAHAN (DI ISI)'!GF128+'KELURAHAN (DI ISI)'!GF129+'KELURAHAN (DI ISI)'!GF130+'KELURAHAN (DI ISI)'!GF131+'KELURAHAN (DI ISI)'!GF136</f>
        <v>0</v>
      </c>
      <c r="GX37" s="605">
        <f>'KELURAHAN (DI ISI)'!GG128+'KELURAHAN (DI ISI)'!GG129+'KELURAHAN (DI ISI)'!GG130+'KELURAHAN (DI ISI)'!GG131+'KELURAHAN (DI ISI)'!GG136</f>
        <v>0</v>
      </c>
      <c r="GY37" s="605">
        <f>'KELURAHAN (DI ISI)'!GH128+'KELURAHAN (DI ISI)'!GH129+'KELURAHAN (DI ISI)'!GH130+'KELURAHAN (DI ISI)'!GH131+'KELURAHAN (DI ISI)'!GH136</f>
        <v>0</v>
      </c>
      <c r="GZ37" s="605">
        <f>'KELURAHAN (DI ISI)'!GI128+'KELURAHAN (DI ISI)'!GI129+'KELURAHAN (DI ISI)'!GI130+'KELURAHAN (DI ISI)'!GI131+'KELURAHAN (DI ISI)'!GI136</f>
        <v>1</v>
      </c>
      <c r="HA37" s="605">
        <f>'KELURAHAN (DI ISI)'!GJ128+'KELURAHAN (DI ISI)'!GJ129+'KELURAHAN (DI ISI)'!GJ130+'KELURAHAN (DI ISI)'!GJ131+'KELURAHAN (DI ISI)'!GJ136</f>
        <v>0</v>
      </c>
      <c r="HB37" s="572">
        <f>'KELURAHAN (DI ISI)'!GK128+'KELURAHAN (DI ISI)'!GK129+'KELURAHAN (DI ISI)'!GK130+'KELURAHAN (DI ISI)'!GK131+'KELURAHAN (DI ISI)'!GK136</f>
        <v>2</v>
      </c>
      <c r="HC37" s="572">
        <f>'KELURAHAN (DI ISI)'!GL128+'KELURAHAN (DI ISI)'!GL129+'KELURAHAN (DI ISI)'!GL130+'KELURAHAN (DI ISI)'!GL131+'KELURAHAN (DI ISI)'!GL136</f>
        <v>1</v>
      </c>
      <c r="HD37" s="605">
        <f>'KELURAHAN (DI ISI)'!GM128+'KELURAHAN (DI ISI)'!GM129+'KELURAHAN (DI ISI)'!GM130+'KELURAHAN (DI ISI)'!GM131+'KELURAHAN (DI ISI)'!GM136</f>
        <v>2957</v>
      </c>
      <c r="HE37" s="605">
        <f>'KELURAHAN (DI ISI)'!GN128+'KELURAHAN (DI ISI)'!GN129+'KELURAHAN (DI ISI)'!GN130+'KELURAHAN (DI ISI)'!GN131+'KELURAHAN (DI ISI)'!GN136</f>
        <v>1168</v>
      </c>
      <c r="HF37" s="605">
        <f>'KELURAHAN (DI ISI)'!GO128+'KELURAHAN (DI ISI)'!GO129+'KELURAHAN (DI ISI)'!GO130+'KELURAHAN (DI ISI)'!GO131+'KELURAHAN (DI ISI)'!GO136</f>
        <v>2768</v>
      </c>
      <c r="HG37" s="605">
        <f>'KELURAHAN (DI ISI)'!GP128+'KELURAHAN (DI ISI)'!GP129+'KELURAHAN (DI ISI)'!GP130+'KELURAHAN (DI ISI)'!GP131+'KELURAHAN (DI ISI)'!GP136</f>
        <v>993</v>
      </c>
      <c r="HH37" s="570">
        <v>2748.0</v>
      </c>
      <c r="HI37" s="225">
        <f>'KELURAHAN (DI ISI)'!GR128+'KELURAHAN (DI ISI)'!GR129+'KELURAHAN (DI ISI)'!GR130+'KELURAHAN (DI ISI)'!GR131+'KELURAHAN (DI ISI)'!GR136</f>
        <v>91</v>
      </c>
      <c r="HJ37" s="225">
        <f>'KELURAHAN (DI ISI)'!GS128+'KELURAHAN (DI ISI)'!GS129+'KELURAHAN (DI ISI)'!GS130+'KELURAHAN (DI ISI)'!GS131+'KELURAHAN (DI ISI)'!GS136</f>
        <v>13</v>
      </c>
      <c r="HK37" s="573">
        <f>'KELURAHAN (DI ISI)'!GT128+'KELURAHAN (DI ISI)'!GT129+'KELURAHAN (DI ISI)'!GT130+'KELURAHAN (DI ISI)'!GT131+'KELURAHAN (DI ISI)'!GT136</f>
        <v>91</v>
      </c>
      <c r="HL37" s="573">
        <f>'KELURAHAN (DI ISI)'!GU128+'KELURAHAN (DI ISI)'!GU129+'KELURAHAN (DI ISI)'!GU130+'KELURAHAN (DI ISI)'!GU131+'KELURAHAN (DI ISI)'!GU136</f>
        <v>13</v>
      </c>
      <c r="HM37" s="573">
        <f t="shared" si="20"/>
        <v>78</v>
      </c>
      <c r="HN37" s="605">
        <f>'KELURAHAN (DI ISI)'!GW128+'KELURAHAN (DI ISI)'!GW129+'KELURAHAN (DI ISI)'!GW130+'KELURAHAN (DI ISI)'!GW131+'KELURAHAN (DI ISI)'!GW136</f>
        <v>0</v>
      </c>
      <c r="HO37" s="605">
        <f>'KELURAHAN (DI ISI)'!GX128+'KELURAHAN (DI ISI)'!GX129+'KELURAHAN (DI ISI)'!GX130+'KELURAHAN (DI ISI)'!GX131+'KELURAHAN (DI ISI)'!GX136</f>
        <v>0</v>
      </c>
      <c r="HP37" s="605">
        <f>'KELURAHAN (DI ISI)'!GY128+'KELURAHAN (DI ISI)'!GY129+'KELURAHAN (DI ISI)'!GY130+'KELURAHAN (DI ISI)'!GY131+'KELURAHAN (DI ISI)'!GY136</f>
        <v>12</v>
      </c>
      <c r="HQ37" s="605">
        <f>'KELURAHAN (DI ISI)'!GZ128+'KELURAHAN (DI ISI)'!GZ129+'KELURAHAN (DI ISI)'!GZ130+'KELURAHAN (DI ISI)'!GZ131+'KELURAHAN (DI ISI)'!GZ136</f>
        <v>77</v>
      </c>
      <c r="HR37" s="605">
        <f>'KELURAHAN (DI ISI)'!HA128+'KELURAHAN (DI ISI)'!HA129+'KELURAHAN (DI ISI)'!HA130+'KELURAHAN (DI ISI)'!HA131+'KELURAHAN (DI ISI)'!HA136</f>
        <v>0</v>
      </c>
      <c r="HS37" s="605">
        <f>'KELURAHAN (DI ISI)'!HB128+'KELURAHAN (DI ISI)'!HB129+'KELURAHAN (DI ISI)'!HB130+'KELURAHAN (DI ISI)'!HB131+'KELURAHAN (DI ISI)'!HB136</f>
        <v>0</v>
      </c>
      <c r="HT37" s="605">
        <f>'KELURAHAN (DI ISI)'!HC128+'KELURAHAN (DI ISI)'!HC129+'KELURAHAN (DI ISI)'!HC130+'KELURAHAN (DI ISI)'!HC131+'KELURAHAN (DI ISI)'!HC136</f>
        <v>1</v>
      </c>
      <c r="HU37" s="605">
        <f>'KELURAHAN (DI ISI)'!HD128+'KELURAHAN (DI ISI)'!HD129+'KELURAHAN (DI ISI)'!HD130+'KELURAHAN (DI ISI)'!HD131+'KELURAHAN (DI ISI)'!HD136</f>
        <v>1</v>
      </c>
      <c r="HV37" s="605">
        <f>'KELURAHAN (DI ISI)'!HE128+'KELURAHAN (DI ISI)'!HE129+'KELURAHAN (DI ISI)'!HE130+'KELURAHAN (DI ISI)'!HE131+'KELURAHAN (DI ISI)'!HE136</f>
        <v>0</v>
      </c>
      <c r="HW37" s="605">
        <f>'KELURAHAN (DI ISI)'!HF128+'KELURAHAN (DI ISI)'!HF129+'KELURAHAN (DI ISI)'!HF130+'KELURAHAN (DI ISI)'!HF131+'KELURAHAN (DI ISI)'!HF136</f>
        <v>0</v>
      </c>
      <c r="HX37" s="605">
        <f>'KELURAHAN (DI ISI)'!HG128+'KELURAHAN (DI ISI)'!HG129+'KELURAHAN (DI ISI)'!HG130+'KELURAHAN (DI ISI)'!HG131+'KELURAHAN (DI ISI)'!HG136</f>
        <v>0</v>
      </c>
      <c r="HY37" s="605">
        <f>'KELURAHAN (DI ISI)'!HH128+'KELURAHAN (DI ISI)'!HH129+'KELURAHAN (DI ISI)'!HH130+'KELURAHAN (DI ISI)'!HH131+'KELURAHAN (DI ISI)'!HH136</f>
        <v>1</v>
      </c>
      <c r="HZ37" s="605">
        <f>'KELURAHAN (DI ISI)'!HI128+'KELURAHAN (DI ISI)'!HI129+'KELURAHAN (DI ISI)'!HI130+'KELURAHAN (DI ISI)'!HI131+'KELURAHAN (DI ISI)'!HI136</f>
        <v>0</v>
      </c>
      <c r="IA37" s="605">
        <f>'KELURAHAN (DI ISI)'!HJ128+'KELURAHAN (DI ISI)'!HJ129+'KELURAHAN (DI ISI)'!HJ130+'KELURAHAN (DI ISI)'!HJ131+'KELURAHAN (DI ISI)'!HJ136</f>
        <v>0</v>
      </c>
      <c r="IB37" s="605">
        <f>'KELURAHAN (DI ISI)'!HK128+'KELURAHAN (DI ISI)'!HK129+'KELURAHAN (DI ISI)'!HK130+'KELURAHAN (DI ISI)'!HK131+'KELURAHAN (DI ISI)'!HK136</f>
        <v>0</v>
      </c>
      <c r="IC37" s="605">
        <f>'KELURAHAN (DI ISI)'!HL128+'KELURAHAN (DI ISI)'!HL129+'KELURAHAN (DI ISI)'!HL130+'KELURAHAN (DI ISI)'!HL131+'KELURAHAN (DI ISI)'!HL136</f>
        <v>0</v>
      </c>
      <c r="ID37" s="605">
        <f>'KELURAHAN (DI ISI)'!HM128+'KELURAHAN (DI ISI)'!HM129+'KELURAHAN (DI ISI)'!HM130+'KELURAHAN (DI ISI)'!HM131+'KELURAHAN (DI ISI)'!HM136</f>
        <v>4</v>
      </c>
      <c r="IE37" s="605">
        <f>'KELURAHAN (DI ISI)'!HN128+'KELURAHAN (DI ISI)'!HN129+'KELURAHAN (DI ISI)'!HN130+'KELURAHAN (DI ISI)'!HN131+'KELURAHAN (DI ISI)'!HN136</f>
        <v>0</v>
      </c>
      <c r="IF37" s="573">
        <f>'KELURAHAN (DI ISI)'!HO128+'KELURAHAN (DI ISI)'!HO129+'KELURAHAN (DI ISI)'!HO130+'KELURAHAN (DI ISI)'!HO131+'KELURAHAN (DI ISI)'!HO136</f>
        <v>0</v>
      </c>
      <c r="IG37" s="573">
        <f>'KELURAHAN (DI ISI)'!HP128+'KELURAHAN (DI ISI)'!HP129+'KELURAHAN (DI ISI)'!HP130+'KELURAHAN (DI ISI)'!HP131+'KELURAHAN (DI ISI)'!HP136</f>
        <v>0</v>
      </c>
      <c r="IK37" s="198">
        <f t="shared" si="21"/>
        <v>44</v>
      </c>
      <c r="IL37" s="198">
        <f t="shared" si="22"/>
        <v>44</v>
      </c>
      <c r="IM37" s="198">
        <f t="shared" si="23"/>
        <v>67</v>
      </c>
      <c r="IN37" s="198">
        <f t="shared" si="24"/>
        <v>53</v>
      </c>
      <c r="IO37" s="198">
        <f t="shared" si="25"/>
        <v>59</v>
      </c>
      <c r="IP37" s="198">
        <f t="shared" si="26"/>
        <v>37</v>
      </c>
      <c r="IQ37" s="574">
        <f t="shared" si="27"/>
        <v>52</v>
      </c>
      <c r="IR37" s="574">
        <f t="shared" si="28"/>
        <v>97</v>
      </c>
      <c r="IS37" s="574">
        <f t="shared" si="29"/>
        <v>91</v>
      </c>
      <c r="IT37" s="574">
        <f t="shared" si="30"/>
        <v>91</v>
      </c>
      <c r="IU37" s="574">
        <f t="shared" si="31"/>
        <v>90</v>
      </c>
      <c r="IV37" s="575">
        <f t="shared" si="32"/>
        <v>91</v>
      </c>
      <c r="IW37" s="583"/>
      <c r="IX37" s="576">
        <f t="shared" si="33"/>
        <v>-91</v>
      </c>
      <c r="IZ37" s="577"/>
      <c r="JA37" s="162">
        <f t="shared" si="34"/>
        <v>-2957</v>
      </c>
      <c r="JB37" s="578"/>
      <c r="JC37" s="579">
        <f t="shared" si="35"/>
        <v>-1168</v>
      </c>
      <c r="JD37" s="597"/>
      <c r="JE37" s="594"/>
      <c r="JF37" s="577"/>
      <c r="JG37" s="234">
        <f t="shared" si="36"/>
        <v>-2768</v>
      </c>
      <c r="JH37" s="578"/>
      <c r="JI37" s="579">
        <f t="shared" si="37"/>
        <v>-993</v>
      </c>
      <c r="JJ37" s="247"/>
    </row>
    <row r="38" ht="14.25" customHeight="1">
      <c r="A38" s="158">
        <v>31.0</v>
      </c>
      <c r="B38" s="157" t="s">
        <v>262</v>
      </c>
      <c r="C38" s="253">
        <v>3374110.0</v>
      </c>
      <c r="D38" s="569" t="s">
        <v>270</v>
      </c>
      <c r="E38" s="253"/>
      <c r="F38" s="259">
        <f>'KELURAHAN (DI ISI)'!F154+'KELURAHAN (DI ISI)'!F159+'KELURAHAN (DI ISI)'!F160+'KELURAHAN (DI ISI)'!F161+'KELURAHAN (DI ISI)'!F162+'KELURAHAN (DI ISI)'!F163+'KELURAHAN (DI ISI)'!F164+'KELURAHAN (DI ISI)'!F165+'KELURAHAN (DI ISI)'!F166+'KELURAHAN (DI ISI)'!F167</f>
        <v>87</v>
      </c>
      <c r="G38" s="259">
        <f>'KELURAHAN (DI ISI)'!G154+'KELURAHAN (DI ISI)'!G159+'KELURAHAN (DI ISI)'!G160+'KELURAHAN (DI ISI)'!G161+'KELURAHAN (DI ISI)'!G162+'KELURAHAN (DI ISI)'!G163+'KELURAHAN (DI ISI)'!G164+'KELURAHAN (DI ISI)'!G165+'KELURAHAN (DI ISI)'!G166+'KELURAHAN (DI ISI)'!G167</f>
        <v>4649</v>
      </c>
      <c r="H38" s="491">
        <f>'KELURAHAN (DI ISI)'!H154+'KELURAHAN (DI ISI)'!H159+'KELURAHAN (DI ISI)'!H160+'KELURAHAN (DI ISI)'!H161+'KELURAHAN (DI ISI)'!H162+'KELURAHAN (DI ISI)'!H163+'KELURAHAN (DI ISI)'!H164+'KELURAHAN (DI ISI)'!H165+'KELURAHAN (DI ISI)'!H166+'KELURAHAN (DI ISI)'!H167</f>
        <v>38</v>
      </c>
      <c r="I38" s="491">
        <f t="shared" si="1"/>
        <v>15</v>
      </c>
      <c r="J38" s="491">
        <f t="shared" si="2"/>
        <v>23</v>
      </c>
      <c r="K38" s="491">
        <f>'KELURAHAN (DI ISI)'!I154+'KELURAHAN (DI ISI)'!I159+'KELURAHAN (DI ISI)'!I160+'KELURAHAN (DI ISI)'!I161+'KELURAHAN (DI ISI)'!I162+'KELURAHAN (DI ISI)'!I163+'KELURAHAN (DI ISI)'!I164+'KELURAHAN (DI ISI)'!I165+'KELURAHAN (DI ISI)'!I166+'KELURAHAN (DI ISI)'!I167</f>
        <v>0</v>
      </c>
      <c r="L38" s="491">
        <f>'KELURAHAN (DI ISI)'!J154+'KELURAHAN (DI ISI)'!J159+'KELURAHAN (DI ISI)'!J160+'KELURAHAN (DI ISI)'!J161+'KELURAHAN (DI ISI)'!J162+'KELURAHAN (DI ISI)'!J163+'KELURAHAN (DI ISI)'!J164+'KELURAHAN (DI ISI)'!J165+'KELURAHAN (DI ISI)'!J166+'KELURAHAN (DI ISI)'!J167</f>
        <v>1</v>
      </c>
      <c r="M38" s="491">
        <f>'KELURAHAN (DI ISI)'!K154+'KELURAHAN (DI ISI)'!K159+'KELURAHAN (DI ISI)'!K160+'KELURAHAN (DI ISI)'!K161+'KELURAHAN (DI ISI)'!K162+'KELURAHAN (DI ISI)'!K163+'KELURAHAN (DI ISI)'!K164+'KELURAHAN (DI ISI)'!K165+'KELURAHAN (DI ISI)'!K166+'KELURAHAN (DI ISI)'!K167</f>
        <v>14</v>
      </c>
      <c r="N38" s="491">
        <f>'KELURAHAN (DI ISI)'!L154+'KELURAHAN (DI ISI)'!L159+'KELURAHAN (DI ISI)'!L160+'KELURAHAN (DI ISI)'!L161+'KELURAHAN (DI ISI)'!L162+'KELURAHAN (DI ISI)'!L163+'KELURAHAN (DI ISI)'!L164+'KELURAHAN (DI ISI)'!L165+'KELURAHAN (DI ISI)'!L166+'KELURAHAN (DI ISI)'!L167</f>
        <v>23</v>
      </c>
      <c r="O38" s="491">
        <f>'KELURAHAN (DI ISI)'!M154+'KELURAHAN (DI ISI)'!M159+'KELURAHAN (DI ISI)'!M160+'KELURAHAN (DI ISI)'!M161+'KELURAHAN (DI ISI)'!M162+'KELURAHAN (DI ISI)'!M163+'KELURAHAN (DI ISI)'!M164+'KELURAHAN (DI ISI)'!M165+'KELURAHAN (DI ISI)'!M166+'KELURAHAN (DI ISI)'!M167</f>
        <v>5</v>
      </c>
      <c r="P38" s="491">
        <f>'KELURAHAN (DI ISI)'!N154+'KELURAHAN (DI ISI)'!N159+'KELURAHAN (DI ISI)'!N160+'KELURAHAN (DI ISI)'!N161+'KELURAHAN (DI ISI)'!N162+'KELURAHAN (DI ISI)'!N163+'KELURAHAN (DI ISI)'!N164+'KELURAHAN (DI ISI)'!N165+'KELURAHAN (DI ISI)'!N166+'KELURAHAN (DI ISI)'!N167</f>
        <v>5</v>
      </c>
      <c r="Q38" s="491">
        <f>'KELURAHAN (DI ISI)'!O154+'KELURAHAN (DI ISI)'!O159+'KELURAHAN (DI ISI)'!O160+'KELURAHAN (DI ISI)'!O161+'KELURAHAN (DI ISI)'!O162+'KELURAHAN (DI ISI)'!O163+'KELURAHAN (DI ISI)'!O164+'KELURAHAN (DI ISI)'!O165+'KELURAHAN (DI ISI)'!O166+'KELURAHAN (DI ISI)'!O167</f>
        <v>28</v>
      </c>
      <c r="R38" s="491">
        <f>'KELURAHAN (DI ISI)'!P154+'KELURAHAN (DI ISI)'!P159+'KELURAHAN (DI ISI)'!P160+'KELURAHAN (DI ISI)'!P161+'KELURAHAN (DI ISI)'!P162+'KELURAHAN (DI ISI)'!P163+'KELURAHAN (DI ISI)'!P164+'KELURAHAN (DI ISI)'!P165+'KELURAHAN (DI ISI)'!P166+'KELURAHAN (DI ISI)'!P167</f>
        <v>58</v>
      </c>
      <c r="S38" s="491">
        <f t="shared" si="3"/>
        <v>18</v>
      </c>
      <c r="T38" s="491">
        <f t="shared" si="4"/>
        <v>40</v>
      </c>
      <c r="U38" s="491">
        <f>'KELURAHAN (DI ISI)'!Q154+'KELURAHAN (DI ISI)'!Q159+'KELURAHAN (DI ISI)'!Q160+'KELURAHAN (DI ISI)'!Q161+'KELURAHAN (DI ISI)'!Q162+'KELURAHAN (DI ISI)'!Q163+'KELURAHAN (DI ISI)'!Q164+'KELURAHAN (DI ISI)'!Q165+'KELURAHAN (DI ISI)'!Q166+'KELURAHAN (DI ISI)'!Q167</f>
        <v>0</v>
      </c>
      <c r="V38" s="491">
        <f>'KELURAHAN (DI ISI)'!R154+'KELURAHAN (DI ISI)'!R159+'KELURAHAN (DI ISI)'!R160+'KELURAHAN (DI ISI)'!R161+'KELURAHAN (DI ISI)'!R162+'KELURAHAN (DI ISI)'!R163+'KELURAHAN (DI ISI)'!R164+'KELURAHAN (DI ISI)'!R165+'KELURAHAN (DI ISI)'!R166+'KELURAHAN (DI ISI)'!R167</f>
        <v>2</v>
      </c>
      <c r="W38" s="491">
        <f>'KELURAHAN (DI ISI)'!S154+'KELURAHAN (DI ISI)'!S159+'KELURAHAN (DI ISI)'!S160+'KELURAHAN (DI ISI)'!S161+'KELURAHAN (DI ISI)'!S162+'KELURAHAN (DI ISI)'!S163+'KELURAHAN (DI ISI)'!S164+'KELURAHAN (DI ISI)'!S165+'KELURAHAN (DI ISI)'!S166+'KELURAHAN (DI ISI)'!S167</f>
        <v>16</v>
      </c>
      <c r="X38" s="491">
        <f>'KELURAHAN (DI ISI)'!T154+'KELURAHAN (DI ISI)'!T159+'KELURAHAN (DI ISI)'!T160+'KELURAHAN (DI ISI)'!T161+'KELURAHAN (DI ISI)'!T162+'KELURAHAN (DI ISI)'!T163+'KELURAHAN (DI ISI)'!T164+'KELURAHAN (DI ISI)'!T165+'KELURAHAN (DI ISI)'!T166+'KELURAHAN (DI ISI)'!T167</f>
        <v>40</v>
      </c>
      <c r="Y38" s="491">
        <f>'KELURAHAN (DI ISI)'!U154+'KELURAHAN (DI ISI)'!U159+'KELURAHAN (DI ISI)'!U160+'KELURAHAN (DI ISI)'!U161+'KELURAHAN (DI ISI)'!U162+'KELURAHAN (DI ISI)'!U163+'KELURAHAN (DI ISI)'!U164+'KELURAHAN (DI ISI)'!U165+'KELURAHAN (DI ISI)'!U166+'KELURAHAN (DI ISI)'!U167</f>
        <v>12</v>
      </c>
      <c r="Z38" s="491">
        <f>'KELURAHAN (DI ISI)'!V154+'KELURAHAN (DI ISI)'!N159+'KELURAHAN (DI ISI)'!N160+'KELURAHAN (DI ISI)'!N161+'KELURAHAN (DI ISI)'!N162+'KELURAHAN (DI ISI)'!N163+'KELURAHAN (DI ISI)'!N164+'KELURAHAN (DI ISI)'!N165+'KELURAHAN (DI ISI)'!N166+'KELURAHAN (DI ISI)'!N167</f>
        <v>5</v>
      </c>
      <c r="AA38" s="491">
        <f>'KELURAHAN (DI ISI)'!W154+'KELURAHAN (DI ISI)'!W159+'KELURAHAN (DI ISI)'!W160+'KELURAHAN (DI ISI)'!W161+'KELURAHAN (DI ISI)'!W162+'KELURAHAN (DI ISI)'!W163+'KELURAHAN (DI ISI)'!W164+'KELURAHAN (DI ISI)'!W165+'KELURAHAN (DI ISI)'!W166+'KELURAHAN (DI ISI)'!W167</f>
        <v>34</v>
      </c>
      <c r="AB38" s="491">
        <f>'KELURAHAN (DI ISI)'!X154+'KELURAHAN (DI ISI)'!X159+'KELURAHAN (DI ISI)'!X160+'KELURAHAN (DI ISI)'!X161+'KELURAHAN (DI ISI)'!X162+'KELURAHAN (DI ISI)'!X163+'KELURAHAN (DI ISI)'!X164+'KELURAHAN (DI ISI)'!X165+'KELURAHAN (DI ISI)'!X166+'KELURAHAN (DI ISI)'!X167</f>
        <v>36</v>
      </c>
      <c r="AC38" s="491">
        <f t="shared" si="5"/>
        <v>8</v>
      </c>
      <c r="AD38" s="491">
        <f t="shared" si="6"/>
        <v>28</v>
      </c>
      <c r="AE38" s="491">
        <f>'KELURAHAN (DI ISI)'!Y154+'KELURAHAN (DI ISI)'!Y159+'KELURAHAN (DI ISI)'!Y160+'KELURAHAN (DI ISI)'!Y161+'KELURAHAN (DI ISI)'!Y162+'KELURAHAN (DI ISI)'!Y163+'KELURAHAN (DI ISI)'!Y164+'KELURAHAN (DI ISI)'!Y165+'KELURAHAN (DI ISI)'!Y166+'KELURAHAN (DI ISI)'!Y167</f>
        <v>0</v>
      </c>
      <c r="AF38" s="491">
        <f>'KELURAHAN (DI ISI)'!Z154+'KELURAHAN (DI ISI)'!Z159+'KELURAHAN (DI ISI)'!Z160+'KELURAHAN (DI ISI)'!Z161+'KELURAHAN (DI ISI)'!Z162+'KELURAHAN (DI ISI)'!Z163+'KELURAHAN (DI ISI)'!Z164+'KELURAHAN (DI ISI)'!Z165+'KELURAHAN (DI ISI)'!Z166+'KELURAHAN (DI ISI)'!Z167</f>
        <v>2</v>
      </c>
      <c r="AG38" s="491">
        <f>'KELURAHAN (DI ISI)'!AA154+'KELURAHAN (DI ISI)'!AA159+'KELURAHAN (DI ISI)'!AA160+'KELURAHAN (DI ISI)'!AA161+'KELURAHAN (DI ISI)'!AA162+'KELURAHAN (DI ISI)'!AA163+'KELURAHAN (DI ISI)'!AA164+'KELURAHAN (DI ISI)'!AA165+'KELURAHAN (DI ISI)'!AA166+'KELURAHAN (DI ISI)'!AA167</f>
        <v>6</v>
      </c>
      <c r="AH38" s="491">
        <f>'KELURAHAN (DI ISI)'!AB154+'KELURAHAN (DI ISI)'!AB159+'KELURAHAN (DI ISI)'!AB160+'KELURAHAN (DI ISI)'!AB161+'KELURAHAN (DI ISI)'!AB162+'KELURAHAN (DI ISI)'!AB163+'KELURAHAN (DI ISI)'!AB164+'KELURAHAN (DI ISI)'!AB165+'KELURAHAN (DI ISI)'!AB166+'KELURAHAN (DI ISI)'!AB167</f>
        <v>28</v>
      </c>
      <c r="AI38" s="491">
        <f>'KELURAHAN (DI ISI)'!AC154+'KELURAHAN (DI ISI)'!AC159+'KELURAHAN (DI ISI)'!AC160+'KELURAHAN (DI ISI)'!AC161+'KELURAHAN (DI ISI)'!AC162+'KELURAHAN (DI ISI)'!AC163+'KELURAHAN (DI ISI)'!AC164+'KELURAHAN (DI ISI)'!AC165+'KELURAHAN (DI ISI)'!AC166+'KELURAHAN (DI ISI)'!AC167</f>
        <v>3</v>
      </c>
      <c r="AJ38" s="491">
        <f>'KELURAHAN (DI ISI)'!AD154+'KELURAHAN (DI ISI)'!AD159+'KELURAHAN (DI ISI)'!AD160+'KELURAHAN (DI ISI)'!AD161+'KELURAHAN (DI ISI)'!AD162+'KELURAHAN (DI ISI)'!AD163+'KELURAHAN (DI ISI)'!AD164+'KELURAHAN (DI ISI)'!AD165+'KELURAHAN (DI ISI)'!AD166+'KELURAHAN (DI ISI)'!AD167</f>
        <v>12</v>
      </c>
      <c r="AK38" s="491">
        <f>'KELURAHAN (DI ISI)'!AE154+'KELURAHAN (DI ISI)'!AE159+'KELURAHAN (DI ISI)'!AE160+'KELURAHAN (DI ISI)'!AE161+'KELURAHAN (DI ISI)'!AE162+'KELURAHAN (DI ISI)'!AE163+'KELURAHAN (DI ISI)'!AE164+'KELURAHAN (DI ISI)'!AE165+'KELURAHAN (DI ISI)'!AE166+'KELURAHAN (DI ISI)'!AE167</f>
        <v>21</v>
      </c>
      <c r="AL38" s="491">
        <f>'KELURAHAN (DI ISI)'!AF154+'KELURAHAN (DI ISI)'!AF159+'KELURAHAN (DI ISI)'!AF160+'KELURAHAN (DI ISI)'!AF161+'KELURAHAN (DI ISI)'!AF162+'KELURAHAN (DI ISI)'!AF163+'KELURAHAN (DI ISI)'!AF164+'KELURAHAN (DI ISI)'!AF165+'KELURAHAN (DI ISI)'!AF166+'KELURAHAN (DI ISI)'!AF167</f>
        <v>31</v>
      </c>
      <c r="AM38" s="491">
        <f t="shared" si="7"/>
        <v>14</v>
      </c>
      <c r="AN38" s="491">
        <f t="shared" si="8"/>
        <v>17</v>
      </c>
      <c r="AO38" s="491">
        <f>'KELURAHAN (DI ISI)'!AG154+'KELURAHAN (DI ISI)'!AG159+'KELURAHAN (DI ISI)'!AG160+'KELURAHAN (DI ISI)'!AG161+'KELURAHAN (DI ISI)'!AG162+'KELURAHAN (DI ISI)'!AG163+'KELURAHAN (DI ISI)'!AG164+'KELURAHAN (DI ISI)'!AG165+'KELURAHAN (DI ISI)'!AG166+'KELURAHAN (DI ISI)'!AG167</f>
        <v>0</v>
      </c>
      <c r="AP38" s="491">
        <f>'KELURAHAN (DI ISI)'!AH154+'KELURAHAN (DI ISI)'!AH159+'KELURAHAN (DI ISI)'!AH160+'KELURAHAN (DI ISI)'!AH161+'KELURAHAN (DI ISI)'!AH162+'KELURAHAN (DI ISI)'!AH163+'KELURAHAN (DI ISI)'!AH164+'KELURAHAN (DI ISI)'!AH165+'KELURAHAN (DI ISI)'!AH166+'KELURAHAN (DI ISI)'!AH167</f>
        <v>1</v>
      </c>
      <c r="AQ38" s="491">
        <f>'KELURAHAN (DI ISI)'!AI154+'KELURAHAN (DI ISI)'!AI159+'KELURAHAN (DI ISI)'!AI160+'KELURAHAN (DI ISI)'!AI161+'KELURAHAN (DI ISI)'!AI162+'KELURAHAN (DI ISI)'!AI163+'KELURAHAN (DI ISI)'!AI164+'KELURAHAN (DI ISI)'!AI165+'KELURAHAN (DI ISI)'!AI166+'KELURAHAN (DI ISI)'!AI167</f>
        <v>13</v>
      </c>
      <c r="AR38" s="491">
        <f>'KELURAHAN (DI ISI)'!AJ154+'KELURAHAN (DI ISI)'!AJ159+'KELURAHAN (DI ISI)'!AJ160+'KELURAHAN (DI ISI)'!AJ161+'KELURAHAN (DI ISI)'!AJ162+'KELURAHAN (DI ISI)'!AJ163+'KELURAHAN (DI ISI)'!AJ164+'KELURAHAN (DI ISI)'!AJ165+'KELURAHAN (DI ISI)'!AJ166+'KELURAHAN (DI ISI)'!AJ167</f>
        <v>17</v>
      </c>
      <c r="AS38" s="491">
        <f>'KELURAHAN (DI ISI)'!AK154+'KELURAHAN (DI ISI)'!AK159+'KELURAHAN (DI ISI)'!AK160+'KELURAHAN (DI ISI)'!AK161+'KELURAHAN (DI ISI)'!AK162+'KELURAHAN (DI ISI)'!AK163+'KELURAHAN (DI ISI)'!AK164+'KELURAHAN (DI ISI)'!AK165+'KELURAHAN (DI ISI)'!AK166+'KELURAHAN (DI ISI)'!AK167</f>
        <v>9</v>
      </c>
      <c r="AT38" s="491">
        <f>'KELURAHAN (DI ISI)'!AL154+'KELURAHAN (DI ISI)'!AL159+'KELURAHAN (DI ISI)'!AL160+'KELURAHAN (DI ISI)'!AL161+'KELURAHAN (DI ISI)'!AL162+'KELURAHAN (DI ISI)'!AL163+'KELURAHAN (DI ISI)'!AL164+'KELURAHAN (DI ISI)'!AL165+'KELURAHAN (DI ISI)'!AL166+'KELURAHAN (DI ISI)'!AL167</f>
        <v>5</v>
      </c>
      <c r="AU38" s="491">
        <f>'KELURAHAN (DI ISI)'!AM154+'KELURAHAN (DI ISI)'!AM159+'KELURAHAN (DI ISI)'!AM160+'KELURAHAN (DI ISI)'!AM161+'KELURAHAN (DI ISI)'!AM162+'KELURAHAN (DI ISI)'!AM163+'KELURAHAN (DI ISI)'!AM164+'KELURAHAN (DI ISI)'!AM165+'KELURAHAN (DI ISI)'!AM166+'KELURAHAN (DI ISI)'!AM167</f>
        <v>17</v>
      </c>
      <c r="AV38" s="491">
        <f>'KELURAHAN (DI ISI)'!AN154+'KELURAHAN (DI ISI)'!AN159+'KELURAHAN (DI ISI)'!AN160+'KELURAHAN (DI ISI)'!AN161+'KELURAHAN (DI ISI)'!AN162+'KELURAHAN (DI ISI)'!AN163+'KELURAHAN (DI ISI)'!AN164+'KELURAHAN (DI ISI)'!AN165+'KELURAHAN (DI ISI)'!AN166+'KELURAHAN (DI ISI)'!AN167</f>
        <v>70</v>
      </c>
      <c r="AW38" s="491">
        <f t="shared" si="9"/>
        <v>13</v>
      </c>
      <c r="AX38" s="491">
        <f t="shared" si="10"/>
        <v>57</v>
      </c>
      <c r="AY38" s="491">
        <f>'KELURAHAN (DI ISI)'!AO154+'KELURAHAN (DI ISI)'!AO159+'KELURAHAN (DI ISI)'!AO160+'KELURAHAN (DI ISI)'!AO161+'KELURAHAN (DI ISI)'!AO162+'KELURAHAN (DI ISI)'!AO163+'KELURAHAN (DI ISI)'!AO164+'KELURAHAN (DI ISI)'!AO165+'KELURAHAN (DI ISI)'!AO166+'KELURAHAN (DI ISI)'!AO167</f>
        <v>0</v>
      </c>
      <c r="AZ38" s="491">
        <f>'KELURAHAN (DI ISI)'!AP154+'KELURAHAN (DI ISI)'!AP159+'KELURAHAN (DI ISI)'!AP160+'KELURAHAN (DI ISI)'!AP161+'KELURAHAN (DI ISI)'!AP162+'KELURAHAN (DI ISI)'!AP163+'KELURAHAN (DI ISI)'!AP164+'KELURAHAN (DI ISI)'!AP165+'KELURAHAN (DI ISI)'!AP166+'KELURAHAN (DI ISI)'!AP167</f>
        <v>2</v>
      </c>
      <c r="BA38" s="491">
        <f>'KELURAHAN (DI ISI)'!AQ154+'KELURAHAN (DI ISI)'!AQ159+'KELURAHAN (DI ISI)'!AQ160+'KELURAHAN (DI ISI)'!AQ161+'KELURAHAN (DI ISI)'!AQ162+'KELURAHAN (DI ISI)'!AQ163+'KELURAHAN (DI ISI)'!AQ164+'KELURAHAN (DI ISI)'!AQ165+'KELURAHAN (DI ISI)'!AQ166+'KELURAHAN (DI ISI)'!AQ167</f>
        <v>11</v>
      </c>
      <c r="BB38" s="491">
        <f>'KELURAHAN (DI ISI)'!AR154+'KELURAHAN (DI ISI)'!AR159+'KELURAHAN (DI ISI)'!AR160+'KELURAHAN (DI ISI)'!AR161+'KELURAHAN (DI ISI)'!AR162+'KELURAHAN (DI ISI)'!AR163+'KELURAHAN (DI ISI)'!AR164+'KELURAHAN (DI ISI)'!AR165+'KELURAHAN (DI ISI)'!AR166+'KELURAHAN (DI ISI)'!AR167</f>
        <v>57</v>
      </c>
      <c r="BC38" s="491">
        <f>'KELURAHAN (DI ISI)'!AS154+'KELURAHAN (DI ISI)'!AS159+'KELURAHAN (DI ISI)'!AS160+'KELURAHAN (DI ISI)'!AS161+'KELURAHAN (DI ISI)'!AS162+'KELURAHAN (DI ISI)'!AS163+'KELURAHAN (DI ISI)'!AS164+'KELURAHAN (DI ISI)'!AS165+'KELURAHAN (DI ISI)'!AS166+'KELURAHAN (DI ISI)'!AS167</f>
        <v>27</v>
      </c>
      <c r="BD38" s="491">
        <f>'KELURAHAN (DI ISI)'!AT154+'KELURAHAN (DI ISI)'!AT159+'KELURAHAN (DI ISI)'!AT160+'KELURAHAN (DI ISI)'!AT161+'KELURAHAN (DI ISI)'!AT162+'KELURAHAN (DI ISI)'!AT163+'KELURAHAN (DI ISI)'!AT164+'KELURAHAN (DI ISI)'!AT165+'KELURAHAN (DI ISI)'!AT166+'KELURAHAN (DI ISI)'!AT167</f>
        <v>1</v>
      </c>
      <c r="BE38" s="491">
        <f>'KELURAHAN (DI ISI)'!AU154+'KELURAHAN (DI ISI)'!AU159+'KELURAHAN (DI ISI)'!AU160+'KELURAHAN (DI ISI)'!AU161+'KELURAHAN (DI ISI)'!AU162+'KELURAHAN (DI ISI)'!AU163+'KELURAHAN (DI ISI)'!AU164+'KELURAHAN (DI ISI)'!AU165+'KELURAHAN (DI ISI)'!AU166+'KELURAHAN (DI ISI)'!AU167</f>
        <v>42</v>
      </c>
      <c r="BF38" s="491">
        <f>'KELURAHAN (DI ISI)'!AV154+'KELURAHAN (DI ISI)'!AV159+'KELURAHAN (DI ISI)'!AV160+'KELURAHAN (DI ISI)'!AV161+'KELURAHAN (DI ISI)'!AV162+'KELURAHAN (DI ISI)'!AV163+'KELURAHAN (DI ISI)'!AV164+'KELURAHAN (DI ISI)'!AV165+'KELURAHAN (DI ISI)'!AV166+'KELURAHAN (DI ISI)'!AV167</f>
        <v>4483</v>
      </c>
      <c r="BG38" s="491">
        <f>'KELURAHAN (DI ISI)'!AW154+'KELURAHAN (DI ISI)'!AW159+'KELURAHAN (DI ISI)'!AW160+'KELURAHAN (DI ISI)'!AW161+'KELURAHAN (DI ISI)'!AW162+'KELURAHAN (DI ISI)'!AW163+'KELURAHAN (DI ISI)'!AW164+'KELURAHAN (DI ISI)'!AW165+'KELURAHAN (DI ISI)'!AW166+'KELURAHAN (DI ISI)'!AW167</f>
        <v>65</v>
      </c>
      <c r="BH38" s="491">
        <f t="shared" si="11"/>
        <v>5</v>
      </c>
      <c r="BI38" s="495">
        <f t="shared" si="12"/>
        <v>52</v>
      </c>
      <c r="BJ38" s="491">
        <f>'KELURAHAN (DI ISI)'!AX154+'KELURAHAN (DI ISI)'!AX159+'KELURAHAN (DI ISI)'!AX160+'KELURAHAN (DI ISI)'!AX161+'KELURAHAN (DI ISI)'!AX162+'KELURAHAN (DI ISI)'!AX163+'KELURAHAN (DI ISI)'!AX164+'KELURAHAN (DI ISI)'!AX165+'KELURAHAN (DI ISI)'!AX166+'KELURAHAN (DI ISI)'!AX167</f>
        <v>0</v>
      </c>
      <c r="BK38" s="491">
        <f>'KELURAHAN (DI ISI)'!AY154+'KELURAHAN (DI ISI)'!AY159+'KELURAHAN (DI ISI)'!AY160+'KELURAHAN (DI ISI)'!AY161+'KELURAHAN (DI ISI)'!AY162+'KELURAHAN (DI ISI)'!AY163+'KELURAHAN (DI ISI)'!AY164+'KELURAHAN (DI ISI)'!AY165+'KELURAHAN (DI ISI)'!AY166+'KELURAHAN (DI ISI)'!AY167</f>
        <v>1</v>
      </c>
      <c r="BL38" s="491">
        <f>'KELURAHAN (DI ISI)'!AZ154+'KELURAHAN (DI ISI)'!AZ159+'KELURAHAN (DI ISI)'!AZ160+'KELURAHAN (DI ISI)'!AZ161+'KELURAHAN (DI ISI)'!AZ162+'KELURAHAN (DI ISI)'!AZ163+'KELURAHAN (DI ISI)'!AZ164+'KELURAHAN (DI ISI)'!AZ165+'KELURAHAN (DI ISI)'!AZ166+'KELURAHAN (DI ISI)'!AZ167</f>
        <v>4</v>
      </c>
      <c r="BM38" s="491">
        <f>'KELURAHAN (DI ISI)'!BA154+'KELURAHAN (DI ISI)'!BA159+'KELURAHAN (DI ISI)'!BA160+'KELURAHAN (DI ISI)'!BA161+'KELURAHAN (DI ISI)'!BA162+'KELURAHAN (DI ISI)'!BA163+'KELURAHAN (DI ISI)'!BA164+'KELURAHAN (DI ISI)'!BA165+'KELURAHAN (DI ISI)'!BA166+'KELURAHAN (DI ISI)'!BA167</f>
        <v>52</v>
      </c>
      <c r="BN38" s="491">
        <f>'KELURAHAN (DI ISI)'!BB154+'KELURAHAN (DI ISI)'!BB159+'KELURAHAN (DI ISI)'!BB160+'KELURAHAN (DI ISI)'!BB161+'KELURAHAN (DI ISI)'!BB162+'KELURAHAN (DI ISI)'!BB163+'KELURAHAN (DI ISI)'!BB164+'KELURAHAN (DI ISI)'!BB165+'KELURAHAN (DI ISI)'!BB166+'KELURAHAN (DI ISI)'!BB167</f>
        <v>0</v>
      </c>
      <c r="BO38" s="491">
        <f>'KELURAHAN (DI ISI)'!BC154+'KELURAHAN (DI ISI)'!BC159+'KELURAHAN (DI ISI)'!BC160+'KELURAHAN (DI ISI)'!BC161+'KELURAHAN (DI ISI)'!BC162+'KELURAHAN (DI ISI)'!BC163+'KELURAHAN (DI ISI)'!BC164+'KELURAHAN (DI ISI)'!BC165+'KELURAHAN (DI ISI)'!BC166+'KELURAHAN (DI ISI)'!BC167</f>
        <v>1</v>
      </c>
      <c r="BP38" s="491">
        <f>'KELURAHAN (DI ISI)'!BD154+'KELURAHAN (DI ISI)'!BD159+'KELURAHAN (DI ISI)'!BD160+'KELURAHAN (DI ISI)'!BD161+'KELURAHAN (DI ISI)'!BD162+'KELURAHAN (DI ISI)'!BD163+'KELURAHAN (DI ISI)'!BD164+'KELURAHAN (DI ISI)'!BD165+'KELURAHAN (DI ISI)'!BD166+'KELURAHAN (DI ISI)'!BD167</f>
        <v>3</v>
      </c>
      <c r="BQ38" s="491">
        <f>'KELURAHAN (DI ISI)'!BE154+'KELURAHAN (DI ISI)'!BE159+'KELURAHAN (DI ISI)'!BE160+'KELURAHAN (DI ISI)'!BE161+'KELURAHAN (DI ISI)'!BE162+'KELURAHAN (DI ISI)'!BE163+'KELURAHAN (DI ISI)'!BE164+'KELURAHAN (DI ISI)'!BE165+'KELURAHAN (DI ISI)'!BE166+'KELURAHAN (DI ISI)'!BE167</f>
        <v>4</v>
      </c>
      <c r="BR38" s="491">
        <f>'KELURAHAN (DI ISI)'!BF154+'KELURAHAN (DI ISI)'!BF159+'KELURAHAN (DI ISI)'!BF160+'KELURAHAN (DI ISI)'!BF161+'KELURAHAN (DI ISI)'!BF162+'KELURAHAN (DI ISI)'!BF163+'KELURAHAN (DI ISI)'!BF164+'KELURAHAN (DI ISI)'!BF165+'KELURAHAN (DI ISI)'!BF166+'KELURAHAN (DI ISI)'!BF167</f>
        <v>0</v>
      </c>
      <c r="BS38" s="491">
        <f>'KELURAHAN (DI ISI)'!BG154+'KELURAHAN (DI ISI)'!BG159+'KELURAHAN (DI ISI)'!BG160+'KELURAHAN (DI ISI)'!BG161+'KELURAHAN (DI ISI)'!BG162+'KELURAHAN (DI ISI)'!BG163+'KELURAHAN (DI ISI)'!BG164+'KELURAHAN (DI ISI)'!BG165+'KELURAHAN (DI ISI)'!BG166+'KELURAHAN (DI ISI)'!BG167</f>
        <v>1</v>
      </c>
      <c r="BT38" s="491">
        <f>'KELURAHAN (DI ISI)'!BH154+'KELURAHAN (DI ISI)'!BH159+'KELURAHAN (DI ISI)'!BH160+'KELURAHAN (DI ISI)'!BH161+'KELURAHAN (DI ISI)'!BH162+'KELURAHAN (DI ISI)'!BH163+'KELURAHAN (DI ISI)'!BH164+'KELURAHAN (DI ISI)'!BH165+'KELURAHAN (DI ISI)'!BH166+'KELURAHAN (DI ISI)'!BH167</f>
        <v>3</v>
      </c>
      <c r="BU38" s="491">
        <f>'KELURAHAN (DI ISI)'!BI154+'KELURAHAN (DI ISI)'!BI159+'KELURAHAN (DI ISI)'!BI160+'KELURAHAN (DI ISI)'!BI161+'KELURAHAN (DI ISI)'!BI162+'KELURAHAN (DI ISI)'!BI163+'KELURAHAN (DI ISI)'!BI164+'KELURAHAN (DI ISI)'!BI165+'KELURAHAN (DI ISI)'!BI166+'KELURAHAN (DI ISI)'!BI167</f>
        <v>8</v>
      </c>
      <c r="BV38" s="491">
        <f>'KELURAHAN (DI ISI)'!BJ154+'KELURAHAN (DI ISI)'!BJ159+'KELURAHAN (DI ISI)'!BJ160+'KELURAHAN (DI ISI)'!BJ161+'KELURAHAN (DI ISI)'!BJ162+'KELURAHAN (DI ISI)'!BJ163+'KELURAHAN (DI ISI)'!BJ164+'KELURAHAN (DI ISI)'!BJ165+'KELURAHAN (DI ISI)'!BJ166+'KELURAHAN (DI ISI)'!BJ167</f>
        <v>0</v>
      </c>
      <c r="BW38" s="491">
        <f>'KELURAHAN (DI ISI)'!BK154+'KELURAHAN (DI ISI)'!BK159+'KELURAHAN (DI ISI)'!BK160+'KELURAHAN (DI ISI)'!BK161+'KELURAHAN (DI ISI)'!BK162+'KELURAHAN (DI ISI)'!BK163+'KELURAHAN (DI ISI)'!BK164+'KELURAHAN (DI ISI)'!BK165+'KELURAHAN (DI ISI)'!BK166+'KELURAHAN (DI ISI)'!BK167</f>
        <v>0</v>
      </c>
      <c r="BX38" s="491">
        <f>'KELURAHAN (DI ISI)'!BL154+'KELURAHAN (DI ISI)'!BL159+'KELURAHAN (DI ISI)'!BL160+'KELURAHAN (DI ISI)'!BL161+'KELURAHAN (DI ISI)'!BL162+'KELURAHAN (DI ISI)'!BL163+'KELURAHAN (DI ISI)'!BL164+'KELURAHAN (DI ISI)'!BL165+'KELURAHAN (DI ISI)'!BL166+'KELURAHAN (DI ISI)'!BL167</f>
        <v>0</v>
      </c>
      <c r="BY38" s="491">
        <f>'KELURAHAN (DI ISI)'!BM154+'KELURAHAN (DI ISI)'!BM159+'KELURAHAN (DI ISI)'!BM160+'KELURAHAN (DI ISI)'!BM161+'KELURAHAN (DI ISI)'!BM162+'KELURAHAN (DI ISI)'!BM163+'KELURAHAN (DI ISI)'!BM164+'KELURAHAN (DI ISI)'!BM165+'KELURAHAN (DI ISI)'!BM166+'KELURAHAN (DI ISI)'!BM167</f>
        <v>0</v>
      </c>
      <c r="BZ38" s="491">
        <f>'KELURAHAN (DI ISI)'!BN154+'KELURAHAN (DI ISI)'!BN159+'KELURAHAN (DI ISI)'!BN160+'KELURAHAN (DI ISI)'!BN161+'KELURAHAN (DI ISI)'!BN162+'KELURAHAN (DI ISI)'!BN163+'KELURAHAN (DI ISI)'!BN164+'KELURAHAN (DI ISI)'!BN165+'KELURAHAN (DI ISI)'!BN166+'KELURAHAN (DI ISI)'!BN167</f>
        <v>1</v>
      </c>
      <c r="CA38" s="491">
        <f>'KELURAHAN (DI ISI)'!BO154+'KELURAHAN (DI ISI)'!BO159+'KELURAHAN (DI ISI)'!BO160+'KELURAHAN (DI ISI)'!BO161+'KELURAHAN (DI ISI)'!BO162+'KELURAHAN (DI ISI)'!BO163+'KELURAHAN (DI ISI)'!BO164+'KELURAHAN (DI ISI)'!BO165+'KELURAHAN (DI ISI)'!BO166+'KELURAHAN (DI ISI)'!BO167</f>
        <v>0</v>
      </c>
      <c r="CB38" s="491">
        <f>'KELURAHAN (DI ISI)'!BP154+'KELURAHAN (DI ISI)'!BP159+'KELURAHAN (DI ISI)'!BP160+'KELURAHAN (DI ISI)'!BP161+'KELURAHAN (DI ISI)'!BP162+'KELURAHAN (DI ISI)'!BP163+'KELURAHAN (DI ISI)'!BP164+'KELURAHAN (DI ISI)'!BP165+'KELURAHAN (DI ISI)'!BP166+'KELURAHAN (DI ISI)'!BP167</f>
        <v>13</v>
      </c>
      <c r="CC38" s="491">
        <f>'KELURAHAN (DI ISI)'!BQ154+'KELURAHAN (DI ISI)'!BQ159+'KELURAHAN (DI ISI)'!BQ160+'KELURAHAN (DI ISI)'!BQ161+'KELURAHAN (DI ISI)'!BQ162+'KELURAHAN (DI ISI)'!BQ163+'KELURAHAN (DI ISI)'!BQ164+'KELURAHAN (DI ISI)'!BQ165+'KELURAHAN (DI ISI)'!BQ166+'KELURAHAN (DI ISI)'!BQ167</f>
        <v>4486</v>
      </c>
      <c r="CD38" s="491">
        <f>'KELURAHAN (DI ISI)'!BR154+'KELURAHAN (DI ISI)'!BR159+'KELURAHAN (DI ISI)'!BR160+'KELURAHAN (DI ISI)'!BR161+'KELURAHAN (DI ISI)'!BR162+'KELURAHAN (DI ISI)'!BR163+'KELURAHAN (DI ISI)'!BR164+'KELURAHAN (DI ISI)'!BR165+'KELURAHAN (DI ISI)'!BR166+'KELURAHAN (DI ISI)'!BR167</f>
        <v>60</v>
      </c>
      <c r="CE38" s="491">
        <f t="shared" si="13"/>
        <v>6</v>
      </c>
      <c r="CF38" s="491">
        <f t="shared" si="14"/>
        <v>51</v>
      </c>
      <c r="CG38" s="491">
        <f>'KELURAHAN (DI ISI)'!BS154+'KELURAHAN (DI ISI)'!BS159+'KELURAHAN (DI ISI)'!BS160+'KELURAHAN (DI ISI)'!BS161+'KELURAHAN (DI ISI)'!BS162+'KELURAHAN (DI ISI)'!BS163+'KELURAHAN (DI ISI)'!BS164+'KELURAHAN (DI ISI)'!BS165+'KELURAHAN (DI ISI)'!BS166+'KELURAHAN (DI ISI)'!BS167</f>
        <v>0</v>
      </c>
      <c r="CH38" s="491">
        <f>'KELURAHAN (DI ISI)'!BT154+'KELURAHAN (DI ISI)'!BT159+'KELURAHAN (DI ISI)'!BT160+'KELURAHAN (DI ISI)'!BT161+'KELURAHAN (DI ISI)'!BT162+'KELURAHAN (DI ISI)'!BT163+'KELURAHAN (DI ISI)'!BT164+'KELURAHAN (DI ISI)'!BT165+'KELURAHAN (DI ISI)'!BT166+'KELURAHAN (DI ISI)'!BT167</f>
        <v>1</v>
      </c>
      <c r="CI38" s="491">
        <f>'KELURAHAN (DI ISI)'!BU154+'KELURAHAN (DI ISI)'!BU159+'KELURAHAN (DI ISI)'!BU160+'KELURAHAN (DI ISI)'!BU161+'KELURAHAN (DI ISI)'!BU162+'KELURAHAN (DI ISI)'!BU163+'KELURAHAN (DI ISI)'!BU164+'KELURAHAN (DI ISI)'!BU165+'KELURAHAN (DI ISI)'!BU166+'KELURAHAN (DI ISI)'!BU167</f>
        <v>5</v>
      </c>
      <c r="CJ38" s="491">
        <f>'KELURAHAN (DI ISI)'!BV154+'KELURAHAN (DI ISI)'!BV159+'KELURAHAN (DI ISI)'!BV160+'KELURAHAN (DI ISI)'!BV161+'KELURAHAN (DI ISI)'!BV162+'KELURAHAN (DI ISI)'!BV163+'KELURAHAN (DI ISI)'!BV164+'KELURAHAN (DI ISI)'!BV165+'KELURAHAN (DI ISI)'!BV166+'KELURAHAN (DI ISI)'!BV167</f>
        <v>51</v>
      </c>
      <c r="CK38" s="491">
        <f>'KELURAHAN (DI ISI)'!BW154+'KELURAHAN (DI ISI)'!BW159+'KELURAHAN (DI ISI)'!BW160+'KELURAHAN (DI ISI)'!BW161+'KELURAHAN (DI ISI)'!BW162+'KELURAHAN (DI ISI)'!BW163+'KELURAHAN (DI ISI)'!BW164+'KELURAHAN (DI ISI)'!BW165+'KELURAHAN (DI ISI)'!BW166+'KELURAHAN (DI ISI)'!BW167</f>
        <v>0</v>
      </c>
      <c r="CL38" s="491">
        <f>'KELURAHAN (DI ISI)'!BX154+'KELURAHAN (DI ISI)'!BX159+'KELURAHAN (DI ISI)'!BX160+'KELURAHAN (DI ISI)'!BX161+'KELURAHAN (DI ISI)'!BX162+'KELURAHAN (DI ISI)'!BX163+'KELURAHAN (DI ISI)'!BX164+'KELURAHAN (DI ISI)'!BX165+'KELURAHAN (DI ISI)'!BX166+'KELURAHAN (DI ISI)'!BX167</f>
        <v>0</v>
      </c>
      <c r="CM38" s="491">
        <f>'KELURAHAN (DI ISI)'!BY154+'KELURAHAN (DI ISI)'!BY159+'KELURAHAN (DI ISI)'!BY160+'KELURAHAN (DI ISI)'!BY161+'KELURAHAN (DI ISI)'!BY162+'KELURAHAN (DI ISI)'!BY163+'KELURAHAN (DI ISI)'!BY164+'KELURAHAN (DI ISI)'!BY165+'KELURAHAN (DI ISI)'!BY166+'KELURAHAN (DI ISI)'!BY167</f>
        <v>2</v>
      </c>
      <c r="CN38" s="491">
        <f>'KELURAHAN (DI ISI)'!BZ154+'KELURAHAN (DI ISI)'!BZ159+'KELURAHAN (DI ISI)'!BZ160+'KELURAHAN (DI ISI)'!BZ161+'KELURAHAN (DI ISI)'!BZ162+'KELURAHAN (DI ISI)'!BZ163+'KELURAHAN (DI ISI)'!BZ164+'KELURAHAN (DI ISI)'!BZ165+'KELURAHAN (DI ISI)'!BZ166+'KELURAHAN (DI ISI)'!BZ167</f>
        <v>1</v>
      </c>
      <c r="CO38" s="491">
        <f>'KELURAHAN (DI ISI)'!CA154+'KELURAHAN (DI ISI)'!CA159+'KELURAHAN (DI ISI)'!CA160+'KELURAHAN (DI ISI)'!CA161+'KELURAHAN (DI ISI)'!CA162+'KELURAHAN (DI ISI)'!CA163+'KELURAHAN (DI ISI)'!CA164+'KELURAHAN (DI ISI)'!CA165+'KELURAHAN (DI ISI)'!CA166+'KELURAHAN (DI ISI)'!CA167</f>
        <v>0</v>
      </c>
      <c r="CP38" s="491">
        <f>'KELURAHAN (DI ISI)'!CB154+'KELURAHAN (DI ISI)'!CB159+'KELURAHAN (DI ISI)'!CB160+'KELURAHAN (DI ISI)'!CB161+'KELURAHAN (DI ISI)'!CB162+'KELURAHAN (DI ISI)'!CB163+'KELURAHAN (DI ISI)'!CB164+'KELURAHAN (DI ISI)'!CB165+'KELURAHAN (DI ISI)'!CB166+'KELURAHAN (DI ISI)'!CB167</f>
        <v>1</v>
      </c>
      <c r="CQ38" s="491">
        <f>'KELURAHAN (DI ISI)'!CC154+'KELURAHAN (DI ISI)'!CC159+'KELURAHAN (DI ISI)'!CC160+'KELURAHAN (DI ISI)'!CC161+'KELURAHAN (DI ISI)'!CC162+'KELURAHAN (DI ISI)'!CC163+'KELURAHAN (DI ISI)'!CC164+'KELURAHAN (DI ISI)'!CC165+'KELURAHAN (DI ISI)'!CC166+'KELURAHAN (DI ISI)'!CC167</f>
        <v>2</v>
      </c>
      <c r="CR38" s="491">
        <f>'KELURAHAN (DI ISI)'!CD154+'KELURAHAN (DI ISI)'!CD159+'KELURAHAN (DI ISI)'!CD160+'KELURAHAN (DI ISI)'!CD161+'KELURAHAN (DI ISI)'!CD162+'KELURAHAN (DI ISI)'!CD163+'KELURAHAN (DI ISI)'!CD164+'KELURAHAN (DI ISI)'!CD165+'KELURAHAN (DI ISI)'!CD166+'KELURAHAN (DI ISI)'!CD167</f>
        <v>4</v>
      </c>
      <c r="CS38" s="491">
        <f>'KELURAHAN (DI ISI)'!CE154+'KELURAHAN (DI ISI)'!CE159+'KELURAHAN (DI ISI)'!CE160+'KELURAHAN (DI ISI)'!CE161+'KELURAHAN (DI ISI)'!CE162+'KELURAHAN (DI ISI)'!CE163+'KELURAHAN (DI ISI)'!CE164+'KELURAHAN (DI ISI)'!CE165+'KELURAHAN (DI ISI)'!CE166+'KELURAHAN (DI ISI)'!CE167</f>
        <v>0</v>
      </c>
      <c r="CT38" s="491">
        <f>'KELURAHAN (DI ISI)'!CF154+'KELURAHAN (DI ISI)'!CF159+'KELURAHAN (DI ISI)'!CF160+'KELURAHAN (DI ISI)'!CF161+'KELURAHAN (DI ISI)'!CF162+'KELURAHAN (DI ISI)'!CF163+'KELURAHAN (DI ISI)'!CF164+'KELURAHAN (DI ISI)'!CF165+'KELURAHAN (DI ISI)'!CF166+'KELURAHAN (DI ISI)'!CF167</f>
        <v>0</v>
      </c>
      <c r="CU38" s="491">
        <f>'KELURAHAN (DI ISI)'!CG154+'KELURAHAN (DI ISI)'!CG159+'KELURAHAN (DI ISI)'!CG160+'KELURAHAN (DI ISI)'!CG161+'KELURAHAN (DI ISI)'!CG162+'KELURAHAN (DI ISI)'!CG163+'KELURAHAN (DI ISI)'!CG164+'KELURAHAN (DI ISI)'!CG165+'KELURAHAN (DI ISI)'!CG166+'KELURAHAN (DI ISI)'!CG167</f>
        <v>0</v>
      </c>
      <c r="CV38" s="491">
        <f>'KELURAHAN (DI ISI)'!CH154+'KELURAHAN (DI ISI)'!CH159+'KELURAHAN (DI ISI)'!CH160+'KELURAHAN (DI ISI)'!CH161+'KELURAHAN (DI ISI)'!CH162+'KELURAHAN (DI ISI)'!CH163+'KELURAHAN (DI ISI)'!CH164+'KELURAHAN (DI ISI)'!CH165+'KELURAHAN (DI ISI)'!CH166+'KELURAHAN (DI ISI)'!CH167</f>
        <v>0</v>
      </c>
      <c r="CW38" s="491">
        <f>'KELURAHAN (DI ISI)'!CI154+'KELURAHAN (DI ISI)'!CI159+'KELURAHAN (DI ISI)'!CI160+'KELURAHAN (DI ISI)'!CI161+'KELURAHAN (DI ISI)'!CI162+'KELURAHAN (DI ISI)'!CI163+'KELURAHAN (DI ISI)'!CI164+'KELURAHAN (DI ISI)'!CI165+'KELURAHAN (DI ISI)'!CI166+'KELURAHAN (DI ISI)'!CI167</f>
        <v>0</v>
      </c>
      <c r="CX38" s="491">
        <f>'KELURAHAN (DI ISI)'!CJ154+'KELURAHAN (DI ISI)'!CJ159+'KELURAHAN (DI ISI)'!CJ160+'KELURAHAN (DI ISI)'!CJ161+'KELURAHAN (DI ISI)'!CJ162+'KELURAHAN (DI ISI)'!CJ163+'KELURAHAN (DI ISI)'!CJ164+'KELURAHAN (DI ISI)'!CJ165+'KELURAHAN (DI ISI)'!CJ166+'KELURAHAN (DI ISI)'!CJ167</f>
        <v>0</v>
      </c>
      <c r="CY38" s="491">
        <f>'KELURAHAN (DI ISI)'!CK154+'KELURAHAN (DI ISI)'!CK159+'KELURAHAN (DI ISI)'!CK160+'KELURAHAN (DI ISI)'!CK161+'KELURAHAN (DI ISI)'!CK162+'KELURAHAN (DI ISI)'!CK163+'KELURAHAN (DI ISI)'!CK164+'KELURAHAN (DI ISI)'!CK165+'KELURAHAN (DI ISI)'!CK166+'KELURAHAN (DI ISI)'!CK167</f>
        <v>7</v>
      </c>
      <c r="CZ38" s="491">
        <f>'KELURAHAN (DI ISI)'!CL154+'KELURAHAN (DI ISI)'!CL159+'KELURAHAN (DI ISI)'!CL160+'KELURAHAN (DI ISI)'!CL161+'KELURAHAN (DI ISI)'!CL162+'KELURAHAN (DI ISI)'!CL163+'KELURAHAN (DI ISI)'!CL164+'KELURAHAN (DI ISI)'!CL165+'KELURAHAN (DI ISI)'!CL166+'KELURAHAN (DI ISI)'!CL167</f>
        <v>4715</v>
      </c>
      <c r="DA38" s="491">
        <f>'KELURAHAN (DI ISI)'!CM154+'KELURAHAN (DI ISI)'!CM159+'KELURAHAN (DI ISI)'!CM160+'KELURAHAN (DI ISI)'!CM161+'KELURAHAN (DI ISI)'!CM162+'KELURAHAN (DI ISI)'!CM163+'KELURAHAN (DI ISI)'!CM164+'KELURAHAN (DI ISI)'!CM165+'KELURAHAN (DI ISI)'!CM166+'KELURAHAN (DI ISI)'!CM167</f>
        <v>1450</v>
      </c>
      <c r="DB38" s="491">
        <f>'KELURAHAN (DI ISI)'!CN154+'KELURAHAN (DI ISI)'!CN159+'KELURAHAN (DI ISI)'!CN160+'KELURAHAN (DI ISI)'!CN161+'KELURAHAN (DI ISI)'!CN162+'KELURAHAN (DI ISI)'!CN163+'KELURAHAN (DI ISI)'!CN164+'KELURAHAN (DI ISI)'!CN165+'KELURAHAN (DI ISI)'!CN166+'KELURAHAN (DI ISI)'!CN167</f>
        <v>56</v>
      </c>
      <c r="DC38" s="491">
        <f t="shared" si="15"/>
        <v>5</v>
      </c>
      <c r="DD38" s="491">
        <f t="shared" si="16"/>
        <v>42</v>
      </c>
      <c r="DE38" s="491">
        <f>'KELURAHAN (DI ISI)'!CO154+'KELURAHAN (DI ISI)'!CO159+'KELURAHAN (DI ISI)'!CO160+'KELURAHAN (DI ISI)'!CO161+'KELURAHAN (DI ISI)'!CO162+'KELURAHAN (DI ISI)'!CO163+'KELURAHAN (DI ISI)'!CO164+'KELURAHAN (DI ISI)'!CO165+'KELURAHAN (DI ISI)'!CO166+'KELURAHAN (DI ISI)'!CO167</f>
        <v>0</v>
      </c>
      <c r="DF38" s="491">
        <f>'KELURAHAN (DI ISI)'!CP154+'KELURAHAN (DI ISI)'!CP159+'KELURAHAN (DI ISI)'!CP160+'KELURAHAN (DI ISI)'!CP161+'KELURAHAN (DI ISI)'!CP162+'KELURAHAN (DI ISI)'!CP163+'KELURAHAN (DI ISI)'!CP164+'KELURAHAN (DI ISI)'!CP165+'KELURAHAN (DI ISI)'!CP166+'KELURAHAN (DI ISI)'!CP167</f>
        <v>1</v>
      </c>
      <c r="DG38" s="491">
        <f>'KELURAHAN (DI ISI)'!CQ154+'KELURAHAN (DI ISI)'!CQ159+'KELURAHAN (DI ISI)'!CQ160+'KELURAHAN (DI ISI)'!CQ161+'KELURAHAN (DI ISI)'!CQ162+'KELURAHAN (DI ISI)'!CQ163+'KELURAHAN (DI ISI)'!CQ164+'KELURAHAN (DI ISI)'!CQ165+'KELURAHAN (DI ISI)'!CQ166+'KELURAHAN (DI ISI)'!CQ167</f>
        <v>4</v>
      </c>
      <c r="DH38" s="491">
        <f>'KELURAHAN (DI ISI)'!CR154+'KELURAHAN (DI ISI)'!CR159+'KELURAHAN (DI ISI)'!CR160+'KELURAHAN (DI ISI)'!CR161+'KELURAHAN (DI ISI)'!CR162+'KELURAHAN (DI ISI)'!CR163+'KELURAHAN (DI ISI)'!CR164+'KELURAHAN (DI ISI)'!CR165+'KELURAHAN (DI ISI)'!CR166+'KELURAHAN (DI ISI)'!CR167</f>
        <v>42</v>
      </c>
      <c r="DI38" s="491">
        <f>'KELURAHAN (DI ISI)'!CS154+'KELURAHAN (DI ISI)'!CS159+'KELURAHAN (DI ISI)'!CS160+'KELURAHAN (DI ISI)'!CS161+'KELURAHAN (DI ISI)'!CS162+'KELURAHAN (DI ISI)'!CS163+'KELURAHAN (DI ISI)'!CS164+'KELURAHAN (DI ISI)'!CS165+'KELURAHAN (DI ISI)'!CS166+'KELURAHAN (DI ISI)'!CS167</f>
        <v>0</v>
      </c>
      <c r="DJ38" s="491">
        <f>'KELURAHAN (DI ISI)'!CT154+'KELURAHAN (DI ISI)'!CT159+'KELURAHAN (DI ISI)'!CT160+'KELURAHAN (DI ISI)'!CT161+'KELURAHAN (DI ISI)'!CT162+'KELURAHAN (DI ISI)'!CT163+'KELURAHAN (DI ISI)'!CT164+'KELURAHAN (DI ISI)'!CT165+'KELURAHAN (DI ISI)'!CT166+'KELURAHAN (DI ISI)'!CT167</f>
        <v>0</v>
      </c>
      <c r="DK38" s="491">
        <f>'KELURAHAN (DI ISI)'!CU154+'KELURAHAN (DI ISI)'!CU159+'KELURAHAN (DI ISI)'!CU160+'KELURAHAN (DI ISI)'!CU161+'KELURAHAN (DI ISI)'!CU162+'KELURAHAN (DI ISI)'!CU163+'KELURAHAN (DI ISI)'!CU164+'KELURAHAN (DI ISI)'!CU165+'KELURAHAN (DI ISI)'!CU166+'KELURAHAN (DI ISI)'!CU167</f>
        <v>2</v>
      </c>
      <c r="DL38" s="491">
        <f>'KELURAHAN (DI ISI)'!CV154+'KELURAHAN (DI ISI)'!CV159+'KELURAHAN (DI ISI)'!CV160+'KELURAHAN (DI ISI)'!CV161+'KELURAHAN (DI ISI)'!CV162+'KELURAHAN (DI ISI)'!CV163+'KELURAHAN (DI ISI)'!CV164+'KELURAHAN (DI ISI)'!CV165+'KELURAHAN (DI ISI)'!CV166+'KELURAHAN (DI ISI)'!CV167</f>
        <v>7</v>
      </c>
      <c r="DM38" s="491">
        <f>'KELURAHAN (DI ISI)'!CW154+'KELURAHAN (DI ISI)'!CW159+'KELURAHAN (DI ISI)'!CW160+'KELURAHAN (DI ISI)'!CW161+'KELURAHAN (DI ISI)'!CW162+'KELURAHAN (DI ISI)'!CW163+'KELURAHAN (DI ISI)'!CW164+'KELURAHAN (DI ISI)'!CW165+'KELURAHAN (DI ISI)'!CW166+'KELURAHAN (DI ISI)'!CW167</f>
        <v>0</v>
      </c>
      <c r="DN38" s="491">
        <f>'KELURAHAN (DI ISI)'!CX154+'KELURAHAN (DI ISI)'!CX159+'KELURAHAN (DI ISI)'!CX160+'KELURAHAN (DI ISI)'!CX161+'KELURAHAN (DI ISI)'!CX162+'KELURAHAN (DI ISI)'!CX163+'KELURAHAN (DI ISI)'!CX164+'KELURAHAN (DI ISI)'!CX165+'KELURAHAN (DI ISI)'!CX166+'KELURAHAN (DI ISI)'!CX167</f>
        <v>0</v>
      </c>
      <c r="DO38" s="491">
        <f>'KELURAHAN (DI ISI)'!CY154+'KELURAHAN (DI ISI)'!CY159+'KELURAHAN (DI ISI)'!CY160+'KELURAHAN (DI ISI)'!CY161+'KELURAHAN (DI ISI)'!CY162+'KELURAHAN (DI ISI)'!CY163+'KELURAHAN (DI ISI)'!CY164+'KELURAHAN (DI ISI)'!CY165+'KELURAHAN (DI ISI)'!CY166+'KELURAHAN (DI ISI)'!CY167</f>
        <v>0</v>
      </c>
      <c r="DP38" s="491">
        <f>'KELURAHAN (DI ISI)'!CZ154+'KELURAHAN (DI ISI)'!CZ159+'KELURAHAN (DI ISI)'!CZ160+'KELURAHAN (DI ISI)'!CZ161+'KELURAHAN (DI ISI)'!CZ162+'KELURAHAN (DI ISI)'!CZ163+'KELURAHAN (DI ISI)'!CZ164+'KELURAHAN (DI ISI)'!CZ165+'KELURAHAN (DI ISI)'!CZ166+'KELURAHAN (DI ISI)'!CZ167</f>
        <v>7</v>
      </c>
      <c r="DQ38" s="491">
        <f>'KELURAHAN (DI ISI)'!DA154+'KELURAHAN (DI ISI)'!DA159+'KELURAHAN (DI ISI)'!DA160+'KELURAHAN (DI ISI)'!DA161+'KELURAHAN (DI ISI)'!DA162+'KELURAHAN (DI ISI)'!DA163+'KELURAHAN (DI ISI)'!DA164+'KELURAHAN (DI ISI)'!DA165+'KELURAHAN (DI ISI)'!DA166+'KELURAHAN (DI ISI)'!DA167</f>
        <v>0</v>
      </c>
      <c r="DR38" s="491">
        <f>'KELURAHAN (DI ISI)'!DB154+'KELURAHAN (DI ISI)'!DB159+'KELURAHAN (DI ISI)'!DB160+'KELURAHAN (DI ISI)'!DB161+'KELURAHAN (DI ISI)'!DB162+'KELURAHAN (DI ISI)'!DB163+'KELURAHAN (DI ISI)'!DB164+'KELURAHAN (DI ISI)'!DB165+'KELURAHAN (DI ISI)'!DB166+'KELURAHAN (DI ISI)'!DB167</f>
        <v>0</v>
      </c>
      <c r="DS38" s="491">
        <f>'KELURAHAN (DI ISI)'!DC154+'KELURAHAN (DI ISI)'!DC159+'KELURAHAN (DI ISI)'!DC160+'KELURAHAN (DI ISI)'!DC161+'KELURAHAN (DI ISI)'!DC162+'KELURAHAN (DI ISI)'!DC163+'KELURAHAN (DI ISI)'!DC164+'KELURAHAN (DI ISI)'!DC165+'KELURAHAN (DI ISI)'!DC166+'KELURAHAN (DI ISI)'!DC167</f>
        <v>0</v>
      </c>
      <c r="DT38" s="491">
        <f>'KELURAHAN (DI ISI)'!DD154+'KELURAHAN (DI ISI)'!DD159+'KELURAHAN (DI ISI)'!DD160+'KELURAHAN (DI ISI)'!DD161+'KELURAHAN (DI ISI)'!DD162+'KELURAHAN (DI ISI)'!DD163+'KELURAHAN (DI ISI)'!DD164+'KELURAHAN (DI ISI)'!DD165+'KELURAHAN (DI ISI)'!DD166+'KELURAHAN (DI ISI)'!DD167</f>
        <v>0</v>
      </c>
      <c r="DU38" s="491">
        <f>'KELURAHAN (DI ISI)'!DE154+'KELURAHAN (DI ISI)'!DE159+'KELURAHAN (DI ISI)'!DE160+'KELURAHAN (DI ISI)'!DE161+'KELURAHAN (DI ISI)'!DE162+'KELURAHAN (DI ISI)'!DE163+'KELURAHAN (DI ISI)'!DE164+'KELURAHAN (DI ISI)'!DE165+'KELURAHAN (DI ISI)'!DE166+'KELURAHAN (DI ISI)'!DE167</f>
        <v>0</v>
      </c>
      <c r="DV38" s="491">
        <f>'KELURAHAN (DI ISI)'!DF154+'KELURAHAN (DI ISI)'!DF159+'KELURAHAN (DI ISI)'!DF160+'KELURAHAN (DI ISI)'!DF161+'KELURAHAN (DI ISI)'!DF162+'KELURAHAN (DI ISI)'!DF163+'KELURAHAN (DI ISI)'!DF164+'KELURAHAN (DI ISI)'!DF165+'KELURAHAN (DI ISI)'!DF166+'KELURAHAN (DI ISI)'!DF167</f>
        <v>0</v>
      </c>
      <c r="DW38" s="491">
        <f>'KELURAHAN (DI ISI)'!DG154+'KELURAHAN (DI ISI)'!DG159+'KELURAHAN (DI ISI)'!DG160+'KELURAHAN (DI ISI)'!DG161+'KELURAHAN (DI ISI)'!DG162+'KELURAHAN (DI ISI)'!DG163+'KELURAHAN (DI ISI)'!DG164+'KELURAHAN (DI ISI)'!DG165+'KELURAHAN (DI ISI)'!DG166+'KELURAHAN (DI ISI)'!DG167</f>
        <v>7</v>
      </c>
      <c r="DX38" s="491">
        <f>'KELURAHAN (DI ISI)'!DH154+'KELURAHAN (DI ISI)'!DH159+'KELURAHAN (DI ISI)'!DH160+'KELURAHAN (DI ISI)'!DH161+'KELURAHAN (DI ISI)'!DH162+'KELURAHAN (DI ISI)'!DH163+'KELURAHAN (DI ISI)'!DH164+'KELURAHAN (DI ISI)'!DH165+'KELURAHAN (DI ISI)'!DH166+'KELURAHAN (DI ISI)'!DH167</f>
        <v>4516</v>
      </c>
      <c r="DY38" s="491">
        <f>'KELURAHAN (DI ISI)'!DI154+'KELURAHAN (DI ISI)'!DI159+'KELURAHAN (DI ISI)'!DI160+'KELURAHAN (DI ISI)'!DI161+'KELURAHAN (DI ISI)'!DI162+'KELURAHAN (DI ISI)'!DI163+'KELURAHAN (DI ISI)'!DI164+'KELURAHAN (DI ISI)'!DI165+'KELURAHAN (DI ISI)'!DI166+'KELURAHAN (DI ISI)'!DI167</f>
        <v>1423</v>
      </c>
      <c r="DZ38" s="491">
        <f>'KELURAHAN (DI ISI)'!DJ154+'KELURAHAN (DI ISI)'!DJ159+'KELURAHAN (DI ISI)'!DJ160+'KELURAHAN (DI ISI)'!DJ161+'KELURAHAN (DI ISI)'!DJ162+'KELURAHAN (DI ISI)'!DJ163+'KELURAHAN (DI ISI)'!DJ164+'KELURAHAN (DI ISI)'!DJ165+'KELURAHAN (DI ISI)'!DJ166+'KELURAHAN (DI ISI)'!DJ167</f>
        <v>4358</v>
      </c>
      <c r="EA38" s="491">
        <f>'KELURAHAN (DI ISI)'!DK154+'KELURAHAN (DI ISI)'!DK159+'KELURAHAN (DI ISI)'!DK160+'KELURAHAN (DI ISI)'!DK161+'KELURAHAN (DI ISI)'!DK162+'KELURAHAN (DI ISI)'!DK163+'KELURAHAN (DI ISI)'!DK164+'KELURAHAN (DI ISI)'!DK165+'KELURAHAN (DI ISI)'!DK166+'KELURAHAN (DI ISI)'!DK167</f>
        <v>1263</v>
      </c>
      <c r="EB38" s="491">
        <f>'KELURAHAN (DI ISI)'!DL154+'KELURAHAN (DI ISI)'!DL159+'KELURAHAN (DI ISI)'!DL160+'KELURAHAN (DI ISI)'!DL161+'KELURAHAN (DI ISI)'!DL162+'KELURAHAN (DI ISI)'!DL163+'KELURAHAN (DI ISI)'!DL164+'KELURAHAN (DI ISI)'!DL165+'KELURAHAN (DI ISI)'!DL166+'KELURAHAN (DI ISI)'!DL167</f>
        <v>63</v>
      </c>
      <c r="EC38" s="491">
        <f>'KELURAHAN (DI ISI)'!DM154+'KELURAHAN (DI ISI)'!DM159+'KELURAHAN (DI ISI)'!DM160+'KELURAHAN (DI ISI)'!DM161+'KELURAHAN (DI ISI)'!DM162+'KELURAHAN (DI ISI)'!DM163+'KELURAHAN (DI ISI)'!DM164+'KELURAHAN (DI ISI)'!DM165+'KELURAHAN (DI ISI)'!DM166+'KELURAHAN (DI ISI)'!DM167</f>
        <v>12</v>
      </c>
      <c r="ED38" s="491">
        <f t="shared" si="17"/>
        <v>51</v>
      </c>
      <c r="EE38" s="491">
        <f>'KELURAHAN (DI ISI)'!DO154+'KELURAHAN (DI ISI)'!DO159+'KELURAHAN (DI ISI)'!DO160+'KELURAHAN (DI ISI)'!DO161+'KELURAHAN (DI ISI)'!DO162+'KELURAHAN (DI ISI)'!DO163+'KELURAHAN (DI ISI)'!DO164+'KELURAHAN (DI ISI)'!DO165+'KELURAHAN (DI ISI)'!DO166+'KELURAHAN (DI ISI)'!DO167</f>
        <v>0</v>
      </c>
      <c r="EF38" s="491">
        <f>'KELURAHAN (DI ISI)'!DP154+'KELURAHAN (DI ISI)'!DP159+'KELURAHAN (DI ISI)'!DP160+'KELURAHAN (DI ISI)'!DP161+'KELURAHAN (DI ISI)'!DP162+'KELURAHAN (DI ISI)'!DP163+'KELURAHAN (DI ISI)'!DP164+'KELURAHAN (DI ISI)'!DP165+'KELURAHAN (DI ISI)'!DP166+'KELURAHAN (DI ISI)'!DP167</f>
        <v>1</v>
      </c>
      <c r="EG38" s="491">
        <f>'KELURAHAN (DI ISI)'!DQ154+'KELURAHAN (DI ISI)'!DQ159+'KELURAHAN (DI ISI)'!DQ160+'KELURAHAN (DI ISI)'!DQ161+'KELURAHAN (DI ISI)'!DQ162+'KELURAHAN (DI ISI)'!DQ163+'KELURAHAN (DI ISI)'!DQ164+'KELURAHAN (DI ISI)'!DQ165+'KELURAHAN (DI ISI)'!DQ166+'KELURAHAN (DI ISI)'!DQ167</f>
        <v>5</v>
      </c>
      <c r="EH38" s="491">
        <f>'KELURAHAN (DI ISI)'!DR154+'KELURAHAN (DI ISI)'!DR159+'KELURAHAN (DI ISI)'!DR160+'KELURAHAN (DI ISI)'!DR161+'KELURAHAN (DI ISI)'!DR162+'KELURAHAN (DI ISI)'!DR163+'KELURAHAN (DI ISI)'!DR164+'KELURAHAN (DI ISI)'!DR165+'KELURAHAN (DI ISI)'!DR166+'KELURAHAN (DI ISI)'!DR167</f>
        <v>47</v>
      </c>
      <c r="EI38" s="491">
        <f>'KELURAHAN (DI ISI)'!DS154+'KELURAHAN (DI ISI)'!DS159+'KELURAHAN (DI ISI)'!DS160+'KELURAHAN (DI ISI)'!DS161+'KELURAHAN (DI ISI)'!DS162+'KELURAHAN (DI ISI)'!DS163+'KELURAHAN (DI ISI)'!DS164+'KELURAHAN (DI ISI)'!DS165+'KELURAHAN (DI ISI)'!DS166+'KELURAHAN (DI ISI)'!DS167</f>
        <v>0</v>
      </c>
      <c r="EJ38" s="491">
        <f>'KELURAHAN (DI ISI)'!DT154+'KELURAHAN (DI ISI)'!DT159+'KELURAHAN (DI ISI)'!DT160+'KELURAHAN (DI ISI)'!DT161+'KELURAHAN (DI ISI)'!DT162+'KELURAHAN (DI ISI)'!DT163+'KELURAHAN (DI ISI)'!DT164+'KELURAHAN (DI ISI)'!DT165+'KELURAHAN (DI ISI)'!DT166+'KELURAHAN (DI ISI)'!DT167</f>
        <v>3</v>
      </c>
      <c r="EK38" s="491">
        <f>'KELURAHAN (DI ISI)'!DU154+'KELURAHAN (DI ISI)'!DU159+'KELURAHAN (DI ISI)'!DU160+'KELURAHAN (DI ISI)'!DU161+'KELURAHAN (DI ISI)'!DU162+'KELURAHAN (DI ISI)'!DU163+'KELURAHAN (DI ISI)'!DU164+'KELURAHAN (DI ISI)'!DU165+'KELURAHAN (DI ISI)'!DU166+'KELURAHAN (DI ISI)'!DU167</f>
        <v>3</v>
      </c>
      <c r="EL38" s="491">
        <f>'KELURAHAN (DI ISI)'!DV154+'KELURAHAN (DI ISI)'!DV159+'KELURAHAN (DI ISI)'!DV160+'KELURAHAN (DI ISI)'!DV161+'KELURAHAN (DI ISI)'!DV162+'KELURAHAN (DI ISI)'!DV163+'KELURAHAN (DI ISI)'!DV164+'KELURAHAN (DI ISI)'!DV165+'KELURAHAN (DI ISI)'!DV166+'KELURAHAN (DI ISI)'!DV167</f>
        <v>4</v>
      </c>
      <c r="EM38" s="491">
        <f>'KELURAHAN (DI ISI)'!DW154+'KELURAHAN (DI ISI)'!DW159+'KELURAHAN (DI ISI)'!DW160+'KELURAHAN (DI ISI)'!DW161+'KELURAHAN (DI ISI)'!DW162+'KELURAHAN (DI ISI)'!DW163+'KELURAHAN (DI ISI)'!DW164+'KELURAHAN (DI ISI)'!DW165+'KELURAHAN (DI ISI)'!DW166+'KELURAHAN (DI ISI)'!DW167</f>
        <v>0</v>
      </c>
      <c r="EN38" s="491">
        <f>'KELURAHAN (DI ISI)'!DX154+'KELURAHAN (DI ISI)'!DX159+'KELURAHAN (DI ISI)'!DX160+'KELURAHAN (DI ISI)'!DX161+'KELURAHAN (DI ISI)'!DX162+'KELURAHAN (DI ISI)'!DX163+'KELURAHAN (DI ISI)'!DX164+'KELURAHAN (DI ISI)'!DX165+'KELURAHAN (DI ISI)'!DX166+'KELURAHAN (DI ISI)'!DX167</f>
        <v>0</v>
      </c>
      <c r="EO38" s="491">
        <f>'KELURAHAN (DI ISI)'!DY154+'KELURAHAN (DI ISI)'!DY159+'KELURAHAN (DI ISI)'!DY160+'KELURAHAN (DI ISI)'!DY161+'KELURAHAN (DI ISI)'!DY162+'KELURAHAN (DI ISI)'!DY163+'KELURAHAN (DI ISI)'!DY164+'KELURAHAN (DI ISI)'!DY165+'KELURAHAN (DI ISI)'!DY166+'KELURAHAN (DI ISI)'!DY167</f>
        <v>0</v>
      </c>
      <c r="EP38" s="491">
        <f>'KELURAHAN (DI ISI)'!DZ154+'KELURAHAN (DI ISI)'!DZ159+'KELURAHAN (DI ISI)'!DZ160+'KELURAHAN (DI ISI)'!DZ161+'KELURAHAN (DI ISI)'!DZ162+'KELURAHAN (DI ISI)'!DZ163+'KELURAHAN (DI ISI)'!DZ164+'KELURAHAN (DI ISI)'!DZ165+'KELURAHAN (DI ISI)'!DZ166+'KELURAHAN (DI ISI)'!DZ167</f>
        <v>3</v>
      </c>
      <c r="EQ38" s="491">
        <f>'KELURAHAN (DI ISI)'!EA154+'KELURAHAN (DI ISI)'!EA159+'KELURAHAN (DI ISI)'!EA160+'KELURAHAN (DI ISI)'!EA161+'KELURAHAN (DI ISI)'!EA162+'KELURAHAN (DI ISI)'!EA163+'KELURAHAN (DI ISI)'!EA164+'KELURAHAN (DI ISI)'!EA165+'KELURAHAN (DI ISI)'!EA166+'KELURAHAN (DI ISI)'!EA167</f>
        <v>0</v>
      </c>
      <c r="ER38" s="491">
        <f>'KELURAHAN (DI ISI)'!EB154+'KELURAHAN (DI ISI)'!EB159+'KELURAHAN (DI ISI)'!EB160+'KELURAHAN (DI ISI)'!EB161+'KELURAHAN (DI ISI)'!EB162+'KELURAHAN (DI ISI)'!EB163+'KELURAHAN (DI ISI)'!EB164+'KELURAHAN (DI ISI)'!EB165+'KELURAHAN (DI ISI)'!EB166+'KELURAHAN (DI ISI)'!EB167</f>
        <v>0</v>
      </c>
      <c r="ES38" s="491">
        <f>'KELURAHAN (DI ISI)'!EC154+'KELURAHAN (DI ISI)'!EC159+'KELURAHAN (DI ISI)'!EC160+'KELURAHAN (DI ISI)'!EC161+'KELURAHAN (DI ISI)'!EC162+'KELURAHAN (DI ISI)'!EC163+'KELURAHAN (DI ISI)'!EC164+'KELURAHAN (DI ISI)'!EC165+'KELURAHAN (DI ISI)'!EC166+'KELURAHAN (DI ISI)'!EC167</f>
        <v>0</v>
      </c>
      <c r="ET38" s="491">
        <f>'KELURAHAN (DI ISI)'!ED154+'KELURAHAN (DI ISI)'!ED159+'KELURAHAN (DI ISI)'!ED160+'KELURAHAN (DI ISI)'!ED161+'KELURAHAN (DI ISI)'!ED162+'KELURAHAN (DI ISI)'!ED163+'KELURAHAN (DI ISI)'!ED164+'KELURAHAN (DI ISI)'!ED165+'KELURAHAN (DI ISI)'!ED166+'KELURAHAN (DI ISI)'!ED167</f>
        <v>0</v>
      </c>
      <c r="EU38" s="491">
        <f>'KELURAHAN (DI ISI)'!EE154+'KELURAHAN (DI ISI)'!EE159+'KELURAHAN (DI ISI)'!EE160+'KELURAHAN (DI ISI)'!EE161+'KELURAHAN (DI ISI)'!EE162+'KELURAHAN (DI ISI)'!EE163+'KELURAHAN (DI ISI)'!EE164+'KELURAHAN (DI ISI)'!EE165+'KELURAHAN (DI ISI)'!EE166+'KELURAHAN (DI ISI)'!EE167</f>
        <v>0</v>
      </c>
      <c r="EV38" s="491">
        <f>'KELURAHAN (DI ISI)'!EF154+'KELURAHAN (DI ISI)'!EF159+'KELURAHAN (DI ISI)'!EF160+'KELURAHAN (DI ISI)'!EF161+'KELURAHAN (DI ISI)'!EF162+'KELURAHAN (DI ISI)'!EF163+'KELURAHAN (DI ISI)'!EF164+'KELURAHAN (DI ISI)'!EF165+'KELURAHAN (DI ISI)'!EF166+'KELURAHAN (DI ISI)'!EF167</f>
        <v>0</v>
      </c>
      <c r="EW38" s="491">
        <f>'KELURAHAN (DI ISI)'!EG154+'KELURAHAN (DI ISI)'!EG159+'KELURAHAN (DI ISI)'!EG160+'KELURAHAN (DI ISI)'!EG161+'KELURAHAN (DI ISI)'!EG162+'KELURAHAN (DI ISI)'!EG163+'KELURAHAN (DI ISI)'!EG164+'KELURAHAN (DI ISI)'!EG165+'KELURAHAN (DI ISI)'!EG166+'KELURAHAN (DI ISI)'!EG167</f>
        <v>3</v>
      </c>
      <c r="EX38" s="491">
        <f>'KELURAHAN (DI ISI)'!EH154+'KELURAHAN (DI ISI)'!EH159+'KELURAHAN (DI ISI)'!EH160+'KELURAHAN (DI ISI)'!EH161+'KELURAHAN (DI ISI)'!EH162+'KELURAHAN (DI ISI)'!EH163+'KELURAHAN (DI ISI)'!EH164+'KELURAHAN (DI ISI)'!EH165+'KELURAHAN (DI ISI)'!EH166+'KELURAHAN (DI ISI)'!EH167</f>
        <v>0</v>
      </c>
      <c r="EY38" s="491">
        <f>'KELURAHAN (DI ISI)'!EI154+'KELURAHAN (DI ISI)'!EI159+'KELURAHAN (DI ISI)'!EI160+'KELURAHAN (DI ISI)'!EI161+'KELURAHAN (DI ISI)'!EI162+'KELURAHAN (DI ISI)'!EI163+'KELURAHAN (DI ISI)'!EI164+'KELURAHAN (DI ISI)'!EI165+'KELURAHAN (DI ISI)'!EI166+'KELURAHAN (DI ISI)'!EI167</f>
        <v>4450</v>
      </c>
      <c r="EZ38" s="491">
        <f>'KELURAHAN (DI ISI)'!EJ154+'KELURAHAN (DI ISI)'!EJ159+'KELURAHAN (DI ISI)'!EJ160+'KELURAHAN (DI ISI)'!EJ161+'KELURAHAN (DI ISI)'!EJ162+'KELURAHAN (DI ISI)'!EJ163+'KELURAHAN (DI ISI)'!EJ164+'KELURAHAN (DI ISI)'!EJ165+'KELURAHAN (DI ISI)'!EJ166+'KELURAHAN (DI ISI)'!EJ167</f>
        <v>1385</v>
      </c>
      <c r="FA38" s="491">
        <f>'KELURAHAN (DI ISI)'!EK154+'KELURAHAN (DI ISI)'!EK159+'KELURAHAN (DI ISI)'!EK160+'KELURAHAN (DI ISI)'!EK161+'KELURAHAN (DI ISI)'!EK162+'KELURAHAN (DI ISI)'!EK163+'KELURAHAN (DI ISI)'!EK164+'KELURAHAN (DI ISI)'!EK165+'KELURAHAN (DI ISI)'!EK166+'KELURAHAN (DI ISI)'!EK167</f>
        <v>4243</v>
      </c>
      <c r="FB38" s="491">
        <f>'KELURAHAN (DI ISI)'!EL154+'KELURAHAN (DI ISI)'!EL159+'KELURAHAN (DI ISI)'!EL160+'KELURAHAN (DI ISI)'!EL161+'KELURAHAN (DI ISI)'!EL162+'KELURAHAN (DI ISI)'!EL163+'KELURAHAN (DI ISI)'!EL164+'KELURAHAN (DI ISI)'!EL165+'KELURAHAN (DI ISI)'!EL166+'KELURAHAN (DI ISI)'!EL167</f>
        <v>1246</v>
      </c>
      <c r="FC38" s="491">
        <f>'KELURAHAN (DI ISI)'!EM154+'KELURAHAN (DI ISI)'!EM159+'KELURAHAN (DI ISI)'!EM160+'KELURAHAN (DI ISI)'!EM161+'KELURAHAN (DI ISI)'!EM162+'KELURAHAN (DI ISI)'!EM163+'KELURAHAN (DI ISI)'!EM164+'KELURAHAN (DI ISI)'!EM165+'KELURAHAN (DI ISI)'!EM166+'KELURAHAN (DI ISI)'!EM167</f>
        <v>58</v>
      </c>
      <c r="FD38" s="491">
        <f>'KELURAHAN (DI ISI)'!EN154+'KELURAHAN (DI ISI)'!EN159+'KELURAHAN (DI ISI)'!EN160+'KELURAHAN (DI ISI)'!EN161+'KELURAHAN (DI ISI)'!EN162+'KELURAHAN (DI ISI)'!EN163+'KELURAHAN (DI ISI)'!EN164+'KELURAHAN (DI ISI)'!EN165+'KELURAHAN (DI ISI)'!EN166+'KELURAHAN (DI ISI)'!EN167</f>
        <v>9</v>
      </c>
      <c r="FE38" s="491">
        <f t="shared" si="18"/>
        <v>49</v>
      </c>
      <c r="FF38" s="491">
        <f>'KELURAHAN (DI ISI)'!EP154+'KELURAHAN (DI ISI)'!EP159+'KELURAHAN (DI ISI)'!EP160+'KELURAHAN (DI ISI)'!EP161+'KELURAHAN (DI ISI)'!EP162+'KELURAHAN (DI ISI)'!EP163+'KELURAHAN (DI ISI)'!EP164+'KELURAHAN (DI ISI)'!EP165+'KELURAHAN (DI ISI)'!EP166+'KELURAHAN (DI ISI)'!EP167</f>
        <v>0</v>
      </c>
      <c r="FG38" s="491">
        <f>'KELURAHAN (DI ISI)'!EQ154+'KELURAHAN (DI ISI)'!EQ159+'KELURAHAN (DI ISI)'!EQ160+'KELURAHAN (DI ISI)'!EQ161+'KELURAHAN (DI ISI)'!EQ162+'KELURAHAN (DI ISI)'!EQ163+'KELURAHAN (DI ISI)'!EQ164+'KELURAHAN (DI ISI)'!EQ165+'KELURAHAN (DI ISI)'!EQ166+'KELURAHAN (DI ISI)'!EQ167</f>
        <v>3</v>
      </c>
      <c r="FH38" s="491">
        <f>'KELURAHAN (DI ISI)'!ER154+'KELURAHAN (DI ISI)'!ER159+'KELURAHAN (DI ISI)'!ER160+'KELURAHAN (DI ISI)'!ER161+'KELURAHAN (DI ISI)'!ER162+'KELURAHAN (DI ISI)'!ER163+'KELURAHAN (DI ISI)'!ER164+'KELURAHAN (DI ISI)'!ER165+'KELURAHAN (DI ISI)'!ER166+'KELURAHAN (DI ISI)'!ER167</f>
        <v>4</v>
      </c>
      <c r="FI38" s="491">
        <f>'KELURAHAN (DI ISI)'!ES154+'KELURAHAN (DI ISI)'!ES159+'KELURAHAN (DI ISI)'!ES160+'KELURAHAN (DI ISI)'!ES161+'KELURAHAN (DI ISI)'!ES162+'KELURAHAN (DI ISI)'!ES163+'KELURAHAN (DI ISI)'!ES164+'KELURAHAN (DI ISI)'!ES165+'KELURAHAN (DI ISI)'!ES166+'KELURAHAN (DI ISI)'!ES167</f>
        <v>47</v>
      </c>
      <c r="FJ38" s="491">
        <f>'KELURAHAN (DI ISI)'!ET154+'KELURAHAN (DI ISI)'!ET159+'KELURAHAN (DI ISI)'!ET160+'KELURAHAN (DI ISI)'!ET161+'KELURAHAN (DI ISI)'!ET162+'KELURAHAN (DI ISI)'!ET163+'KELURAHAN (DI ISI)'!ET164+'KELURAHAN (DI ISI)'!ET165+'KELURAHAN (DI ISI)'!ET166+'KELURAHAN (DI ISI)'!ET167</f>
        <v>0</v>
      </c>
      <c r="FK38" s="491">
        <f>'KELURAHAN (DI ISI)'!EU154+'KELURAHAN (DI ISI)'!EU159+'KELURAHAN (DI ISI)'!EU160+'KELURAHAN (DI ISI)'!EU161+'KELURAHAN (DI ISI)'!EU162+'KELURAHAN (DI ISI)'!EU163+'KELURAHAN (DI ISI)'!EU164+'KELURAHAN (DI ISI)'!EU165+'KELURAHAN (DI ISI)'!EU166+'KELURAHAN (DI ISI)'!EU167</f>
        <v>0</v>
      </c>
      <c r="FL38" s="491">
        <f>'KELURAHAN (DI ISI)'!EV154+'KELURAHAN (DI ISI)'!EV159+'KELURAHAN (DI ISI)'!EV160+'KELURAHAN (DI ISI)'!EV161+'KELURAHAN (DI ISI)'!EV162+'KELURAHAN (DI ISI)'!EV163+'KELURAHAN (DI ISI)'!EV164+'KELURAHAN (DI ISI)'!EV165+'KELURAHAN (DI ISI)'!EV166+'KELURAHAN (DI ISI)'!EV167</f>
        <v>2</v>
      </c>
      <c r="FM38" s="491">
        <f>'KELURAHAN (DI ISI)'!EW154+'KELURAHAN (DI ISI)'!EW159+'KELURAHAN (DI ISI)'!EW160+'KELURAHAN (DI ISI)'!EW161+'KELURAHAN (DI ISI)'!EW162+'KELURAHAN (DI ISI)'!EW163+'KELURAHAN (DI ISI)'!EW164+'KELURAHAN (DI ISI)'!EW165+'KELURAHAN (DI ISI)'!EW166+'KELURAHAN (DI ISI)'!EW167</f>
        <v>2</v>
      </c>
      <c r="FN38" s="491">
        <f>'KELURAHAN (DI ISI)'!EX154+'KELURAHAN (DI ISI)'!EX159+'KELURAHAN (DI ISI)'!EX160+'KELURAHAN (DI ISI)'!EX161+'KELURAHAN (DI ISI)'!EX162+'KELURAHAN (DI ISI)'!EX163+'KELURAHAN (DI ISI)'!EX164+'KELURAHAN (DI ISI)'!EX165+'KELURAHAN (DI ISI)'!EX166+'KELURAHAN (DI ISI)'!EX167</f>
        <v>0</v>
      </c>
      <c r="FO38" s="491">
        <f>'KELURAHAN (DI ISI)'!EY154+'KELURAHAN (DI ISI)'!EY159+'KELURAHAN (DI ISI)'!EY160+'KELURAHAN (DI ISI)'!EY161+'KELURAHAN (DI ISI)'!EY162+'KELURAHAN (DI ISI)'!EY163+'KELURAHAN (DI ISI)'!EY164+'KELURAHAN (DI ISI)'!EY165+'KELURAHAN (DI ISI)'!EY166+'KELURAHAN (DI ISI)'!EY167</f>
        <v>0</v>
      </c>
      <c r="FP38" s="491">
        <f>'KELURAHAN (DI ISI)'!EZ154+'KELURAHAN (DI ISI)'!EZ159+'KELURAHAN (DI ISI)'!EZ160+'KELURAHAN (DI ISI)'!EZ161+'KELURAHAN (DI ISI)'!EZ162+'KELURAHAN (DI ISI)'!EZ163+'KELURAHAN (DI ISI)'!EZ164+'KELURAHAN (DI ISI)'!EZ165+'KELURAHAN (DI ISI)'!EZ166+'KELURAHAN (DI ISI)'!EZ167</f>
        <v>1</v>
      </c>
      <c r="FQ38" s="491">
        <f>'KELURAHAN (DI ISI)'!FA154+'KELURAHAN (DI ISI)'!FA159+'KELURAHAN (DI ISI)'!FA160+'KELURAHAN (DI ISI)'!FA161+'KELURAHAN (DI ISI)'!FA162+'KELURAHAN (DI ISI)'!FA163+'KELURAHAN (DI ISI)'!FA164+'KELURAHAN (DI ISI)'!FA165+'KELURAHAN (DI ISI)'!FA166+'KELURAHAN (DI ISI)'!FA167</f>
        <v>4</v>
      </c>
      <c r="FR38" s="491">
        <f>'KELURAHAN (DI ISI)'!FB154+'KELURAHAN (DI ISI)'!FB159+'KELURAHAN (DI ISI)'!FB160+'KELURAHAN (DI ISI)'!FB161+'KELURAHAN (DI ISI)'!FB162+'KELURAHAN (DI ISI)'!FB163+'KELURAHAN (DI ISI)'!FB164+'KELURAHAN (DI ISI)'!FB165+'KELURAHAN (DI ISI)'!FB166+'KELURAHAN (DI ISI)'!FB167</f>
        <v>0</v>
      </c>
      <c r="FS38" s="491">
        <f>'KELURAHAN (DI ISI)'!FC154+'KELURAHAN (DI ISI)'!FC159+'KELURAHAN (DI ISI)'!FC160+'KELURAHAN (DI ISI)'!FC161+'KELURAHAN (DI ISI)'!FC162+'KELURAHAN (DI ISI)'!FC163+'KELURAHAN (DI ISI)'!FC164+'KELURAHAN (DI ISI)'!FC165+'KELURAHAN (DI ISI)'!FC166+'KELURAHAN (DI ISI)'!FC167</f>
        <v>2</v>
      </c>
      <c r="FT38" s="491">
        <f>'KELURAHAN (DI ISI)'!FD154+'KELURAHAN (DI ISI)'!FD159+'KELURAHAN (DI ISI)'!FD160+'KELURAHAN (DI ISI)'!FD161+'KELURAHAN (DI ISI)'!FD162+'KELURAHAN (DI ISI)'!FD163+'KELURAHAN (DI ISI)'!FD164+'KELURAHAN (DI ISI)'!FD165+'KELURAHAN (DI ISI)'!FD166+'KELURAHAN (DI ISI)'!FD167</f>
        <v>0</v>
      </c>
      <c r="FU38" s="491">
        <f>'KELURAHAN (DI ISI)'!FE154+'KELURAHAN (DI ISI)'!FE159+'KELURAHAN (DI ISI)'!FE160+'KELURAHAN (DI ISI)'!FE161+'KELURAHAN (DI ISI)'!FE162+'KELURAHAN (DI ISI)'!FE163+'KELURAHAN (DI ISI)'!FE164+'KELURAHAN (DI ISI)'!FE165+'KELURAHAN (DI ISI)'!FE166+'KELURAHAN (DI ISI)'!FE167</f>
        <v>1</v>
      </c>
      <c r="FV38" s="491">
        <f>'KELURAHAN (DI ISI)'!FF154+'KELURAHAN (DI ISI)'!FF159+'KELURAHAN (DI ISI)'!FF160+'KELURAHAN (DI ISI)'!FF161+'KELURAHAN (DI ISI)'!FF162+'KELURAHAN (DI ISI)'!FF163+'KELURAHAN (DI ISI)'!FF164+'KELURAHAN (DI ISI)'!FF165+'KELURAHAN (DI ISI)'!FF166+'KELURAHAN (DI ISI)'!FF167</f>
        <v>1</v>
      </c>
      <c r="FW38" s="491">
        <f>'KELURAHAN (DI ISI)'!FG154+'KELURAHAN (DI ISI)'!FG159+'KELURAHAN (DI ISI)'!FG160+'KELURAHAN (DI ISI)'!FG161+'KELURAHAN (DI ISI)'!FG162+'KELURAHAN (DI ISI)'!FG163+'KELURAHAN (DI ISI)'!FG164+'KELURAHAN (DI ISI)'!FG165+'KELURAHAN (DI ISI)'!FG166+'KELURAHAN (DI ISI)'!FG167</f>
        <v>0</v>
      </c>
      <c r="FX38" s="491">
        <f>'KELURAHAN (DI ISI)'!FH154+'KELURAHAN (DI ISI)'!FH159+'KELURAHAN (DI ISI)'!FH160+'KELURAHAN (DI ISI)'!FH161+'KELURAHAN (DI ISI)'!FH162+'KELURAHAN (DI ISI)'!FH163+'KELURAHAN (DI ISI)'!FH164+'KELURAHAN (DI ISI)'!FH165+'KELURAHAN (DI ISI)'!FH166+'KELURAHAN (DI ISI)'!FH167</f>
        <v>9</v>
      </c>
      <c r="FY38" s="491">
        <f>'KELURAHAN (DI ISI)'!FI154+'KELURAHAN (DI ISI)'!FI159+'KELURAHAN (DI ISI)'!FI160+'KELURAHAN (DI ISI)'!FI161+'KELURAHAN (DI ISI)'!FI162+'KELURAHAN (DI ISI)'!FI163+'KELURAHAN (DI ISI)'!FI164+'KELURAHAN (DI ISI)'!FI165+'KELURAHAN (DI ISI)'!FI166+'KELURAHAN (DI ISI)'!FI167</f>
        <v>3</v>
      </c>
      <c r="FZ38" s="491">
        <f>'KELURAHAN (DI ISI)'!FJ154+'KELURAHAN (DI ISI)'!FJ159+'KELURAHAN (DI ISI)'!FJ160+'KELURAHAN (DI ISI)'!FJ161+'KELURAHAN (DI ISI)'!FJ162+'KELURAHAN (DI ISI)'!FJ163+'KELURAHAN (DI ISI)'!FJ164+'KELURAHAN (DI ISI)'!FJ165+'KELURAHAN (DI ISI)'!FJ166+'KELURAHAN (DI ISI)'!FJ167</f>
        <v>4399</v>
      </c>
      <c r="GA38" s="491">
        <f>'KELURAHAN (DI ISI)'!FK154+'KELURAHAN (DI ISI)'!FK159+'KELURAHAN (DI ISI)'!FK160+'KELURAHAN (DI ISI)'!FK161+'KELURAHAN (DI ISI)'!FK162+'KELURAHAN (DI ISI)'!FK163+'KELURAHAN (DI ISI)'!FK164+'KELURAHAN (DI ISI)'!FK165+'KELURAHAN (DI ISI)'!FK166+'KELURAHAN (DI ISI)'!FK167</f>
        <v>1359</v>
      </c>
      <c r="GB38" s="491">
        <f>'KELURAHAN (DI ISI)'!FL154+'KELURAHAN (DI ISI)'!FL159+'KELURAHAN (DI ISI)'!FL160+'KELURAHAN (DI ISI)'!FL161+'KELURAHAN (DI ISI)'!FL162+'KELURAHAN (DI ISI)'!FL163+'KELURAHAN (DI ISI)'!FL164+'KELURAHAN (DI ISI)'!FL165+'KELURAHAN (DI ISI)'!FL166+'KELURAHAN (DI ISI)'!FL167</f>
        <v>4098</v>
      </c>
      <c r="GC38" s="491">
        <f>'KELURAHAN (DI ISI)'!FM154+'KELURAHAN (DI ISI)'!FM159+'KELURAHAN (DI ISI)'!FM160+'KELURAHAN (DI ISI)'!FM161+'KELURAHAN (DI ISI)'!FM162+'KELURAHAN (DI ISI)'!FM163+'KELURAHAN (DI ISI)'!FM164+'KELURAHAN (DI ISI)'!FM165+'KELURAHAN (DI ISI)'!FM166+'KELURAHAN (DI ISI)'!FM167</f>
        <v>1245</v>
      </c>
      <c r="GD38" s="570">
        <v>4098.0</v>
      </c>
      <c r="GE38" s="571">
        <f>'KELURAHAN (DI ISI)'!FO154+'KELURAHAN (DI ISI)'!FO159+'KELURAHAN (DI ISI)'!FO160+'KELURAHAN (DI ISI)'!FO161+'KELURAHAN (DI ISI)'!FO162+'KELURAHAN (DI ISI)'!FO163+'KELURAHAN (DI ISI)'!FO164+'KELURAHAN (DI ISI)'!FO165+'KELURAHAN (DI ISI)'!FO166+'KELURAHAN (DI ISI)'!FO167</f>
        <v>48</v>
      </c>
      <c r="GF38" s="571">
        <f>'KELURAHAN (DI ISI)'!FP154+'KELURAHAN (DI ISI)'!FP159+'KELURAHAN (DI ISI)'!FP160+'KELURAHAN (DI ISI)'!FP161+'KELURAHAN (DI ISI)'!FP162+'KELURAHAN (DI ISI)'!FP163+'KELURAHAN (DI ISI)'!FP164+'KELURAHAN (DI ISI)'!FP165+'KELURAHAN (DI ISI)'!FP166+'KELURAHAN (DI ISI)'!FP167</f>
        <v>48</v>
      </c>
      <c r="GG38" s="571">
        <f>'KELURAHAN (DI ISI)'!FP154+'KELURAHAN (DI ISI)'!FP159+'KELURAHAN (DI ISI)'!FP160+'KELURAHAN (DI ISI)'!FP161+'KELURAHAN (DI ISI)'!FP162+'KELURAHAN (DI ISI)'!FP163+'KELURAHAN (DI ISI)'!FP164+'KELURAHAN (DI ISI)'!FP165+'KELURAHAN (DI ISI)'!FP166+'KELURAHAN (DI ISI)'!FP167</f>
        <v>48</v>
      </c>
      <c r="GH38" s="571">
        <f>'KELURAHAN (DI ISI)'!FQ154+'KELURAHAN (DI ISI)'!FQ159+'KELURAHAN (DI ISI)'!FQ160+'KELURAHAN (DI ISI)'!FQ161+'KELURAHAN (DI ISI)'!FQ162+'KELURAHAN (DI ISI)'!FQ163+'KELURAHAN (DI ISI)'!FQ164+'KELURAHAN (DI ISI)'!FQ165+'KELURAHAN (DI ISI)'!FQ166+'KELURAHAN (DI ISI)'!FQ167</f>
        <v>9</v>
      </c>
      <c r="GI38" s="571">
        <f t="shared" si="19"/>
        <v>39</v>
      </c>
      <c r="GJ38" s="491">
        <f>'KELURAHAN (DI ISI)'!FS154+'KELURAHAN (DI ISI)'!FS159+'KELURAHAN (DI ISI)'!FS160+'KELURAHAN (DI ISI)'!FS161+'KELURAHAN (DI ISI)'!FS162+'KELURAHAN (DI ISI)'!FS163+'KELURAHAN (DI ISI)'!FS164+'KELURAHAN (DI ISI)'!FS165+'KELURAHAN (DI ISI)'!FS166+'KELURAHAN (DI ISI)'!FS167</f>
        <v>0</v>
      </c>
      <c r="GK38" s="491">
        <f>'KELURAHAN (DI ISI)'!FT154+'KELURAHAN (DI ISI)'!FT159+'KELURAHAN (DI ISI)'!FT160+'KELURAHAN (DI ISI)'!FT161+'KELURAHAN (DI ISI)'!FT162+'KELURAHAN (DI ISI)'!FT163+'KELURAHAN (DI ISI)'!FT164+'KELURAHAN (DI ISI)'!FT165+'KELURAHAN (DI ISI)'!FT166+'KELURAHAN (DI ISI)'!FT167</f>
        <v>0</v>
      </c>
      <c r="GL38" s="491">
        <f>'KELURAHAN (DI ISI)'!FU154+'KELURAHAN (DI ISI)'!FU159+'KELURAHAN (DI ISI)'!FU160+'KELURAHAN (DI ISI)'!FU161+'KELURAHAN (DI ISI)'!FU162+'KELURAHAN (DI ISI)'!FU163+'KELURAHAN (DI ISI)'!FU164+'KELURAHAN (DI ISI)'!FU165+'KELURAHAN (DI ISI)'!FU166+'KELURAHAN (DI ISI)'!FU167</f>
        <v>9</v>
      </c>
      <c r="GM38" s="491">
        <f>'KELURAHAN (DI ISI)'!FV154+'KELURAHAN (DI ISI)'!FV159+'KELURAHAN (DI ISI)'!FV160+'KELURAHAN (DI ISI)'!FV161+'KELURAHAN (DI ISI)'!FV162+'KELURAHAN (DI ISI)'!FV163+'KELURAHAN (DI ISI)'!FV164+'KELURAHAN (DI ISI)'!FV165+'KELURAHAN (DI ISI)'!FV166+'KELURAHAN (DI ISI)'!FV167</f>
        <v>39</v>
      </c>
      <c r="GN38" s="491">
        <f>'KELURAHAN (DI ISI)'!FW154+'KELURAHAN (DI ISI)'!FW159+'KELURAHAN (DI ISI)'!FW160+'KELURAHAN (DI ISI)'!FW161+'KELURAHAN (DI ISI)'!FW162+'KELURAHAN (DI ISI)'!FW163+'KELURAHAN (DI ISI)'!FW164+'KELURAHAN (DI ISI)'!FW165+'KELURAHAN (DI ISI)'!FW166+'KELURAHAN (DI ISI)'!FW167</f>
        <v>0</v>
      </c>
      <c r="GO38" s="491">
        <f>'KELURAHAN (DI ISI)'!FX154+'KELURAHAN (DI ISI)'!FX159+'KELURAHAN (DI ISI)'!FX160+'KELURAHAN (DI ISI)'!FX161+'KELURAHAN (DI ISI)'!FX162+'KELURAHAN (DI ISI)'!FX163+'KELURAHAN (DI ISI)'!FX164+'KELURAHAN (DI ISI)'!FX165+'KELURAHAN (DI ISI)'!FX166+'KELURAHAN (DI ISI)'!FX167</f>
        <v>0</v>
      </c>
      <c r="GP38" s="491">
        <f>'KELURAHAN (DI ISI)'!FY154+'KELURAHAN (DI ISI)'!FY159+'KELURAHAN (DI ISI)'!FY160+'KELURAHAN (DI ISI)'!FY161+'KELURAHAN (DI ISI)'!FY162+'KELURAHAN (DI ISI)'!FY163+'KELURAHAN (DI ISI)'!FY164+'KELURAHAN (DI ISI)'!FY165+'KELURAHAN (DI ISI)'!FY166+'KELURAHAN (DI ISI)'!FY167</f>
        <v>0</v>
      </c>
      <c r="GQ38" s="491">
        <f>'KELURAHAN (DI ISI)'!FZ154+'KELURAHAN (DI ISI)'!FZ159+'KELURAHAN (DI ISI)'!FZ160+'KELURAHAN (DI ISI)'!FZ161+'KELURAHAN (DI ISI)'!FZ162+'KELURAHAN (DI ISI)'!FZ163+'KELURAHAN (DI ISI)'!FZ164+'KELURAHAN (DI ISI)'!FZ165+'KELURAHAN (DI ISI)'!FZ166+'KELURAHAN (DI ISI)'!FZ167</f>
        <v>0</v>
      </c>
      <c r="GR38" s="491">
        <f>'KELURAHAN (DI ISI)'!GA154+'KELURAHAN (DI ISI)'!GA159+'KELURAHAN (DI ISI)'!GA160+'KELURAHAN (DI ISI)'!GA161+'KELURAHAN (DI ISI)'!GA162+'KELURAHAN (DI ISI)'!GA163+'KELURAHAN (DI ISI)'!GA164+'KELURAHAN (DI ISI)'!GA165+'KELURAHAN (DI ISI)'!GA166+'KELURAHAN (DI ISI)'!GA167</f>
        <v>0</v>
      </c>
      <c r="GS38" s="491">
        <f>'KELURAHAN (DI ISI)'!GB154+'KELURAHAN (DI ISI)'!GB159+'KELURAHAN (DI ISI)'!GB160+'KELURAHAN (DI ISI)'!GB161+'KELURAHAN (DI ISI)'!GB162+'KELURAHAN (DI ISI)'!GB163+'KELURAHAN (DI ISI)'!GB164+'KELURAHAN (DI ISI)'!GB165+'KELURAHAN (DI ISI)'!GB166+'KELURAHAN (DI ISI)'!GB167</f>
        <v>0</v>
      </c>
      <c r="GT38" s="491">
        <f>'KELURAHAN (DI ISI)'!GC154+'KELURAHAN (DI ISI)'!GC159+'KELURAHAN (DI ISI)'!GC160+'KELURAHAN (DI ISI)'!GC161+'KELURAHAN (DI ISI)'!GC162+'KELURAHAN (DI ISI)'!GC163+'KELURAHAN (DI ISI)'!GC164+'KELURAHAN (DI ISI)'!GC165+'KELURAHAN (DI ISI)'!GC166+'KELURAHAN (DI ISI)'!GC167</f>
        <v>1</v>
      </c>
      <c r="GU38" s="491">
        <f>'KELURAHAN (DI ISI)'!GD154+'KELURAHAN (DI ISI)'!GD159+'KELURAHAN (DI ISI)'!GD160+'KELURAHAN (DI ISI)'!GD161+'KELURAHAN (DI ISI)'!GD162+'KELURAHAN (DI ISI)'!GD163+'KELURAHAN (DI ISI)'!GD164+'KELURAHAN (DI ISI)'!GD165+'KELURAHAN (DI ISI)'!GD166+'KELURAHAN (DI ISI)'!GD167</f>
        <v>9</v>
      </c>
      <c r="GV38" s="491">
        <f>'KELURAHAN (DI ISI)'!GE154+'KELURAHAN (DI ISI)'!GE159+'KELURAHAN (DI ISI)'!GE160+'KELURAHAN (DI ISI)'!GE161+'KELURAHAN (DI ISI)'!GE162+'KELURAHAN (DI ISI)'!GE163+'KELURAHAN (DI ISI)'!GE164+'KELURAHAN (DI ISI)'!GE165+'KELURAHAN (DI ISI)'!GE166+'KELURAHAN (DI ISI)'!GE167</f>
        <v>0</v>
      </c>
      <c r="GW38" s="491">
        <f>'KELURAHAN (DI ISI)'!GF154+'KELURAHAN (DI ISI)'!GF159+'KELURAHAN (DI ISI)'!GF160+'KELURAHAN (DI ISI)'!GF161+'KELURAHAN (DI ISI)'!GF162+'KELURAHAN (DI ISI)'!GF163+'KELURAHAN (DI ISI)'!GF164+'KELURAHAN (DI ISI)'!GF165+'KELURAHAN (DI ISI)'!GF166+'KELURAHAN (DI ISI)'!GF167</f>
        <v>0</v>
      </c>
      <c r="GX38" s="491">
        <f>'KELURAHAN (DI ISI)'!GG154+'KELURAHAN (DI ISI)'!GG159+'KELURAHAN (DI ISI)'!GG160+'KELURAHAN (DI ISI)'!GG161+'KELURAHAN (DI ISI)'!GG162+'KELURAHAN (DI ISI)'!GG163+'KELURAHAN (DI ISI)'!GG164+'KELURAHAN (DI ISI)'!GG165+'KELURAHAN (DI ISI)'!GG166+'KELURAHAN (DI ISI)'!GG167</f>
        <v>0</v>
      </c>
      <c r="GY38" s="491">
        <f>'KELURAHAN (DI ISI)'!GH154+'KELURAHAN (DI ISI)'!GH159+'KELURAHAN (DI ISI)'!GH160+'KELURAHAN (DI ISI)'!GH161+'KELURAHAN (DI ISI)'!GH162+'KELURAHAN (DI ISI)'!GH163+'KELURAHAN (DI ISI)'!GH164+'KELURAHAN (DI ISI)'!GH165+'KELURAHAN (DI ISI)'!GH166+'KELURAHAN (DI ISI)'!GH167</f>
        <v>0</v>
      </c>
      <c r="GZ38" s="491">
        <f>'KELURAHAN (DI ISI)'!GI154+'KELURAHAN (DI ISI)'!GI159+'KELURAHAN (DI ISI)'!GI160+'KELURAHAN (DI ISI)'!GI161+'KELURAHAN (DI ISI)'!GI162+'KELURAHAN (DI ISI)'!GI163+'KELURAHAN (DI ISI)'!GI164+'KELURAHAN (DI ISI)'!GI165+'KELURAHAN (DI ISI)'!GI166+'KELURAHAN (DI ISI)'!GI167</f>
        <v>0</v>
      </c>
      <c r="HA38" s="491">
        <f>'KELURAHAN (DI ISI)'!GJ154+'KELURAHAN (DI ISI)'!GJ159+'KELURAHAN (DI ISI)'!GJ160+'KELURAHAN (DI ISI)'!GJ161+'KELURAHAN (DI ISI)'!GJ162+'KELURAHAN (DI ISI)'!GJ163+'KELURAHAN (DI ISI)'!GJ164+'KELURAHAN (DI ISI)'!GJ165+'KELURAHAN (DI ISI)'!GJ166+'KELURAHAN (DI ISI)'!GJ167</f>
        <v>0</v>
      </c>
      <c r="HB38" s="572">
        <f>'KELURAHAN (DI ISI)'!GK154+'KELURAHAN (DI ISI)'!GK159+'KELURAHAN (DI ISI)'!GK160+'KELURAHAN (DI ISI)'!GK161+'KELURAHAN (DI ISI)'!GK162+'KELURAHAN (DI ISI)'!GK163+'KELURAHAN (DI ISI)'!GK164+'KELURAHAN (DI ISI)'!GK165+'KELURAHAN (DI ISI)'!GK166+'KELURAHAN (DI ISI)'!GK167</f>
        <v>10</v>
      </c>
      <c r="HC38" s="572">
        <f>'KELURAHAN (DI ISI)'!GL154+'KELURAHAN (DI ISI)'!GL159+'KELURAHAN (DI ISI)'!GL160+'KELURAHAN (DI ISI)'!GL161+'KELURAHAN (DI ISI)'!GL162+'KELURAHAN (DI ISI)'!GL163+'KELURAHAN (DI ISI)'!GL164+'KELURAHAN (DI ISI)'!GL165+'KELURAHAN (DI ISI)'!GL166+'KELURAHAN (DI ISI)'!GL167</f>
        <v>1</v>
      </c>
      <c r="HD38" s="491">
        <f>'KELURAHAN (DI ISI)'!GM154+'KELURAHAN (DI ISI)'!GM159+'KELURAHAN (DI ISI)'!GM160+'KELURAHAN (DI ISI)'!GM161+'KELURAHAN (DI ISI)'!GM162+'KELURAHAN (DI ISI)'!GM163+'KELURAHAN (DI ISI)'!GM164+'KELURAHAN (DI ISI)'!GM165+'KELURAHAN (DI ISI)'!GM166+'KELURAHAN (DI ISI)'!GM167</f>
        <v>4347</v>
      </c>
      <c r="HE38" s="491">
        <f>'KELURAHAN (DI ISI)'!GN154+'KELURAHAN (DI ISI)'!GN159+'KELURAHAN (DI ISI)'!GN160+'KELURAHAN (DI ISI)'!GN161+'KELURAHAN (DI ISI)'!GN162+'KELURAHAN (DI ISI)'!GN163+'KELURAHAN (DI ISI)'!GN164+'KELURAHAN (DI ISI)'!GN165+'KELURAHAN (DI ISI)'!GN166+'KELURAHAN (DI ISI)'!GN167</f>
        <v>1314</v>
      </c>
      <c r="HF38" s="491">
        <f>'KELURAHAN (DI ISI)'!GO154+'KELURAHAN (DI ISI)'!GO159+'KELURAHAN (DI ISI)'!GO160+'KELURAHAN (DI ISI)'!GO161+'KELURAHAN (DI ISI)'!GO162+'KELURAHAN (DI ISI)'!GO163+'KELURAHAN (DI ISI)'!GO164+'KELURAHAN (DI ISI)'!GO165+'KELURAHAN (DI ISI)'!GO166+'KELURAHAN (DI ISI)'!GO167</f>
        <v>4129</v>
      </c>
      <c r="HG38" s="491">
        <f>'KELURAHAN (DI ISI)'!GP154+'KELURAHAN (DI ISI)'!GP159+'KELURAHAN (DI ISI)'!GP160+'KELURAHAN (DI ISI)'!GP161+'KELURAHAN (DI ISI)'!GP162+'KELURAHAN (DI ISI)'!GP163+'KELURAHAN (DI ISI)'!GP164+'KELURAHAN (DI ISI)'!GP165+'KELURAHAN (DI ISI)'!GP166+'KELURAHAN (DI ISI)'!GP167</f>
        <v>1210</v>
      </c>
      <c r="HH38" s="570">
        <v>4098.0</v>
      </c>
      <c r="HI38" s="225">
        <f>'KELURAHAN (DI ISI)'!GR154+'KELURAHAN (DI ISI)'!GR159+'KELURAHAN (DI ISI)'!GR160+'KELURAHAN (DI ISI)'!GR161+'KELURAHAN (DI ISI)'!GR162+'KELURAHAN (DI ISI)'!GR163+'KELURAHAN (DI ISI)'!GR164+'KELURAHAN (DI ISI)'!GR165+'KELURAHAN (DI ISI)'!GR166+'KELURAHAN (DI ISI)'!GR167</f>
        <v>47</v>
      </c>
      <c r="HJ38" s="225">
        <f>'KELURAHAN (DI ISI)'!GS154+'KELURAHAN (DI ISI)'!GS159+'KELURAHAN (DI ISI)'!GS160+'KELURAHAN (DI ISI)'!GS161+'KELURAHAN (DI ISI)'!GS162+'KELURAHAN (DI ISI)'!GS163+'KELURAHAN (DI ISI)'!GS164+'KELURAHAN (DI ISI)'!GS165+'KELURAHAN (DI ISI)'!GS166+'KELURAHAN (DI ISI)'!GS167</f>
        <v>9</v>
      </c>
      <c r="HK38" s="573">
        <f>'KELURAHAN (DI ISI)'!GT154+'KELURAHAN (DI ISI)'!GT159+'KELURAHAN (DI ISI)'!GT160+'KELURAHAN (DI ISI)'!GT161+'KELURAHAN (DI ISI)'!GT162+'KELURAHAN (DI ISI)'!GT163+'KELURAHAN (DI ISI)'!GT164+'KELURAHAN (DI ISI)'!GT165+'KELURAHAN (DI ISI)'!GT166+'KELURAHAN (DI ISI)'!GT167</f>
        <v>47</v>
      </c>
      <c r="HL38" s="573">
        <f>'KELURAHAN (DI ISI)'!GU154+'KELURAHAN (DI ISI)'!GU159+'KELURAHAN (DI ISI)'!GU160+'KELURAHAN (DI ISI)'!GU161+'KELURAHAN (DI ISI)'!GU162+'KELURAHAN (DI ISI)'!GU163+'KELURAHAN (DI ISI)'!GU164+'KELURAHAN (DI ISI)'!GU165+'KELURAHAN (DI ISI)'!GU166+'KELURAHAN (DI ISI)'!GU167</f>
        <v>9</v>
      </c>
      <c r="HM38" s="573">
        <f t="shared" si="20"/>
        <v>38</v>
      </c>
      <c r="HN38" s="491">
        <f>'KELURAHAN (DI ISI)'!GW154+'KELURAHAN (DI ISI)'!GW159+'KELURAHAN (DI ISI)'!GW160+'KELURAHAN (DI ISI)'!GW161+'KELURAHAN (DI ISI)'!GW162+'KELURAHAN (DI ISI)'!GW163+'KELURAHAN (DI ISI)'!GW164+'KELURAHAN (DI ISI)'!GW165+'KELURAHAN (DI ISI)'!GW166+'KELURAHAN (DI ISI)'!GW167</f>
        <v>0</v>
      </c>
      <c r="HO38" s="491">
        <f>'KELURAHAN (DI ISI)'!GX154+'KELURAHAN (DI ISI)'!GX159+'KELURAHAN (DI ISI)'!GX160+'KELURAHAN (DI ISI)'!GX161+'KELURAHAN (DI ISI)'!GX162+'KELURAHAN (DI ISI)'!GX163+'KELURAHAN (DI ISI)'!GX164+'KELURAHAN (DI ISI)'!GX165+'KELURAHAN (DI ISI)'!GX166+'KELURAHAN (DI ISI)'!GX167</f>
        <v>0</v>
      </c>
      <c r="HP38" s="491">
        <f>'KELURAHAN (DI ISI)'!GY154+'KELURAHAN (DI ISI)'!GY159+'KELURAHAN (DI ISI)'!GY160+'KELURAHAN (DI ISI)'!GY161+'KELURAHAN (DI ISI)'!GY162+'KELURAHAN (DI ISI)'!GY163+'KELURAHAN (DI ISI)'!GY164+'KELURAHAN (DI ISI)'!GY165+'KELURAHAN (DI ISI)'!GY166+'KELURAHAN (DI ISI)'!GY167</f>
        <v>7</v>
      </c>
      <c r="HQ38" s="491">
        <f>'KELURAHAN (DI ISI)'!GZ154+'KELURAHAN (DI ISI)'!GZ159+'KELURAHAN (DI ISI)'!GZ160+'KELURAHAN (DI ISI)'!GZ161+'KELURAHAN (DI ISI)'!GZ162+'KELURAHAN (DI ISI)'!GZ163+'KELURAHAN (DI ISI)'!GZ164+'KELURAHAN (DI ISI)'!GZ165+'KELURAHAN (DI ISI)'!GZ166+'KELURAHAN (DI ISI)'!GZ167</f>
        <v>38</v>
      </c>
      <c r="HR38" s="491">
        <f>'KELURAHAN (DI ISI)'!HA154+'KELURAHAN (DI ISI)'!HA159+'KELURAHAN (DI ISI)'!HA160+'KELURAHAN (DI ISI)'!HA161+'KELURAHAN (DI ISI)'!HA162+'KELURAHAN (DI ISI)'!HA163+'KELURAHAN (DI ISI)'!HA164+'KELURAHAN (DI ISI)'!HA165+'KELURAHAN (DI ISI)'!HA166+'KELURAHAN (DI ISI)'!HA167</f>
        <v>0</v>
      </c>
      <c r="HS38" s="491">
        <f>'KELURAHAN (DI ISI)'!HB154+'KELURAHAN (DI ISI)'!HB159+'KELURAHAN (DI ISI)'!HB160+'KELURAHAN (DI ISI)'!HB161+'KELURAHAN (DI ISI)'!HB162+'KELURAHAN (DI ISI)'!HB163+'KELURAHAN (DI ISI)'!HB164+'KELURAHAN (DI ISI)'!HB165+'KELURAHAN (DI ISI)'!HB166+'KELURAHAN (DI ISI)'!HB167</f>
        <v>1</v>
      </c>
      <c r="HT38" s="491">
        <f>'KELURAHAN (DI ISI)'!HC154+'KELURAHAN (DI ISI)'!HC159+'KELURAHAN (DI ISI)'!HC160+'KELURAHAN (DI ISI)'!HC161+'KELURAHAN (DI ISI)'!HC162+'KELURAHAN (DI ISI)'!HC163+'KELURAHAN (DI ISI)'!HC164+'KELURAHAN (DI ISI)'!HC165+'KELURAHAN (DI ISI)'!HC166+'KELURAHAN (DI ISI)'!HC167</f>
        <v>1</v>
      </c>
      <c r="HU38" s="491">
        <f>'KELURAHAN (DI ISI)'!HD154+'KELURAHAN (DI ISI)'!HD159+'KELURAHAN (DI ISI)'!HD160+'KELURAHAN (DI ISI)'!HD161+'KELURAHAN (DI ISI)'!HD162+'KELURAHAN (DI ISI)'!HD163+'KELURAHAN (DI ISI)'!HD164+'KELURAHAN (DI ISI)'!HD165+'KELURAHAN (DI ISI)'!HD166+'KELURAHAN (DI ISI)'!HD167</f>
        <v>0</v>
      </c>
      <c r="HV38" s="491">
        <f>'KELURAHAN (DI ISI)'!HE154+'KELURAHAN (DI ISI)'!HE159+'KELURAHAN (DI ISI)'!HE160+'KELURAHAN (DI ISI)'!HE161+'KELURAHAN (DI ISI)'!HE162+'KELURAHAN (DI ISI)'!HE163+'KELURAHAN (DI ISI)'!HE164+'KELURAHAN (DI ISI)'!HE165+'KELURAHAN (DI ISI)'!HE166+'KELURAHAN (DI ISI)'!HE167</f>
        <v>0</v>
      </c>
      <c r="HW38" s="491">
        <f>'KELURAHAN (DI ISI)'!HF154+'KELURAHAN (DI ISI)'!HF159+'KELURAHAN (DI ISI)'!HF160+'KELURAHAN (DI ISI)'!HF161+'KELURAHAN (DI ISI)'!HF162+'KELURAHAN (DI ISI)'!HF163+'KELURAHAN (DI ISI)'!HF164+'KELURAHAN (DI ISI)'!HF165+'KELURAHAN (DI ISI)'!HF166+'KELURAHAN (DI ISI)'!HF167</f>
        <v>0</v>
      </c>
      <c r="HX38" s="491">
        <f>'KELURAHAN (DI ISI)'!HG154+'KELURAHAN (DI ISI)'!HG159+'KELURAHAN (DI ISI)'!HG160+'KELURAHAN (DI ISI)'!HG161+'KELURAHAN (DI ISI)'!HG162+'KELURAHAN (DI ISI)'!HG163+'KELURAHAN (DI ISI)'!HG164+'KELURAHAN (DI ISI)'!HG165+'KELURAHAN (DI ISI)'!HG166+'KELURAHAN (DI ISI)'!HG167</f>
        <v>0</v>
      </c>
      <c r="HY38" s="491">
        <f>'KELURAHAN (DI ISI)'!HH154+'KELURAHAN (DI ISI)'!HH159+'KELURAHAN (DI ISI)'!HH160+'KELURAHAN (DI ISI)'!HH161+'KELURAHAN (DI ISI)'!HH162+'KELURAHAN (DI ISI)'!HH163+'KELURAHAN (DI ISI)'!HH164+'KELURAHAN (DI ISI)'!HH165+'KELURAHAN (DI ISI)'!HH166+'KELURAHAN (DI ISI)'!HH167</f>
        <v>3</v>
      </c>
      <c r="HZ38" s="491">
        <f>'KELURAHAN (DI ISI)'!HI154+'KELURAHAN (DI ISI)'!HI159+'KELURAHAN (DI ISI)'!HI160+'KELURAHAN (DI ISI)'!HI161+'KELURAHAN (DI ISI)'!HI162+'KELURAHAN (DI ISI)'!HI163+'KELURAHAN (DI ISI)'!HI164+'KELURAHAN (DI ISI)'!HI165+'KELURAHAN (DI ISI)'!HI166+'KELURAHAN (DI ISI)'!HI167</f>
        <v>0</v>
      </c>
      <c r="IA38" s="491">
        <f>'KELURAHAN (DI ISI)'!HJ154+'KELURAHAN (DI ISI)'!HJ159+'KELURAHAN (DI ISI)'!HJ160+'KELURAHAN (DI ISI)'!HJ161+'KELURAHAN (DI ISI)'!HJ162+'KELURAHAN (DI ISI)'!HJ163+'KELURAHAN (DI ISI)'!HJ164+'KELURAHAN (DI ISI)'!HJ165+'KELURAHAN (DI ISI)'!HJ166+'KELURAHAN (DI ISI)'!HJ167</f>
        <v>0</v>
      </c>
      <c r="IB38" s="491">
        <f>'KELURAHAN (DI ISI)'!HK154+'KELURAHAN (DI ISI)'!HK159+'KELURAHAN (DI ISI)'!HK160+'KELURAHAN (DI ISI)'!HK161+'KELURAHAN (DI ISI)'!HK162+'KELURAHAN (DI ISI)'!HK163+'KELURAHAN (DI ISI)'!HK164+'KELURAHAN (DI ISI)'!HK165+'KELURAHAN (DI ISI)'!HK166+'KELURAHAN (DI ISI)'!HK167</f>
        <v>0</v>
      </c>
      <c r="IC38" s="491">
        <f>'KELURAHAN (DI ISI)'!HL154+'KELURAHAN (DI ISI)'!HL159+'KELURAHAN (DI ISI)'!HL160+'KELURAHAN (DI ISI)'!HL161+'KELURAHAN (DI ISI)'!HL162+'KELURAHAN (DI ISI)'!HL163+'KELURAHAN (DI ISI)'!HL164+'KELURAHAN (DI ISI)'!HL165+'KELURAHAN (DI ISI)'!HL166+'KELURAHAN (DI ISI)'!HL167</f>
        <v>0</v>
      </c>
      <c r="ID38" s="491">
        <f>'KELURAHAN (DI ISI)'!HM154+'KELURAHAN (DI ISI)'!HM159+'KELURAHAN (DI ISI)'!HM160+'KELURAHAN (DI ISI)'!HM161+'KELURAHAN (DI ISI)'!HM162+'KELURAHAN (DI ISI)'!HM163+'KELURAHAN (DI ISI)'!HM164+'KELURAHAN (DI ISI)'!HM165+'KELURAHAN (DI ISI)'!HM166+'KELURAHAN (DI ISI)'!HM167</f>
        <v>0</v>
      </c>
      <c r="IE38" s="491">
        <f>'KELURAHAN (DI ISI)'!HN154+'KELURAHAN (DI ISI)'!HN159+'KELURAHAN (DI ISI)'!HN160+'KELURAHAN (DI ISI)'!HN161+'KELURAHAN (DI ISI)'!HN162+'KELURAHAN (DI ISI)'!HN163+'KELURAHAN (DI ISI)'!HN164+'KELURAHAN (DI ISI)'!HN165+'KELURAHAN (DI ISI)'!HN166+'KELURAHAN (DI ISI)'!HN167</f>
        <v>0</v>
      </c>
      <c r="IF38" s="573">
        <f>'KELURAHAN (DI ISI)'!HO154+'KELURAHAN (DI ISI)'!HO159+'KELURAHAN (DI ISI)'!HO160+'KELURAHAN (DI ISI)'!HO161+'KELURAHAN (DI ISI)'!HO162+'KELURAHAN (DI ISI)'!HO163+'KELURAHAN (DI ISI)'!HO164+'KELURAHAN (DI ISI)'!HO165+'KELURAHAN (DI ISI)'!HO166+'KELURAHAN (DI ISI)'!HO167</f>
        <v>0</v>
      </c>
      <c r="IG38" s="573">
        <f>'KELURAHAN (DI ISI)'!HP154+'KELURAHAN (DI ISI)'!HP159+'KELURAHAN (DI ISI)'!HP160+'KELURAHAN (DI ISI)'!HP161+'KELURAHAN (DI ISI)'!HP162+'KELURAHAN (DI ISI)'!HP163+'KELURAHAN (DI ISI)'!HP164+'KELURAHAN (DI ISI)'!HP165+'KELURAHAN (DI ISI)'!HP166+'KELURAHAN (DI ISI)'!HP167</f>
        <v>0</v>
      </c>
      <c r="IK38" s="198">
        <f t="shared" si="21"/>
        <v>38</v>
      </c>
      <c r="IL38" s="198">
        <f t="shared" si="22"/>
        <v>58</v>
      </c>
      <c r="IM38" s="198">
        <f t="shared" si="23"/>
        <v>36</v>
      </c>
      <c r="IN38" s="198">
        <f t="shared" si="24"/>
        <v>31</v>
      </c>
      <c r="IO38" s="198">
        <f t="shared" si="25"/>
        <v>70</v>
      </c>
      <c r="IP38" s="198">
        <f t="shared" si="26"/>
        <v>65</v>
      </c>
      <c r="IQ38" s="574">
        <f t="shared" si="27"/>
        <v>60</v>
      </c>
      <c r="IR38" s="574">
        <f t="shared" si="28"/>
        <v>56</v>
      </c>
      <c r="IS38" s="574">
        <f t="shared" si="29"/>
        <v>63</v>
      </c>
      <c r="IT38" s="574">
        <f t="shared" si="30"/>
        <v>58</v>
      </c>
      <c r="IU38" s="574">
        <f t="shared" si="31"/>
        <v>48</v>
      </c>
      <c r="IV38" s="575">
        <f t="shared" si="32"/>
        <v>47</v>
      </c>
      <c r="IW38" s="583"/>
      <c r="IX38" s="576">
        <f t="shared" si="33"/>
        <v>-47</v>
      </c>
      <c r="IY38" s="582"/>
      <c r="IZ38" s="577"/>
      <c r="JA38" s="162">
        <f t="shared" si="34"/>
        <v>-4347</v>
      </c>
      <c r="JB38" s="578"/>
      <c r="JC38" s="579">
        <f t="shared" si="35"/>
        <v>-1314</v>
      </c>
      <c r="JD38" s="597"/>
      <c r="JE38" s="585"/>
      <c r="JF38" s="577"/>
      <c r="JG38" s="234">
        <f t="shared" si="36"/>
        <v>-4129</v>
      </c>
      <c r="JH38" s="578"/>
      <c r="JI38" s="579">
        <f t="shared" si="37"/>
        <v>-1210</v>
      </c>
      <c r="JJ38" s="593"/>
    </row>
    <row r="39" ht="14.25" customHeight="1">
      <c r="A39" s="158">
        <v>32.0</v>
      </c>
      <c r="B39" s="157" t="s">
        <v>262</v>
      </c>
      <c r="C39" s="253">
        <v>3374110.0</v>
      </c>
      <c r="D39" s="569" t="s">
        <v>336</v>
      </c>
      <c r="E39" s="253"/>
      <c r="F39" s="259">
        <f>'KELURAHAN (DI ISI)'!F155+'KELURAHAN (DI ISI)'!F156+'KELURAHAN (DI ISI)'!F157+'KELURAHAN (DI ISI)'!F158</f>
        <v>22</v>
      </c>
      <c r="G39" s="491">
        <f>'KELURAHAN (DI ISI)'!G155+'KELURAHAN (DI ISI)'!G156+'KELURAHAN (DI ISI)'!G157+'KELURAHAN (DI ISI)'!G158</f>
        <v>44</v>
      </c>
      <c r="H39" s="259">
        <f>'KELURAHAN (DI ISI)'!H155+'KELURAHAN (DI ISI)'!H156+'KELURAHAN (DI ISI)'!H157+'KELURAHAN (DI ISI)'!H158</f>
        <v>44</v>
      </c>
      <c r="I39" s="491">
        <f t="shared" si="1"/>
        <v>7</v>
      </c>
      <c r="J39" s="491">
        <f t="shared" si="2"/>
        <v>37</v>
      </c>
      <c r="K39" s="491">
        <f>'KELURAHAN (DI ISI)'!I155+'KELURAHAN (DI ISI)'!I156+'KELURAHAN (DI ISI)'!I157+'KELURAHAN (DI ISI)'!I158</f>
        <v>0</v>
      </c>
      <c r="L39" s="491">
        <f>'KELURAHAN (DI ISI)'!J155+'KELURAHAN (DI ISI)'!J156+'KELURAHAN (DI ISI)'!J157+'KELURAHAN (DI ISI)'!J158</f>
        <v>0</v>
      </c>
      <c r="M39" s="491">
        <f>'KELURAHAN (DI ISI)'!K155+'KELURAHAN (DI ISI)'!K156+'KELURAHAN (DI ISI)'!K157+'KELURAHAN (DI ISI)'!K158</f>
        <v>7</v>
      </c>
      <c r="N39" s="491">
        <f>'KELURAHAN (DI ISI)'!L155+'KELURAHAN (DI ISI)'!L156+'KELURAHAN (DI ISI)'!L157+'KELURAHAN (DI ISI)'!L158</f>
        <v>37</v>
      </c>
      <c r="O39" s="491">
        <f>'KELURAHAN (DI ISI)'!M155+'KELURAHAN (DI ISI)'!M156+'KELURAHAN (DI ISI)'!M157+'KELURAHAN (DI ISI)'!M158</f>
        <v>44</v>
      </c>
      <c r="P39" s="491">
        <f>'KELURAHAN (DI ISI)'!N155+'KELURAHAN (DI ISI)'!N156+'KELURAHAN (DI ISI)'!N157+'KELURAHAN (DI ISI)'!N158</f>
        <v>0</v>
      </c>
      <c r="Q39" s="491">
        <f>'KELURAHAN (DI ISI)'!O155+'KELURAHAN (DI ISI)'!O156+'KELURAHAN (DI ISI)'!O157+'KELURAHAN (DI ISI)'!O158</f>
        <v>0</v>
      </c>
      <c r="R39" s="491">
        <f>'KELURAHAN (DI ISI)'!P155+'KELURAHAN (DI ISI)'!P156+'KELURAHAN (DI ISI)'!P157+'KELURAHAN (DI ISI)'!P158</f>
        <v>44</v>
      </c>
      <c r="S39" s="491">
        <f t="shared" si="3"/>
        <v>7</v>
      </c>
      <c r="T39" s="491">
        <f t="shared" si="4"/>
        <v>37</v>
      </c>
      <c r="U39" s="491">
        <f>'KELURAHAN (DI ISI)'!Q155+'KELURAHAN (DI ISI)'!Q156+'KELURAHAN (DI ISI)'!Q157+'KELURAHAN (DI ISI)'!Q158</f>
        <v>0</v>
      </c>
      <c r="V39" s="491">
        <f>'KELURAHAN (DI ISI)'!R155+'KELURAHAN (DI ISI)'!R156+'KELURAHAN (DI ISI)'!R157+'KELURAHAN (DI ISI)'!R158</f>
        <v>0</v>
      </c>
      <c r="W39" s="491">
        <f>'KELURAHAN (DI ISI)'!S155+'KELURAHAN (DI ISI)'!S156+'KELURAHAN (DI ISI)'!S157+'KELURAHAN (DI ISI)'!S158</f>
        <v>7</v>
      </c>
      <c r="X39" s="491">
        <f>'KELURAHAN (DI ISI)'!T155+'KELURAHAN (DI ISI)'!T156+'KELURAHAN (DI ISI)'!T157+'KELURAHAN (DI ISI)'!T158</f>
        <v>37</v>
      </c>
      <c r="Y39" s="491">
        <f>'KELURAHAN (DI ISI)'!U155+'KELURAHAN (DI ISI)'!U156+'KELURAHAN (DI ISI)'!U157+'KELURAHAN (DI ISI)'!U158</f>
        <v>0</v>
      </c>
      <c r="Z39" s="491">
        <f>'KELURAHAN (DI ISI)'!V155+'KELURAHAN (DI ISI)'!V156+'KELURAHAN (DI ISI)'!V157+'KELURAHAN (DI ISI)'!V158</f>
        <v>0</v>
      </c>
      <c r="AA39" s="491">
        <f>'KELURAHAN (DI ISI)'!W155+'KELURAHAN (DI ISI)'!W156+'KELURAHAN (DI ISI)'!W157+'KELURAHAN (DI ISI)'!W158</f>
        <v>44</v>
      </c>
      <c r="AB39" s="491">
        <f>'KELURAHAN (DI ISI)'!X155+'KELURAHAN (DI ISI)'!X156+'KELURAHAN (DI ISI)'!X157+'KELURAHAN (DI ISI)'!X158</f>
        <v>49</v>
      </c>
      <c r="AC39" s="491">
        <f t="shared" si="5"/>
        <v>7</v>
      </c>
      <c r="AD39" s="491">
        <f t="shared" si="6"/>
        <v>42</v>
      </c>
      <c r="AE39" s="491">
        <f>'KELURAHAN (DI ISI)'!Y155+'KELURAHAN (DI ISI)'!Y156+'KELURAHAN (DI ISI)'!Y157+'KELURAHAN (DI ISI)'!Y158</f>
        <v>0</v>
      </c>
      <c r="AF39" s="491">
        <f>'KELURAHAN (DI ISI)'!Z155+'KELURAHAN (DI ISI)'!Z156+'KELURAHAN (DI ISI)'!Z157+'KELURAHAN (DI ISI)'!Z158</f>
        <v>0</v>
      </c>
      <c r="AG39" s="491">
        <f>'KELURAHAN (DI ISI)'!AA155+'KELURAHAN (DI ISI)'!AA156+'KELURAHAN (DI ISI)'!AA157+'KELURAHAN (DI ISI)'!AA158</f>
        <v>7</v>
      </c>
      <c r="AH39" s="491">
        <f>'KELURAHAN (DI ISI)'!AB155+'KELURAHAN (DI ISI)'!AB156+'KELURAHAN (DI ISI)'!AB157+'KELURAHAN (DI ISI)'!AB158</f>
        <v>42</v>
      </c>
      <c r="AI39" s="491">
        <f>'KELURAHAN (DI ISI)'!AC155+'KELURAHAN (DI ISI)'!AC156+'KELURAHAN (DI ISI)'!AC157+'KELURAHAN (DI ISI)'!AC158</f>
        <v>7</v>
      </c>
      <c r="AJ39" s="491">
        <f>'KELURAHAN (DI ISI)'!AD155+'KELURAHAN (DI ISI)'!AD156+'KELURAHAN (DI ISI)'!AD157+'KELURAHAN (DI ISI)'!AD158</f>
        <v>2</v>
      </c>
      <c r="AK39" s="491">
        <f>'KELURAHAN (DI ISI)'!AE155+'KELURAHAN (DI ISI)'!AE156+'KELURAHAN (DI ISI)'!AE157+'KELURAHAN (DI ISI)'!AE158</f>
        <v>40</v>
      </c>
      <c r="AL39" s="491">
        <f>'KELURAHAN (DI ISI)'!AF155+'KELURAHAN (DI ISI)'!AF156+'KELURAHAN (DI ISI)'!AF157+'KELURAHAN (DI ISI)'!AF158</f>
        <v>42</v>
      </c>
      <c r="AM39" s="491">
        <f t="shared" si="7"/>
        <v>7</v>
      </c>
      <c r="AN39" s="491">
        <f t="shared" si="8"/>
        <v>35</v>
      </c>
      <c r="AO39" s="491">
        <f>'KELURAHAN (DI ISI)'!AG155+'KELURAHAN (DI ISI)'!AG156+'KELURAHAN (DI ISI)'!AG157+'KELURAHAN (DI ISI)'!AG158</f>
        <v>0</v>
      </c>
      <c r="AP39" s="491">
        <f>'KELURAHAN (DI ISI)'!AH155+'KELURAHAN (DI ISI)'!AH156+'KELURAHAN (DI ISI)'!AH157+'KELURAHAN (DI ISI)'!AH158</f>
        <v>0</v>
      </c>
      <c r="AQ39" s="491">
        <f>'KELURAHAN (DI ISI)'!AI155+'KELURAHAN (DI ISI)'!AI156+'KELURAHAN (DI ISI)'!AI157+'KELURAHAN (DI ISI)'!AI158</f>
        <v>7</v>
      </c>
      <c r="AR39" s="491">
        <f>'KELURAHAN (DI ISI)'!AJ155+'KELURAHAN (DI ISI)'!AJ156+'KELURAHAN (DI ISI)'!AJ157+'KELURAHAN (DI ISI)'!AJ158</f>
        <v>35</v>
      </c>
      <c r="AS39" s="491">
        <f>'KELURAHAN (DI ISI)'!AK155+'KELURAHAN (DI ISI)'!AK156+'KELURAHAN (DI ISI)'!AK157+'KELURAHAN (DI ISI)'!AK158</f>
        <v>2</v>
      </c>
      <c r="AT39" s="491">
        <f>'KELURAHAN (DI ISI)'!AL155+'KELURAHAN (DI ISI)'!AL156+'KELURAHAN (DI ISI)'!AL157+'KELURAHAN (DI ISI)'!AL158</f>
        <v>9</v>
      </c>
      <c r="AU39" s="491">
        <f>'KELURAHAN (DI ISI)'!AM155+'KELURAHAN (DI ISI)'!AM156+'KELURAHAN (DI ISI)'!AM157+'KELURAHAN (DI ISI)'!AM158</f>
        <v>31</v>
      </c>
      <c r="AV39" s="491">
        <f>'KELURAHAN (DI ISI)'!AN155+'KELURAHAN (DI ISI)'!AN156+'KELURAHAN (DI ISI)'!AN157+'KELURAHAN (DI ISI)'!AN158</f>
        <v>37</v>
      </c>
      <c r="AW39" s="491">
        <f t="shared" si="9"/>
        <v>7</v>
      </c>
      <c r="AX39" s="491">
        <f t="shared" si="10"/>
        <v>30</v>
      </c>
      <c r="AY39" s="491">
        <f>'KELURAHAN (DI ISI)'!AO155+'KELURAHAN (DI ISI)'!AO156+'KELURAHAN (DI ISI)'!AO157+'KELURAHAN (DI ISI)'!AO158</f>
        <v>0</v>
      </c>
      <c r="AZ39" s="491">
        <f>'KELURAHAN (DI ISI)'!AP155+'KELURAHAN (DI ISI)'!AP156+'KELURAHAN (DI ISI)'!AP157+'KELURAHAN (DI ISI)'!AP158</f>
        <v>0</v>
      </c>
      <c r="BA39" s="491">
        <f>'KELURAHAN (DI ISI)'!AQ155+'KELURAHAN (DI ISI)'!AQ156+'KELURAHAN (DI ISI)'!AQ157+'KELURAHAN (DI ISI)'!AQ158</f>
        <v>7</v>
      </c>
      <c r="BB39" s="491">
        <f>'KELURAHAN (DI ISI)'!AR155+'KELURAHAN (DI ISI)'!AR156+'KELURAHAN (DI ISI)'!AR157+'KELURAHAN (DI ISI)'!AR158</f>
        <v>30</v>
      </c>
      <c r="BC39" s="491">
        <f>'KELURAHAN (DI ISI)'!AS155+'KELURAHAN (DI ISI)'!AS156+'KELURAHAN (DI ISI)'!AS157+'KELURAHAN (DI ISI)'!AS158</f>
        <v>0</v>
      </c>
      <c r="BD39" s="491">
        <f>'KELURAHAN (DI ISI)'!AT155+'KELURAHAN (DI ISI)'!AT156+'KELURAHAN (DI ISI)'!AT157+'KELURAHAN (DI ISI)'!AT158</f>
        <v>6</v>
      </c>
      <c r="BE39" s="491">
        <f>'KELURAHAN (DI ISI)'!AU155+'KELURAHAN (DI ISI)'!AU156+'KELURAHAN (DI ISI)'!AU157+'KELURAHAN (DI ISI)'!AU158</f>
        <v>31</v>
      </c>
      <c r="BF39" s="491">
        <f>'KELURAHAN (DI ISI)'!AV155+'KELURAHAN (DI ISI)'!AV156+'KELURAHAN (DI ISI)'!AV157+'KELURAHAN (DI ISI)'!AV158</f>
        <v>996</v>
      </c>
      <c r="BG39" s="491">
        <f>'KELURAHAN (DI ISI)'!AW155+'KELURAHAN (DI ISI)'!AW156+'KELURAHAN (DI ISI)'!AW157+'KELURAHAN (DI ISI)'!AW158</f>
        <v>41</v>
      </c>
      <c r="BH39" s="491">
        <f t="shared" si="11"/>
        <v>0</v>
      </c>
      <c r="BI39" s="495">
        <f t="shared" si="12"/>
        <v>31</v>
      </c>
      <c r="BJ39" s="491">
        <f>'KELURAHAN (DI ISI)'!AX155+'KELURAHAN (DI ISI)'!AX156+'KELURAHAN (DI ISI)'!AX157+'KELURAHAN (DI ISI)'!AX158</f>
        <v>0</v>
      </c>
      <c r="BK39" s="491">
        <f>'KELURAHAN (DI ISI)'!AY155+'KELURAHAN (DI ISI)'!AY156+'KELURAHAN (DI ISI)'!AY157+'KELURAHAN (DI ISI)'!AY158</f>
        <v>0</v>
      </c>
      <c r="BL39" s="491">
        <f>'KELURAHAN (DI ISI)'!AZ155+'KELURAHAN (DI ISI)'!AZ156+'KELURAHAN (DI ISI)'!AZ157+'KELURAHAN (DI ISI)'!AZ158</f>
        <v>0</v>
      </c>
      <c r="BM39" s="491">
        <f>'KELURAHAN (DI ISI)'!BA155+'KELURAHAN (DI ISI)'!BA156+'KELURAHAN (DI ISI)'!BA157+'KELURAHAN (DI ISI)'!BA158</f>
        <v>31</v>
      </c>
      <c r="BN39" s="491">
        <f>'KELURAHAN (DI ISI)'!BB155+'KELURAHAN (DI ISI)'!BB156+'KELURAHAN (DI ISI)'!BB157+'KELURAHAN (DI ISI)'!BB158</f>
        <v>2</v>
      </c>
      <c r="BO39" s="491">
        <f>'KELURAHAN (DI ISI)'!BC155+'KELURAHAN (DI ISI)'!BC156+'KELURAHAN (DI ISI)'!BC157+'KELURAHAN (DI ISI)'!BC158</f>
        <v>1</v>
      </c>
      <c r="BP39" s="491">
        <f>'KELURAHAN (DI ISI)'!BD155+'KELURAHAN (DI ISI)'!BD156+'KELURAHAN (DI ISI)'!BD157+'KELURAHAN (DI ISI)'!BD158</f>
        <v>0</v>
      </c>
      <c r="BQ39" s="491">
        <f>'KELURAHAN (DI ISI)'!BE155+'KELURAHAN (DI ISI)'!BE156+'KELURAHAN (DI ISI)'!BE157+'KELURAHAN (DI ISI)'!BE158</f>
        <v>7</v>
      </c>
      <c r="BR39" s="491">
        <f>'KELURAHAN (DI ISI)'!BF155+'KELURAHAN (DI ISI)'!BF156+'KELURAHAN (DI ISI)'!BF157+'KELURAHAN (DI ISI)'!BF158</f>
        <v>0</v>
      </c>
      <c r="BS39" s="491">
        <f>'KELURAHAN (DI ISI)'!BG155+'KELURAHAN (DI ISI)'!BG156+'KELURAHAN (DI ISI)'!BG157+'KELURAHAN (DI ISI)'!BG158</f>
        <v>0</v>
      </c>
      <c r="BT39" s="491">
        <f>'KELURAHAN (DI ISI)'!BH155+'KELURAHAN (DI ISI)'!BH156+'KELURAHAN (DI ISI)'!BH157+'KELURAHAN (DI ISI)'!BH158</f>
        <v>0</v>
      </c>
      <c r="BU39" s="491">
        <f>'KELURAHAN (DI ISI)'!BI155+'KELURAHAN (DI ISI)'!BI156+'KELURAHAN (DI ISI)'!BI157+'KELURAHAN (DI ISI)'!BI158</f>
        <v>0</v>
      </c>
      <c r="BV39" s="491">
        <f>'KELURAHAN (DI ISI)'!BJ155+'KELURAHAN (DI ISI)'!BJ156+'KELURAHAN (DI ISI)'!BJ157+'KELURAHAN (DI ISI)'!BJ158</f>
        <v>0</v>
      </c>
      <c r="BW39" s="491">
        <f>'KELURAHAN (DI ISI)'!BK155+'KELURAHAN (DI ISI)'!BK156+'KELURAHAN (DI ISI)'!BK157+'KELURAHAN (DI ISI)'!BK158</f>
        <v>0</v>
      </c>
      <c r="BX39" s="491">
        <f>'KELURAHAN (DI ISI)'!BL155+'KELURAHAN (DI ISI)'!BL156+'KELURAHAN (DI ISI)'!BL157+'KELURAHAN (DI ISI)'!BL158</f>
        <v>0</v>
      </c>
      <c r="BY39" s="491">
        <f>'KELURAHAN (DI ISI)'!BM155+'KELURAHAN (DI ISI)'!BM156+'KELURAHAN (DI ISI)'!BM157+'KELURAHAN (DI ISI)'!BM158</f>
        <v>0</v>
      </c>
      <c r="BZ39" s="491">
        <f>'KELURAHAN (DI ISI)'!BN155+'KELURAHAN (DI ISI)'!BN156+'KELURAHAN (DI ISI)'!BN157+'KELURAHAN (DI ISI)'!BN158</f>
        <v>0</v>
      </c>
      <c r="CA39" s="491">
        <f>'KELURAHAN (DI ISI)'!BO155+'KELURAHAN (DI ISI)'!BO156+'KELURAHAN (DI ISI)'!BO157+'KELURAHAN (DI ISI)'!BO158</f>
        <v>0</v>
      </c>
      <c r="CB39" s="491">
        <f>'KELURAHAN (DI ISI)'!BP155+'KELURAHAN (DI ISI)'!BP156+'KELURAHAN (DI ISI)'!BP157+'KELURAHAN (DI ISI)'!BP158</f>
        <v>0</v>
      </c>
      <c r="CC39" s="491">
        <f>'KELURAHAN (DI ISI)'!BQ155+'KELURAHAN (DI ISI)'!BQ156+'KELURAHAN (DI ISI)'!BQ157+'KELURAHAN (DI ISI)'!BQ158</f>
        <v>1005</v>
      </c>
      <c r="CD39" s="491">
        <f>'KELURAHAN (DI ISI)'!BR155+'KELURAHAN (DI ISI)'!BR156+'KELURAHAN (DI ISI)'!BR157+'KELURAHAN (DI ISI)'!BR158</f>
        <v>41</v>
      </c>
      <c r="CE39" s="491">
        <f t="shared" si="13"/>
        <v>3</v>
      </c>
      <c r="CF39" s="491">
        <f t="shared" si="14"/>
        <v>37</v>
      </c>
      <c r="CG39" s="491">
        <f>'KELURAHAN (DI ISI)'!BS155+'KELURAHAN (DI ISI)'!BS156+'KELURAHAN (DI ISI)'!BS157+'KELURAHAN (DI ISI)'!BS158</f>
        <v>0</v>
      </c>
      <c r="CH39" s="491">
        <f>'KELURAHAN (DI ISI)'!BT155+'KELURAHAN (DI ISI)'!BT156+'KELURAHAN (DI ISI)'!BT157+'KELURAHAN (DI ISI)'!BT158</f>
        <v>3</v>
      </c>
      <c r="CI39" s="491">
        <f>'KELURAHAN (DI ISI)'!BU155+'KELURAHAN (DI ISI)'!BU156+'KELURAHAN (DI ISI)'!BU157+'KELURAHAN (DI ISI)'!BU158</f>
        <v>0</v>
      </c>
      <c r="CJ39" s="491">
        <f>'KELURAHAN (DI ISI)'!BV155+'KELURAHAN (DI ISI)'!BV156+'KELURAHAN (DI ISI)'!BV157+'KELURAHAN (DI ISI)'!BV158</f>
        <v>37</v>
      </c>
      <c r="CK39" s="491">
        <f>'KELURAHAN (DI ISI)'!BW155+'KELURAHAN (DI ISI)'!BW156+'KELURAHAN (DI ISI)'!BW157+'KELURAHAN (DI ISI)'!BW158</f>
        <v>0</v>
      </c>
      <c r="CL39" s="491">
        <f>'KELURAHAN (DI ISI)'!BX155+'KELURAHAN (DI ISI)'!BX156+'KELURAHAN (DI ISI)'!BX157+'KELURAHAN (DI ISI)'!BX158</f>
        <v>0</v>
      </c>
      <c r="CM39" s="491">
        <f>'KELURAHAN (DI ISI)'!BY155+'KELURAHAN (DI ISI)'!BY156+'KELURAHAN (DI ISI)'!BY157+'KELURAHAN (DI ISI)'!BY158</f>
        <v>0</v>
      </c>
      <c r="CN39" s="491">
        <f>'KELURAHAN (DI ISI)'!BZ155+'KELURAHAN (DI ISI)'!BZ156+'KELURAHAN (DI ISI)'!BZ157+'KELURAHAN (DI ISI)'!BZ158</f>
        <v>1</v>
      </c>
      <c r="CO39" s="491">
        <f>'KELURAHAN (DI ISI)'!CA155+'KELURAHAN (DI ISI)'!CA156+'KELURAHAN (DI ISI)'!CA157+'KELURAHAN (DI ISI)'!CA158</f>
        <v>0</v>
      </c>
      <c r="CP39" s="491">
        <f>'KELURAHAN (DI ISI)'!CB155+'KELURAHAN (DI ISI)'!CB156+'KELURAHAN (DI ISI)'!CB157+'KELURAHAN (DI ISI)'!CB158</f>
        <v>0</v>
      </c>
      <c r="CQ39" s="491">
        <f>'KELURAHAN (DI ISI)'!CC155+'KELURAHAN (DI ISI)'!CC156+'KELURAHAN (DI ISI)'!CC157+'KELURAHAN (DI ISI)'!CC158</f>
        <v>0</v>
      </c>
      <c r="CR39" s="491">
        <f>'KELURAHAN (DI ISI)'!CD155+'KELURAHAN (DI ISI)'!CD156+'KELURAHAN (DI ISI)'!CD157+'KELURAHAN (DI ISI)'!CD158</f>
        <v>0</v>
      </c>
      <c r="CS39" s="491">
        <f>'KELURAHAN (DI ISI)'!CE155+'KELURAHAN (DI ISI)'!CE156+'KELURAHAN (DI ISI)'!CE157+'KELURAHAN (DI ISI)'!CE158</f>
        <v>0</v>
      </c>
      <c r="CT39" s="491">
        <f>'KELURAHAN (DI ISI)'!CF155+'KELURAHAN (DI ISI)'!CF156+'KELURAHAN (DI ISI)'!CF157+'KELURAHAN (DI ISI)'!CF158</f>
        <v>0</v>
      </c>
      <c r="CU39" s="491">
        <f>'KELURAHAN (DI ISI)'!CG155+'KELURAHAN (DI ISI)'!CG156+'KELURAHAN (DI ISI)'!CG157+'KELURAHAN (DI ISI)'!CG158</f>
        <v>0</v>
      </c>
      <c r="CV39" s="491">
        <f>'KELURAHAN (DI ISI)'!CH155+'KELURAHAN (DI ISI)'!CH156+'KELURAHAN (DI ISI)'!CH157+'KELURAHAN (DI ISI)'!CH158</f>
        <v>0</v>
      </c>
      <c r="CW39" s="491">
        <f>'KELURAHAN (DI ISI)'!CI155+'KELURAHAN (DI ISI)'!CI156+'KELURAHAN (DI ISI)'!CI157+'KELURAHAN (DI ISI)'!CI158</f>
        <v>1</v>
      </c>
      <c r="CX39" s="491">
        <f>'KELURAHAN (DI ISI)'!CJ155+'KELURAHAN (DI ISI)'!CJ156+'KELURAHAN (DI ISI)'!CJ157+'KELURAHAN (DI ISI)'!CJ158</f>
        <v>0</v>
      </c>
      <c r="CY39" s="491">
        <f>'KELURAHAN (DI ISI)'!CK155+'KELURAHAN (DI ISI)'!CK156+'KELURAHAN (DI ISI)'!CK157+'KELURAHAN (DI ISI)'!CK158</f>
        <v>1</v>
      </c>
      <c r="CZ39" s="491">
        <f>'KELURAHAN (DI ISI)'!CL155+'KELURAHAN (DI ISI)'!CL156+'KELURAHAN (DI ISI)'!CL157+'KELURAHAN (DI ISI)'!CL158</f>
        <v>988</v>
      </c>
      <c r="DA39" s="491">
        <f>'KELURAHAN (DI ISI)'!CM155+'KELURAHAN (DI ISI)'!CM156+'KELURAHAN (DI ISI)'!CM157+'KELURAHAN (DI ISI)'!CM158</f>
        <v>359</v>
      </c>
      <c r="DB39" s="491">
        <f>'KELURAHAN (DI ISI)'!CN155+'KELURAHAN (DI ISI)'!CN156+'KELURAHAN (DI ISI)'!CN157+'KELURAHAN (DI ISI)'!CN158</f>
        <v>40</v>
      </c>
      <c r="DC39" s="491">
        <f t="shared" si="15"/>
        <v>2</v>
      </c>
      <c r="DD39" s="491">
        <f t="shared" si="16"/>
        <v>37</v>
      </c>
      <c r="DE39" s="491">
        <f>'KELURAHAN (DI ISI)'!CO155+'KELURAHAN (DI ISI)'!CO156+'KELURAHAN (DI ISI)'!CO157+'KELURAHAN (DI ISI)'!CO158</f>
        <v>0</v>
      </c>
      <c r="DF39" s="491">
        <f>'KELURAHAN (DI ISI)'!CP155+'KELURAHAN (DI ISI)'!CP156+'KELURAHAN (DI ISI)'!CP157+'KELURAHAN (DI ISI)'!CP158</f>
        <v>2</v>
      </c>
      <c r="DG39" s="491">
        <f>'KELURAHAN (DI ISI)'!CQ155+'KELURAHAN (DI ISI)'!CQ156+'KELURAHAN (DI ISI)'!CQ157+'KELURAHAN (DI ISI)'!CQ158</f>
        <v>0</v>
      </c>
      <c r="DH39" s="491">
        <f>'KELURAHAN (DI ISI)'!CR155+'KELURAHAN (DI ISI)'!CR156+'KELURAHAN (DI ISI)'!CR157+'KELURAHAN (DI ISI)'!CR158</f>
        <v>37</v>
      </c>
      <c r="DI39" s="491">
        <f>'KELURAHAN (DI ISI)'!CS155+'KELURAHAN (DI ISI)'!CS156+'KELURAHAN (DI ISI)'!CS157+'KELURAHAN (DI ISI)'!CS158</f>
        <v>0</v>
      </c>
      <c r="DJ39" s="491">
        <f>'KELURAHAN (DI ISI)'!CT155+'KELURAHAN (DI ISI)'!CT156+'KELURAHAN (DI ISI)'!CT157+'KELURAHAN (DI ISI)'!CT158</f>
        <v>0</v>
      </c>
      <c r="DK39" s="491">
        <f>'KELURAHAN (DI ISI)'!CU155+'KELURAHAN (DI ISI)'!CU156+'KELURAHAN (DI ISI)'!CU157+'KELURAHAN (DI ISI)'!CU158</f>
        <v>1</v>
      </c>
      <c r="DL39" s="491">
        <f>'KELURAHAN (DI ISI)'!CV155+'KELURAHAN (DI ISI)'!CV156+'KELURAHAN (DI ISI)'!CV157+'KELURAHAN (DI ISI)'!CV158</f>
        <v>0</v>
      </c>
      <c r="DM39" s="491">
        <f>'KELURAHAN (DI ISI)'!CW155+'KELURAHAN (DI ISI)'!CW156+'KELURAHAN (DI ISI)'!CW157+'KELURAHAN (DI ISI)'!CW158</f>
        <v>0</v>
      </c>
      <c r="DN39" s="491">
        <f>'KELURAHAN (DI ISI)'!CX155+'KELURAHAN (DI ISI)'!CX156+'KELURAHAN (DI ISI)'!CX157+'KELURAHAN (DI ISI)'!CX158</f>
        <v>1</v>
      </c>
      <c r="DO39" s="491">
        <f>'KELURAHAN (DI ISI)'!CY155+'KELURAHAN (DI ISI)'!CY156+'KELURAHAN (DI ISI)'!CY157+'KELURAHAN (DI ISI)'!CY158</f>
        <v>0</v>
      </c>
      <c r="DP39" s="491">
        <f>'KELURAHAN (DI ISI)'!CZ155+'KELURAHAN (DI ISI)'!CZ156+'KELURAHAN (DI ISI)'!CZ157+'KELURAHAN (DI ISI)'!CZ158</f>
        <v>1</v>
      </c>
      <c r="DQ39" s="491">
        <f>'KELURAHAN (DI ISI)'!DA155+'KELURAHAN (DI ISI)'!DA156+'KELURAHAN (DI ISI)'!DA157+'KELURAHAN (DI ISI)'!DA158</f>
        <v>0</v>
      </c>
      <c r="DR39" s="491">
        <f>'KELURAHAN (DI ISI)'!DB155+'KELURAHAN (DI ISI)'!DB156+'KELURAHAN (DI ISI)'!DB157+'KELURAHAN (DI ISI)'!DB158</f>
        <v>0</v>
      </c>
      <c r="DS39" s="491">
        <f>'KELURAHAN (DI ISI)'!DC155+'KELURAHAN (DI ISI)'!DC156+'KELURAHAN (DI ISI)'!DC157+'KELURAHAN (DI ISI)'!DC158</f>
        <v>0</v>
      </c>
      <c r="DT39" s="491">
        <f>'KELURAHAN (DI ISI)'!DD155+'KELURAHAN (DI ISI)'!DD156+'KELURAHAN (DI ISI)'!DD157+'KELURAHAN (DI ISI)'!DD158</f>
        <v>0</v>
      </c>
      <c r="DU39" s="491">
        <f>'KELURAHAN (DI ISI)'!DE155+'KELURAHAN (DI ISI)'!DE156+'KELURAHAN (DI ISI)'!DE157+'KELURAHAN (DI ISI)'!DE158</f>
        <v>0</v>
      </c>
      <c r="DV39" s="491">
        <f>'KELURAHAN (DI ISI)'!DF155+'KELURAHAN (DI ISI)'!DF156+'KELURAHAN (DI ISI)'!DF157+'KELURAHAN (DI ISI)'!DF158</f>
        <v>0</v>
      </c>
      <c r="DW39" s="491">
        <f>'KELURAHAN (DI ISI)'!DG155+'KELURAHAN (DI ISI)'!DG156+'KELURAHAN (DI ISI)'!DG157+'KELURAHAN (DI ISI)'!DG158</f>
        <v>2</v>
      </c>
      <c r="DX39" s="491">
        <f>'KELURAHAN (DI ISI)'!DH155+'KELURAHAN (DI ISI)'!DH156+'KELURAHAN (DI ISI)'!DH157+'KELURAHAN (DI ISI)'!DH158</f>
        <v>981</v>
      </c>
      <c r="DY39" s="491">
        <f>'KELURAHAN (DI ISI)'!DI155+'KELURAHAN (DI ISI)'!DI156+'KELURAHAN (DI ISI)'!DI157+'KELURAHAN (DI ISI)'!DI158</f>
        <v>380</v>
      </c>
      <c r="DZ39" s="491">
        <f>'KELURAHAN (DI ISI)'!DJ155+'KELURAHAN (DI ISI)'!DJ156+'KELURAHAN (DI ISI)'!DJ157+'KELURAHAN (DI ISI)'!DJ158</f>
        <v>934</v>
      </c>
      <c r="EA39" s="491">
        <f>'KELURAHAN (DI ISI)'!DK155+'KELURAHAN (DI ISI)'!DK156+'KELURAHAN (DI ISI)'!DK157+'KELURAHAN (DI ISI)'!DK158</f>
        <v>363</v>
      </c>
      <c r="EB39" s="491">
        <f>'KELURAHAN (DI ISI)'!DL155+'KELURAHAN (DI ISI)'!DL156+'KELURAHAN (DI ISI)'!DL157+'KELURAHAN (DI ISI)'!DL158</f>
        <v>36</v>
      </c>
      <c r="EC39" s="491">
        <f>'KELURAHAN (DI ISI)'!DM155+'KELURAHAN (DI ISI)'!DM156+'KELURAHAN (DI ISI)'!DM157+'KELURAHAN (DI ISI)'!DM158</f>
        <v>4</v>
      </c>
      <c r="ED39" s="491">
        <f t="shared" si="17"/>
        <v>32</v>
      </c>
      <c r="EE39" s="491">
        <f>'KELURAHAN (DI ISI)'!DO155+'KELURAHAN (DI ISI)'!DO156+'KELURAHAN (DI ISI)'!DO157+'KELURAHAN (DI ISI)'!DO158</f>
        <v>0</v>
      </c>
      <c r="EF39" s="491">
        <f>'KELURAHAN (DI ISI)'!DP155+'KELURAHAN (DI ISI)'!DP156+'KELURAHAN (DI ISI)'!DP157+'KELURAHAN (DI ISI)'!DP158</f>
        <v>0</v>
      </c>
      <c r="EG39" s="491">
        <f>'KELURAHAN (DI ISI)'!DQ155+'KELURAHAN (DI ISI)'!DQ156+'KELURAHAN (DI ISI)'!DQ157+'KELURAHAN (DI ISI)'!DQ158</f>
        <v>2</v>
      </c>
      <c r="EH39" s="491">
        <f>'KELURAHAN (DI ISI)'!DR155+'KELURAHAN (DI ISI)'!DR156+'KELURAHAN (DI ISI)'!DR157+'KELURAHAN (DI ISI)'!DR158</f>
        <v>32</v>
      </c>
      <c r="EI39" s="491">
        <f>'KELURAHAN (DI ISI)'!DS155+'KELURAHAN (DI ISI)'!DS156+'KELURAHAN (DI ISI)'!DS157+'KELURAHAN (DI ISI)'!DS158</f>
        <v>0</v>
      </c>
      <c r="EJ39" s="491">
        <f>'KELURAHAN (DI ISI)'!DT155+'KELURAHAN (DI ISI)'!DT156+'KELURAHAN (DI ISI)'!DT157+'KELURAHAN (DI ISI)'!DT158</f>
        <v>0</v>
      </c>
      <c r="EK39" s="491">
        <f>'KELURAHAN (DI ISI)'!DU155+'KELURAHAN (DI ISI)'!DU156+'KELURAHAN (DI ISI)'!DU157+'KELURAHAN (DI ISI)'!DU158</f>
        <v>2</v>
      </c>
      <c r="EL39" s="491">
        <f>'KELURAHAN (DI ISI)'!DV155+'KELURAHAN (DI ISI)'!DV156+'KELURAHAN (DI ISI)'!DV157+'KELURAHAN (DI ISI)'!DV158</f>
        <v>0</v>
      </c>
      <c r="EM39" s="491">
        <f>'KELURAHAN (DI ISI)'!DW155+'KELURAHAN (DI ISI)'!DW156+'KELURAHAN (DI ISI)'!DW157+'KELURAHAN (DI ISI)'!DW158</f>
        <v>0</v>
      </c>
      <c r="EN39" s="491">
        <f>'KELURAHAN (DI ISI)'!DX155+'KELURAHAN (DI ISI)'!DX156+'KELURAHAN (DI ISI)'!DX157+'KELURAHAN (DI ISI)'!DX158</f>
        <v>1</v>
      </c>
      <c r="EO39" s="491">
        <f>'KELURAHAN (DI ISI)'!DY155+'KELURAHAN (DI ISI)'!DY156+'KELURAHAN (DI ISI)'!DY157+'KELURAHAN (DI ISI)'!DY158</f>
        <v>0</v>
      </c>
      <c r="EP39" s="491">
        <f>'KELURAHAN (DI ISI)'!DZ155+'KELURAHAN (DI ISI)'!DZ156+'KELURAHAN (DI ISI)'!DZ157+'KELURAHAN (DI ISI)'!DZ158</f>
        <v>3</v>
      </c>
      <c r="EQ39" s="491">
        <f>'KELURAHAN (DI ISI)'!EA155+'KELURAHAN (DI ISI)'!EA156+'KELURAHAN (DI ISI)'!EA157+'KELURAHAN (DI ISI)'!EA158</f>
        <v>0</v>
      </c>
      <c r="ER39" s="491">
        <f>'KELURAHAN (DI ISI)'!EB155+'KELURAHAN (DI ISI)'!EB156+'KELURAHAN (DI ISI)'!EB157+'KELURAHAN (DI ISI)'!EB158</f>
        <v>0</v>
      </c>
      <c r="ES39" s="491">
        <f>'KELURAHAN (DI ISI)'!EC155+'KELURAHAN (DI ISI)'!EC156+'KELURAHAN (DI ISI)'!EC157+'KELURAHAN (DI ISI)'!EC158</f>
        <v>0</v>
      </c>
      <c r="ET39" s="491">
        <f>'KELURAHAN (DI ISI)'!ED155+'KELURAHAN (DI ISI)'!ED156+'KELURAHAN (DI ISI)'!ED157+'KELURAHAN (DI ISI)'!ED158</f>
        <v>0</v>
      </c>
      <c r="EU39" s="491">
        <f>'KELURAHAN (DI ISI)'!EE155+'KELURAHAN (DI ISI)'!EE156+'KELURAHAN (DI ISI)'!EE157+'KELURAHAN (DI ISI)'!EE158</f>
        <v>2</v>
      </c>
      <c r="EV39" s="491">
        <f>'KELURAHAN (DI ISI)'!EF155+'KELURAHAN (DI ISI)'!EF156+'KELURAHAN (DI ISI)'!EF157+'KELURAHAN (DI ISI)'!EF158</f>
        <v>0</v>
      </c>
      <c r="EW39" s="491">
        <f>'KELURAHAN (DI ISI)'!EG155+'KELURAHAN (DI ISI)'!EG156+'KELURAHAN (DI ISI)'!EG157+'KELURAHAN (DI ISI)'!EG158</f>
        <v>6</v>
      </c>
      <c r="EX39" s="491">
        <f>'KELURAHAN (DI ISI)'!EH155+'KELURAHAN (DI ISI)'!EH156+'KELURAHAN (DI ISI)'!EH157+'KELURAHAN (DI ISI)'!EH158</f>
        <v>3</v>
      </c>
      <c r="EY39" s="491">
        <f>'KELURAHAN (DI ISI)'!EI155+'KELURAHAN (DI ISI)'!EI156+'KELURAHAN (DI ISI)'!EI157+'KELURAHAN (DI ISI)'!EI158</f>
        <v>973</v>
      </c>
      <c r="EZ39" s="491">
        <f>'KELURAHAN (DI ISI)'!EJ155+'KELURAHAN (DI ISI)'!EJ156+'KELURAHAN (DI ISI)'!EJ157+'KELURAHAN (DI ISI)'!EJ158</f>
        <v>371</v>
      </c>
      <c r="FA39" s="491">
        <f>'KELURAHAN (DI ISI)'!EK155+'KELURAHAN (DI ISI)'!EK156+'KELURAHAN (DI ISI)'!EK157+'KELURAHAN (DI ISI)'!EK158</f>
        <v>890</v>
      </c>
      <c r="FB39" s="491">
        <f>'KELURAHAN (DI ISI)'!EL155+'KELURAHAN (DI ISI)'!EL156+'KELURAHAN (DI ISI)'!EL157+'KELURAHAN (DI ISI)'!EL158</f>
        <v>348</v>
      </c>
      <c r="FC39" s="491">
        <f>'KELURAHAN (DI ISI)'!EM155+'KELURAHAN (DI ISI)'!EM156+'KELURAHAN (DI ISI)'!EM157+'KELURAHAN (DI ISI)'!EM158</f>
        <v>35</v>
      </c>
      <c r="FD39" s="491">
        <f>'KELURAHAN (DI ISI)'!EN155+'KELURAHAN (DI ISI)'!EN156+'KELURAHAN (DI ISI)'!EN157+'KELURAHAN (DI ISI)'!EN158</f>
        <v>4</v>
      </c>
      <c r="FE39" s="491">
        <f t="shared" si="18"/>
        <v>31</v>
      </c>
      <c r="FF39" s="491">
        <f>'KELURAHAN (DI ISI)'!EP155+'KELURAHAN (DI ISI)'!EP156+'KELURAHAN (DI ISI)'!EP157+'KELURAHAN (DI ISI)'!EP158</f>
        <v>0</v>
      </c>
      <c r="FG39" s="491">
        <f>'KELURAHAN (DI ISI)'!EQ155+'KELURAHAN (DI ISI)'!EQ156+'KELURAHAN (DI ISI)'!EQ157+'KELURAHAN (DI ISI)'!EQ158</f>
        <v>0</v>
      </c>
      <c r="FH39" s="491">
        <f>'KELURAHAN (DI ISI)'!ER155+'KELURAHAN (DI ISI)'!ER156+'KELURAHAN (DI ISI)'!ER157+'KELURAHAN (DI ISI)'!ER158</f>
        <v>4</v>
      </c>
      <c r="FI39" s="491">
        <f>'KELURAHAN (DI ISI)'!ES155+'KELURAHAN (DI ISI)'!ES156+'KELURAHAN (DI ISI)'!ES157+'KELURAHAN (DI ISI)'!ES158</f>
        <v>28</v>
      </c>
      <c r="FJ39" s="491">
        <f>'KELURAHAN (DI ISI)'!ET155+'KELURAHAN (DI ISI)'!ET156+'KELURAHAN (DI ISI)'!ET157+'KELURAHAN (DI ISI)'!ET158</f>
        <v>0</v>
      </c>
      <c r="FK39" s="491">
        <f>'KELURAHAN (DI ISI)'!EU155+'KELURAHAN (DI ISI)'!EU156+'KELURAHAN (DI ISI)'!EU157+'KELURAHAN (DI ISI)'!EU158</f>
        <v>0</v>
      </c>
      <c r="FL39" s="491">
        <f>'KELURAHAN (DI ISI)'!EV155+'KELURAHAN (DI ISI)'!EV156+'KELURAHAN (DI ISI)'!EV157+'KELURAHAN (DI ISI)'!EV158</f>
        <v>0</v>
      </c>
      <c r="FM39" s="491">
        <f>'KELURAHAN (DI ISI)'!EW155+'KELURAHAN (DI ISI)'!EW156+'KELURAHAN (DI ISI)'!EW157+'KELURAHAN (DI ISI)'!EW158</f>
        <v>3</v>
      </c>
      <c r="FN39" s="491">
        <f>'KELURAHAN (DI ISI)'!EX155+'KELURAHAN (DI ISI)'!EX156+'KELURAHAN (DI ISI)'!EX157+'KELURAHAN (DI ISI)'!EX158</f>
        <v>0</v>
      </c>
      <c r="FO39" s="491">
        <f>'KELURAHAN (DI ISI)'!EY155+'KELURAHAN (DI ISI)'!EY156+'KELURAHAN (DI ISI)'!EY157+'KELURAHAN (DI ISI)'!EY158</f>
        <v>0</v>
      </c>
      <c r="FP39" s="491">
        <f>'KELURAHAN (DI ISI)'!EZ155+'KELURAHAN (DI ISI)'!EZ156+'KELURAHAN (DI ISI)'!EZ157+'KELURAHAN (DI ISI)'!EZ158</f>
        <v>0</v>
      </c>
      <c r="FQ39" s="491">
        <f>'KELURAHAN (DI ISI)'!FA155+'KELURAHAN (DI ISI)'!FA156+'KELURAHAN (DI ISI)'!FA157+'KELURAHAN (DI ISI)'!FA158</f>
        <v>2</v>
      </c>
      <c r="FR39" s="491">
        <f>'KELURAHAN (DI ISI)'!FB155+'KELURAHAN (DI ISI)'!FB156+'KELURAHAN (DI ISI)'!FB157+'KELURAHAN (DI ISI)'!FB158</f>
        <v>0</v>
      </c>
      <c r="FS39" s="491">
        <f>'KELURAHAN (DI ISI)'!FC155+'KELURAHAN (DI ISI)'!FC156+'KELURAHAN (DI ISI)'!FC157+'KELURAHAN (DI ISI)'!FC158</f>
        <v>0</v>
      </c>
      <c r="FT39" s="491">
        <f>'KELURAHAN (DI ISI)'!FD155+'KELURAHAN (DI ISI)'!FD156+'KELURAHAN (DI ISI)'!FD157+'KELURAHAN (DI ISI)'!FD158</f>
        <v>0</v>
      </c>
      <c r="FU39" s="491">
        <f>'KELURAHAN (DI ISI)'!FE155+'KELURAHAN (DI ISI)'!FE156+'KELURAHAN (DI ISI)'!FE157+'KELURAHAN (DI ISI)'!FE158</f>
        <v>0</v>
      </c>
      <c r="FV39" s="491">
        <f>'KELURAHAN (DI ISI)'!FF155+'KELURAHAN (DI ISI)'!FF156+'KELURAHAN (DI ISI)'!FF157+'KELURAHAN (DI ISI)'!FF158</f>
        <v>2</v>
      </c>
      <c r="FW39" s="491">
        <f>'KELURAHAN (DI ISI)'!FG155+'KELURAHAN (DI ISI)'!FG156+'KELURAHAN (DI ISI)'!FG157+'KELURAHAN (DI ISI)'!FG158</f>
        <v>0</v>
      </c>
      <c r="FX39" s="491">
        <f>'KELURAHAN (DI ISI)'!FH155+'KELURAHAN (DI ISI)'!FH156+'KELURAHAN (DI ISI)'!FH157+'KELURAHAN (DI ISI)'!FH158</f>
        <v>4</v>
      </c>
      <c r="FY39" s="491">
        <f>'KELURAHAN (DI ISI)'!FI155+'KELURAHAN (DI ISI)'!FI156+'KELURAHAN (DI ISI)'!FI157+'KELURAHAN (DI ISI)'!FI158</f>
        <v>0</v>
      </c>
      <c r="FZ39" s="491">
        <f>'KELURAHAN (DI ISI)'!FJ155+'KELURAHAN (DI ISI)'!FJ156+'KELURAHAN (DI ISI)'!FJ157+'KELURAHAN (DI ISI)'!FJ158</f>
        <v>955</v>
      </c>
      <c r="GA39" s="491">
        <f>'KELURAHAN (DI ISI)'!FK155+'KELURAHAN (DI ISI)'!FK156+'KELURAHAN (DI ISI)'!FK157+'KELURAHAN (DI ISI)'!FK158</f>
        <v>361</v>
      </c>
      <c r="GB39" s="491">
        <f>'KELURAHAN (DI ISI)'!FL155+'KELURAHAN (DI ISI)'!FL156+'KELURAHAN (DI ISI)'!FL157+'KELURAHAN (DI ISI)'!FL158</f>
        <v>870</v>
      </c>
      <c r="GC39" s="491">
        <f>'KELURAHAN (DI ISI)'!FM155+'KELURAHAN (DI ISI)'!FM156+'KELURAHAN (DI ISI)'!FM157+'KELURAHAN (DI ISI)'!FM158</f>
        <v>330</v>
      </c>
      <c r="GD39" s="570">
        <v>870.0</v>
      </c>
      <c r="GE39" s="571">
        <f>'KELURAHAN (DI ISI)'!FO155+'KELURAHAN (DI ISI)'!FO156+'KELURAHAN (DI ISI)'!FO157+'KELURAHAN (DI ISI)'!FO158</f>
        <v>34</v>
      </c>
      <c r="GF39" s="571">
        <f>'KELURAHAN (DI ISI)'!FP155+'KELURAHAN (DI ISI)'!FP156+'KELURAHAN (DI ISI)'!FP157+'KELURAHAN (DI ISI)'!FP158</f>
        <v>34</v>
      </c>
      <c r="GG39" s="571">
        <f>'KELURAHAN (DI ISI)'!FP155+'KELURAHAN (DI ISI)'!FP156+'KELURAHAN (DI ISI)'!FP157+'KELURAHAN (DI ISI)'!FP158</f>
        <v>34</v>
      </c>
      <c r="GH39" s="571">
        <f>'KELURAHAN (DI ISI)'!FQ155+'KELURAHAN (DI ISI)'!FQ156+'KELURAHAN (DI ISI)'!FQ157+'KELURAHAN (DI ISI)'!FQ158</f>
        <v>5</v>
      </c>
      <c r="GI39" s="571">
        <f t="shared" si="19"/>
        <v>29</v>
      </c>
      <c r="GJ39" s="491">
        <f>'KELURAHAN (DI ISI)'!FS155+'KELURAHAN (DI ISI)'!FS156+'KELURAHAN (DI ISI)'!FS157+'KELURAHAN (DI ISI)'!FS158</f>
        <v>0</v>
      </c>
      <c r="GK39" s="491">
        <f>'KELURAHAN (DI ISI)'!FT155+'KELURAHAN (DI ISI)'!FT156+'KELURAHAN (DI ISI)'!FT157+'KELURAHAN (DI ISI)'!FT158</f>
        <v>0</v>
      </c>
      <c r="GL39" s="491">
        <f>'KELURAHAN (DI ISI)'!FU155+'KELURAHAN (DI ISI)'!FU156+'KELURAHAN (DI ISI)'!FU157+'KELURAHAN (DI ISI)'!FU158</f>
        <v>4</v>
      </c>
      <c r="GM39" s="491">
        <f>'KELURAHAN (DI ISI)'!FV155+'KELURAHAN (DI ISI)'!FV156+'KELURAHAN (DI ISI)'!FV157+'KELURAHAN (DI ISI)'!FV158</f>
        <v>28</v>
      </c>
      <c r="GN39" s="491">
        <f>'KELURAHAN (DI ISI)'!FW155+'KELURAHAN (DI ISI)'!FW156+'KELURAHAN (DI ISI)'!FW157+'KELURAHAN (DI ISI)'!FW158</f>
        <v>0</v>
      </c>
      <c r="GO39" s="491">
        <f>'KELURAHAN (DI ISI)'!FX155+'KELURAHAN (DI ISI)'!FX156+'KELURAHAN (DI ISI)'!FX157+'KELURAHAN (DI ISI)'!FX158</f>
        <v>0</v>
      </c>
      <c r="GP39" s="491">
        <f>'KELURAHAN (DI ISI)'!FY155+'KELURAHAN (DI ISI)'!FY156+'KELURAHAN (DI ISI)'!FY157+'KELURAHAN (DI ISI)'!FY158</f>
        <v>1</v>
      </c>
      <c r="GQ39" s="491">
        <f>'KELURAHAN (DI ISI)'!FZ155+'KELURAHAN (DI ISI)'!FZ156+'KELURAHAN (DI ISI)'!FZ157+'KELURAHAN (DI ISI)'!FZ158</f>
        <v>1</v>
      </c>
      <c r="GR39" s="491">
        <f>'KELURAHAN (DI ISI)'!GA155+'KELURAHAN (DI ISI)'!GA156+'KELURAHAN (DI ISI)'!GA157+'KELURAHAN (DI ISI)'!GA158</f>
        <v>0</v>
      </c>
      <c r="GS39" s="491">
        <f>'KELURAHAN (DI ISI)'!GB155+'KELURAHAN (DI ISI)'!GB156+'KELURAHAN (DI ISI)'!GB157+'KELURAHAN (DI ISI)'!GB158</f>
        <v>0</v>
      </c>
      <c r="GT39" s="491">
        <f>'KELURAHAN (DI ISI)'!GC155+'KELURAHAN (DI ISI)'!GC156+'KELURAHAN (DI ISI)'!GC157+'KELURAHAN (DI ISI)'!GC158</f>
        <v>0</v>
      </c>
      <c r="GU39" s="491">
        <f>'KELURAHAN (DI ISI)'!GD155+'KELURAHAN (DI ISI)'!GD156+'KELURAHAN (DI ISI)'!GD157+'KELURAHAN (DI ISI)'!GD158</f>
        <v>2</v>
      </c>
      <c r="GV39" s="491">
        <f>'KELURAHAN (DI ISI)'!GE155+'KELURAHAN (DI ISI)'!GE156+'KELURAHAN (DI ISI)'!GE157+'KELURAHAN (DI ISI)'!GE158</f>
        <v>0</v>
      </c>
      <c r="GW39" s="491">
        <f>'KELURAHAN (DI ISI)'!GF155+'KELURAHAN (DI ISI)'!GF156+'KELURAHAN (DI ISI)'!GF157+'KELURAHAN (DI ISI)'!GF158</f>
        <v>0</v>
      </c>
      <c r="GX39" s="491">
        <f>'KELURAHAN (DI ISI)'!GG155+'KELURAHAN (DI ISI)'!GG156+'KELURAHAN (DI ISI)'!GG157+'KELURAHAN (DI ISI)'!GG158</f>
        <v>0</v>
      </c>
      <c r="GY39" s="491">
        <f>'KELURAHAN (DI ISI)'!GH155+'KELURAHAN (DI ISI)'!GH156+'KELURAHAN (DI ISI)'!GH157+'KELURAHAN (DI ISI)'!GH158</f>
        <v>0</v>
      </c>
      <c r="GZ39" s="491">
        <f>'KELURAHAN (DI ISI)'!GI155+'KELURAHAN (DI ISI)'!GI156+'KELURAHAN (DI ISI)'!GI157+'KELURAHAN (DI ISI)'!GI158</f>
        <v>1</v>
      </c>
      <c r="HA39" s="491">
        <f>'KELURAHAN (DI ISI)'!GJ155+'KELURAHAN (DI ISI)'!GJ156+'KELURAHAN (DI ISI)'!GJ157+'KELURAHAN (DI ISI)'!GJ158</f>
        <v>0</v>
      </c>
      <c r="HB39" s="572">
        <f>'KELURAHAN (DI ISI)'!GK155+'KELURAHAN (DI ISI)'!GK156+'KELURAHAN (DI ISI)'!GK157+'KELURAHAN (DI ISI)'!GK158</f>
        <v>3</v>
      </c>
      <c r="HC39" s="572">
        <f>'KELURAHAN (DI ISI)'!GL155+'KELURAHAN (DI ISI)'!GL156+'KELURAHAN (DI ISI)'!GL157+'KELURAHAN (DI ISI)'!GL158</f>
        <v>0</v>
      </c>
      <c r="HD39" s="491">
        <f>'KELURAHAN (DI ISI)'!GM155+'KELURAHAN (DI ISI)'!GM156+'KELURAHAN (DI ISI)'!GM157+'KELURAHAN (DI ISI)'!GM158</f>
        <v>943</v>
      </c>
      <c r="HE39" s="491">
        <f>'KELURAHAN (DI ISI)'!GN155+'KELURAHAN (DI ISI)'!GN156+'KELURAHAN (DI ISI)'!GN157+'KELURAHAN (DI ISI)'!GN158</f>
        <v>375</v>
      </c>
      <c r="HF39" s="491">
        <f>'KELURAHAN (DI ISI)'!GO155+'KELURAHAN (DI ISI)'!GO156+'KELURAHAN (DI ISI)'!GO157+'KELURAHAN (DI ISI)'!GO158</f>
        <v>896</v>
      </c>
      <c r="HG39" s="491">
        <f>'KELURAHAN (DI ISI)'!GP155+'KELURAHAN (DI ISI)'!GP156+'KELURAHAN (DI ISI)'!GP157+'KELURAHAN (DI ISI)'!GP158</f>
        <v>326</v>
      </c>
      <c r="HH39" s="570">
        <v>870.0</v>
      </c>
      <c r="HI39" s="225">
        <f>'KELURAHAN (DI ISI)'!GR155+'KELURAHAN (DI ISI)'!GR156+'KELURAHAN (DI ISI)'!GR157+'KELURAHAN (DI ISI)'!GR158</f>
        <v>37</v>
      </c>
      <c r="HJ39" s="225">
        <f>'KELURAHAN (DI ISI)'!GS155+'KELURAHAN (DI ISI)'!GS156+'KELURAHAN (DI ISI)'!GS157+'KELURAHAN (DI ISI)'!GS158</f>
        <v>6</v>
      </c>
      <c r="HK39" s="573">
        <f>'KELURAHAN (DI ISI)'!GT155+'KELURAHAN (DI ISI)'!GT156+'KELURAHAN (DI ISI)'!GT157+'KELURAHAN (DI ISI)'!GT158</f>
        <v>37</v>
      </c>
      <c r="HL39" s="573">
        <f>'KELURAHAN (DI ISI)'!GU155+'KELURAHAN (DI ISI)'!GU156+'KELURAHAN (DI ISI)'!GU157+'KELURAHAN (DI ISI)'!GU158</f>
        <v>6</v>
      </c>
      <c r="HM39" s="573">
        <f t="shared" si="20"/>
        <v>31</v>
      </c>
      <c r="HN39" s="491">
        <f>'KELURAHAN (DI ISI)'!GW155+'KELURAHAN (DI ISI)'!GW156+'KELURAHAN (DI ISI)'!GW157+'KELURAHAN (DI ISI)'!GW158</f>
        <v>0</v>
      </c>
      <c r="HO39" s="491">
        <f>'KELURAHAN (DI ISI)'!GX155+'KELURAHAN (DI ISI)'!GX156+'KELURAHAN (DI ISI)'!GX157+'KELURAHAN (DI ISI)'!GX158</f>
        <v>0</v>
      </c>
      <c r="HP39" s="491">
        <f>'KELURAHAN (DI ISI)'!GY155+'KELURAHAN (DI ISI)'!GY156+'KELURAHAN (DI ISI)'!GY157+'KELURAHAN (DI ISI)'!GY158</f>
        <v>5</v>
      </c>
      <c r="HQ39" s="491">
        <f>'KELURAHAN (DI ISI)'!GZ155+'KELURAHAN (DI ISI)'!GZ156+'KELURAHAN (DI ISI)'!GZ157+'KELURAHAN (DI ISI)'!GZ158</f>
        <v>29</v>
      </c>
      <c r="HR39" s="491">
        <f>'KELURAHAN (DI ISI)'!HA155+'KELURAHAN (DI ISI)'!HA156+'KELURAHAN (DI ISI)'!HA157+'KELURAHAN (DI ISI)'!HA158</f>
        <v>0</v>
      </c>
      <c r="HS39" s="491">
        <f>'KELURAHAN (DI ISI)'!HB155+'KELURAHAN (DI ISI)'!HB156+'KELURAHAN (DI ISI)'!HB157+'KELURAHAN (DI ISI)'!HB158</f>
        <v>0</v>
      </c>
      <c r="HT39" s="491">
        <f>'KELURAHAN (DI ISI)'!HC155+'KELURAHAN (DI ISI)'!HC156+'KELURAHAN (DI ISI)'!HC157+'KELURAHAN (DI ISI)'!HC158</f>
        <v>1</v>
      </c>
      <c r="HU39" s="491">
        <f>'KELURAHAN (DI ISI)'!HD155+'KELURAHAN (DI ISI)'!HD156+'KELURAHAN (DI ISI)'!HD157+'KELURAHAN (DI ISI)'!HD158</f>
        <v>2</v>
      </c>
      <c r="HV39" s="491">
        <f>'KELURAHAN (DI ISI)'!HE155+'KELURAHAN (DI ISI)'!HE156+'KELURAHAN (DI ISI)'!HE157+'KELURAHAN (DI ISI)'!HE158</f>
        <v>0</v>
      </c>
      <c r="HW39" s="491">
        <f>'KELURAHAN (DI ISI)'!HF155+'KELURAHAN (DI ISI)'!HF156+'KELURAHAN (DI ISI)'!HF157+'KELURAHAN (DI ISI)'!HF158</f>
        <v>0</v>
      </c>
      <c r="HX39" s="491">
        <f>'KELURAHAN (DI ISI)'!HG155+'KELURAHAN (DI ISI)'!HG156+'KELURAHAN (DI ISI)'!HG157+'KELURAHAN (DI ISI)'!HG158</f>
        <v>0</v>
      </c>
      <c r="HY39" s="491">
        <f>'KELURAHAN (DI ISI)'!HH155+'KELURAHAN (DI ISI)'!HH156+'KELURAHAN (DI ISI)'!HH157+'KELURAHAN (DI ISI)'!HH158</f>
        <v>0</v>
      </c>
      <c r="HZ39" s="491">
        <f>'KELURAHAN (DI ISI)'!HI155+'KELURAHAN (DI ISI)'!HI156+'KELURAHAN (DI ISI)'!HI157+'KELURAHAN (DI ISI)'!HI158</f>
        <v>0</v>
      </c>
      <c r="IA39" s="491">
        <f>'KELURAHAN (DI ISI)'!HJ155+'KELURAHAN (DI ISI)'!HJ156+'KELURAHAN (DI ISI)'!HJ157+'KELURAHAN (DI ISI)'!HJ158</f>
        <v>0</v>
      </c>
      <c r="IB39" s="491">
        <f>'KELURAHAN (DI ISI)'!HK155+'KELURAHAN (DI ISI)'!HK156+'KELURAHAN (DI ISI)'!HK157+'KELURAHAN (DI ISI)'!HK158</f>
        <v>0</v>
      </c>
      <c r="IC39" s="491">
        <f>'KELURAHAN (DI ISI)'!HL155+'KELURAHAN (DI ISI)'!HL156+'KELURAHAN (DI ISI)'!HL157+'KELURAHAN (DI ISI)'!HL158</f>
        <v>0</v>
      </c>
      <c r="ID39" s="491">
        <f>'KELURAHAN (DI ISI)'!HM155+'KELURAHAN (DI ISI)'!HM156+'KELURAHAN (DI ISI)'!HM157+'KELURAHAN (DI ISI)'!HM158</f>
        <v>0</v>
      </c>
      <c r="IE39" s="491">
        <f>'KELURAHAN (DI ISI)'!HN155+'KELURAHAN (DI ISI)'!HN156+'KELURAHAN (DI ISI)'!HN157+'KELURAHAN (DI ISI)'!HN158</f>
        <v>0</v>
      </c>
      <c r="IF39" s="573">
        <f>'KELURAHAN (DI ISI)'!HO155+'KELURAHAN (DI ISI)'!HO156+'KELURAHAN (DI ISI)'!HO157+'KELURAHAN (DI ISI)'!HO158</f>
        <v>0</v>
      </c>
      <c r="IG39" s="573">
        <f>'KELURAHAN (DI ISI)'!HP155+'KELURAHAN (DI ISI)'!HP156+'KELURAHAN (DI ISI)'!HP157+'KELURAHAN (DI ISI)'!HP158</f>
        <v>0</v>
      </c>
      <c r="IK39" s="198">
        <f t="shared" si="21"/>
        <v>44</v>
      </c>
      <c r="IL39" s="198">
        <f t="shared" si="22"/>
        <v>44</v>
      </c>
      <c r="IM39" s="198">
        <f t="shared" si="23"/>
        <v>49</v>
      </c>
      <c r="IN39" s="198">
        <f t="shared" si="24"/>
        <v>42</v>
      </c>
      <c r="IO39" s="198">
        <f t="shared" si="25"/>
        <v>37</v>
      </c>
      <c r="IP39" s="198">
        <f t="shared" si="26"/>
        <v>41</v>
      </c>
      <c r="IQ39" s="574">
        <f t="shared" si="27"/>
        <v>41</v>
      </c>
      <c r="IR39" s="574">
        <f t="shared" si="28"/>
        <v>40</v>
      </c>
      <c r="IS39" s="574">
        <f t="shared" si="29"/>
        <v>36</v>
      </c>
      <c r="IT39" s="574">
        <f t="shared" si="30"/>
        <v>35</v>
      </c>
      <c r="IU39" s="574">
        <f t="shared" si="31"/>
        <v>34</v>
      </c>
      <c r="IV39" s="575">
        <f t="shared" si="32"/>
        <v>37</v>
      </c>
      <c r="IW39" s="583"/>
      <c r="IX39" s="576">
        <f t="shared" si="33"/>
        <v>-37</v>
      </c>
      <c r="IZ39" s="577"/>
      <c r="JA39" s="162">
        <f t="shared" si="34"/>
        <v>-943</v>
      </c>
      <c r="JB39" s="578"/>
      <c r="JC39" s="579">
        <f t="shared" si="35"/>
        <v>-375</v>
      </c>
      <c r="JD39" s="584"/>
      <c r="JE39" s="585"/>
      <c r="JF39" s="577"/>
      <c r="JG39" s="234">
        <f t="shared" si="36"/>
        <v>-896</v>
      </c>
      <c r="JH39" s="578"/>
      <c r="JI39" s="579">
        <f t="shared" si="37"/>
        <v>-326</v>
      </c>
      <c r="JJ39" s="247"/>
    </row>
    <row r="40" ht="14.25" customHeight="1">
      <c r="A40" s="158">
        <v>33.0</v>
      </c>
      <c r="B40" s="157" t="s">
        <v>277</v>
      </c>
      <c r="C40" s="253">
        <v>3374110.0</v>
      </c>
      <c r="D40" s="569" t="s">
        <v>287</v>
      </c>
      <c r="E40" s="253"/>
      <c r="F40" s="259">
        <f>'KELURAHAN (DI ISI)'!F175+'KELURAHAN (DI ISI)'!F176</f>
        <v>59</v>
      </c>
      <c r="G40" s="259">
        <f>'KELURAHAN (DI ISI)'!G175+'KELURAHAN (DI ISI)'!G176</f>
        <v>2937</v>
      </c>
      <c r="H40" s="259">
        <f>'KELURAHAN (DI ISI)'!H175+'KELURAHAN (DI ISI)'!H176</f>
        <v>21</v>
      </c>
      <c r="I40" s="491">
        <f t="shared" si="1"/>
        <v>7</v>
      </c>
      <c r="J40" s="491">
        <f t="shared" si="2"/>
        <v>14</v>
      </c>
      <c r="K40" s="491">
        <f>'KELURAHAN (DI ISI)'!I175+'KELURAHAN (DI ISI)'!I176</f>
        <v>0</v>
      </c>
      <c r="L40" s="491">
        <f>'KELURAHAN (DI ISI)'!J175+'KELURAHAN (DI ISI)'!J176</f>
        <v>0</v>
      </c>
      <c r="M40" s="491">
        <f>'KELURAHAN (DI ISI)'!K175+'KELURAHAN (DI ISI)'!K176</f>
        <v>7</v>
      </c>
      <c r="N40" s="491">
        <f>'KELURAHAN (DI ISI)'!L175+'KELURAHAN (DI ISI)'!L176</f>
        <v>14</v>
      </c>
      <c r="O40" s="491">
        <f>'KELURAHAN (DI ISI)'!M175+'KELURAHAN (DI ISI)'!M176</f>
        <v>0</v>
      </c>
      <c r="P40" s="491">
        <f>'KELURAHAN (DI ISI)'!N175+'KELURAHAN (DI ISI)'!N176</f>
        <v>0</v>
      </c>
      <c r="Q40" s="491">
        <f>'KELURAHAN (DI ISI)'!O175+'KELURAHAN (DI ISI)'!O176</f>
        <v>21</v>
      </c>
      <c r="R40" s="491">
        <f>'KELURAHAN (DI ISI)'!P175+'KELURAHAN (DI ISI)'!P176</f>
        <v>130</v>
      </c>
      <c r="S40" s="491">
        <f t="shared" si="3"/>
        <v>43</v>
      </c>
      <c r="T40" s="491">
        <f t="shared" si="4"/>
        <v>87</v>
      </c>
      <c r="U40" s="491">
        <f>'KELURAHAN (DI ISI)'!Q175+'KELURAHAN (DI ISI)'!Q176</f>
        <v>5</v>
      </c>
      <c r="V40" s="491">
        <f>'KELURAHAN (DI ISI)'!R175+'KELURAHAN (DI ISI)'!R176</f>
        <v>9</v>
      </c>
      <c r="W40" s="491">
        <f>'KELURAHAN (DI ISI)'!S175+'KELURAHAN (DI ISI)'!S176</f>
        <v>29</v>
      </c>
      <c r="X40" s="491">
        <f>'KELURAHAN (DI ISI)'!T175+'KELURAHAN (DI ISI)'!T176</f>
        <v>87</v>
      </c>
      <c r="Y40" s="491">
        <f>'KELURAHAN (DI ISI)'!U175+'KELURAHAN (DI ISI)'!U176</f>
        <v>109</v>
      </c>
      <c r="Z40" s="491">
        <f>'KELURAHAN (DI ISI)'!V175+'KELURAHAN (DI ISI)'!V176</f>
        <v>0</v>
      </c>
      <c r="AA40" s="491">
        <f>'KELURAHAN (DI ISI)'!W175+'KELURAHAN (DI ISI)'!W176</f>
        <v>21</v>
      </c>
      <c r="AB40" s="491">
        <f>'KELURAHAN (DI ISI)'!X175+'KELURAHAN (DI ISI)'!X176</f>
        <v>104</v>
      </c>
      <c r="AC40" s="491">
        <f t="shared" si="5"/>
        <v>34</v>
      </c>
      <c r="AD40" s="491">
        <f t="shared" si="6"/>
        <v>70</v>
      </c>
      <c r="AE40" s="491">
        <f>'KELURAHAN (DI ISI)'!Y175+'KELURAHAN (DI ISI)'!Y176</f>
        <v>4</v>
      </c>
      <c r="AF40" s="491">
        <f>'KELURAHAN (DI ISI)'!Z175+'KELURAHAN (DI ISI)'!Z176</f>
        <v>7</v>
      </c>
      <c r="AG40" s="491">
        <f>'KELURAHAN (DI ISI)'!AA175+'KELURAHAN (DI ISI)'!AA176</f>
        <v>23</v>
      </c>
      <c r="AH40" s="491">
        <f>'KELURAHAN (DI ISI)'!AB175+'KELURAHAN (DI ISI)'!AB176</f>
        <v>70</v>
      </c>
      <c r="AI40" s="491">
        <f>'KELURAHAN (DI ISI)'!AC175+'KELURAHAN (DI ISI)'!AC176</f>
        <v>0</v>
      </c>
      <c r="AJ40" s="491">
        <f>'KELURAHAN (DI ISI)'!AD175+'KELURAHAN (DI ISI)'!AD176</f>
        <v>26</v>
      </c>
      <c r="AK40" s="491">
        <f>'KELURAHAN (DI ISI)'!AE175+'KELURAHAN (DI ISI)'!AE176</f>
        <v>78</v>
      </c>
      <c r="AL40" s="491">
        <f>'KELURAHAN (DI ISI)'!AF175+'KELURAHAN (DI ISI)'!AF176</f>
        <v>73</v>
      </c>
      <c r="AM40" s="491">
        <f t="shared" si="7"/>
        <v>21</v>
      </c>
      <c r="AN40" s="491">
        <f t="shared" si="8"/>
        <v>52</v>
      </c>
      <c r="AO40" s="491">
        <f>'KELURAHAN (DI ISI)'!AG175+'KELURAHAN (DI ISI)'!AG176</f>
        <v>1</v>
      </c>
      <c r="AP40" s="491">
        <f>'KELURAHAN (DI ISI)'!AH175+'KELURAHAN (DI ISI)'!AH176</f>
        <v>3</v>
      </c>
      <c r="AQ40" s="491">
        <f>'KELURAHAN (DI ISI)'!AI175+'KELURAHAN (DI ISI)'!AI176</f>
        <v>17</v>
      </c>
      <c r="AR40" s="491">
        <f>'KELURAHAN (DI ISI)'!AJ175+'KELURAHAN (DI ISI)'!AJ176</f>
        <v>52</v>
      </c>
      <c r="AS40" s="491">
        <f>'KELURAHAN (DI ISI)'!AK175+'KELURAHAN (DI ISI)'!AK176</f>
        <v>0</v>
      </c>
      <c r="AT40" s="491">
        <f>'KELURAHAN (DI ISI)'!AL175+'KELURAHAN (DI ISI)'!AL176</f>
        <v>10</v>
      </c>
      <c r="AU40" s="491">
        <f>'KELURAHAN (DI ISI)'!AM175+'KELURAHAN (DI ISI)'!AM176</f>
        <v>63</v>
      </c>
      <c r="AV40" s="491">
        <f>'KELURAHAN (DI ISI)'!AN175+'KELURAHAN (DI ISI)'!AN176</f>
        <v>63</v>
      </c>
      <c r="AW40" s="491">
        <f t="shared" si="9"/>
        <v>15</v>
      </c>
      <c r="AX40" s="491">
        <f t="shared" si="10"/>
        <v>48</v>
      </c>
      <c r="AY40" s="491">
        <f>'KELURAHAN (DI ISI)'!AO175+'KELURAHAN (DI ISI)'!AO176</f>
        <v>1</v>
      </c>
      <c r="AZ40" s="491">
        <f>'KELURAHAN (DI ISI)'!AP175+'KELURAHAN (DI ISI)'!AP176</f>
        <v>2</v>
      </c>
      <c r="BA40" s="491">
        <f>'KELURAHAN (DI ISI)'!AQ175+'KELURAHAN (DI ISI)'!AQ176</f>
        <v>12</v>
      </c>
      <c r="BB40" s="491">
        <f>'KELURAHAN (DI ISI)'!AR175+'KELURAHAN (DI ISI)'!AR176</f>
        <v>48</v>
      </c>
      <c r="BC40" s="491">
        <f>'KELURAHAN (DI ISI)'!AS175+'KELURAHAN (DI ISI)'!AS176</f>
        <v>0</v>
      </c>
      <c r="BD40" s="491">
        <f>'KELURAHAN (DI ISI)'!AT175+'KELURAHAN (DI ISI)'!AT176</f>
        <v>0</v>
      </c>
      <c r="BE40" s="491">
        <f>'KELURAHAN (DI ISI)'!AU175+'KELURAHAN (DI ISI)'!AU176</f>
        <v>63</v>
      </c>
      <c r="BF40" s="491">
        <f>'KELURAHAN (DI ISI)'!AV175+'KELURAHAN (DI ISI)'!AV176</f>
        <v>2936</v>
      </c>
      <c r="BG40" s="491">
        <f>'KELURAHAN (DI ISI)'!AW175+'KELURAHAN (DI ISI)'!AW176</f>
        <v>68</v>
      </c>
      <c r="BH40" s="491">
        <f t="shared" si="11"/>
        <v>16</v>
      </c>
      <c r="BI40" s="495">
        <f t="shared" si="12"/>
        <v>43</v>
      </c>
      <c r="BJ40" s="491">
        <f>'KELURAHAN (DI ISI)'!AX175+'KELURAHAN (DI ISI)'!AX176</f>
        <v>1</v>
      </c>
      <c r="BK40" s="491">
        <f>'KELURAHAN (DI ISI)'!AY175+'KELURAHAN (DI ISI)'!AY176</f>
        <v>1</v>
      </c>
      <c r="BL40" s="491">
        <f>'KELURAHAN (DI ISI)'!AZ175+'KELURAHAN (DI ISI)'!AZ176</f>
        <v>14</v>
      </c>
      <c r="BM40" s="491">
        <f>'KELURAHAN (DI ISI)'!BA175+'KELURAHAN (DI ISI)'!BA176</f>
        <v>43</v>
      </c>
      <c r="BN40" s="491">
        <f>'KELURAHAN (DI ISI)'!BB175+'KELURAHAN (DI ISI)'!BB176</f>
        <v>1</v>
      </c>
      <c r="BO40" s="491">
        <f>'KELURAHAN (DI ISI)'!BC175+'KELURAHAN (DI ISI)'!BC176</f>
        <v>2</v>
      </c>
      <c r="BP40" s="491">
        <f>'KELURAHAN (DI ISI)'!BD175+'KELURAHAN (DI ISI)'!BD176</f>
        <v>1</v>
      </c>
      <c r="BQ40" s="491">
        <f>'KELURAHAN (DI ISI)'!BE175+'KELURAHAN (DI ISI)'!BE176</f>
        <v>5</v>
      </c>
      <c r="BR40" s="491">
        <f>'KELURAHAN (DI ISI)'!BF175+'KELURAHAN (DI ISI)'!BF176</f>
        <v>0</v>
      </c>
      <c r="BS40" s="491">
        <f>'KELURAHAN (DI ISI)'!BG175+'KELURAHAN (DI ISI)'!BG176</f>
        <v>0</v>
      </c>
      <c r="BT40" s="491">
        <f>'KELURAHAN (DI ISI)'!BH175+'KELURAHAN (DI ISI)'!BH176</f>
        <v>0</v>
      </c>
      <c r="BU40" s="491">
        <f>'KELURAHAN (DI ISI)'!BI175+'KELURAHAN (DI ISI)'!BI176</f>
        <v>4</v>
      </c>
      <c r="BV40" s="491">
        <f>'KELURAHAN (DI ISI)'!BJ175+'KELURAHAN (DI ISI)'!BJ176</f>
        <v>0</v>
      </c>
      <c r="BW40" s="491">
        <f>'KELURAHAN (DI ISI)'!BK175+'KELURAHAN (DI ISI)'!BK176</f>
        <v>0</v>
      </c>
      <c r="BX40" s="491">
        <f>'KELURAHAN (DI ISI)'!BL175+'KELURAHAN (DI ISI)'!BL176</f>
        <v>0</v>
      </c>
      <c r="BY40" s="491">
        <f>'KELURAHAN (DI ISI)'!BM175+'KELURAHAN (DI ISI)'!BM176</f>
        <v>0</v>
      </c>
      <c r="BZ40" s="491">
        <f>'KELURAHAN (DI ISI)'!BN175+'KELURAHAN (DI ISI)'!BN176</f>
        <v>0</v>
      </c>
      <c r="CA40" s="491">
        <f>'KELURAHAN (DI ISI)'!BO175+'KELURAHAN (DI ISI)'!BO176</f>
        <v>0</v>
      </c>
      <c r="CB40" s="491">
        <f>'KELURAHAN (DI ISI)'!BP175+'KELURAHAN (DI ISI)'!BP176</f>
        <v>4</v>
      </c>
      <c r="CC40" s="491">
        <f>'KELURAHAN (DI ISI)'!BQ175+'KELURAHAN (DI ISI)'!BQ176</f>
        <v>2883</v>
      </c>
      <c r="CD40" s="491">
        <f>'KELURAHAN (DI ISI)'!BR175+'KELURAHAN (DI ISI)'!BR176</f>
        <v>41</v>
      </c>
      <c r="CE40" s="491">
        <f t="shared" si="13"/>
        <v>6</v>
      </c>
      <c r="CF40" s="491">
        <f t="shared" si="14"/>
        <v>35</v>
      </c>
      <c r="CG40" s="491">
        <f>'KELURAHAN (DI ISI)'!BS175+'KELURAHAN (DI ISI)'!BS176</f>
        <v>0</v>
      </c>
      <c r="CH40" s="491">
        <f>'KELURAHAN (DI ISI)'!BT175+'KELURAHAN (DI ISI)'!BT176</f>
        <v>0</v>
      </c>
      <c r="CI40" s="491">
        <f>'KELURAHAN (DI ISI)'!BU175+'KELURAHAN (DI ISI)'!BU176</f>
        <v>6</v>
      </c>
      <c r="CJ40" s="491">
        <f>'KELURAHAN (DI ISI)'!BV175+'KELURAHAN (DI ISI)'!BV176</f>
        <v>35</v>
      </c>
      <c r="CK40" s="491">
        <f>'KELURAHAN (DI ISI)'!BW175+'KELURAHAN (DI ISI)'!BW176</f>
        <v>0</v>
      </c>
      <c r="CL40" s="491">
        <f>'KELURAHAN (DI ISI)'!BX175+'KELURAHAN (DI ISI)'!BX176</f>
        <v>0</v>
      </c>
      <c r="CM40" s="491">
        <f>'KELURAHAN (DI ISI)'!BY175+'KELURAHAN (DI ISI)'!BY176</f>
        <v>0</v>
      </c>
      <c r="CN40" s="491">
        <f>'KELURAHAN (DI ISI)'!BZ175+'KELURAHAN (DI ISI)'!BZ176</f>
        <v>0</v>
      </c>
      <c r="CO40" s="491">
        <f>'KELURAHAN (DI ISI)'!CA175+'KELURAHAN (DI ISI)'!CA176</f>
        <v>1</v>
      </c>
      <c r="CP40" s="491">
        <f>'KELURAHAN (DI ISI)'!CB175+'KELURAHAN (DI ISI)'!CB176</f>
        <v>0</v>
      </c>
      <c r="CQ40" s="491">
        <f>'KELURAHAN (DI ISI)'!CC175+'KELURAHAN (DI ISI)'!CC176</f>
        <v>5</v>
      </c>
      <c r="CR40" s="491">
        <f>'KELURAHAN (DI ISI)'!CD175+'KELURAHAN (DI ISI)'!CD176</f>
        <v>5</v>
      </c>
      <c r="CS40" s="491">
        <f>'KELURAHAN (DI ISI)'!CE175+'KELURAHAN (DI ISI)'!CE176</f>
        <v>0</v>
      </c>
      <c r="CT40" s="491">
        <f>'KELURAHAN (DI ISI)'!CF175+'KELURAHAN (DI ISI)'!CF176</f>
        <v>1</v>
      </c>
      <c r="CU40" s="491">
        <f>'KELURAHAN (DI ISI)'!CG175+'KELURAHAN (DI ISI)'!CG176</f>
        <v>3</v>
      </c>
      <c r="CV40" s="491">
        <f>'KELURAHAN (DI ISI)'!CH175+'KELURAHAN (DI ISI)'!CH176</f>
        <v>3</v>
      </c>
      <c r="CW40" s="491">
        <f>'KELURAHAN (DI ISI)'!CI175+'KELURAHAN (DI ISI)'!CI176</f>
        <v>0</v>
      </c>
      <c r="CX40" s="491">
        <f>'KELURAHAN (DI ISI)'!CJ175+'KELURAHAN (DI ISI)'!CJ176</f>
        <v>0</v>
      </c>
      <c r="CY40" s="491">
        <f>'KELURAHAN (DI ISI)'!CK175+'KELURAHAN (DI ISI)'!CK176</f>
        <v>18</v>
      </c>
      <c r="CZ40" s="491">
        <f>'KELURAHAN (DI ISI)'!CL175+'KELURAHAN (DI ISI)'!CL176</f>
        <v>2919</v>
      </c>
      <c r="DA40" s="491">
        <f>'KELURAHAN (DI ISI)'!CM175+'KELURAHAN (DI ISI)'!CM176</f>
        <v>935</v>
      </c>
      <c r="DB40" s="491">
        <f>'KELURAHAN (DI ISI)'!CN175+'KELURAHAN (DI ISI)'!CN176</f>
        <v>48</v>
      </c>
      <c r="DC40" s="491">
        <f t="shared" si="15"/>
        <v>6</v>
      </c>
      <c r="DD40" s="491">
        <f t="shared" si="16"/>
        <v>35</v>
      </c>
      <c r="DE40" s="491">
        <f>'KELURAHAN (DI ISI)'!CO175+'KELURAHAN (DI ISI)'!CO176</f>
        <v>0</v>
      </c>
      <c r="DF40" s="491">
        <f>'KELURAHAN (DI ISI)'!CP175+'KELURAHAN (DI ISI)'!CP176</f>
        <v>0</v>
      </c>
      <c r="DG40" s="491">
        <f>'KELURAHAN (DI ISI)'!CQ175+'KELURAHAN (DI ISI)'!CQ176</f>
        <v>6</v>
      </c>
      <c r="DH40" s="491">
        <f>'KELURAHAN (DI ISI)'!CR175+'KELURAHAN (DI ISI)'!CR176</f>
        <v>35</v>
      </c>
      <c r="DI40" s="491">
        <f>'KELURAHAN (DI ISI)'!CS175+'KELURAHAN (DI ISI)'!CS176</f>
        <v>0</v>
      </c>
      <c r="DJ40" s="491">
        <f>'KELURAHAN (DI ISI)'!CT175+'KELURAHAN (DI ISI)'!CT176</f>
        <v>0</v>
      </c>
      <c r="DK40" s="491">
        <f>'KELURAHAN (DI ISI)'!CU175+'KELURAHAN (DI ISI)'!CU176</f>
        <v>4</v>
      </c>
      <c r="DL40" s="491">
        <f>'KELURAHAN (DI ISI)'!CV175+'KELURAHAN (DI ISI)'!CV176</f>
        <v>3</v>
      </c>
      <c r="DM40" s="491">
        <f>'KELURAHAN (DI ISI)'!CW175+'KELURAHAN (DI ISI)'!CW176</f>
        <v>0</v>
      </c>
      <c r="DN40" s="491">
        <f>'KELURAHAN (DI ISI)'!CX175+'KELURAHAN (DI ISI)'!CX176</f>
        <v>0</v>
      </c>
      <c r="DO40" s="491">
        <f>'KELURAHAN (DI ISI)'!CY175+'KELURAHAN (DI ISI)'!CY176</f>
        <v>0</v>
      </c>
      <c r="DP40" s="491">
        <f>'KELURAHAN (DI ISI)'!CZ175+'KELURAHAN (DI ISI)'!CZ176</f>
        <v>0</v>
      </c>
      <c r="DQ40" s="491">
        <f>'KELURAHAN (DI ISI)'!DA175+'KELURAHAN (DI ISI)'!DA176</f>
        <v>0</v>
      </c>
      <c r="DR40" s="491">
        <f>'KELURAHAN (DI ISI)'!DB175+'KELURAHAN (DI ISI)'!DB176</f>
        <v>0</v>
      </c>
      <c r="DS40" s="491">
        <f>'KELURAHAN (DI ISI)'!DC175+'KELURAHAN (DI ISI)'!DC176</f>
        <v>0</v>
      </c>
      <c r="DT40" s="491">
        <f>'KELURAHAN (DI ISI)'!DD175+'KELURAHAN (DI ISI)'!DD176</f>
        <v>0</v>
      </c>
      <c r="DU40" s="491">
        <f>'KELURAHAN (DI ISI)'!DE175+'KELURAHAN (DI ISI)'!DE176</f>
        <v>0</v>
      </c>
      <c r="DV40" s="491">
        <f>'KELURAHAN (DI ISI)'!DF175+'KELURAHAN (DI ISI)'!DF176</f>
        <v>0</v>
      </c>
      <c r="DW40" s="491">
        <f>'KELURAHAN (DI ISI)'!DG175+'KELURAHAN (DI ISI)'!DG176</f>
        <v>0</v>
      </c>
      <c r="DX40" s="491">
        <f>'KELURAHAN (DI ISI)'!DH175+'KELURAHAN (DI ISI)'!DH176</f>
        <v>2668</v>
      </c>
      <c r="DY40" s="491">
        <f>'KELURAHAN (DI ISI)'!DI175+'KELURAHAN (DI ISI)'!DI176</f>
        <v>941</v>
      </c>
      <c r="DZ40" s="491">
        <f>'KELURAHAN (DI ISI)'!DJ175+'KELURAHAN (DI ISI)'!DJ176</f>
        <v>2668</v>
      </c>
      <c r="EA40" s="491">
        <f>'KELURAHAN (DI ISI)'!DK175+'KELURAHAN (DI ISI)'!DK176</f>
        <v>941</v>
      </c>
      <c r="EB40" s="491">
        <f>'KELURAHAN (DI ISI)'!DL175+'KELURAHAN (DI ISI)'!DL176</f>
        <v>61</v>
      </c>
      <c r="EC40" s="491">
        <f>'KELURAHAN (DI ISI)'!DM175+'KELURAHAN (DI ISI)'!DM176</f>
        <v>15</v>
      </c>
      <c r="ED40" s="491">
        <f t="shared" si="17"/>
        <v>46</v>
      </c>
      <c r="EE40" s="491">
        <f>'KELURAHAN (DI ISI)'!DO175+'KELURAHAN (DI ISI)'!DO176</f>
        <v>0</v>
      </c>
      <c r="EF40" s="491">
        <f>'KELURAHAN (DI ISI)'!DP175+'KELURAHAN (DI ISI)'!DP176</f>
        <v>0</v>
      </c>
      <c r="EG40" s="491">
        <f>'KELURAHAN (DI ISI)'!DQ175+'KELURAHAN (DI ISI)'!DQ176</f>
        <v>10</v>
      </c>
      <c r="EH40" s="491">
        <f>'KELURAHAN (DI ISI)'!DR175+'KELURAHAN (DI ISI)'!DR176</f>
        <v>38</v>
      </c>
      <c r="EI40" s="491">
        <f>'KELURAHAN (DI ISI)'!DS175+'KELURAHAN (DI ISI)'!DS176</f>
        <v>0</v>
      </c>
      <c r="EJ40" s="491">
        <f>'KELURAHAN (DI ISI)'!DT175+'KELURAHAN (DI ISI)'!DT176</f>
        <v>0</v>
      </c>
      <c r="EK40" s="491">
        <f>'KELURAHAN (DI ISI)'!DU175+'KELURAHAN (DI ISI)'!DU176</f>
        <v>5</v>
      </c>
      <c r="EL40" s="491">
        <f>'KELURAHAN (DI ISI)'!DV175+'KELURAHAN (DI ISI)'!DV176</f>
        <v>8</v>
      </c>
      <c r="EM40" s="491">
        <f>'KELURAHAN (DI ISI)'!DW175+'KELURAHAN (DI ISI)'!DW176</f>
        <v>0</v>
      </c>
      <c r="EN40" s="491">
        <f>'KELURAHAN (DI ISI)'!DX175+'KELURAHAN (DI ISI)'!DX176</f>
        <v>0</v>
      </c>
      <c r="EO40" s="491">
        <f>'KELURAHAN (DI ISI)'!DY175+'KELURAHAN (DI ISI)'!DY176</f>
        <v>0</v>
      </c>
      <c r="EP40" s="491">
        <f>'KELURAHAN (DI ISI)'!DZ175+'KELURAHAN (DI ISI)'!DZ176</f>
        <v>1</v>
      </c>
      <c r="EQ40" s="491">
        <f>'KELURAHAN (DI ISI)'!EA175+'KELURAHAN (DI ISI)'!EA176</f>
        <v>0</v>
      </c>
      <c r="ER40" s="491">
        <f>'KELURAHAN (DI ISI)'!EB175+'KELURAHAN (DI ISI)'!EB176</f>
        <v>0</v>
      </c>
      <c r="ES40" s="491">
        <f>'KELURAHAN (DI ISI)'!EC175+'KELURAHAN (DI ISI)'!EC176</f>
        <v>0</v>
      </c>
      <c r="ET40" s="491">
        <f>'KELURAHAN (DI ISI)'!ED175+'KELURAHAN (DI ISI)'!ED176</f>
        <v>0</v>
      </c>
      <c r="EU40" s="491">
        <f>'KELURAHAN (DI ISI)'!EE175+'KELURAHAN (DI ISI)'!EE176</f>
        <v>0</v>
      </c>
      <c r="EV40" s="491">
        <f>'KELURAHAN (DI ISI)'!EF175+'KELURAHAN (DI ISI)'!EF176</f>
        <v>0</v>
      </c>
      <c r="EW40" s="491">
        <f>'KELURAHAN (DI ISI)'!EG175+'KELURAHAN (DI ISI)'!EG176</f>
        <v>1</v>
      </c>
      <c r="EX40" s="491">
        <f>'KELURAHAN (DI ISI)'!EH175+'KELURAHAN (DI ISI)'!EH176</f>
        <v>0</v>
      </c>
      <c r="EY40" s="491">
        <f>'KELURAHAN (DI ISI)'!EI175+'KELURAHAN (DI ISI)'!EI176</f>
        <v>2703</v>
      </c>
      <c r="EZ40" s="491">
        <f>'KELURAHAN (DI ISI)'!EJ175+'KELURAHAN (DI ISI)'!EJ176</f>
        <v>979</v>
      </c>
      <c r="FA40" s="491">
        <f>'KELURAHAN (DI ISI)'!EK175+'KELURAHAN (DI ISI)'!EK176</f>
        <v>2703</v>
      </c>
      <c r="FB40" s="491">
        <f>'KELURAHAN (DI ISI)'!EL175+'KELURAHAN (DI ISI)'!EL176</f>
        <v>979</v>
      </c>
      <c r="FC40" s="491">
        <f>'KELURAHAN (DI ISI)'!EM175+'KELURAHAN (DI ISI)'!EM176</f>
        <v>67</v>
      </c>
      <c r="FD40" s="491">
        <f>'KELURAHAN (DI ISI)'!EN175+'KELURAHAN (DI ISI)'!EN176</f>
        <v>15</v>
      </c>
      <c r="FE40" s="491">
        <f t="shared" si="18"/>
        <v>52</v>
      </c>
      <c r="FF40" s="491">
        <f>'KELURAHAN (DI ISI)'!EP175+'KELURAHAN (DI ISI)'!EP176</f>
        <v>0</v>
      </c>
      <c r="FG40" s="491">
        <f>'KELURAHAN (DI ISI)'!EQ175+'KELURAHAN (DI ISI)'!EQ176</f>
        <v>2</v>
      </c>
      <c r="FH40" s="491">
        <f>'KELURAHAN (DI ISI)'!ER175+'KELURAHAN (DI ISI)'!ER176</f>
        <v>11</v>
      </c>
      <c r="FI40" s="491">
        <f>'KELURAHAN (DI ISI)'!ES175+'KELURAHAN (DI ISI)'!ES176</f>
        <v>43</v>
      </c>
      <c r="FJ40" s="491">
        <f>'KELURAHAN (DI ISI)'!ET175+'KELURAHAN (DI ISI)'!ET176</f>
        <v>0</v>
      </c>
      <c r="FK40" s="491">
        <f>'KELURAHAN (DI ISI)'!EU175+'KELURAHAN (DI ISI)'!EU176</f>
        <v>0</v>
      </c>
      <c r="FL40" s="491">
        <f>'KELURAHAN (DI ISI)'!EV175+'KELURAHAN (DI ISI)'!EV176</f>
        <v>2</v>
      </c>
      <c r="FM40" s="491">
        <f>'KELURAHAN (DI ISI)'!EW175+'KELURAHAN (DI ISI)'!EW176</f>
        <v>9</v>
      </c>
      <c r="FN40" s="491">
        <f>'KELURAHAN (DI ISI)'!EX175+'KELURAHAN (DI ISI)'!EX176</f>
        <v>0</v>
      </c>
      <c r="FO40" s="491">
        <f>'KELURAHAN (DI ISI)'!EY175+'KELURAHAN (DI ISI)'!EY176</f>
        <v>0</v>
      </c>
      <c r="FP40" s="491">
        <f>'KELURAHAN (DI ISI)'!EZ175+'KELURAHAN (DI ISI)'!EZ176</f>
        <v>0</v>
      </c>
      <c r="FQ40" s="491">
        <f>'KELURAHAN (DI ISI)'!FA175+'KELURAHAN (DI ISI)'!FA176</f>
        <v>5</v>
      </c>
      <c r="FR40" s="491">
        <f>'KELURAHAN (DI ISI)'!FB175+'KELURAHAN (DI ISI)'!FB176</f>
        <v>0</v>
      </c>
      <c r="FS40" s="491">
        <f>'KELURAHAN (DI ISI)'!FC175+'KELURAHAN (DI ISI)'!FC176</f>
        <v>0</v>
      </c>
      <c r="FT40" s="491">
        <f>'KELURAHAN (DI ISI)'!FD175+'KELURAHAN (DI ISI)'!FD176</f>
        <v>0</v>
      </c>
      <c r="FU40" s="491">
        <f>'KELURAHAN (DI ISI)'!FE175+'KELURAHAN (DI ISI)'!FE176</f>
        <v>0</v>
      </c>
      <c r="FV40" s="491">
        <f>'KELURAHAN (DI ISI)'!FF175+'KELURAHAN (DI ISI)'!FF176</f>
        <v>0</v>
      </c>
      <c r="FW40" s="491">
        <f>'KELURAHAN (DI ISI)'!FG175+'KELURAHAN (DI ISI)'!FG176</f>
        <v>0</v>
      </c>
      <c r="FX40" s="491">
        <f>'KELURAHAN (DI ISI)'!FH175+'KELURAHAN (DI ISI)'!FH176</f>
        <v>5</v>
      </c>
      <c r="FY40" s="491">
        <f>'KELURAHAN (DI ISI)'!FI175+'KELURAHAN (DI ISI)'!FI176</f>
        <v>0</v>
      </c>
      <c r="FZ40" s="491">
        <f>'KELURAHAN (DI ISI)'!FJ175+'KELURAHAN (DI ISI)'!FJ176</f>
        <v>2705</v>
      </c>
      <c r="GA40" s="491">
        <f>'KELURAHAN (DI ISI)'!FK175+'KELURAHAN (DI ISI)'!FK176</f>
        <v>558</v>
      </c>
      <c r="GB40" s="491">
        <f>'KELURAHAN (DI ISI)'!FL175+'KELURAHAN (DI ISI)'!FL176</f>
        <v>2705</v>
      </c>
      <c r="GC40" s="491">
        <f>'KELURAHAN (DI ISI)'!FM175+'KELURAHAN (DI ISI)'!FM176</f>
        <v>558</v>
      </c>
      <c r="GD40" s="570">
        <v>2705.0</v>
      </c>
      <c r="GE40" s="571">
        <f>'KELURAHAN (DI ISI)'!FO175+'KELURAHAN (DI ISI)'!FO176</f>
        <v>74</v>
      </c>
      <c r="GF40" s="571">
        <f>'KELURAHAN (DI ISI)'!FP175+'KELURAHAN (DI ISI)'!FP176</f>
        <v>74</v>
      </c>
      <c r="GG40" s="571">
        <f>'KELURAHAN (DI ISI)'!FP175+'KELURAHAN (DI ISI)'!FP176</f>
        <v>74</v>
      </c>
      <c r="GH40" s="571">
        <f>'KELURAHAN (DI ISI)'!FQ175+'KELURAHAN (DI ISI)'!FQ176</f>
        <v>18</v>
      </c>
      <c r="GI40" s="571">
        <f t="shared" si="19"/>
        <v>56</v>
      </c>
      <c r="GJ40" s="491">
        <f>'KELURAHAN (DI ISI)'!FS175+'KELURAHAN (DI ISI)'!FS176</f>
        <v>0</v>
      </c>
      <c r="GK40" s="491">
        <f>'KELURAHAN (DI ISI)'!FT175+'KELURAHAN (DI ISI)'!FT176</f>
        <v>2</v>
      </c>
      <c r="GL40" s="491">
        <f>'KELURAHAN (DI ISI)'!FU175+'KELURAHAN (DI ISI)'!FU176</f>
        <v>13</v>
      </c>
      <c r="GM40" s="491">
        <f>'KELURAHAN (DI ISI)'!FV175+'KELURAHAN (DI ISI)'!FV176</f>
        <v>54</v>
      </c>
      <c r="GN40" s="491">
        <f>'KELURAHAN (DI ISI)'!FW175+'KELURAHAN (DI ISI)'!FW176</f>
        <v>0</v>
      </c>
      <c r="GO40" s="491">
        <f>'KELURAHAN (DI ISI)'!FX175+'KELURAHAN (DI ISI)'!FX176</f>
        <v>0</v>
      </c>
      <c r="GP40" s="491">
        <f>'KELURAHAN (DI ISI)'!FY175+'KELURAHAN (DI ISI)'!FY176</f>
        <v>3</v>
      </c>
      <c r="GQ40" s="491">
        <f>'KELURAHAN (DI ISI)'!FZ175+'KELURAHAN (DI ISI)'!FZ176</f>
        <v>2</v>
      </c>
      <c r="GR40" s="491">
        <f>'KELURAHAN (DI ISI)'!GA175+'KELURAHAN (DI ISI)'!GA176</f>
        <v>0</v>
      </c>
      <c r="GS40" s="491">
        <f>'KELURAHAN (DI ISI)'!GB175+'KELURAHAN (DI ISI)'!GB176</f>
        <v>0</v>
      </c>
      <c r="GT40" s="491">
        <f>'KELURAHAN (DI ISI)'!GC175+'KELURAHAN (DI ISI)'!GC176</f>
        <v>0</v>
      </c>
      <c r="GU40" s="491">
        <f>'KELURAHAN (DI ISI)'!GD175+'KELURAHAN (DI ISI)'!GD176</f>
        <v>0</v>
      </c>
      <c r="GV40" s="491">
        <f>'KELURAHAN (DI ISI)'!GE175+'KELURAHAN (DI ISI)'!GE176</f>
        <v>0</v>
      </c>
      <c r="GW40" s="491">
        <f>'KELURAHAN (DI ISI)'!GF175+'KELURAHAN (DI ISI)'!GF176</f>
        <v>0</v>
      </c>
      <c r="GX40" s="491">
        <f>'KELURAHAN (DI ISI)'!GG175+'KELURAHAN (DI ISI)'!GG176</f>
        <v>0</v>
      </c>
      <c r="GY40" s="491">
        <f>'KELURAHAN (DI ISI)'!GH175+'KELURAHAN (DI ISI)'!GH176</f>
        <v>2</v>
      </c>
      <c r="GZ40" s="491">
        <f>'KELURAHAN (DI ISI)'!GI175+'KELURAHAN (DI ISI)'!GI176</f>
        <v>0</v>
      </c>
      <c r="HA40" s="491">
        <f>'KELURAHAN (DI ISI)'!GJ175+'KELURAHAN (DI ISI)'!GJ176</f>
        <v>0</v>
      </c>
      <c r="HB40" s="572">
        <f>'KELURAHAN (DI ISI)'!GK175+'KELURAHAN (DI ISI)'!GK176</f>
        <v>2</v>
      </c>
      <c r="HC40" s="572">
        <f>'KELURAHAN (DI ISI)'!GL175+'KELURAHAN (DI ISI)'!GL176</f>
        <v>0</v>
      </c>
      <c r="HD40" s="491">
        <f>'KELURAHAN (DI ISI)'!GM175+'KELURAHAN (DI ISI)'!GM176</f>
        <v>2735</v>
      </c>
      <c r="HE40" s="491">
        <f>'KELURAHAN (DI ISI)'!GN175+'KELURAHAN (DI ISI)'!GN176</f>
        <v>984</v>
      </c>
      <c r="HF40" s="491">
        <f>'KELURAHAN (DI ISI)'!GO175+'KELURAHAN (DI ISI)'!GO176</f>
        <v>2735</v>
      </c>
      <c r="HG40" s="491">
        <f>'KELURAHAN (DI ISI)'!GP175+'KELURAHAN (DI ISI)'!GP176</f>
        <v>984</v>
      </c>
      <c r="HH40" s="570">
        <v>2705.0</v>
      </c>
      <c r="HI40" s="225">
        <f>'KELURAHAN (DI ISI)'!GR175+'KELURAHAN (DI ISI)'!GR176</f>
        <v>78</v>
      </c>
      <c r="HJ40" s="225">
        <f>'KELURAHAN (DI ISI)'!GS175+'KELURAHAN (DI ISI)'!GS176</f>
        <v>16</v>
      </c>
      <c r="HK40" s="573">
        <f>'KELURAHAN (DI ISI)'!GT175+'KELURAHAN (DI ISI)'!GT176</f>
        <v>78</v>
      </c>
      <c r="HL40" s="573">
        <f>'KELURAHAN (DI ISI)'!GU175+'KELURAHAN (DI ISI)'!GU176</f>
        <v>16</v>
      </c>
      <c r="HM40" s="573">
        <f t="shared" si="20"/>
        <v>62</v>
      </c>
      <c r="HN40" s="491">
        <f>'KELURAHAN (DI ISI)'!GW175+'KELURAHAN (DI ISI)'!GW176</f>
        <v>0</v>
      </c>
      <c r="HO40" s="491">
        <f>'KELURAHAN (DI ISI)'!GX175+'KELURAHAN (DI ISI)'!GX176</f>
        <v>0</v>
      </c>
      <c r="HP40" s="491">
        <f>'KELURAHAN (DI ISI)'!GY175+'KELURAHAN (DI ISI)'!GY176</f>
        <v>15</v>
      </c>
      <c r="HQ40" s="491">
        <f>'KELURAHAN (DI ISI)'!GZ175+'KELURAHAN (DI ISI)'!GZ176</f>
        <v>53</v>
      </c>
      <c r="HR40" s="491">
        <f>'KELURAHAN (DI ISI)'!HA175+'KELURAHAN (DI ISI)'!HA176</f>
        <v>0</v>
      </c>
      <c r="HS40" s="491">
        <f>'KELURAHAN (DI ISI)'!HB175+'KELURAHAN (DI ISI)'!HB176</f>
        <v>0</v>
      </c>
      <c r="HT40" s="491">
        <f>'KELURAHAN (DI ISI)'!HC175+'KELURAHAN (DI ISI)'!HC176</f>
        <v>1</v>
      </c>
      <c r="HU40" s="491">
        <f>'KELURAHAN (DI ISI)'!HD175+'KELURAHAN (DI ISI)'!HD176</f>
        <v>9</v>
      </c>
      <c r="HV40" s="491">
        <f>'KELURAHAN (DI ISI)'!HE175+'KELURAHAN (DI ISI)'!HE176</f>
        <v>0</v>
      </c>
      <c r="HW40" s="491">
        <f>'KELURAHAN (DI ISI)'!HF175+'KELURAHAN (DI ISI)'!HF176</f>
        <v>0</v>
      </c>
      <c r="HX40" s="491">
        <f>'KELURAHAN (DI ISI)'!HG175+'KELURAHAN (DI ISI)'!HG176</f>
        <v>1</v>
      </c>
      <c r="HY40" s="491">
        <f>'KELURAHAN (DI ISI)'!HH175+'KELURAHAN (DI ISI)'!HH176</f>
        <v>5</v>
      </c>
      <c r="HZ40" s="491">
        <f>'KELURAHAN (DI ISI)'!HI175+'KELURAHAN (DI ISI)'!HI176</f>
        <v>0</v>
      </c>
      <c r="IA40" s="491">
        <f>'KELURAHAN (DI ISI)'!HJ175+'KELURAHAN (DI ISI)'!HJ176</f>
        <v>0</v>
      </c>
      <c r="IB40" s="491">
        <f>'KELURAHAN (DI ISI)'!HK175+'KELURAHAN (DI ISI)'!HK176</f>
        <v>0</v>
      </c>
      <c r="IC40" s="491">
        <f>'KELURAHAN (DI ISI)'!HL175+'KELURAHAN (DI ISI)'!HL176</f>
        <v>0</v>
      </c>
      <c r="ID40" s="491">
        <f>'KELURAHAN (DI ISI)'!HM175+'KELURAHAN (DI ISI)'!HM176</f>
        <v>0</v>
      </c>
      <c r="IE40" s="491">
        <f>'KELURAHAN (DI ISI)'!HN175+'KELURAHAN (DI ISI)'!HN176</f>
        <v>0</v>
      </c>
      <c r="IF40" s="573">
        <f>'KELURAHAN (DI ISI)'!HO175+'KELURAHAN (DI ISI)'!HO176</f>
        <v>0</v>
      </c>
      <c r="IG40" s="573">
        <f>'KELURAHAN (DI ISI)'!HP175+'KELURAHAN (DI ISI)'!HP176</f>
        <v>0</v>
      </c>
      <c r="IK40" s="198">
        <f t="shared" si="21"/>
        <v>21</v>
      </c>
      <c r="IL40" s="198">
        <f t="shared" si="22"/>
        <v>130</v>
      </c>
      <c r="IM40" s="198">
        <f t="shared" si="23"/>
        <v>104</v>
      </c>
      <c r="IN40" s="198">
        <f t="shared" si="24"/>
        <v>73</v>
      </c>
      <c r="IO40" s="198">
        <f t="shared" si="25"/>
        <v>63</v>
      </c>
      <c r="IP40" s="198">
        <f t="shared" si="26"/>
        <v>68</v>
      </c>
      <c r="IQ40" s="574">
        <f t="shared" si="27"/>
        <v>41</v>
      </c>
      <c r="IR40" s="574">
        <f t="shared" si="28"/>
        <v>48</v>
      </c>
      <c r="IS40" s="574">
        <f t="shared" si="29"/>
        <v>61</v>
      </c>
      <c r="IT40" s="574">
        <f t="shared" si="30"/>
        <v>67</v>
      </c>
      <c r="IU40" s="574">
        <f t="shared" si="31"/>
        <v>74</v>
      </c>
      <c r="IV40" s="575">
        <f t="shared" si="32"/>
        <v>78</v>
      </c>
      <c r="IW40" s="583"/>
      <c r="IX40" s="576">
        <f t="shared" si="33"/>
        <v>-78</v>
      </c>
      <c r="IZ40" s="577"/>
      <c r="JA40" s="162">
        <f t="shared" si="34"/>
        <v>-2735</v>
      </c>
      <c r="JB40" s="578"/>
      <c r="JC40" s="579">
        <f t="shared" si="35"/>
        <v>-984</v>
      </c>
      <c r="JD40" s="586"/>
      <c r="JE40" s="585"/>
      <c r="JF40" s="577"/>
      <c r="JG40" s="234">
        <f t="shared" si="36"/>
        <v>-2735</v>
      </c>
      <c r="JH40" s="578"/>
      <c r="JI40" s="579">
        <f t="shared" si="37"/>
        <v>-984</v>
      </c>
      <c r="JJ40" s="582"/>
    </row>
    <row r="41" ht="14.25" customHeight="1">
      <c r="A41" s="158">
        <v>34.0</v>
      </c>
      <c r="B41" s="157" t="s">
        <v>277</v>
      </c>
      <c r="C41" s="253">
        <v>3374110.0</v>
      </c>
      <c r="D41" s="569" t="s">
        <v>282</v>
      </c>
      <c r="E41" s="253"/>
      <c r="F41" s="259">
        <f>'KELURAHAN (DI ISI)'!F171+'KELURAHAN (DI ISI)'!F172</f>
        <v>31</v>
      </c>
      <c r="G41" s="259">
        <f>'KELURAHAN (DI ISI)'!G171+'KELURAHAN (DI ISI)'!G172</f>
        <v>2242</v>
      </c>
      <c r="H41" s="259">
        <f>'KELURAHAN (DI ISI)'!H171+'KELURAHAN (DI ISI)'!H172</f>
        <v>84</v>
      </c>
      <c r="I41" s="491">
        <f t="shared" si="1"/>
        <v>50</v>
      </c>
      <c r="J41" s="491">
        <f t="shared" si="2"/>
        <v>34</v>
      </c>
      <c r="K41" s="491">
        <f>'KELURAHAN (DI ISI)'!I171+'KELURAHAN (DI ISI)'!I172</f>
        <v>14</v>
      </c>
      <c r="L41" s="491">
        <f>'KELURAHAN (DI ISI)'!J171+'KELURAHAN (DI ISI)'!J172</f>
        <v>11</v>
      </c>
      <c r="M41" s="491">
        <f>'KELURAHAN (DI ISI)'!K171+'KELURAHAN (DI ISI)'!K172</f>
        <v>25</v>
      </c>
      <c r="N41" s="491">
        <f>'KELURAHAN (DI ISI)'!L171+'KELURAHAN (DI ISI)'!L172</f>
        <v>34</v>
      </c>
      <c r="O41" s="491">
        <f>'KELURAHAN (DI ISI)'!M171+'KELURAHAN (DI ISI)'!M172</f>
        <v>6</v>
      </c>
      <c r="P41" s="491">
        <f>'KELURAHAN (DI ISI)'!N171+'KELURAHAN (DI ISI)'!N172</f>
        <v>0</v>
      </c>
      <c r="Q41" s="491">
        <f>'KELURAHAN (DI ISI)'!O171+'KELURAHAN (DI ISI)'!O172</f>
        <v>78</v>
      </c>
      <c r="R41" s="491">
        <f>'KELURAHAN (DI ISI)'!P171+'KELURAHAN (DI ISI)'!P172</f>
        <v>87</v>
      </c>
      <c r="S41" s="491">
        <f t="shared" si="3"/>
        <v>45</v>
      </c>
      <c r="T41" s="491">
        <f t="shared" si="4"/>
        <v>42</v>
      </c>
      <c r="U41" s="491">
        <f>'KELURAHAN (DI ISI)'!Q171+'KELURAHAN (DI ISI)'!Q172</f>
        <v>11</v>
      </c>
      <c r="V41" s="491">
        <f>'KELURAHAN (DI ISI)'!R171+'KELURAHAN (DI ISI)'!R172</f>
        <v>12</v>
      </c>
      <c r="W41" s="491">
        <f>'KELURAHAN (DI ISI)'!S171+'KELURAHAN (DI ISI)'!S172</f>
        <v>22</v>
      </c>
      <c r="X41" s="491">
        <f>'KELURAHAN (DI ISI)'!T171+'KELURAHAN (DI ISI)'!T172</f>
        <v>42</v>
      </c>
      <c r="Y41" s="491">
        <f>'KELURAHAN (DI ISI)'!U171+'KELURAHAN (DI ISI)'!U172</f>
        <v>0</v>
      </c>
      <c r="Z41" s="491">
        <f>'KELURAHAN (DI ISI)'!V171+'KELURAHAN (DI ISI)'!V172</f>
        <v>0</v>
      </c>
      <c r="AA41" s="491">
        <f>'KELURAHAN (DI ISI)'!W171+'KELURAHAN (DI ISI)'!W172</f>
        <v>87</v>
      </c>
      <c r="AB41" s="491">
        <f>'KELURAHAN (DI ISI)'!X171+'KELURAHAN (DI ISI)'!X172</f>
        <v>70</v>
      </c>
      <c r="AC41" s="491">
        <f t="shared" si="5"/>
        <v>37</v>
      </c>
      <c r="AD41" s="491">
        <f t="shared" si="6"/>
        <v>33</v>
      </c>
      <c r="AE41" s="491">
        <f>'KELURAHAN (DI ISI)'!Y171+'KELURAHAN (DI ISI)'!Y172</f>
        <v>12</v>
      </c>
      <c r="AF41" s="491">
        <f>'KELURAHAN (DI ISI)'!Z171+'KELURAHAN (DI ISI)'!Z172</f>
        <v>6</v>
      </c>
      <c r="AG41" s="491">
        <f>'KELURAHAN (DI ISI)'!AA171+'KELURAHAN (DI ISI)'!AA172</f>
        <v>19</v>
      </c>
      <c r="AH41" s="491">
        <f>'KELURAHAN (DI ISI)'!AB171+'KELURAHAN (DI ISI)'!AB172</f>
        <v>33</v>
      </c>
      <c r="AI41" s="491">
        <f>'KELURAHAN (DI ISI)'!AC171+'KELURAHAN (DI ISI)'!AC172</f>
        <v>0</v>
      </c>
      <c r="AJ41" s="491">
        <f>'KELURAHAN (DI ISI)'!AD171+'KELURAHAN (DI ISI)'!AD172</f>
        <v>0</v>
      </c>
      <c r="AK41" s="491">
        <f>'KELURAHAN (DI ISI)'!AE171+'KELURAHAN (DI ISI)'!AE172</f>
        <v>70</v>
      </c>
      <c r="AL41" s="491">
        <f>'KELURAHAN (DI ISI)'!AF171+'KELURAHAN (DI ISI)'!AF172</f>
        <v>28</v>
      </c>
      <c r="AM41" s="491">
        <f t="shared" si="7"/>
        <v>11</v>
      </c>
      <c r="AN41" s="491">
        <f t="shared" si="8"/>
        <v>17</v>
      </c>
      <c r="AO41" s="491">
        <f>'KELURAHAN (DI ISI)'!AG171+'KELURAHAN (DI ISI)'!AG172</f>
        <v>7</v>
      </c>
      <c r="AP41" s="491">
        <f>'KELURAHAN (DI ISI)'!AH171+'KELURAHAN (DI ISI)'!AH172</f>
        <v>0</v>
      </c>
      <c r="AQ41" s="491">
        <f>'KELURAHAN (DI ISI)'!AI171+'KELURAHAN (DI ISI)'!AI172</f>
        <v>4</v>
      </c>
      <c r="AR41" s="491">
        <f>'KELURAHAN (DI ISI)'!AJ171+'KELURAHAN (DI ISI)'!AJ172</f>
        <v>17</v>
      </c>
      <c r="AS41" s="491">
        <f>'KELURAHAN (DI ISI)'!AK171+'KELURAHAN (DI ISI)'!AK172</f>
        <v>0</v>
      </c>
      <c r="AT41" s="491">
        <f>'KELURAHAN (DI ISI)'!AL171+'KELURAHAN (DI ISI)'!AL172</f>
        <v>0</v>
      </c>
      <c r="AU41" s="491">
        <f>'KELURAHAN (DI ISI)'!AM171+'KELURAHAN (DI ISI)'!AM172</f>
        <v>28</v>
      </c>
      <c r="AV41" s="491">
        <f>'KELURAHAN (DI ISI)'!AN171+'KELURAHAN (DI ISI)'!AN172</f>
        <v>48</v>
      </c>
      <c r="AW41" s="491">
        <f t="shared" si="9"/>
        <v>23</v>
      </c>
      <c r="AX41" s="491">
        <f t="shared" si="10"/>
        <v>25</v>
      </c>
      <c r="AY41" s="491">
        <f>'KELURAHAN (DI ISI)'!AO171+'KELURAHAN (DI ISI)'!AO172</f>
        <v>10</v>
      </c>
      <c r="AZ41" s="491">
        <f>'KELURAHAN (DI ISI)'!AP171+'KELURAHAN (DI ISI)'!AP172</f>
        <v>4</v>
      </c>
      <c r="BA41" s="491">
        <f>'KELURAHAN (DI ISI)'!AQ171+'KELURAHAN (DI ISI)'!AQ172</f>
        <v>9</v>
      </c>
      <c r="BB41" s="491">
        <f>'KELURAHAN (DI ISI)'!AR171+'KELURAHAN (DI ISI)'!AR172</f>
        <v>25</v>
      </c>
      <c r="BC41" s="491">
        <f>'KELURAHAN (DI ISI)'!AS171+'KELURAHAN (DI ISI)'!AS172</f>
        <v>0</v>
      </c>
      <c r="BD41" s="491">
        <f>'KELURAHAN (DI ISI)'!AT171+'KELURAHAN (DI ISI)'!AT172</f>
        <v>0</v>
      </c>
      <c r="BE41" s="491">
        <f>'KELURAHAN (DI ISI)'!AU171+'KELURAHAN (DI ISI)'!AU172</f>
        <v>48</v>
      </c>
      <c r="BF41" s="491">
        <f>'KELURAHAN (DI ISI)'!AV171+'KELURAHAN (DI ISI)'!AV172</f>
        <v>1948</v>
      </c>
      <c r="BG41" s="491">
        <f>'KELURAHAN (DI ISI)'!AW171+'KELURAHAN (DI ISI)'!AW172</f>
        <v>56</v>
      </c>
      <c r="BH41" s="491">
        <f t="shared" si="11"/>
        <v>23</v>
      </c>
      <c r="BI41" s="495">
        <f t="shared" si="12"/>
        <v>33</v>
      </c>
      <c r="BJ41" s="491">
        <f>'KELURAHAN (DI ISI)'!AX171+'KELURAHAN (DI ISI)'!AX172</f>
        <v>7</v>
      </c>
      <c r="BK41" s="491">
        <f>'KELURAHAN (DI ISI)'!AY171+'KELURAHAN (DI ISI)'!AY172</f>
        <v>5</v>
      </c>
      <c r="BL41" s="491">
        <f>'KELURAHAN (DI ISI)'!AZ171+'KELURAHAN (DI ISI)'!AZ172</f>
        <v>11</v>
      </c>
      <c r="BM41" s="491">
        <f>'KELURAHAN (DI ISI)'!BA171+'KELURAHAN (DI ISI)'!BA172</f>
        <v>33</v>
      </c>
      <c r="BN41" s="491">
        <f>'KELURAHAN (DI ISI)'!BB171+'KELURAHAN (DI ISI)'!BB172</f>
        <v>0</v>
      </c>
      <c r="BO41" s="491">
        <f>'KELURAHAN (DI ISI)'!BC171+'KELURAHAN (DI ISI)'!BC172</f>
        <v>0</v>
      </c>
      <c r="BP41" s="491">
        <f>'KELURAHAN (DI ISI)'!BD171+'KELURAHAN (DI ISI)'!BD172</f>
        <v>0</v>
      </c>
      <c r="BQ41" s="491">
        <f>'KELURAHAN (DI ISI)'!BE171+'KELURAHAN (DI ISI)'!BE172</f>
        <v>0</v>
      </c>
      <c r="BR41" s="491">
        <f>'KELURAHAN (DI ISI)'!BF171+'KELURAHAN (DI ISI)'!BF172</f>
        <v>0</v>
      </c>
      <c r="BS41" s="491">
        <f>'KELURAHAN (DI ISI)'!BG171+'KELURAHAN (DI ISI)'!BG172</f>
        <v>0</v>
      </c>
      <c r="BT41" s="491">
        <f>'KELURAHAN (DI ISI)'!BH171+'KELURAHAN (DI ISI)'!BH172</f>
        <v>0</v>
      </c>
      <c r="BU41" s="491">
        <f>'KELURAHAN (DI ISI)'!BI171+'KELURAHAN (DI ISI)'!BI172</f>
        <v>0</v>
      </c>
      <c r="BV41" s="491">
        <f>'KELURAHAN (DI ISI)'!BJ171+'KELURAHAN (DI ISI)'!BJ172</f>
        <v>0</v>
      </c>
      <c r="BW41" s="491">
        <f>'KELURAHAN (DI ISI)'!BK171+'KELURAHAN (DI ISI)'!BK172</f>
        <v>0</v>
      </c>
      <c r="BX41" s="491">
        <f>'KELURAHAN (DI ISI)'!BL171+'KELURAHAN (DI ISI)'!BL172</f>
        <v>0</v>
      </c>
      <c r="BY41" s="491">
        <f>'KELURAHAN (DI ISI)'!BM171+'KELURAHAN (DI ISI)'!BM172</f>
        <v>0</v>
      </c>
      <c r="BZ41" s="491">
        <f>'KELURAHAN (DI ISI)'!BN171+'KELURAHAN (DI ISI)'!BN172</f>
        <v>0</v>
      </c>
      <c r="CA41" s="491">
        <f>'KELURAHAN (DI ISI)'!BO171+'KELURAHAN (DI ISI)'!BO172</f>
        <v>0</v>
      </c>
      <c r="CB41" s="491">
        <f>'KELURAHAN (DI ISI)'!BP171+'KELURAHAN (DI ISI)'!BP172</f>
        <v>0</v>
      </c>
      <c r="CC41" s="491">
        <f>'KELURAHAN (DI ISI)'!BQ171+'KELURAHAN (DI ISI)'!BQ172</f>
        <v>1871</v>
      </c>
      <c r="CD41" s="491">
        <f>'KELURAHAN (DI ISI)'!BR171+'KELURAHAN (DI ISI)'!BR172</f>
        <v>22</v>
      </c>
      <c r="CE41" s="491">
        <f t="shared" si="13"/>
        <v>3</v>
      </c>
      <c r="CF41" s="491">
        <f t="shared" si="14"/>
        <v>19</v>
      </c>
      <c r="CG41" s="491">
        <f>'KELURAHAN (DI ISI)'!BS171+'KELURAHAN (DI ISI)'!BS172</f>
        <v>1</v>
      </c>
      <c r="CH41" s="491">
        <f>'KELURAHAN (DI ISI)'!BT171+'KELURAHAN (DI ISI)'!BT172</f>
        <v>1</v>
      </c>
      <c r="CI41" s="491">
        <f>'KELURAHAN (DI ISI)'!BU171+'KELURAHAN (DI ISI)'!BU172</f>
        <v>1</v>
      </c>
      <c r="CJ41" s="491">
        <f>'KELURAHAN (DI ISI)'!BV171+'KELURAHAN (DI ISI)'!BV172</f>
        <v>19</v>
      </c>
      <c r="CK41" s="491">
        <f>'KELURAHAN (DI ISI)'!BW171+'KELURAHAN (DI ISI)'!BW172</f>
        <v>0</v>
      </c>
      <c r="CL41" s="491">
        <f>'KELURAHAN (DI ISI)'!BX171+'KELURAHAN (DI ISI)'!BX172</f>
        <v>0</v>
      </c>
      <c r="CM41" s="491">
        <f>'KELURAHAN (DI ISI)'!BY171+'KELURAHAN (DI ISI)'!BY172</f>
        <v>0</v>
      </c>
      <c r="CN41" s="491">
        <f>'KELURAHAN (DI ISI)'!BZ171+'KELURAHAN (DI ISI)'!BZ172</f>
        <v>0</v>
      </c>
      <c r="CO41" s="491">
        <f>'KELURAHAN (DI ISI)'!CA171+'KELURAHAN (DI ISI)'!CA172</f>
        <v>6</v>
      </c>
      <c r="CP41" s="491">
        <f>'KELURAHAN (DI ISI)'!CB171+'KELURAHAN (DI ISI)'!CB172</f>
        <v>4</v>
      </c>
      <c r="CQ41" s="491">
        <f>'KELURAHAN (DI ISI)'!CC171+'KELURAHAN (DI ISI)'!CC172</f>
        <v>8</v>
      </c>
      <c r="CR41" s="491">
        <f>'KELURAHAN (DI ISI)'!CD171+'KELURAHAN (DI ISI)'!CD172</f>
        <v>16</v>
      </c>
      <c r="CS41" s="491">
        <f>'KELURAHAN (DI ISI)'!CE171+'KELURAHAN (DI ISI)'!CE172</f>
        <v>0</v>
      </c>
      <c r="CT41" s="491">
        <f>'KELURAHAN (DI ISI)'!CF171+'KELURAHAN (DI ISI)'!CF172</f>
        <v>0</v>
      </c>
      <c r="CU41" s="491">
        <f>'KELURAHAN (DI ISI)'!CG171+'KELURAHAN (DI ISI)'!CG172</f>
        <v>0</v>
      </c>
      <c r="CV41" s="491">
        <f>'KELURAHAN (DI ISI)'!CH171+'KELURAHAN (DI ISI)'!CH172</f>
        <v>0</v>
      </c>
      <c r="CW41" s="491">
        <f>'KELURAHAN (DI ISI)'!CI171+'KELURAHAN (DI ISI)'!CI172</f>
        <v>0</v>
      </c>
      <c r="CX41" s="491">
        <f>'KELURAHAN (DI ISI)'!CJ171+'KELURAHAN (DI ISI)'!CJ172</f>
        <v>0</v>
      </c>
      <c r="CY41" s="491">
        <f>'KELURAHAN (DI ISI)'!CK171+'KELURAHAN (DI ISI)'!CK172</f>
        <v>34</v>
      </c>
      <c r="CZ41" s="491">
        <f>'KELURAHAN (DI ISI)'!CL171+'KELURAHAN (DI ISI)'!CL172</f>
        <v>1879</v>
      </c>
      <c r="DA41" s="491">
        <f>'KELURAHAN (DI ISI)'!CM171+'KELURAHAN (DI ISI)'!CM172</f>
        <v>1191</v>
      </c>
      <c r="DB41" s="491">
        <f>'KELURAHAN (DI ISI)'!CN171+'KELURAHAN (DI ISI)'!CN172</f>
        <v>42</v>
      </c>
      <c r="DC41" s="491">
        <f t="shared" si="15"/>
        <v>5</v>
      </c>
      <c r="DD41" s="491">
        <f t="shared" si="16"/>
        <v>17</v>
      </c>
      <c r="DE41" s="491">
        <f>'KELURAHAN (DI ISI)'!CO171+'KELURAHAN (DI ISI)'!CO172</f>
        <v>1</v>
      </c>
      <c r="DF41" s="491">
        <f>'KELURAHAN (DI ISI)'!CP171+'KELURAHAN (DI ISI)'!CP172</f>
        <v>1</v>
      </c>
      <c r="DG41" s="491">
        <f>'KELURAHAN (DI ISI)'!CQ171+'KELURAHAN (DI ISI)'!CQ172</f>
        <v>3</v>
      </c>
      <c r="DH41" s="491">
        <f>'KELURAHAN (DI ISI)'!CR171+'KELURAHAN (DI ISI)'!CR172</f>
        <v>17</v>
      </c>
      <c r="DI41" s="491">
        <f>'KELURAHAN (DI ISI)'!CS171+'KELURAHAN (DI ISI)'!CS172</f>
        <v>4</v>
      </c>
      <c r="DJ41" s="491">
        <f>'KELURAHAN (DI ISI)'!CT171+'KELURAHAN (DI ISI)'!CT172</f>
        <v>2</v>
      </c>
      <c r="DK41" s="491">
        <f>'KELURAHAN (DI ISI)'!CU171+'KELURAHAN (DI ISI)'!CU172</f>
        <v>5</v>
      </c>
      <c r="DL41" s="491">
        <f>'KELURAHAN (DI ISI)'!CV171+'KELURAHAN (DI ISI)'!CV172</f>
        <v>9</v>
      </c>
      <c r="DM41" s="491">
        <f>'KELURAHAN (DI ISI)'!CW171+'KELURAHAN (DI ISI)'!CW172</f>
        <v>0</v>
      </c>
      <c r="DN41" s="491">
        <f>'KELURAHAN (DI ISI)'!CX171+'KELURAHAN (DI ISI)'!CX172</f>
        <v>0</v>
      </c>
      <c r="DO41" s="491">
        <f>'KELURAHAN (DI ISI)'!CY171+'KELURAHAN (DI ISI)'!CY172</f>
        <v>0</v>
      </c>
      <c r="DP41" s="491">
        <f>'KELURAHAN (DI ISI)'!CZ171+'KELURAHAN (DI ISI)'!CZ172</f>
        <v>0</v>
      </c>
      <c r="DQ41" s="491">
        <f>'KELURAHAN (DI ISI)'!DA171+'KELURAHAN (DI ISI)'!DA172</f>
        <v>0</v>
      </c>
      <c r="DR41" s="491">
        <f>'KELURAHAN (DI ISI)'!DB171+'KELURAHAN (DI ISI)'!DB172</f>
        <v>0</v>
      </c>
      <c r="DS41" s="491">
        <f>'KELURAHAN (DI ISI)'!DC171+'KELURAHAN (DI ISI)'!DC172</f>
        <v>0</v>
      </c>
      <c r="DT41" s="491">
        <f>'KELURAHAN (DI ISI)'!DD171+'KELURAHAN (DI ISI)'!DD172</f>
        <v>0</v>
      </c>
      <c r="DU41" s="491">
        <f>'KELURAHAN (DI ISI)'!DE171+'KELURAHAN (DI ISI)'!DE172</f>
        <v>0</v>
      </c>
      <c r="DV41" s="491">
        <f>'KELURAHAN (DI ISI)'!DF171+'KELURAHAN (DI ISI)'!DF172</f>
        <v>0</v>
      </c>
      <c r="DW41" s="491">
        <f>'KELURAHAN (DI ISI)'!DG171+'KELURAHAN (DI ISI)'!DG172</f>
        <v>0</v>
      </c>
      <c r="DX41" s="491">
        <f>'KELURAHAN (DI ISI)'!DH171+'KELURAHAN (DI ISI)'!DH172</f>
        <v>1753</v>
      </c>
      <c r="DY41" s="491">
        <f>'KELURAHAN (DI ISI)'!DI171+'KELURAHAN (DI ISI)'!DI172</f>
        <v>521</v>
      </c>
      <c r="DZ41" s="491">
        <f>'KELURAHAN (DI ISI)'!DJ171+'KELURAHAN (DI ISI)'!DJ172</f>
        <v>1753</v>
      </c>
      <c r="EA41" s="491">
        <f>'KELURAHAN (DI ISI)'!DK171+'KELURAHAN (DI ISI)'!DK172</f>
        <v>521</v>
      </c>
      <c r="EB41" s="491">
        <f>'KELURAHAN (DI ISI)'!DL171+'KELURAHAN (DI ISI)'!DL172</f>
        <v>45</v>
      </c>
      <c r="EC41" s="491">
        <f>'KELURAHAN (DI ISI)'!DM171+'KELURAHAN (DI ISI)'!DM172</f>
        <v>20</v>
      </c>
      <c r="ED41" s="491">
        <f t="shared" si="17"/>
        <v>25</v>
      </c>
      <c r="EE41" s="491">
        <f>'KELURAHAN (DI ISI)'!DO171+'KELURAHAN (DI ISI)'!DO172</f>
        <v>1</v>
      </c>
      <c r="EF41" s="491">
        <f>'KELURAHAN (DI ISI)'!DP171+'KELURAHAN (DI ISI)'!DP172</f>
        <v>7</v>
      </c>
      <c r="EG41" s="491">
        <f>'KELURAHAN (DI ISI)'!DQ171+'KELURAHAN (DI ISI)'!DQ172</f>
        <v>12</v>
      </c>
      <c r="EH41" s="491">
        <f>'KELURAHAN (DI ISI)'!DR171+'KELURAHAN (DI ISI)'!DR172</f>
        <v>24</v>
      </c>
      <c r="EI41" s="491">
        <f>'KELURAHAN (DI ISI)'!DS171+'KELURAHAN (DI ISI)'!DS172</f>
        <v>0</v>
      </c>
      <c r="EJ41" s="491">
        <f>'KELURAHAN (DI ISI)'!DT171+'KELURAHAN (DI ISI)'!DT172</f>
        <v>0</v>
      </c>
      <c r="EK41" s="491">
        <f>'KELURAHAN (DI ISI)'!DU171+'KELURAHAN (DI ISI)'!DU172</f>
        <v>0</v>
      </c>
      <c r="EL41" s="491">
        <f>'KELURAHAN (DI ISI)'!DV171+'KELURAHAN (DI ISI)'!DV172</f>
        <v>1</v>
      </c>
      <c r="EM41" s="491">
        <f>'KELURAHAN (DI ISI)'!DW171+'KELURAHAN (DI ISI)'!DW172</f>
        <v>0</v>
      </c>
      <c r="EN41" s="491">
        <f>'KELURAHAN (DI ISI)'!DX171+'KELURAHAN (DI ISI)'!DX172</f>
        <v>0</v>
      </c>
      <c r="EO41" s="491">
        <f>'KELURAHAN (DI ISI)'!DY171+'KELURAHAN (DI ISI)'!DY172</f>
        <v>0</v>
      </c>
      <c r="EP41" s="491">
        <f>'KELURAHAN (DI ISI)'!DZ171+'KELURAHAN (DI ISI)'!DZ172</f>
        <v>0</v>
      </c>
      <c r="EQ41" s="491">
        <f>'KELURAHAN (DI ISI)'!EA171+'KELURAHAN (DI ISI)'!EA172</f>
        <v>0</v>
      </c>
      <c r="ER41" s="491">
        <f>'KELURAHAN (DI ISI)'!EB171+'KELURAHAN (DI ISI)'!EB172</f>
        <v>0</v>
      </c>
      <c r="ES41" s="491">
        <f>'KELURAHAN (DI ISI)'!EC171+'KELURAHAN (DI ISI)'!EC172</f>
        <v>0</v>
      </c>
      <c r="ET41" s="491">
        <f>'KELURAHAN (DI ISI)'!ED171+'KELURAHAN (DI ISI)'!ED172</f>
        <v>0</v>
      </c>
      <c r="EU41" s="491">
        <f>'KELURAHAN (DI ISI)'!EE171+'KELURAHAN (DI ISI)'!EE172</f>
        <v>2</v>
      </c>
      <c r="EV41" s="491">
        <f>'KELURAHAN (DI ISI)'!EF171+'KELURAHAN (DI ISI)'!EF172</f>
        <v>0</v>
      </c>
      <c r="EW41" s="491">
        <f>'KELURAHAN (DI ISI)'!EG171+'KELURAHAN (DI ISI)'!EG172</f>
        <v>2</v>
      </c>
      <c r="EX41" s="491">
        <f>'KELURAHAN (DI ISI)'!EH171+'KELURAHAN (DI ISI)'!EH172</f>
        <v>2</v>
      </c>
      <c r="EY41" s="491">
        <f>'KELURAHAN (DI ISI)'!EI171+'KELURAHAN (DI ISI)'!EI172</f>
        <v>1713</v>
      </c>
      <c r="EZ41" s="491">
        <f>'KELURAHAN (DI ISI)'!EJ171+'KELURAHAN (DI ISI)'!EJ172</f>
        <v>505</v>
      </c>
      <c r="FA41" s="491">
        <f>'KELURAHAN (DI ISI)'!EK171+'KELURAHAN (DI ISI)'!EK172</f>
        <v>1713</v>
      </c>
      <c r="FB41" s="491">
        <f>'KELURAHAN (DI ISI)'!EL171+'KELURAHAN (DI ISI)'!EL172</f>
        <v>505</v>
      </c>
      <c r="FC41" s="491">
        <f>'KELURAHAN (DI ISI)'!EM171+'KELURAHAN (DI ISI)'!EM172</f>
        <v>39</v>
      </c>
      <c r="FD41" s="491">
        <f>'KELURAHAN (DI ISI)'!EN171+'KELURAHAN (DI ISI)'!EN172</f>
        <v>11</v>
      </c>
      <c r="FE41" s="491">
        <f t="shared" si="18"/>
        <v>28</v>
      </c>
      <c r="FF41" s="491">
        <f>'KELURAHAN (DI ISI)'!EP171+'KELURAHAN (DI ISI)'!EP172</f>
        <v>0</v>
      </c>
      <c r="FG41" s="491">
        <f>'KELURAHAN (DI ISI)'!EQ171+'KELURAHAN (DI ISI)'!EQ172</f>
        <v>2</v>
      </c>
      <c r="FH41" s="491">
        <f>'KELURAHAN (DI ISI)'!ER171+'KELURAHAN (DI ISI)'!ER172</f>
        <v>9</v>
      </c>
      <c r="FI41" s="491">
        <f>'KELURAHAN (DI ISI)'!ES171+'KELURAHAN (DI ISI)'!ES172</f>
        <v>24</v>
      </c>
      <c r="FJ41" s="491">
        <f>'KELURAHAN (DI ISI)'!ET171+'KELURAHAN (DI ISI)'!ET172</f>
        <v>0</v>
      </c>
      <c r="FK41" s="491">
        <f>'KELURAHAN (DI ISI)'!EU171+'KELURAHAN (DI ISI)'!EU172</f>
        <v>0</v>
      </c>
      <c r="FL41" s="491">
        <f>'KELURAHAN (DI ISI)'!EV171+'KELURAHAN (DI ISI)'!EV172</f>
        <v>0</v>
      </c>
      <c r="FM41" s="491">
        <f>'KELURAHAN (DI ISI)'!EW171+'KELURAHAN (DI ISI)'!EW172</f>
        <v>4</v>
      </c>
      <c r="FN41" s="491">
        <f>'KELURAHAN (DI ISI)'!EX171+'KELURAHAN (DI ISI)'!EX172</f>
        <v>0</v>
      </c>
      <c r="FO41" s="491">
        <f>'KELURAHAN (DI ISI)'!EY171+'KELURAHAN (DI ISI)'!EY172</f>
        <v>0</v>
      </c>
      <c r="FP41" s="491">
        <f>'KELURAHAN (DI ISI)'!EZ171+'KELURAHAN (DI ISI)'!EZ172</f>
        <v>0</v>
      </c>
      <c r="FQ41" s="491">
        <f>'KELURAHAN (DI ISI)'!FA171+'KELURAHAN (DI ISI)'!FA172</f>
        <v>0</v>
      </c>
      <c r="FR41" s="491">
        <f>'KELURAHAN (DI ISI)'!FB171+'KELURAHAN (DI ISI)'!FB172</f>
        <v>0</v>
      </c>
      <c r="FS41" s="491">
        <f>'KELURAHAN (DI ISI)'!FC171+'KELURAHAN (DI ISI)'!FC172</f>
        <v>1</v>
      </c>
      <c r="FT41" s="491">
        <f>'KELURAHAN (DI ISI)'!FD171+'KELURAHAN (DI ISI)'!FD172</f>
        <v>0</v>
      </c>
      <c r="FU41" s="491">
        <f>'KELURAHAN (DI ISI)'!FE171+'KELURAHAN (DI ISI)'!FE172</f>
        <v>0</v>
      </c>
      <c r="FV41" s="491">
        <f>'KELURAHAN (DI ISI)'!FF171+'KELURAHAN (DI ISI)'!FF172</f>
        <v>0</v>
      </c>
      <c r="FW41" s="491">
        <f>'KELURAHAN (DI ISI)'!FG171+'KELURAHAN (DI ISI)'!FG172</f>
        <v>0</v>
      </c>
      <c r="FX41" s="491">
        <f>'KELURAHAN (DI ISI)'!FH171+'KELURAHAN (DI ISI)'!FH172</f>
        <v>1</v>
      </c>
      <c r="FY41" s="491">
        <f>'KELURAHAN (DI ISI)'!FI171+'KELURAHAN (DI ISI)'!FI172</f>
        <v>1</v>
      </c>
      <c r="FZ41" s="491">
        <f>'KELURAHAN (DI ISI)'!FJ171+'KELURAHAN (DI ISI)'!FJ172</f>
        <v>1695</v>
      </c>
      <c r="GA41" s="491">
        <f>'KELURAHAN (DI ISI)'!FK171+'KELURAHAN (DI ISI)'!FK172</f>
        <v>491</v>
      </c>
      <c r="GB41" s="491">
        <f>'KELURAHAN (DI ISI)'!FL171+'KELURAHAN (DI ISI)'!FL172</f>
        <v>1695</v>
      </c>
      <c r="GC41" s="491">
        <f>'KELURAHAN (DI ISI)'!FM171+'KELURAHAN (DI ISI)'!FM172</f>
        <v>491</v>
      </c>
      <c r="GD41" s="570">
        <v>1695.0</v>
      </c>
      <c r="GE41" s="571">
        <f>'KELURAHAN (DI ISI)'!FO171+'KELURAHAN (DI ISI)'!FO172</f>
        <v>33</v>
      </c>
      <c r="GF41" s="571">
        <f>'KELURAHAN (DI ISI)'!FP171+'KELURAHAN (DI ISI)'!FP172</f>
        <v>33</v>
      </c>
      <c r="GG41" s="571">
        <f>'KELURAHAN (DI ISI)'!FP171+'KELURAHAN (DI ISI)'!FP172</f>
        <v>33</v>
      </c>
      <c r="GH41" s="571">
        <f>'KELURAHAN (DI ISI)'!FQ171+'KELURAHAN (DI ISI)'!FQ172</f>
        <v>11</v>
      </c>
      <c r="GI41" s="571">
        <f t="shared" si="19"/>
        <v>22</v>
      </c>
      <c r="GJ41" s="491">
        <f>'KELURAHAN (DI ISI)'!FS171+'KELURAHAN (DI ISI)'!FS172</f>
        <v>0</v>
      </c>
      <c r="GK41" s="491">
        <f>'KELURAHAN (DI ISI)'!FT171+'KELURAHAN (DI ISI)'!FT172</f>
        <v>2</v>
      </c>
      <c r="GL41" s="491">
        <f>'KELURAHAN (DI ISI)'!FU171+'KELURAHAN (DI ISI)'!FU172</f>
        <v>8</v>
      </c>
      <c r="GM41" s="491">
        <f>'KELURAHAN (DI ISI)'!FV171+'KELURAHAN (DI ISI)'!FV172</f>
        <v>22</v>
      </c>
      <c r="GN41" s="491">
        <f>'KELURAHAN (DI ISI)'!FW171+'KELURAHAN (DI ISI)'!FW172</f>
        <v>1</v>
      </c>
      <c r="GO41" s="491">
        <f>'KELURAHAN (DI ISI)'!FX171+'KELURAHAN (DI ISI)'!FX172</f>
        <v>0</v>
      </c>
      <c r="GP41" s="491">
        <f>'KELURAHAN (DI ISI)'!FY171+'KELURAHAN (DI ISI)'!FY172</f>
        <v>0</v>
      </c>
      <c r="GQ41" s="491">
        <f>'KELURAHAN (DI ISI)'!FZ171+'KELURAHAN (DI ISI)'!FZ172</f>
        <v>0</v>
      </c>
      <c r="GR41" s="491">
        <f>'KELURAHAN (DI ISI)'!GA171+'KELURAHAN (DI ISI)'!GA172</f>
        <v>0</v>
      </c>
      <c r="GS41" s="491">
        <f>'KELURAHAN (DI ISI)'!GB171+'KELURAHAN (DI ISI)'!GB172</f>
        <v>0</v>
      </c>
      <c r="GT41" s="491">
        <f>'KELURAHAN (DI ISI)'!GC171+'KELURAHAN (DI ISI)'!GC172</f>
        <v>1</v>
      </c>
      <c r="GU41" s="491">
        <f>'KELURAHAN (DI ISI)'!GD171+'KELURAHAN (DI ISI)'!GD172</f>
        <v>6</v>
      </c>
      <c r="GV41" s="491">
        <f>'KELURAHAN (DI ISI)'!GE171+'KELURAHAN (DI ISI)'!GE172</f>
        <v>0</v>
      </c>
      <c r="GW41" s="491">
        <f>'KELURAHAN (DI ISI)'!GF171+'KELURAHAN (DI ISI)'!GF172</f>
        <v>0</v>
      </c>
      <c r="GX41" s="491">
        <f>'KELURAHAN (DI ISI)'!GG171+'KELURAHAN (DI ISI)'!GG172</f>
        <v>0</v>
      </c>
      <c r="GY41" s="491">
        <f>'KELURAHAN (DI ISI)'!GH171+'KELURAHAN (DI ISI)'!GH172</f>
        <v>0</v>
      </c>
      <c r="GZ41" s="491">
        <f>'KELURAHAN (DI ISI)'!GI171+'KELURAHAN (DI ISI)'!GI172</f>
        <v>0</v>
      </c>
      <c r="HA41" s="491">
        <f>'KELURAHAN (DI ISI)'!GJ171+'KELURAHAN (DI ISI)'!GJ172</f>
        <v>0</v>
      </c>
      <c r="HB41" s="572">
        <f>'KELURAHAN (DI ISI)'!GK171+'KELURAHAN (DI ISI)'!GK172</f>
        <v>7</v>
      </c>
      <c r="HC41" s="572">
        <f>'KELURAHAN (DI ISI)'!GL171+'KELURAHAN (DI ISI)'!GL172</f>
        <v>1</v>
      </c>
      <c r="HD41" s="491">
        <f>'KELURAHAN (DI ISI)'!GM171+'KELURAHAN (DI ISI)'!GM172</f>
        <v>1675</v>
      </c>
      <c r="HE41" s="491">
        <f>'KELURAHAN (DI ISI)'!GN171+'KELURAHAN (DI ISI)'!GN172</f>
        <v>477</v>
      </c>
      <c r="HF41" s="491">
        <f>'KELURAHAN (DI ISI)'!GO171+'KELURAHAN (DI ISI)'!GO172</f>
        <v>1675</v>
      </c>
      <c r="HG41" s="491">
        <f>'KELURAHAN (DI ISI)'!GP171+'KELURAHAN (DI ISI)'!GP172</f>
        <v>477</v>
      </c>
      <c r="HH41" s="570">
        <v>1695.0</v>
      </c>
      <c r="HI41" s="225">
        <f>'KELURAHAN (DI ISI)'!GR171+'KELURAHAN (DI ISI)'!GR172</f>
        <v>36</v>
      </c>
      <c r="HJ41" s="225">
        <f>'KELURAHAN (DI ISI)'!GS171+'KELURAHAN (DI ISI)'!GS172</f>
        <v>12</v>
      </c>
      <c r="HK41" s="573">
        <f>'KELURAHAN (DI ISI)'!GT171+'KELURAHAN (DI ISI)'!GT172</f>
        <v>36</v>
      </c>
      <c r="HL41" s="573">
        <f>'KELURAHAN (DI ISI)'!GU171+'KELURAHAN (DI ISI)'!GU172</f>
        <v>12</v>
      </c>
      <c r="HM41" s="573">
        <f t="shared" si="20"/>
        <v>24</v>
      </c>
      <c r="HN41" s="491">
        <f>'KELURAHAN (DI ISI)'!GW171+'KELURAHAN (DI ISI)'!GW172</f>
        <v>0</v>
      </c>
      <c r="HO41" s="491">
        <f>'KELURAHAN (DI ISI)'!GX171+'KELURAHAN (DI ISI)'!GX172</f>
        <v>1</v>
      </c>
      <c r="HP41" s="491">
        <f>'KELURAHAN (DI ISI)'!GY171+'KELURAHAN (DI ISI)'!GY172</f>
        <v>8</v>
      </c>
      <c r="HQ41" s="491">
        <f>'KELURAHAN (DI ISI)'!GZ171+'KELURAHAN (DI ISI)'!GZ172</f>
        <v>22</v>
      </c>
      <c r="HR41" s="491">
        <f>'KELURAHAN (DI ISI)'!HA171+'KELURAHAN (DI ISI)'!HA172</f>
        <v>2</v>
      </c>
      <c r="HS41" s="491">
        <f>'KELURAHAN (DI ISI)'!HB171+'KELURAHAN (DI ISI)'!HB172</f>
        <v>0</v>
      </c>
      <c r="HT41" s="491">
        <f>'KELURAHAN (DI ISI)'!HC171+'KELURAHAN (DI ISI)'!HC172</f>
        <v>1</v>
      </c>
      <c r="HU41" s="491">
        <f>'KELURAHAN (DI ISI)'!HD171+'KELURAHAN (DI ISI)'!HD172</f>
        <v>2</v>
      </c>
      <c r="HV41" s="491">
        <f>'KELURAHAN (DI ISI)'!HE171+'KELURAHAN (DI ISI)'!HE172</f>
        <v>0</v>
      </c>
      <c r="HW41" s="491">
        <f>'KELURAHAN (DI ISI)'!HF171+'KELURAHAN (DI ISI)'!HF172</f>
        <v>1</v>
      </c>
      <c r="HX41" s="491">
        <f>'KELURAHAN (DI ISI)'!HG171+'KELURAHAN (DI ISI)'!HG172</f>
        <v>0</v>
      </c>
      <c r="HY41" s="491">
        <f>'KELURAHAN (DI ISI)'!HH171+'KELURAHAN (DI ISI)'!HH172</f>
        <v>0</v>
      </c>
      <c r="HZ41" s="491">
        <f>'KELURAHAN (DI ISI)'!HI171+'KELURAHAN (DI ISI)'!HI172</f>
        <v>0</v>
      </c>
      <c r="IA41" s="491">
        <f>'KELURAHAN (DI ISI)'!HJ171+'KELURAHAN (DI ISI)'!HJ172</f>
        <v>0</v>
      </c>
      <c r="IB41" s="491">
        <f>'KELURAHAN (DI ISI)'!HK171+'KELURAHAN (DI ISI)'!HK172</f>
        <v>0</v>
      </c>
      <c r="IC41" s="491">
        <f>'KELURAHAN (DI ISI)'!HL171+'KELURAHAN (DI ISI)'!HL172</f>
        <v>0</v>
      </c>
      <c r="ID41" s="491">
        <f>'KELURAHAN (DI ISI)'!HM171+'KELURAHAN (DI ISI)'!HM172</f>
        <v>0</v>
      </c>
      <c r="IE41" s="491">
        <f>'KELURAHAN (DI ISI)'!HN171+'KELURAHAN (DI ISI)'!HN172</f>
        <v>0</v>
      </c>
      <c r="IF41" s="573">
        <f>'KELURAHAN (DI ISI)'!HO171+'KELURAHAN (DI ISI)'!HO172</f>
        <v>0</v>
      </c>
      <c r="IG41" s="573">
        <f>'KELURAHAN (DI ISI)'!HP171+'KELURAHAN (DI ISI)'!HP172</f>
        <v>0</v>
      </c>
      <c r="IK41" s="198">
        <f t="shared" si="21"/>
        <v>84</v>
      </c>
      <c r="IL41" s="198">
        <f t="shared" si="22"/>
        <v>87</v>
      </c>
      <c r="IM41" s="198">
        <f t="shared" si="23"/>
        <v>70</v>
      </c>
      <c r="IN41" s="198">
        <f t="shared" si="24"/>
        <v>28</v>
      </c>
      <c r="IO41" s="198">
        <f t="shared" si="25"/>
        <v>48</v>
      </c>
      <c r="IP41" s="198">
        <f t="shared" si="26"/>
        <v>56</v>
      </c>
      <c r="IQ41" s="574">
        <f t="shared" si="27"/>
        <v>22</v>
      </c>
      <c r="IR41" s="574">
        <f t="shared" si="28"/>
        <v>42</v>
      </c>
      <c r="IS41" s="574">
        <f t="shared" si="29"/>
        <v>45</v>
      </c>
      <c r="IT41" s="574">
        <f t="shared" si="30"/>
        <v>39</v>
      </c>
      <c r="IU41" s="574">
        <f t="shared" si="31"/>
        <v>33</v>
      </c>
      <c r="IV41" s="575">
        <f t="shared" si="32"/>
        <v>36</v>
      </c>
      <c r="IW41" s="583"/>
      <c r="IX41" s="576">
        <f t="shared" si="33"/>
        <v>-36</v>
      </c>
      <c r="IZ41" s="577"/>
      <c r="JA41" s="162">
        <f t="shared" si="34"/>
        <v>-1675</v>
      </c>
      <c r="JB41" s="578"/>
      <c r="JC41" s="579">
        <f t="shared" si="35"/>
        <v>-477</v>
      </c>
      <c r="JD41" s="597"/>
      <c r="JE41" s="585"/>
      <c r="JF41" s="577"/>
      <c r="JG41" s="234">
        <f t="shared" si="36"/>
        <v>-1675</v>
      </c>
      <c r="JH41" s="578"/>
      <c r="JI41" s="579">
        <f t="shared" si="37"/>
        <v>-477</v>
      </c>
      <c r="JJ41" s="247"/>
    </row>
    <row r="42" ht="14.25" customHeight="1">
      <c r="A42" s="158">
        <v>35.0</v>
      </c>
      <c r="B42" s="157" t="s">
        <v>277</v>
      </c>
      <c r="C42" s="253">
        <v>3374100.0</v>
      </c>
      <c r="D42" s="569" t="s">
        <v>285</v>
      </c>
      <c r="E42" s="253"/>
      <c r="F42" s="259">
        <f>'KELURAHAN (DI ISI)'!F168+'KELURAHAN (DI ISI)'!F169+'KELURAHAN (DI ISI)'!F170+'KELURAHAN (DI ISI)'!F173+'KELURAHAN (DI ISI)'!F174+'KELURAHAN (DI ISI)'!F177</f>
        <v>75</v>
      </c>
      <c r="G42" s="259">
        <f>'KELURAHAN (DI ISI)'!G168+'KELURAHAN (DI ISI)'!G169+'KELURAHAN (DI ISI)'!G170+'KELURAHAN (DI ISI)'!G173+'KELURAHAN (DI ISI)'!G174+'KELURAHAN (DI ISI)'!G177</f>
        <v>4528</v>
      </c>
      <c r="H42" s="259">
        <f>'KELURAHAN (DI ISI)'!H168+'KELURAHAN (DI ISI)'!H169+'KELURAHAN (DI ISI)'!H170+'KELURAHAN (DI ISI)'!H173+'KELURAHAN (DI ISI)'!H174+'KELURAHAN (DI ISI)'!H177</f>
        <v>17</v>
      </c>
      <c r="I42" s="491">
        <f t="shared" si="1"/>
        <v>9</v>
      </c>
      <c r="J42" s="491">
        <f t="shared" si="2"/>
        <v>8</v>
      </c>
      <c r="K42" s="491">
        <f>'KELURAHAN (DI ISI)'!I168+'KELURAHAN (DI ISI)'!I169+'KELURAHAN (DI ISI)'!I170+'KELURAHAN (DI ISI)'!I173+'KELURAHAN (DI ISI)'!I174+'KELURAHAN (DI ISI)'!I177</f>
        <v>0</v>
      </c>
      <c r="L42" s="491">
        <f>'KELURAHAN (DI ISI)'!J168+'KELURAHAN (DI ISI)'!J169+'KELURAHAN (DI ISI)'!J170+'KELURAHAN (DI ISI)'!J173+'KELURAHAN (DI ISI)'!J174+'KELURAHAN (DI ISI)'!J177</f>
        <v>1</v>
      </c>
      <c r="M42" s="491">
        <f>'KELURAHAN (DI ISI)'!K168+'KELURAHAN (DI ISI)'!K169+'KELURAHAN (DI ISI)'!K170+'KELURAHAN (DI ISI)'!K173+'KELURAHAN (DI ISI)'!K174+'KELURAHAN (DI ISI)'!K177</f>
        <v>8</v>
      </c>
      <c r="N42" s="491">
        <f>'KELURAHAN (DI ISI)'!L168+'KELURAHAN (DI ISI)'!L169+'KELURAHAN (DI ISI)'!L170+'KELURAHAN (DI ISI)'!L173+'KELURAHAN (DI ISI)'!L174+'KELURAHAN (DI ISI)'!L177</f>
        <v>8</v>
      </c>
      <c r="O42" s="491">
        <f>'KELURAHAN (DI ISI)'!M168+'KELURAHAN (DI ISI)'!M169+'KELURAHAN (DI ISI)'!M170+'KELURAHAN (DI ISI)'!M173+'KELURAHAN (DI ISI)'!M174+'KELURAHAN (DI ISI)'!M177</f>
        <v>0</v>
      </c>
      <c r="P42" s="491">
        <f>'KELURAHAN (DI ISI)'!N168+'KELURAHAN (DI ISI)'!N169+'KELURAHAN (DI ISI)'!N170+'KELURAHAN (DI ISI)'!N173+'KELURAHAN (DI ISI)'!N174+'KELURAHAN (DI ISI)'!N177</f>
        <v>0</v>
      </c>
      <c r="Q42" s="491">
        <f>'KELURAHAN (DI ISI)'!O168+'KELURAHAN (DI ISI)'!O169+'KELURAHAN (DI ISI)'!O170+'KELURAHAN (DI ISI)'!O173+'KELURAHAN (DI ISI)'!O174+'KELURAHAN (DI ISI)'!O177</f>
        <v>17</v>
      </c>
      <c r="R42" s="491">
        <f>'KELURAHAN (DI ISI)'!P168+'KELURAHAN (DI ISI)'!P169+'KELURAHAN (DI ISI)'!P170+'KELURAHAN (DI ISI)'!P173+'KELURAHAN (DI ISI)'!P174+'KELURAHAN (DI ISI)'!P177</f>
        <v>17</v>
      </c>
      <c r="S42" s="491">
        <f t="shared" si="3"/>
        <v>9</v>
      </c>
      <c r="T42" s="491">
        <f t="shared" si="4"/>
        <v>8</v>
      </c>
      <c r="U42" s="491">
        <f>'KELURAHAN (DI ISI)'!Q168+'KELURAHAN (DI ISI)'!Q169+'KELURAHAN (DI ISI)'!Q170+'KELURAHAN (DI ISI)'!Q173+'KELURAHAN (DI ISI)'!Q174+'KELURAHAN (DI ISI)'!Q177</f>
        <v>0</v>
      </c>
      <c r="V42" s="491">
        <f>'KELURAHAN (DI ISI)'!R168+'KELURAHAN (DI ISI)'!R169+'KELURAHAN (DI ISI)'!R170+'KELURAHAN (DI ISI)'!R173+'KELURAHAN (DI ISI)'!R174+'KELURAHAN (DI ISI)'!R177</f>
        <v>1</v>
      </c>
      <c r="W42" s="491">
        <f>'KELURAHAN (DI ISI)'!S168+'KELURAHAN (DI ISI)'!S169+'KELURAHAN (DI ISI)'!S170+'KELURAHAN (DI ISI)'!S173+'KELURAHAN (DI ISI)'!S174+'KELURAHAN (DI ISI)'!S177</f>
        <v>8</v>
      </c>
      <c r="X42" s="491">
        <f>'KELURAHAN (DI ISI)'!T168+'KELURAHAN (DI ISI)'!T169+'KELURAHAN (DI ISI)'!T170+'KELURAHAN (DI ISI)'!T173+'KELURAHAN (DI ISI)'!T174+'KELURAHAN (DI ISI)'!T177</f>
        <v>8</v>
      </c>
      <c r="Y42" s="491">
        <f>'KELURAHAN (DI ISI)'!U168+'KELURAHAN (DI ISI)'!U169+'KELURAHAN (DI ISI)'!U170+'KELURAHAN (DI ISI)'!U173+'KELURAHAN (DI ISI)'!U174+'KELURAHAN (DI ISI)'!U177</f>
        <v>0</v>
      </c>
      <c r="Z42" s="491">
        <f>'KELURAHAN (DI ISI)'!V168+'KELURAHAN (DI ISI)'!V169+'KELURAHAN (DI ISI)'!V170+'KELURAHAN (DI ISI)'!V173+'KELURAHAN (DI ISI)'!V174+'KELURAHAN (DI ISI)'!V177</f>
        <v>0</v>
      </c>
      <c r="AA42" s="491">
        <f>'KELURAHAN (DI ISI)'!W168+'KELURAHAN (DI ISI)'!W169+'KELURAHAN (DI ISI)'!W170+'KELURAHAN (DI ISI)'!W173+'KELURAHAN (DI ISI)'!W174+'KELURAHAN (DI ISI)'!W177</f>
        <v>17</v>
      </c>
      <c r="AB42" s="491">
        <f>'KELURAHAN (DI ISI)'!X168+'KELURAHAN (DI ISI)'!X169+'KELURAHAN (DI ISI)'!X170+'KELURAHAN (DI ISI)'!X173+'KELURAHAN (DI ISI)'!X174+'KELURAHAN (DI ISI)'!X177</f>
        <v>17</v>
      </c>
      <c r="AC42" s="491">
        <f t="shared" si="5"/>
        <v>9</v>
      </c>
      <c r="AD42" s="491">
        <f t="shared" si="6"/>
        <v>8</v>
      </c>
      <c r="AE42" s="491">
        <f>'KELURAHAN (DI ISI)'!Y168+'KELURAHAN (DI ISI)'!Y169+'KELURAHAN (DI ISI)'!Y170+'KELURAHAN (DI ISI)'!Y173+'KELURAHAN (DI ISI)'!Y174+'KELURAHAN (DI ISI)'!Y177</f>
        <v>0</v>
      </c>
      <c r="AF42" s="491">
        <f>'KELURAHAN (DI ISI)'!Z168+'KELURAHAN (DI ISI)'!Z169+'KELURAHAN (DI ISI)'!Z170+'KELURAHAN (DI ISI)'!Z173+'KELURAHAN (DI ISI)'!Z174+'KELURAHAN (DI ISI)'!Z177</f>
        <v>1</v>
      </c>
      <c r="AG42" s="491">
        <f>'KELURAHAN (DI ISI)'!AA168+'KELURAHAN (DI ISI)'!AA169+'KELURAHAN (DI ISI)'!AA170+'KELURAHAN (DI ISI)'!AA173+'KELURAHAN (DI ISI)'!AA174+'KELURAHAN (DI ISI)'!AA177</f>
        <v>8</v>
      </c>
      <c r="AH42" s="491">
        <f>'KELURAHAN (DI ISI)'!AB168+'KELURAHAN (DI ISI)'!AB169+'KELURAHAN (DI ISI)'!AB170+'KELURAHAN (DI ISI)'!AB173+'KELURAHAN (DI ISI)'!AB174+'KELURAHAN (DI ISI)'!AB177</f>
        <v>8</v>
      </c>
      <c r="AI42" s="491">
        <f>'KELURAHAN (DI ISI)'!AC168+'KELURAHAN (DI ISI)'!AC169+'KELURAHAN (DI ISI)'!AC170+'KELURAHAN (DI ISI)'!AC173+'KELURAHAN (DI ISI)'!AC174+'KELURAHAN (DI ISI)'!AC177</f>
        <v>0</v>
      </c>
      <c r="AJ42" s="491">
        <f>'KELURAHAN (DI ISI)'!AD168+'KELURAHAN (DI ISI)'!AD169+'KELURAHAN (DI ISI)'!AD170+'KELURAHAN (DI ISI)'!AD173+'KELURAHAN (DI ISI)'!AD174+'KELURAHAN (DI ISI)'!AD177</f>
        <v>0</v>
      </c>
      <c r="AK42" s="491">
        <f>'KELURAHAN (DI ISI)'!AE168+'KELURAHAN (DI ISI)'!AE169+'KELURAHAN (DI ISI)'!AE170+'KELURAHAN (DI ISI)'!AE173+'KELURAHAN (DI ISI)'!AE174+'KELURAHAN (DI ISI)'!AE177</f>
        <v>17</v>
      </c>
      <c r="AL42" s="491">
        <f>'KELURAHAN (DI ISI)'!AF168+'KELURAHAN (DI ISI)'!AF169+'KELURAHAN (DI ISI)'!AF170+'KELURAHAN (DI ISI)'!AF173+'KELURAHAN (DI ISI)'!AF174+'KELURAHAN (DI ISI)'!AF177</f>
        <v>17</v>
      </c>
      <c r="AM42" s="491">
        <f t="shared" si="7"/>
        <v>9</v>
      </c>
      <c r="AN42" s="491">
        <f t="shared" si="8"/>
        <v>8</v>
      </c>
      <c r="AO42" s="491">
        <f>'KELURAHAN (DI ISI)'!AG168+'KELURAHAN (DI ISI)'!AG169+'KELURAHAN (DI ISI)'!AG170+'KELURAHAN (DI ISI)'!AG173+'KELURAHAN (DI ISI)'!AG174+'KELURAHAN (DI ISI)'!AG177</f>
        <v>0</v>
      </c>
      <c r="AP42" s="491">
        <f>'KELURAHAN (DI ISI)'!AH168+'KELURAHAN (DI ISI)'!AH169+'KELURAHAN (DI ISI)'!AH170+'KELURAHAN (DI ISI)'!AH173+'KELURAHAN (DI ISI)'!AH174+'KELURAHAN (DI ISI)'!AH177</f>
        <v>1</v>
      </c>
      <c r="AQ42" s="491">
        <f>'KELURAHAN (DI ISI)'!AI168+'KELURAHAN (DI ISI)'!AI169+'KELURAHAN (DI ISI)'!AI170+'KELURAHAN (DI ISI)'!AI173+'KELURAHAN (DI ISI)'!AI174+'KELURAHAN (DI ISI)'!AI177</f>
        <v>8</v>
      </c>
      <c r="AR42" s="491">
        <f>'KELURAHAN (DI ISI)'!AJ168+'KELURAHAN (DI ISI)'!AJ169+'KELURAHAN (DI ISI)'!AJ170+'KELURAHAN (DI ISI)'!AJ173+'KELURAHAN (DI ISI)'!AJ174+'KELURAHAN (DI ISI)'!AJ177</f>
        <v>8</v>
      </c>
      <c r="AS42" s="491">
        <f>'KELURAHAN (DI ISI)'!AK168+'KELURAHAN (DI ISI)'!AK169+'KELURAHAN (DI ISI)'!AK170+'KELURAHAN (DI ISI)'!AK173+'KELURAHAN (DI ISI)'!AK174+'KELURAHAN (DI ISI)'!AK177</f>
        <v>1</v>
      </c>
      <c r="AT42" s="491">
        <f>'KELURAHAN (DI ISI)'!AL168+'KELURAHAN (DI ISI)'!AL169+'KELURAHAN (DI ISI)'!AL170+'KELURAHAN (DI ISI)'!AL173+'KELURAHAN (DI ISI)'!AL174+'KELURAHAN (DI ISI)'!AL177</f>
        <v>1</v>
      </c>
      <c r="AU42" s="491">
        <f>'KELURAHAN (DI ISI)'!AM168+'KELURAHAN (DI ISI)'!AM169+'KELURAHAN (DI ISI)'!AM170+'KELURAHAN (DI ISI)'!AM173+'KELURAHAN (DI ISI)'!AM174+'KELURAHAN (DI ISI)'!AM177</f>
        <v>15</v>
      </c>
      <c r="AV42" s="491">
        <f>'KELURAHAN (DI ISI)'!AN168+'KELURAHAN (DI ISI)'!AN169+'KELURAHAN (DI ISI)'!AN170+'KELURAHAN (DI ISI)'!AN173+'KELURAHAN (DI ISI)'!AN174+'KELURAHAN (DI ISI)'!AN177</f>
        <v>17</v>
      </c>
      <c r="AW42" s="491">
        <f t="shared" si="9"/>
        <v>9</v>
      </c>
      <c r="AX42" s="491">
        <f t="shared" si="10"/>
        <v>8</v>
      </c>
      <c r="AY42" s="491">
        <f>'KELURAHAN (DI ISI)'!AO168+'KELURAHAN (DI ISI)'!AO169+'KELURAHAN (DI ISI)'!AO170+'KELURAHAN (DI ISI)'!AO173+'KELURAHAN (DI ISI)'!AO174+'KELURAHAN (DI ISI)'!AO177</f>
        <v>0</v>
      </c>
      <c r="AZ42" s="491">
        <f>'KELURAHAN (DI ISI)'!AP168+'KELURAHAN (DI ISI)'!AP169+'KELURAHAN (DI ISI)'!AP170+'KELURAHAN (DI ISI)'!AP173+'KELURAHAN (DI ISI)'!AP174+'KELURAHAN (DI ISI)'!AP177</f>
        <v>1</v>
      </c>
      <c r="BA42" s="491">
        <f>'KELURAHAN (DI ISI)'!AQ168+'KELURAHAN (DI ISI)'!AQ169+'KELURAHAN (DI ISI)'!AQ170+'KELURAHAN (DI ISI)'!AQ173+'KELURAHAN (DI ISI)'!AQ174+'KELURAHAN (DI ISI)'!AQ177</f>
        <v>8</v>
      </c>
      <c r="BB42" s="491">
        <f>'KELURAHAN (DI ISI)'!AR168+'KELURAHAN (DI ISI)'!AR169+'KELURAHAN (DI ISI)'!AR170+'KELURAHAN (DI ISI)'!AR173+'KELURAHAN (DI ISI)'!AR174+'KELURAHAN (DI ISI)'!AR177</f>
        <v>8</v>
      </c>
      <c r="BC42" s="491">
        <f>'KELURAHAN (DI ISI)'!AS168+'KELURAHAN (DI ISI)'!AS169+'KELURAHAN (DI ISI)'!AS170+'KELURAHAN (DI ISI)'!AS173+'KELURAHAN (DI ISI)'!AS174+'KELURAHAN (DI ISI)'!AS177</f>
        <v>2</v>
      </c>
      <c r="BD42" s="491">
        <f>'KELURAHAN (DI ISI)'!AT168+'KELURAHAN (DI ISI)'!AT169+'KELURAHAN (DI ISI)'!AT170+'KELURAHAN (DI ISI)'!AT173+'KELURAHAN (DI ISI)'!AT174+'KELURAHAN (DI ISI)'!AT177</f>
        <v>2</v>
      </c>
      <c r="BE42" s="491">
        <f>'KELURAHAN (DI ISI)'!AU168+'KELURAHAN (DI ISI)'!AU169+'KELURAHAN (DI ISI)'!AU170+'KELURAHAN (DI ISI)'!AU173+'KELURAHAN (DI ISI)'!AU174+'KELURAHAN (DI ISI)'!AU177</f>
        <v>13</v>
      </c>
      <c r="BF42" s="491">
        <f>'KELURAHAN (DI ISI)'!AV168+'KELURAHAN (DI ISI)'!AV169+'KELURAHAN (DI ISI)'!AV170+'KELURAHAN (DI ISI)'!AV173+'KELURAHAN (DI ISI)'!AV174+'KELURAHAN (DI ISI)'!AV177</f>
        <v>4540</v>
      </c>
      <c r="BG42" s="491">
        <f>'KELURAHAN (DI ISI)'!AW168+'KELURAHAN (DI ISI)'!AW169+'KELURAHAN (DI ISI)'!AW170+'KELURAHAN (DI ISI)'!AW173+'KELURAHAN (DI ISI)'!AW174+'KELURAHAN (DI ISI)'!AW177</f>
        <v>19</v>
      </c>
      <c r="BH42" s="491">
        <f t="shared" si="11"/>
        <v>5</v>
      </c>
      <c r="BI42" s="495">
        <f t="shared" si="12"/>
        <v>8</v>
      </c>
      <c r="BJ42" s="491">
        <f>'KELURAHAN (DI ISI)'!AX168+'KELURAHAN (DI ISI)'!AX169+'KELURAHAN (DI ISI)'!AX170+'KELURAHAN (DI ISI)'!AX173+'KELURAHAN (DI ISI)'!AX174+'KELURAHAN (DI ISI)'!AX177</f>
        <v>0</v>
      </c>
      <c r="BK42" s="491">
        <f>'KELURAHAN (DI ISI)'!AY168+'KELURAHAN (DI ISI)'!AY169+'KELURAHAN (DI ISI)'!AY170+'KELURAHAN (DI ISI)'!AY173+'KELURAHAN (DI ISI)'!AY174+'KELURAHAN (DI ISI)'!AY177</f>
        <v>1</v>
      </c>
      <c r="BL42" s="491">
        <f>'KELURAHAN (DI ISI)'!AZ168+'KELURAHAN (DI ISI)'!AZ169+'KELURAHAN (DI ISI)'!AZ170+'KELURAHAN (DI ISI)'!AZ173+'KELURAHAN (DI ISI)'!AZ174+'KELURAHAN (DI ISI)'!AZ177</f>
        <v>4</v>
      </c>
      <c r="BM42" s="491">
        <f>'KELURAHAN (DI ISI)'!BA168+'KELURAHAN (DI ISI)'!BA169+'KELURAHAN (DI ISI)'!BA170+'KELURAHAN (DI ISI)'!BA173+'KELURAHAN (DI ISI)'!BA174+'KELURAHAN (DI ISI)'!BA177</f>
        <v>8</v>
      </c>
      <c r="BN42" s="491">
        <f>'KELURAHAN (DI ISI)'!BB168+'KELURAHAN (DI ISI)'!BB169+'KELURAHAN (DI ISI)'!BB170+'KELURAHAN (DI ISI)'!BB173+'KELURAHAN (DI ISI)'!BB174+'KELURAHAN (DI ISI)'!BB177</f>
        <v>0</v>
      </c>
      <c r="BO42" s="491">
        <f>'KELURAHAN (DI ISI)'!BC168+'KELURAHAN (DI ISI)'!BC169+'KELURAHAN (DI ISI)'!BC170+'KELURAHAN (DI ISI)'!BC173+'KELURAHAN (DI ISI)'!BC174+'KELURAHAN (DI ISI)'!BC177</f>
        <v>0</v>
      </c>
      <c r="BP42" s="491">
        <f>'KELURAHAN (DI ISI)'!BD168+'KELURAHAN (DI ISI)'!BD169+'KELURAHAN (DI ISI)'!BD170+'KELURAHAN (DI ISI)'!BD173+'KELURAHAN (DI ISI)'!BD174+'KELURAHAN (DI ISI)'!BD177</f>
        <v>4</v>
      </c>
      <c r="BQ42" s="491">
        <f>'KELURAHAN (DI ISI)'!BE168+'KELURAHAN (DI ISI)'!BE169+'KELURAHAN (DI ISI)'!BE170+'KELURAHAN (DI ISI)'!BE173+'KELURAHAN (DI ISI)'!BE174+'KELURAHAN (DI ISI)'!BE177</f>
        <v>2</v>
      </c>
      <c r="BR42" s="491">
        <f>'KELURAHAN (DI ISI)'!BF168+'KELURAHAN (DI ISI)'!BF169+'KELURAHAN (DI ISI)'!BF170+'KELURAHAN (DI ISI)'!BF173+'KELURAHAN (DI ISI)'!BF174+'KELURAHAN (DI ISI)'!BF177</f>
        <v>0</v>
      </c>
      <c r="BS42" s="491">
        <f>'KELURAHAN (DI ISI)'!BG168+'KELURAHAN (DI ISI)'!BG169+'KELURAHAN (DI ISI)'!BG170+'KELURAHAN (DI ISI)'!BG173+'KELURAHAN (DI ISI)'!BG174+'KELURAHAN (DI ISI)'!BG177</f>
        <v>0</v>
      </c>
      <c r="BT42" s="491">
        <f>'KELURAHAN (DI ISI)'!BH168+'KELURAHAN (DI ISI)'!BH169+'KELURAHAN (DI ISI)'!BH170+'KELURAHAN (DI ISI)'!BH173+'KELURAHAN (DI ISI)'!BH174+'KELURAHAN (DI ISI)'!BH177</f>
        <v>2</v>
      </c>
      <c r="BU42" s="491">
        <f>'KELURAHAN (DI ISI)'!BI168+'KELURAHAN (DI ISI)'!BJ168+'KELURAHAN (DI ISI)'!BI170+'KELURAHAN (DI ISI)'!BI173+'KELURAHAN (DI ISI)'!BI174+'KELURAHAN (DI ISI)'!BI177</f>
        <v>2</v>
      </c>
      <c r="BV42" s="491">
        <f>'KELURAHAN (DI ISI)'!BJ172+'KELURAHAN (DI ISI)'!BJ173</f>
        <v>0</v>
      </c>
      <c r="BW42" s="491">
        <f>'KELURAHAN (DI ISI)'!BK168+'KELURAHAN (DI ISI)'!BK169+'KELURAHAN (DI ISI)'!BK170+'KELURAHAN (DI ISI)'!BK173+'KELURAHAN (DI ISI)'!BK174+'KELURAHAN (DI ISI)'!BK177</f>
        <v>0</v>
      </c>
      <c r="BX42" s="491">
        <f>'KELURAHAN (DI ISI)'!BL168+'KELURAHAN (DI ISI)'!BL169+'KELURAHAN (DI ISI)'!BL170+'KELURAHAN (DI ISI)'!BL173+'KELURAHAN (DI ISI)'!BL174+'KELURAHAN (DI ISI)'!BL177</f>
        <v>0</v>
      </c>
      <c r="BY42" s="491">
        <f>'KELURAHAN (DI ISI)'!BM168+'KELURAHAN (DI ISI)'!BM169+'KELURAHAN (DI ISI)'!BM170+'KELURAHAN (DI ISI)'!BM173+'KELURAHAN (DI ISI)'!BM174+'KELURAHAN (DI ISI)'!BM177</f>
        <v>0</v>
      </c>
      <c r="BZ42" s="491">
        <f>'KELURAHAN (DI ISI)'!BN168+'KELURAHAN (DI ISI)'!BN169+'KELURAHAN (DI ISI)'!BN170+'KELURAHAN (DI ISI)'!BN173+'KELURAHAN (DI ISI)'!BN174+'KELURAHAN (DI ISI)'!BN177</f>
        <v>0</v>
      </c>
      <c r="CA42" s="491">
        <f>'KELURAHAN (DI ISI)'!BO168+'KELURAHAN (DI ISI)'!BO169+'KELURAHAN (DI ISI)'!BO170+'KELURAHAN (DI ISI)'!BO173+'KELURAHAN (DI ISI)'!BO174+'KELURAHAN (DI ISI)'!BO177</f>
        <v>0</v>
      </c>
      <c r="CB42" s="491">
        <f>'KELURAHAN (DI ISI)'!BP168+'KELURAHAN (DI ISI)'!BP169+'KELURAHAN (DI ISI)'!BP170+'KELURAHAN (DI ISI)'!BP173+'KELURAHAN (DI ISI)'!BP174+'KELURAHAN (DI ISI)'!BP177</f>
        <v>4</v>
      </c>
      <c r="CC42" s="491">
        <f>'KELURAHAN (DI ISI)'!BQ168+'KELURAHAN (DI ISI)'!BQ169+'KELURAHAN (DI ISI)'!BQ170+'KELURAHAN (DI ISI)'!BQ173+'KELURAHAN (DI ISI)'!BQ174+'KELURAHAN (DI ISI)'!BQ177</f>
        <v>4540</v>
      </c>
      <c r="CD42" s="491">
        <f>'KELURAHAN (DI ISI)'!BR168+'KELURAHAN (DI ISI)'!BR169+'KELURAHAN (DI ISI)'!BR170+'KELURAHAN (DI ISI)'!BR173+'KELURAHAN (DI ISI)'!BR174+'KELURAHAN (DI ISI)'!BR177</f>
        <v>17</v>
      </c>
      <c r="CE42" s="491">
        <f t="shared" si="13"/>
        <v>8</v>
      </c>
      <c r="CF42" s="491">
        <f t="shared" si="14"/>
        <v>7</v>
      </c>
      <c r="CG42" s="491">
        <f>'KELURAHAN (DI ISI)'!BS168+'KELURAHAN (DI ISI)'!BS169+'KELURAHAN (DI ISI)'!BS170+'KELURAHAN (DI ISI)'!BS173+'KELURAHAN (DI ISI)'!BS174+'KELURAHAN (DI ISI)'!BS177</f>
        <v>0</v>
      </c>
      <c r="CH42" s="491">
        <f>'KELURAHAN (DI ISI)'!BT168+'KELURAHAN (DI ISI)'!BT169+'KELURAHAN (DI ISI)'!BT170+'KELURAHAN (DI ISI)'!BT173+'KELURAHAN (DI ISI)'!BT174+'KELURAHAN (DI ISI)'!BT177</f>
        <v>1</v>
      </c>
      <c r="CI42" s="491">
        <f>'KELURAHAN (DI ISI)'!BU168+'KELURAHAN (DI ISI)'!BU169+'KELURAHAN (DI ISI)'!BU170+'KELURAHAN (DI ISI)'!BU173+'KELURAHAN (DI ISI)'!BU174+'KELURAHAN (DI ISI)'!BU177</f>
        <v>7</v>
      </c>
      <c r="CJ42" s="491">
        <f>'KELURAHAN (DI ISI)'!BV168+'KELURAHAN (DI ISI)'!BV169+'KELURAHAN (DI ISI)'!BV170+'KELURAHAN (DI ISI)'!BV173+'KELURAHAN (DI ISI)'!BV174+'KELURAHAN (DI ISI)'!BV177</f>
        <v>7</v>
      </c>
      <c r="CK42" s="491">
        <f>'KELURAHAN (DI ISI)'!BW168+'KELURAHAN (DI ISI)'!BW169+'KELURAHAN (DI ISI)'!BW170+'KELURAHAN (DI ISI)'!BW173+'KELURAHAN (DI ISI)'!BW174+'KELURAHAN (DI ISI)'!BW177</f>
        <v>0</v>
      </c>
      <c r="CL42" s="491">
        <f>'KELURAHAN (DI ISI)'!BX168+'KELURAHAN (DI ISI)'!BX169+'KELURAHAN (DI ISI)'!BX170+'KELURAHAN (DI ISI)'!BX173+'KELURAHAN (DI ISI)'!BX174+'KELURAHAN (DI ISI)'!BX177</f>
        <v>0</v>
      </c>
      <c r="CM42" s="491">
        <f>'KELURAHAN (DI ISI)'!BY168+'KELURAHAN (DI ISI)'!BY169+'KELURAHAN (DI ISI)'!BY170+'KELURAHAN (DI ISI)'!BY173+'KELURAHAN (DI ISI)'!BY174+'KELURAHAN (DI ISI)'!BY177</f>
        <v>1</v>
      </c>
      <c r="CN42" s="491">
        <f>'KELURAHAN (DI ISI)'!BZ168+'KELURAHAN (DI ISI)'!BZ169+'KELURAHAN (DI ISI)'!BZ170+'KELURAHAN (DI ISI)'!BZ173+'KELURAHAN (DI ISI)'!BZ174+'KELURAHAN (DI ISI)'!BZ177</f>
        <v>1</v>
      </c>
      <c r="CO42" s="491">
        <f>'KELURAHAN (DI ISI)'!CA168+'KELURAHAN (DI ISI)'!CA169+'KELURAHAN (DI ISI)'!CA170+'KELURAHAN (DI ISI)'!CA173+'KELURAHAN (DI ISI)'!CA174+'KELURAHAN (DI ISI)'!CA177</f>
        <v>0</v>
      </c>
      <c r="CP42" s="491">
        <f>'KELURAHAN (DI ISI)'!CB168+'KELURAHAN (DI ISI)'!CB169+'KELURAHAN (DI ISI)'!CB170+'KELURAHAN (DI ISI)'!CB173+'KELURAHAN (DI ISI)'!CB174+'KELURAHAN (DI ISI)'!CB177</f>
        <v>0</v>
      </c>
      <c r="CQ42" s="491">
        <f>'KELURAHAN (DI ISI)'!CC168+'KELURAHAN (DI ISI)'!CC169+'KELURAHAN (DI ISI)'!CC170+'KELURAHAN (DI ISI)'!CC173+'KELURAHAN (DI ISI)'!CC174+'KELURAHAN (DI ISI)'!CC177</f>
        <v>0</v>
      </c>
      <c r="CR42" s="491">
        <f>'KELURAHAN (DI ISI)'!CD168+'KELURAHAN (DI ISI)'!CE168+'KELURAHAN (DI ISI)'!CD170+'KELURAHAN (DI ISI)'!CD173+'KELURAHAN (DI ISI)'!CD174+'KELURAHAN (DI ISI)'!CD177</f>
        <v>3</v>
      </c>
      <c r="CS42" s="491">
        <f>'KELURAHAN (DI ISI)'!CE172+'KELURAHAN (DI ISI)'!CE173</f>
        <v>0</v>
      </c>
      <c r="CT42" s="491">
        <f>'KELURAHAN (DI ISI)'!CF168+'KELURAHAN (DI ISI)'!CF169+'KELURAHAN (DI ISI)'!CF170+'KELURAHAN (DI ISI)'!CF173+'KELURAHAN (DI ISI)'!CF174+'KELURAHAN (DI ISI)'!CF177</f>
        <v>0</v>
      </c>
      <c r="CU42" s="491">
        <f>'KELURAHAN (DI ISI)'!CG168+'KELURAHAN (DI ISI)'!CG169+'KELURAHAN (DI ISI)'!CG170+'KELURAHAN (DI ISI)'!CG173+'KELURAHAN (DI ISI)'!CG174+'KELURAHAN (DI ISI)'!CG177</f>
        <v>0</v>
      </c>
      <c r="CV42" s="491">
        <f>'KELURAHAN (DI ISI)'!CH168+'KELURAHAN (DI ISI)'!CH169+'KELURAHAN (DI ISI)'!CH170+'KELURAHAN (DI ISI)'!CH173+'KELURAHAN (DI ISI)'!CH174+'KELURAHAN (DI ISI)'!CH177</f>
        <v>0</v>
      </c>
      <c r="CW42" s="491">
        <f>'KELURAHAN (DI ISI)'!CI168+'KELURAHAN (DI ISI)'!CI169+'KELURAHAN (DI ISI)'!CI170+'KELURAHAN (DI ISI)'!CI173+'KELURAHAN (DI ISI)'!CI174+'KELURAHAN (DI ISI)'!CI177</f>
        <v>0</v>
      </c>
      <c r="CX42" s="491">
        <f>'KELURAHAN (DI ISI)'!CJ168+'KELURAHAN (DI ISI)'!CJ169+'KELURAHAN (DI ISI)'!CJ170+'KELURAHAN (DI ISI)'!CJ173+'KELURAHAN (DI ISI)'!CJ174+'KELURAHAN (DI ISI)'!CJ177</f>
        <v>0</v>
      </c>
      <c r="CY42" s="491">
        <f>'KELURAHAN (DI ISI)'!CK168+'KELURAHAN (DI ISI)'!CK169+'KELURAHAN (DI ISI)'!CK170+'KELURAHAN (DI ISI)'!CK173+'KELURAHAN (DI ISI)'!CK174+'KELURAHAN (DI ISI)'!CK177</f>
        <v>4</v>
      </c>
      <c r="CZ42" s="491">
        <f>'KELURAHAN (DI ISI)'!CL168+'KELURAHAN (DI ISI)'!CL169+'KELURAHAN (DI ISI)'!CL170+'KELURAHAN (DI ISI)'!CL173+'KELURAHAN (DI ISI)'!CL174+'KELURAHAN (DI ISI)'!CL177</f>
        <v>4547</v>
      </c>
      <c r="DA42" s="491">
        <f>'KELURAHAN (DI ISI)'!CM168+'KELURAHAN (DI ISI)'!CM169+'KELURAHAN (DI ISI)'!CM170+'KELURAHAN (DI ISI)'!CM173+'KELURAHAN (DI ISI)'!CM174+'KELURAHAN (DI ISI)'!CM177</f>
        <v>1305</v>
      </c>
      <c r="DB42" s="491">
        <f>'KELURAHAN (DI ISI)'!CN168+'KELURAHAN (DI ISI)'!CN169+'KELURAHAN (DI ISI)'!CN170+'KELURAHAN (DI ISI)'!CN173+'KELURAHAN (DI ISI)'!CN174+'KELURAHAN (DI ISI)'!CN177</f>
        <v>16</v>
      </c>
      <c r="DC42" s="491">
        <f t="shared" si="15"/>
        <v>7</v>
      </c>
      <c r="DD42" s="491">
        <f t="shared" si="16"/>
        <v>9</v>
      </c>
      <c r="DE42" s="491">
        <f>'KELURAHAN (DI ISI)'!CO168+'KELURAHAN (DI ISI)'!CO169+'KELURAHAN (DI ISI)'!CO170+'KELURAHAN (DI ISI)'!CO173+'KELURAHAN (DI ISI)'!CO174+'KELURAHAN (DI ISI)'!CO177</f>
        <v>0</v>
      </c>
      <c r="DF42" s="491">
        <f>'KELURAHAN (DI ISI)'!CP168+'KELURAHAN (DI ISI)'!CP169+'KELURAHAN (DI ISI)'!CP170+'KELURAHAN (DI ISI)'!CP173+'KELURAHAN (DI ISI)'!CP174+'KELURAHAN (DI ISI)'!CP177</f>
        <v>0</v>
      </c>
      <c r="DG42" s="491">
        <f>'KELURAHAN (DI ISI)'!CQ168+'KELURAHAN (DI ISI)'!CQ169+'KELURAHAN (DI ISI)'!CQ170+'KELURAHAN (DI ISI)'!CQ173+'KELURAHAN (DI ISI)'!CQ174+'KELURAHAN (DI ISI)'!CQ177</f>
        <v>7</v>
      </c>
      <c r="DH42" s="491">
        <f>'KELURAHAN (DI ISI)'!CR168+'KELURAHAN (DI ISI)'!CR169+'KELURAHAN (DI ISI)'!CR170+'KELURAHAN (DI ISI)'!CR173+'KELURAHAN (DI ISI)'!CR174+'KELURAHAN (DI ISI)'!CR177</f>
        <v>9</v>
      </c>
      <c r="DI42" s="491">
        <f>'KELURAHAN (DI ISI)'!CS168+'KELURAHAN (DI ISI)'!CS169+'KELURAHAN (DI ISI)'!CS170+'KELURAHAN (DI ISI)'!CS173+'KELURAHAN (DI ISI)'!CS174+'KELURAHAN (DI ISI)'!CS177</f>
        <v>0</v>
      </c>
      <c r="DJ42" s="491">
        <f>'KELURAHAN (DI ISI)'!CT168+'KELURAHAN (DI ISI)'!CT169+'KELURAHAN (DI ISI)'!CT170+'KELURAHAN (DI ISI)'!CT173+'KELURAHAN (DI ISI)'!CT174+'KELURAHAN (DI ISI)'!CT177</f>
        <v>0</v>
      </c>
      <c r="DK42" s="491">
        <f>'KELURAHAN (DI ISI)'!CU168+'KELURAHAN (DI ISI)'!CU169+'KELURAHAN (DI ISI)'!CU170+'KELURAHAN (DI ISI)'!CU173+'KELURAHAN (DI ISI)'!CU174+'KELURAHAN (DI ISI)'!CU177</f>
        <v>0</v>
      </c>
      <c r="DL42" s="491">
        <f>'KELURAHAN (DI ISI)'!CV168+'KELURAHAN (DI ISI)'!CV169+'KELURAHAN (DI ISI)'!CV170+'KELURAHAN (DI ISI)'!CV173+'KELURAHAN (DI ISI)'!CV174+'KELURAHAN (DI ISI)'!CV177</f>
        <v>0</v>
      </c>
      <c r="DM42" s="491">
        <f>'KELURAHAN (DI ISI)'!CW168+'KELURAHAN (DI ISI)'!CW169+'KELURAHAN (DI ISI)'!CW170+'KELURAHAN (DI ISI)'!CW173+'KELURAHAN (DI ISI)'!CW174+'KELURAHAN (DI ISI)'!CW177</f>
        <v>0</v>
      </c>
      <c r="DN42" s="491">
        <f>'KELURAHAN (DI ISI)'!CX168+'KELURAHAN (DI ISI)'!CX169+'KELURAHAN (DI ISI)'!CX170+'KELURAHAN (DI ISI)'!CX173+'KELURAHAN (DI ISI)'!CX174+'KELURAHAN (DI ISI)'!CX177</f>
        <v>0</v>
      </c>
      <c r="DO42" s="491">
        <f>'KELURAHAN (DI ISI)'!CY168+'KELURAHAN (DI ISI)'!CY169+'KELURAHAN (DI ISI)'!CY170+'KELURAHAN (DI ISI)'!CY173+'KELURAHAN (DI ISI)'!CY174+'KELURAHAN (DI ISI)'!CY177</f>
        <v>0</v>
      </c>
      <c r="DP42" s="491">
        <f>'KELURAHAN (DI ISI)'!CZ168+'KELURAHAN (DI ISI)'!DA168+'KELURAHAN (DI ISI)'!CZ170+'KELURAHAN (DI ISI)'!CZ173+'KELURAHAN (DI ISI)'!CZ174+'KELURAHAN (DI ISI)'!CZ177</f>
        <v>0</v>
      </c>
      <c r="DQ42" s="491">
        <f>'KELURAHAN (DI ISI)'!DA172+'KELURAHAN (DI ISI)'!DA173</f>
        <v>0</v>
      </c>
      <c r="DR42" s="491">
        <f>'KELURAHAN (DI ISI)'!DB168+'KELURAHAN (DI ISI)'!DB169+'KELURAHAN (DI ISI)'!DB170+'KELURAHAN (DI ISI)'!DB173+'KELURAHAN (DI ISI)'!DB174+'KELURAHAN (DI ISI)'!DB177</f>
        <v>0</v>
      </c>
      <c r="DS42" s="491">
        <f>'KELURAHAN (DI ISI)'!DC168+'KELURAHAN (DI ISI)'!DC169+'KELURAHAN (DI ISI)'!DC170+'KELURAHAN (DI ISI)'!DC173+'KELURAHAN (DI ISI)'!DC174+'KELURAHAN (DI ISI)'!DC177</f>
        <v>0</v>
      </c>
      <c r="DT42" s="491">
        <f>'KELURAHAN (DI ISI)'!DD168+'KELURAHAN (DI ISI)'!DD169+'KELURAHAN (DI ISI)'!DD170+'KELURAHAN (DI ISI)'!DD173+'KELURAHAN (DI ISI)'!DD174+'KELURAHAN (DI ISI)'!DD177</f>
        <v>0</v>
      </c>
      <c r="DU42" s="491">
        <f>'KELURAHAN (DI ISI)'!DE168+'KELURAHAN (DI ISI)'!DE169+'KELURAHAN (DI ISI)'!DE170+'KELURAHAN (DI ISI)'!DE173+'KELURAHAN (DI ISI)'!DE174+'KELURAHAN (DI ISI)'!DE177</f>
        <v>0</v>
      </c>
      <c r="DV42" s="491">
        <f>'KELURAHAN (DI ISI)'!DF168+'KELURAHAN (DI ISI)'!DF169+'KELURAHAN (DI ISI)'!DF170+'KELURAHAN (DI ISI)'!DF173+'KELURAHAN (DI ISI)'!DF174+'KELURAHAN (DI ISI)'!DF177</f>
        <v>1</v>
      </c>
      <c r="DW42" s="491">
        <f>'KELURAHAN (DI ISI)'!DG168+'KELURAHAN (DI ISI)'!DG169+'KELURAHAN (DI ISI)'!DG170+'KELURAHAN (DI ISI)'!DG173+'KELURAHAN (DI ISI)'!DG174+'KELURAHAN (DI ISI)'!DG177</f>
        <v>1</v>
      </c>
      <c r="DX42" s="491">
        <f>'KELURAHAN (DI ISI)'!DH168+'KELURAHAN (DI ISI)'!DH169+'KELURAHAN (DI ISI)'!DH170+'KELURAHAN (DI ISI)'!DH173+'KELURAHAN (DI ISI)'!DH174+'KELURAHAN (DI ISI)'!DH177</f>
        <v>4128</v>
      </c>
      <c r="DY42" s="491">
        <f>'KELURAHAN (DI ISI)'!DI168+'KELURAHAN (DI ISI)'!DI169+'KELURAHAN (DI ISI)'!DI170+'KELURAHAN (DI ISI)'!DI173+'KELURAHAN (DI ISI)'!DI174+'KELURAHAN (DI ISI)'!DI177</f>
        <v>1123</v>
      </c>
      <c r="DZ42" s="491">
        <f>'KELURAHAN (DI ISI)'!DJ168+'KELURAHAN (DI ISI)'!DJ169+'KELURAHAN (DI ISI)'!DJ170+'KELURAHAN (DI ISI)'!DJ173+'KELURAHAN (DI ISI)'!DJ174+'KELURAHAN (DI ISI)'!DJ177</f>
        <v>4128</v>
      </c>
      <c r="EA42" s="491">
        <f>'KELURAHAN (DI ISI)'!DK168+'KELURAHAN (DI ISI)'!DK169+'KELURAHAN (DI ISI)'!DK170+'KELURAHAN (DI ISI)'!DK173+'KELURAHAN (DI ISI)'!DK174+'KELURAHAN (DI ISI)'!DK177</f>
        <v>1123</v>
      </c>
      <c r="EB42" s="491">
        <f>'KELURAHAN (DI ISI)'!DL168+'KELURAHAN (DI ISI)'!DL169+'KELURAHAN (DI ISI)'!DL170+'KELURAHAN (DI ISI)'!DL173+'KELURAHAN (DI ISI)'!DL174+'KELURAHAN (DI ISI)'!DL177</f>
        <v>20</v>
      </c>
      <c r="EC42" s="491">
        <f>'KELURAHAN (DI ISI)'!DM168+'KELURAHAN (DI ISI)'!DM169+'KELURAHAN (DI ISI)'!DM170+'KELURAHAN (DI ISI)'!DM173+'KELURAHAN (DI ISI)'!DM174+'KELURAHAN (DI ISI)'!DM177</f>
        <v>7</v>
      </c>
      <c r="ED42" s="491">
        <f t="shared" si="17"/>
        <v>13</v>
      </c>
      <c r="EE42" s="491">
        <f>'KELURAHAN (DI ISI)'!DO168+'KELURAHAN (DI ISI)'!DO169+'KELURAHAN (DI ISI)'!DO170+'KELURAHAN (DI ISI)'!DO173+'KELURAHAN (DI ISI)'!DO174+'KELURAHAN (DI ISI)'!DO177</f>
        <v>0</v>
      </c>
      <c r="EF42" s="491">
        <f>'KELURAHAN (DI ISI)'!DP168+'KELURAHAN (DI ISI)'!DP169+'KELURAHAN (DI ISI)'!DP170+'KELURAHAN (DI ISI)'!DP173+'KELURAHAN (DI ISI)'!DP174+'KELURAHAN (DI ISI)'!DP177</f>
        <v>0</v>
      </c>
      <c r="EG42" s="491">
        <f>'KELURAHAN (DI ISI)'!DQ168+'KELURAHAN (DI ISI)'!DQ169+'KELURAHAN (DI ISI)'!DQ170+'KELURAHAN (DI ISI)'!DQ173+'KELURAHAN (DI ISI)'!DQ174+'KELURAHAN (DI ISI)'!DQ177</f>
        <v>6</v>
      </c>
      <c r="EH42" s="491">
        <f>'KELURAHAN (DI ISI)'!DR168+'KELURAHAN (DI ISI)'!DR169+'KELURAHAN (DI ISI)'!DR170+'KELURAHAN (DI ISI)'!DR173+'KELURAHAN (DI ISI)'!DR174+'KELURAHAN (DI ISI)'!DR177</f>
        <v>10</v>
      </c>
      <c r="EI42" s="491">
        <f>'KELURAHAN (DI ISI)'!DS168+'KELURAHAN (DI ISI)'!DS169+'KELURAHAN (DI ISI)'!DS170+'KELURAHAN (DI ISI)'!DS173+'KELURAHAN (DI ISI)'!DS174+'KELURAHAN (DI ISI)'!DS177</f>
        <v>0</v>
      </c>
      <c r="EJ42" s="491">
        <f>'KELURAHAN (DI ISI)'!DT168+'KELURAHAN (DI ISI)'!DT169+'KELURAHAN (DI ISI)'!DT170+'KELURAHAN (DI ISI)'!DT173+'KELURAHAN (DI ISI)'!DT174+'KELURAHAN (DI ISI)'!DT177</f>
        <v>0</v>
      </c>
      <c r="EK42" s="491">
        <f>'KELURAHAN (DI ISI)'!DU168+'KELURAHAN (DI ISI)'!DU169+'KELURAHAN (DI ISI)'!DU170+'KELURAHAN (DI ISI)'!DU173+'KELURAHAN (DI ISI)'!DU174+'KELURAHAN (DI ISI)'!DU177</f>
        <v>1</v>
      </c>
      <c r="EL42" s="491">
        <f>'KELURAHAN (DI ISI)'!DV168+'KELURAHAN (DI ISI)'!DV169+'KELURAHAN (DI ISI)'!DV170+'KELURAHAN (DI ISI)'!DV173+'KELURAHAN (DI ISI)'!DV174+'KELURAHAN (DI ISI)'!DV177</f>
        <v>3</v>
      </c>
      <c r="EM42" s="491">
        <f>'KELURAHAN (DI ISI)'!DW168+'KELURAHAN (DI ISI)'!DW169+'KELURAHAN (DI ISI)'!DW170+'KELURAHAN (DI ISI)'!DW173+'KELURAHAN (DI ISI)'!DW174+'KELURAHAN (DI ISI)'!DW177</f>
        <v>0</v>
      </c>
      <c r="EN42" s="491">
        <f>'KELURAHAN (DI ISI)'!DX168+'KELURAHAN (DI ISI)'!DX169+'KELURAHAN (DI ISI)'!DX170+'KELURAHAN (DI ISI)'!DX173+'KELURAHAN (DI ISI)'!DX174+'KELURAHAN (DI ISI)'!DX177</f>
        <v>0</v>
      </c>
      <c r="EO42" s="491">
        <f>'KELURAHAN (DI ISI)'!DY168+'KELURAHAN (DI ISI)'!DY169+'KELURAHAN (DI ISI)'!DY170+'KELURAHAN (DI ISI)'!DY173+'KELURAHAN (DI ISI)'!DY174+'KELURAHAN (DI ISI)'!DY177</f>
        <v>0</v>
      </c>
      <c r="EP42" s="491">
        <f>'KELURAHAN (DI ISI)'!DZ168+'KELURAHAN (DI ISI)'!DZ169+'KELURAHAN (DI ISI)'!DZ170+'KELURAHAN (DI ISI)'!DZ173+'KELURAHAN (DI ISI)'!DZ174+'KELURAHAN (DI ISI)'!DZ177</f>
        <v>0</v>
      </c>
      <c r="EQ42" s="491">
        <f>'KELURAHAN (DI ISI)'!EA168+'KELURAHAN (DI ISI)'!EA169+'KELURAHAN (DI ISI)'!EA170+'KELURAHAN (DI ISI)'!EA173+'KELURAHAN (DI ISI)'!EA174+'KELURAHAN (DI ISI)'!EA177</f>
        <v>0</v>
      </c>
      <c r="ER42" s="491">
        <f>'KELURAHAN (DI ISI)'!EB168+'KELURAHAN (DI ISI)'!EB169+'KELURAHAN (DI ISI)'!EB170+'KELURAHAN (DI ISI)'!EB173+'KELURAHAN (DI ISI)'!EB174+'KELURAHAN (DI ISI)'!EB177</f>
        <v>0</v>
      </c>
      <c r="ES42" s="491">
        <f>'KELURAHAN (DI ISI)'!EC168+'KELURAHAN (DI ISI)'!EC169+'KELURAHAN (DI ISI)'!EC170+'KELURAHAN (DI ISI)'!EC173+'KELURAHAN (DI ISI)'!EC174+'KELURAHAN (DI ISI)'!EC177</f>
        <v>0</v>
      </c>
      <c r="ET42" s="491">
        <f>'KELURAHAN (DI ISI)'!ED168+'KELURAHAN (DI ISI)'!ED169+'KELURAHAN (DI ISI)'!ED170+'KELURAHAN (DI ISI)'!ED173+'KELURAHAN (DI ISI)'!ED174+'KELURAHAN (DI ISI)'!ED177</f>
        <v>0</v>
      </c>
      <c r="EU42" s="491">
        <f>'KELURAHAN (DI ISI)'!EE168+'KELURAHAN (DI ISI)'!EE169+'KELURAHAN (DI ISI)'!EE170+'KELURAHAN (DI ISI)'!EE173+'KELURAHAN (DI ISI)'!EE174+'KELURAHAN (DI ISI)'!EE177</f>
        <v>0</v>
      </c>
      <c r="EV42" s="491">
        <f>'KELURAHAN (DI ISI)'!EF168+'KELURAHAN (DI ISI)'!EF169+'KELURAHAN (DI ISI)'!EF170+'KELURAHAN (DI ISI)'!EF173+'KELURAHAN (DI ISI)'!EF174+'KELURAHAN (DI ISI)'!EF177</f>
        <v>0</v>
      </c>
      <c r="EW42" s="491">
        <f>'KELURAHAN (DI ISI)'!EG168+'KELURAHAN (DI ISI)'!EG169+'KELURAHAN (DI ISI)'!EG170+'KELURAHAN (DI ISI)'!EG173+'KELURAHAN (DI ISI)'!EG174+'KELURAHAN (DI ISI)'!EG177</f>
        <v>0</v>
      </c>
      <c r="EX42" s="491">
        <f>'KELURAHAN (DI ISI)'!EH168+'KELURAHAN (DI ISI)'!EH169+'KELURAHAN (DI ISI)'!EH170+'KELURAHAN (DI ISI)'!EH173+'KELURAHAN (DI ISI)'!EH174+'KELURAHAN (DI ISI)'!EH177</f>
        <v>0</v>
      </c>
      <c r="EY42" s="491">
        <f>'KELURAHAN (DI ISI)'!EI168+'KELURAHAN (DI ISI)'!EI169+'KELURAHAN (DI ISI)'!EI170+'KELURAHAN (DI ISI)'!EI173+'KELURAHAN (DI ISI)'!EI174+'KELURAHAN (DI ISI)'!EI177</f>
        <v>4077</v>
      </c>
      <c r="EZ42" s="491">
        <f>'KELURAHAN (DI ISI)'!EJ168+'KELURAHAN (DI ISI)'!EJ169+'KELURAHAN (DI ISI)'!EJ170+'KELURAHAN (DI ISI)'!EJ173+'KELURAHAN (DI ISI)'!EJ174+'KELURAHAN (DI ISI)'!EJ177</f>
        <v>1146</v>
      </c>
      <c r="FA42" s="491">
        <f>'KELURAHAN (DI ISI)'!EK168+'KELURAHAN (DI ISI)'!EK169+'KELURAHAN (DI ISI)'!EK170+'KELURAHAN (DI ISI)'!EK173+'KELURAHAN (DI ISI)'!EK174+'KELURAHAN (DI ISI)'!EK177</f>
        <v>4077</v>
      </c>
      <c r="FB42" s="491">
        <f>'KELURAHAN (DI ISI)'!EL168+'KELURAHAN (DI ISI)'!EL169+'KELURAHAN (DI ISI)'!EL170+'KELURAHAN (DI ISI)'!EL173+'KELURAHAN (DI ISI)'!EL174+'KELURAHAN (DI ISI)'!EL177</f>
        <v>1146</v>
      </c>
      <c r="FC42" s="491">
        <f>'KELURAHAN (DI ISI)'!EM168+'KELURAHAN (DI ISI)'!EM169+'KELURAHAN (DI ISI)'!EM170+'KELURAHAN (DI ISI)'!EM173+'KELURAHAN (DI ISI)'!EM174+'KELURAHAN (DI ISI)'!EM177</f>
        <v>19</v>
      </c>
      <c r="FD42" s="491">
        <f>'KELURAHAN (DI ISI)'!EN168+'KELURAHAN (DI ISI)'!EN169+'KELURAHAN (DI ISI)'!EN170+'KELURAHAN (DI ISI)'!EN173+'KELURAHAN (DI ISI)'!EN174+'KELURAHAN (DI ISI)'!EN177</f>
        <v>7</v>
      </c>
      <c r="FE42" s="491">
        <f t="shared" si="18"/>
        <v>12</v>
      </c>
      <c r="FF42" s="491">
        <f>'KELURAHAN (DI ISI)'!EP168+'KELURAHAN (DI ISI)'!EP169+'KELURAHAN (DI ISI)'!EP170+'KELURAHAN (DI ISI)'!EP173+'KELURAHAN (DI ISI)'!EP174+'KELURAHAN (DI ISI)'!EP177</f>
        <v>0</v>
      </c>
      <c r="FG42" s="491">
        <f>'KELURAHAN (DI ISI)'!EQ168+'KELURAHAN (DI ISI)'!EQ169+'KELURAHAN (DI ISI)'!EQ170+'KELURAHAN (DI ISI)'!EQ173+'KELURAHAN (DI ISI)'!EQ174+'KELURAHAN (DI ISI)'!EQ177</f>
        <v>0</v>
      </c>
      <c r="FH42" s="491">
        <f>'KELURAHAN (DI ISI)'!ER168+'KELURAHAN (DI ISI)'!ER169+'KELURAHAN (DI ISI)'!ER170+'KELURAHAN (DI ISI)'!ER173+'KELURAHAN (DI ISI)'!ER174+'KELURAHAN (DI ISI)'!ER177</f>
        <v>5</v>
      </c>
      <c r="FI42" s="491">
        <f>'KELURAHAN (DI ISI)'!ES168+'KELURAHAN (DI ISI)'!ES169+'KELURAHAN (DI ISI)'!ES170+'KELURAHAN (DI ISI)'!ES173+'KELURAHAN (DI ISI)'!ES174+'KELURAHAN (DI ISI)'!ES177</f>
        <v>10</v>
      </c>
      <c r="FJ42" s="491">
        <f>'KELURAHAN (DI ISI)'!ET168+'KELURAHAN (DI ISI)'!ET169+'KELURAHAN (DI ISI)'!ET170+'KELURAHAN (DI ISI)'!ET173+'KELURAHAN (DI ISI)'!ET174+'KELURAHAN (DI ISI)'!ET177</f>
        <v>0</v>
      </c>
      <c r="FK42" s="491">
        <f>'KELURAHAN (DI ISI)'!EU168+'KELURAHAN (DI ISI)'!EU169+'KELURAHAN (DI ISI)'!EU170+'KELURAHAN (DI ISI)'!EU173+'KELURAHAN (DI ISI)'!EU174+'KELURAHAN (DI ISI)'!EU177</f>
        <v>0</v>
      </c>
      <c r="FL42" s="491">
        <f>'KELURAHAN (DI ISI)'!EV168+'KELURAHAN (DI ISI)'!EV169+'KELURAHAN (DI ISI)'!EV170+'KELURAHAN (DI ISI)'!EV173+'KELURAHAN (DI ISI)'!EV174+'KELURAHAN (DI ISI)'!EV177</f>
        <v>2</v>
      </c>
      <c r="FM42" s="491">
        <f>'KELURAHAN (DI ISI)'!EW168+'KELURAHAN (DI ISI)'!EW169+'KELURAHAN (DI ISI)'!EW170+'KELURAHAN (DI ISI)'!EW173+'KELURAHAN (DI ISI)'!EW174+'KELURAHAN (DI ISI)'!EW177</f>
        <v>2</v>
      </c>
      <c r="FN42" s="491">
        <f>'KELURAHAN (DI ISI)'!EX168+'KELURAHAN (DI ISI)'!EX169+'KELURAHAN (DI ISI)'!EX170+'KELURAHAN (DI ISI)'!EX173+'KELURAHAN (DI ISI)'!EX174+'KELURAHAN (DI ISI)'!EX177</f>
        <v>0</v>
      </c>
      <c r="FO42" s="491">
        <f>'KELURAHAN (DI ISI)'!EY168+'KELURAHAN (DI ISI)'!EY169+'KELURAHAN (DI ISI)'!EY170+'KELURAHAN (DI ISI)'!EY173+'KELURAHAN (DI ISI)'!EY174+'KELURAHAN (DI ISI)'!EY177</f>
        <v>0</v>
      </c>
      <c r="FP42" s="491">
        <f>'KELURAHAN (DI ISI)'!EZ168+'KELURAHAN (DI ISI)'!EZ169+'KELURAHAN (DI ISI)'!EZ170+'KELURAHAN (DI ISI)'!EZ173+'KELURAHAN (DI ISI)'!EZ174+'KELURAHAN (DI ISI)'!EZ177</f>
        <v>2</v>
      </c>
      <c r="FQ42" s="491">
        <f>'KELURAHAN (DI ISI)'!FA168+'KELURAHAN (DI ISI)'!FA169+'KELURAHAN (DI ISI)'!FA170+'KELURAHAN (DI ISI)'!FA173+'KELURAHAN (DI ISI)'!FA174+'KELURAHAN (DI ISI)'!FA177</f>
        <v>3</v>
      </c>
      <c r="FR42" s="491">
        <f>'KELURAHAN (DI ISI)'!FB168+'KELURAHAN (DI ISI)'!FB169+'KELURAHAN (DI ISI)'!FB170+'KELURAHAN (DI ISI)'!FB173+'KELURAHAN (DI ISI)'!FB174+'KELURAHAN (DI ISI)'!FB177</f>
        <v>0</v>
      </c>
      <c r="FS42" s="491">
        <f>'KELURAHAN (DI ISI)'!FC168+'KELURAHAN (DI ISI)'!FC169+'KELURAHAN (DI ISI)'!FC170+'KELURAHAN (DI ISI)'!FC173+'KELURAHAN (DI ISI)'!FC174+'KELURAHAN (DI ISI)'!FC177</f>
        <v>0</v>
      </c>
      <c r="FT42" s="491">
        <f>'KELURAHAN (DI ISI)'!FD168+'KELURAHAN (DI ISI)'!FD169+'KELURAHAN (DI ISI)'!FD170+'KELURAHAN (DI ISI)'!FD173+'KELURAHAN (DI ISI)'!FD174+'KELURAHAN (DI ISI)'!FD177</f>
        <v>0</v>
      </c>
      <c r="FU42" s="491">
        <f>'KELURAHAN (DI ISI)'!FE168+'KELURAHAN (DI ISI)'!FE169+'KELURAHAN (DI ISI)'!FE170+'KELURAHAN (DI ISI)'!FE173+'KELURAHAN (DI ISI)'!FE174+'KELURAHAN (DI ISI)'!FE177</f>
        <v>0</v>
      </c>
      <c r="FV42" s="491">
        <f>'KELURAHAN (DI ISI)'!FF168+'KELURAHAN (DI ISI)'!FF169+'KELURAHAN (DI ISI)'!FF170+'KELURAHAN (DI ISI)'!FF173+'KELURAHAN (DI ISI)'!FF174+'KELURAHAN (DI ISI)'!FF177</f>
        <v>0</v>
      </c>
      <c r="FW42" s="491">
        <f>'KELURAHAN (DI ISI)'!FG168+'KELURAHAN (DI ISI)'!FG169+'KELURAHAN (DI ISI)'!FG170+'KELURAHAN (DI ISI)'!FG173+'KELURAHAN (DI ISI)'!FG174+'KELURAHAN (DI ISI)'!FG177</f>
        <v>0</v>
      </c>
      <c r="FX42" s="491">
        <f>'KELURAHAN (DI ISI)'!FH168+'KELURAHAN (DI ISI)'!FH169+'KELURAHAN (DI ISI)'!FH170+'KELURAHAN (DI ISI)'!FH173+'KELURAHAN (DI ISI)'!FH174+'KELURAHAN (DI ISI)'!FH177</f>
        <v>5</v>
      </c>
      <c r="FY42" s="491">
        <f>'KELURAHAN (DI ISI)'!FI168+'KELURAHAN (DI ISI)'!FI169+'KELURAHAN (DI ISI)'!FI170+'KELURAHAN (DI ISI)'!FI173+'KELURAHAN (DI ISI)'!FI174+'KELURAHAN (DI ISI)'!FI177</f>
        <v>2</v>
      </c>
      <c r="FZ42" s="491">
        <f>'KELURAHAN (DI ISI)'!FJ168+'KELURAHAN (DI ISI)'!FJ169+'KELURAHAN (DI ISI)'!FJ170+'KELURAHAN (DI ISI)'!FJ173+'KELURAHAN (DI ISI)'!FJ174+'KELURAHAN (DI ISI)'!FJ177</f>
        <v>4041</v>
      </c>
      <c r="GA42" s="491">
        <f>'KELURAHAN (DI ISI)'!FK168+'KELURAHAN (DI ISI)'!FK169+'KELURAHAN (DI ISI)'!FK170+'KELURAHAN (DI ISI)'!FK173+'KELURAHAN (DI ISI)'!FK174+'KELURAHAN (DI ISI)'!FK177</f>
        <v>1138</v>
      </c>
      <c r="GB42" s="491">
        <f>'KELURAHAN (DI ISI)'!FL168+'KELURAHAN (DI ISI)'!FL169+'KELURAHAN (DI ISI)'!FL170+'KELURAHAN (DI ISI)'!FL173+'KELURAHAN (DI ISI)'!FL174+'KELURAHAN (DI ISI)'!FL177</f>
        <v>4041</v>
      </c>
      <c r="GC42" s="491">
        <f>'KELURAHAN (DI ISI)'!FM168+'KELURAHAN (DI ISI)'!FM169+'KELURAHAN (DI ISI)'!FM170+'KELURAHAN (DI ISI)'!FM173+'KELURAHAN (DI ISI)'!FM174+'KELURAHAN (DI ISI)'!FM177</f>
        <v>1138</v>
      </c>
      <c r="GD42" s="570">
        <v>4041.0</v>
      </c>
      <c r="GE42" s="571">
        <f>'KELURAHAN (DI ISI)'!FO168+'KELURAHAN (DI ISI)'!FO169+'KELURAHAN (DI ISI)'!FO170+'KELURAHAN (DI ISI)'!FO173+'KELURAHAN (DI ISI)'!FO174+'KELURAHAN (DI ISI)'!FO177</f>
        <v>18</v>
      </c>
      <c r="GF42" s="571">
        <f>'KELURAHAN (DI ISI)'!FP168+'KELURAHAN (DI ISI)'!FP169+'KELURAHAN (DI ISI)'!FP170+'KELURAHAN (DI ISI)'!FP173+'KELURAHAN (DI ISI)'!FP174+'KELURAHAN (DI ISI)'!FP177</f>
        <v>18</v>
      </c>
      <c r="GG42" s="571">
        <f>'KELURAHAN (DI ISI)'!FP168+'KELURAHAN (DI ISI)'!FP169+'KELURAHAN (DI ISI)'!FP170+'KELURAHAN (DI ISI)'!FP173+'KELURAHAN (DI ISI)'!FP174+'KELURAHAN (DI ISI)'!FP177</f>
        <v>18</v>
      </c>
      <c r="GH42" s="571">
        <f>'KELURAHAN (DI ISI)'!FQ168+'KELURAHAN (DI ISI)'!FQ169+'KELURAHAN (DI ISI)'!FQ170+'KELURAHAN (DI ISI)'!FQ173+'KELURAHAN (DI ISI)'!FQ174+'KELURAHAN (DI ISI)'!FQ177</f>
        <v>4</v>
      </c>
      <c r="GI42" s="571">
        <f t="shared" si="19"/>
        <v>14</v>
      </c>
      <c r="GJ42" s="491">
        <f>'KELURAHAN (DI ISI)'!FS168+'KELURAHAN (DI ISI)'!FS169+'KELURAHAN (DI ISI)'!FS170+'KELURAHAN (DI ISI)'!FS173+'KELURAHAN (DI ISI)'!FS174+'KELURAHAN (DI ISI)'!FS177</f>
        <v>0</v>
      </c>
      <c r="GK42" s="491">
        <f>'KELURAHAN (DI ISI)'!FT168+'KELURAHAN (DI ISI)'!FT169+'KELURAHAN (DI ISI)'!FT170+'KELURAHAN (DI ISI)'!FT173+'KELURAHAN (DI ISI)'!FT174+'KELURAHAN (DI ISI)'!FT177</f>
        <v>0</v>
      </c>
      <c r="GL42" s="491">
        <f>'KELURAHAN (DI ISI)'!FU168+'KELURAHAN (DI ISI)'!FU169+'KELURAHAN (DI ISI)'!FU170+'KELURAHAN (DI ISI)'!FU173+'KELURAHAN (DI ISI)'!FU174+'KELURAHAN (DI ISI)'!FU177</f>
        <v>4</v>
      </c>
      <c r="GM42" s="491">
        <f>'KELURAHAN (DI ISI)'!FV168+'KELURAHAN (DI ISI)'!FV169+'KELURAHAN (DI ISI)'!FV170+'KELURAHAN (DI ISI)'!FV173+'KELURAHAN (DI ISI)'!FV174+'KELURAHAN (DI ISI)'!FV177</f>
        <v>14</v>
      </c>
      <c r="GN42" s="491">
        <f>'KELURAHAN (DI ISI)'!FW168+'KELURAHAN (DI ISI)'!FW169+'KELURAHAN (DI ISI)'!FW170+'KELURAHAN (DI ISI)'!FW173+'KELURAHAN (DI ISI)'!FW174+'KELURAHAN (DI ISI)'!FW177</f>
        <v>0</v>
      </c>
      <c r="GO42" s="491">
        <f>'KELURAHAN (DI ISI)'!FX168+'KELURAHAN (DI ISI)'!FX169+'KELURAHAN (DI ISI)'!FX170+'KELURAHAN (DI ISI)'!FX173+'KELURAHAN (DI ISI)'!FX174+'KELURAHAN (DI ISI)'!FX177</f>
        <v>0</v>
      </c>
      <c r="GP42" s="491">
        <f>'KELURAHAN (DI ISI)'!FY168+'KELURAHAN (DI ISI)'!FY169+'KELURAHAN (DI ISI)'!FY170+'KELURAHAN (DI ISI)'!FY173+'KELURAHAN (DI ISI)'!FY174+'KELURAHAN (DI ISI)'!FY177</f>
        <v>0</v>
      </c>
      <c r="GQ42" s="491">
        <f>'KELURAHAN (DI ISI)'!FZ168+'KELURAHAN (DI ISI)'!FZ169+'KELURAHAN (DI ISI)'!FZ170+'KELURAHAN (DI ISI)'!FZ173+'KELURAHAN (DI ISI)'!FZ174+'KELURAHAN (DI ISI)'!FZ177</f>
        <v>0</v>
      </c>
      <c r="GR42" s="491">
        <f>'KELURAHAN (DI ISI)'!GA168+'KELURAHAN (DI ISI)'!GA169+'KELURAHAN (DI ISI)'!GA170+'KELURAHAN (DI ISI)'!GA173+'KELURAHAN (DI ISI)'!GA174+'KELURAHAN (DI ISI)'!GA177</f>
        <v>0</v>
      </c>
      <c r="GS42" s="491">
        <f>'KELURAHAN (DI ISI)'!GB168+'KELURAHAN (DI ISI)'!GB169+'KELURAHAN (DI ISI)'!GB170+'KELURAHAN (DI ISI)'!GB173+'KELURAHAN (DI ISI)'!GB174+'KELURAHAN (DI ISI)'!GB177</f>
        <v>0</v>
      </c>
      <c r="GT42" s="491">
        <f>'KELURAHAN (DI ISI)'!GC168+'KELURAHAN (DI ISI)'!GC169+'KELURAHAN (DI ISI)'!GC170+'KELURAHAN (DI ISI)'!GC173+'KELURAHAN (DI ISI)'!GC174+'KELURAHAN (DI ISI)'!GC177</f>
        <v>1</v>
      </c>
      <c r="GU42" s="491">
        <f>'KELURAHAN (DI ISI)'!GD168+'KELURAHAN (DI ISI)'!GD169+'KELURAHAN (DI ISI)'!GD170+'KELURAHAN (DI ISI)'!GD173+'KELURAHAN (DI ISI)'!GD174+'KELURAHAN (DI ISI)'!GD177</f>
        <v>0</v>
      </c>
      <c r="GV42" s="491">
        <f>'KELURAHAN (DI ISI)'!GE168+'KELURAHAN (DI ISI)'!GE169+'KELURAHAN (DI ISI)'!GE170+'KELURAHAN (DI ISI)'!GE173+'KELURAHAN (DI ISI)'!GE174+'KELURAHAN (DI ISI)'!GE177</f>
        <v>0</v>
      </c>
      <c r="GW42" s="491">
        <f>'KELURAHAN (DI ISI)'!GF168+'KELURAHAN (DI ISI)'!GF169+'KELURAHAN (DI ISI)'!GF170+'KELURAHAN (DI ISI)'!GF173+'KELURAHAN (DI ISI)'!GF174+'KELURAHAN (DI ISI)'!GF177</f>
        <v>0</v>
      </c>
      <c r="GX42" s="491">
        <f>'KELURAHAN (DI ISI)'!GG168+'KELURAHAN (DI ISI)'!GG169+'KELURAHAN (DI ISI)'!GG170+'KELURAHAN (DI ISI)'!GG173+'KELURAHAN (DI ISI)'!GG174+'KELURAHAN (DI ISI)'!GG177</f>
        <v>0</v>
      </c>
      <c r="GY42" s="491">
        <f>'KELURAHAN (DI ISI)'!GH168+'KELURAHAN (DI ISI)'!GH169+'KELURAHAN (DI ISI)'!GH170+'KELURAHAN (DI ISI)'!GH173+'KELURAHAN (DI ISI)'!GH174+'KELURAHAN (DI ISI)'!GH177</f>
        <v>0</v>
      </c>
      <c r="GZ42" s="491">
        <f>'KELURAHAN (DI ISI)'!GI168+'KELURAHAN (DI ISI)'!GI169+'KELURAHAN (DI ISI)'!GI170+'KELURAHAN (DI ISI)'!GI173+'KELURAHAN (DI ISI)'!GI174+'KELURAHAN (DI ISI)'!GI177</f>
        <v>0</v>
      </c>
      <c r="HA42" s="491">
        <f>'KELURAHAN (DI ISI)'!GJ168+'KELURAHAN (DI ISI)'!GJ169+'KELURAHAN (DI ISI)'!GJ170+'KELURAHAN (DI ISI)'!GJ173+'KELURAHAN (DI ISI)'!GJ174+'KELURAHAN (DI ISI)'!GJ177</f>
        <v>0</v>
      </c>
      <c r="HB42" s="572">
        <f>'KELURAHAN (DI ISI)'!GK168+'KELURAHAN (DI ISI)'!GK169+'KELURAHAN (DI ISI)'!GK170+'KELURAHAN (DI ISI)'!GK173+'KELURAHAN (DI ISI)'!GK174+'KELURAHAN (DI ISI)'!GK177</f>
        <v>1</v>
      </c>
      <c r="HC42" s="572">
        <f>'KELURAHAN (DI ISI)'!GL168+'KELURAHAN (DI ISI)'!GL169+'KELURAHAN (DI ISI)'!GL170+'KELURAHAN (DI ISI)'!GL173+'KELURAHAN (DI ISI)'!GL174+'KELURAHAN (DI ISI)'!GL177</f>
        <v>1</v>
      </c>
      <c r="HD42" s="491">
        <f>'KELURAHAN (DI ISI)'!GM168+'KELURAHAN (DI ISI)'!GM169+'KELURAHAN (DI ISI)'!GM170+'KELURAHAN (DI ISI)'!GM173+'KELURAHAN (DI ISI)'!GM174+'KELURAHAN (DI ISI)'!GM177</f>
        <v>3981</v>
      </c>
      <c r="HE42" s="491">
        <f>'KELURAHAN (DI ISI)'!GN168+'KELURAHAN (DI ISI)'!GN169+'KELURAHAN (DI ISI)'!GN170+'KELURAHAN (DI ISI)'!GN173+'KELURAHAN (DI ISI)'!GN174+'KELURAHAN (DI ISI)'!GN177</f>
        <v>1103</v>
      </c>
      <c r="HF42" s="491">
        <f>'KELURAHAN (DI ISI)'!GO168+'KELURAHAN (DI ISI)'!GO169+'KELURAHAN (DI ISI)'!GO170+'KELURAHAN (DI ISI)'!GO173+'KELURAHAN (DI ISI)'!GO174+'KELURAHAN (DI ISI)'!GO177</f>
        <v>3981</v>
      </c>
      <c r="HG42" s="491">
        <f>'KELURAHAN (DI ISI)'!GP168+'KELURAHAN (DI ISI)'!GP169+'KELURAHAN (DI ISI)'!GP170+'KELURAHAN (DI ISI)'!GP173+'KELURAHAN (DI ISI)'!GP174+'KELURAHAN (DI ISI)'!GP177</f>
        <v>1103</v>
      </c>
      <c r="HH42" s="570">
        <v>4041.0</v>
      </c>
      <c r="HI42" s="225">
        <f>'KELURAHAN (DI ISI)'!GR168+'KELURAHAN (DI ISI)'!GR169+'KELURAHAN (DI ISI)'!GR170+'KELURAHAN (DI ISI)'!GR173+'KELURAHAN (DI ISI)'!GR174+'KELURAHAN (DI ISI)'!GR177</f>
        <v>18</v>
      </c>
      <c r="HJ42" s="225">
        <f>'KELURAHAN (DI ISI)'!GS168+'KELURAHAN (DI ISI)'!GS169+'KELURAHAN (DI ISI)'!GS170+'KELURAHAN (DI ISI)'!GS173+'KELURAHAN (DI ISI)'!GS174+'KELURAHAN (DI ISI)'!GS177</f>
        <v>2</v>
      </c>
      <c r="HK42" s="573">
        <f>'KELURAHAN (DI ISI)'!GT168+'KELURAHAN (DI ISI)'!GT169+'KELURAHAN (DI ISI)'!GT170+'KELURAHAN (DI ISI)'!GT173+'KELURAHAN (DI ISI)'!GT174+'KELURAHAN (DI ISI)'!GT177</f>
        <v>18</v>
      </c>
      <c r="HL42" s="573">
        <f>'KELURAHAN (DI ISI)'!GU168+'KELURAHAN (DI ISI)'!GU169+'KELURAHAN (DI ISI)'!GU170+'KELURAHAN (DI ISI)'!GU173+'KELURAHAN (DI ISI)'!GU174+'KELURAHAN (DI ISI)'!GU177</f>
        <v>2</v>
      </c>
      <c r="HM42" s="573">
        <f t="shared" si="20"/>
        <v>16</v>
      </c>
      <c r="HN42" s="491">
        <f>'KELURAHAN (DI ISI)'!GW168+'KELURAHAN (DI ISI)'!GW169+'KELURAHAN (DI ISI)'!GW170+'KELURAHAN (DI ISI)'!GW173+'KELURAHAN (DI ISI)'!GW174+'KELURAHAN (DI ISI)'!GW177</f>
        <v>0</v>
      </c>
      <c r="HO42" s="491">
        <f>'KELURAHAN (DI ISI)'!GX168+'KELURAHAN (DI ISI)'!GX169+'KELURAHAN (DI ISI)'!GX170+'KELURAHAN (DI ISI)'!GX173+'KELURAHAN (DI ISI)'!GX174+'KELURAHAN (DI ISI)'!GX177</f>
        <v>0</v>
      </c>
      <c r="HP42" s="491">
        <f>'KELURAHAN (DI ISI)'!GY168+'KELURAHAN (DI ISI)'!GY169+'KELURAHAN (DI ISI)'!GY170+'KELURAHAN (DI ISI)'!GY173+'KELURAHAN (DI ISI)'!GY174+'KELURAHAN (DI ISI)'!GY177</f>
        <v>2</v>
      </c>
      <c r="HQ42" s="491">
        <f>'KELURAHAN (DI ISI)'!GZ168+'KELURAHAN (DI ISI)'!GZ169+'KELURAHAN (DI ISI)'!GZ170+'KELURAHAN (DI ISI)'!GZ173+'KELURAHAN (DI ISI)'!GZ174+'KELURAHAN (DI ISI)'!GZ177</f>
        <v>16</v>
      </c>
      <c r="HR42" s="491">
        <f>'KELURAHAN (DI ISI)'!HA168+'KELURAHAN (DI ISI)'!HA169+'KELURAHAN (DI ISI)'!HA170+'KELURAHAN (DI ISI)'!HA173+'KELURAHAN (DI ISI)'!HA174+'KELURAHAN (DI ISI)'!HA177</f>
        <v>0</v>
      </c>
      <c r="HS42" s="491">
        <f>'KELURAHAN (DI ISI)'!HB168+'KELURAHAN (DI ISI)'!HB169+'KELURAHAN (DI ISI)'!HB170+'KELURAHAN (DI ISI)'!HB173+'KELURAHAN (DI ISI)'!HB174+'KELURAHAN (DI ISI)'!HB177</f>
        <v>0</v>
      </c>
      <c r="HT42" s="491">
        <f>'KELURAHAN (DI ISI)'!HC168+'KELURAHAN (DI ISI)'!HC169+'KELURAHAN (DI ISI)'!HC170+'KELURAHAN (DI ISI)'!HC173+'KELURAHAN (DI ISI)'!HC174+'KELURAHAN (DI ISI)'!HC177</f>
        <v>0</v>
      </c>
      <c r="HU42" s="491">
        <f>'KELURAHAN (DI ISI)'!HD168+'KELURAHAN (DI ISI)'!HD169+'KELURAHAN (DI ISI)'!HD170+'KELURAHAN (DI ISI)'!HD173+'KELURAHAN (DI ISI)'!HD174+'KELURAHAN (DI ISI)'!HD177</f>
        <v>0</v>
      </c>
      <c r="HV42" s="491">
        <f>'KELURAHAN (DI ISI)'!HE168+'KELURAHAN (DI ISI)'!HE169+'KELURAHAN (DI ISI)'!HE170+'KELURAHAN (DI ISI)'!HE173+'KELURAHAN (DI ISI)'!HE174+'KELURAHAN (DI ISI)'!HE177</f>
        <v>0</v>
      </c>
      <c r="HW42" s="491">
        <f>'KELURAHAN (DI ISI)'!HF168+'KELURAHAN (DI ISI)'!HF169+'KELURAHAN (DI ISI)'!HF170+'KELURAHAN (DI ISI)'!HF173+'KELURAHAN (DI ISI)'!HF174+'KELURAHAN (DI ISI)'!HF177</f>
        <v>0</v>
      </c>
      <c r="HX42" s="491">
        <f>'KELURAHAN (DI ISI)'!HG168+'KELURAHAN (DI ISI)'!HG169+'KELURAHAN (DI ISI)'!HG170+'KELURAHAN (DI ISI)'!HG173+'KELURAHAN (DI ISI)'!HG174+'KELURAHAN (DI ISI)'!HG177</f>
        <v>0</v>
      </c>
      <c r="HY42" s="491">
        <f>'KELURAHAN (DI ISI)'!HH168+'KELURAHAN (DI ISI)'!HH169+'KELURAHAN (DI ISI)'!HH170+'KELURAHAN (DI ISI)'!HH173+'KELURAHAN (DI ISI)'!HH174+'KELURAHAN (DI ISI)'!HH177</f>
        <v>0</v>
      </c>
      <c r="HZ42" s="491">
        <f>'KELURAHAN (DI ISI)'!HI168+'KELURAHAN (DI ISI)'!HI169+'KELURAHAN (DI ISI)'!HI170+'KELURAHAN (DI ISI)'!HI173+'KELURAHAN (DI ISI)'!HI174+'KELURAHAN (DI ISI)'!HI177</f>
        <v>0</v>
      </c>
      <c r="IA42" s="491">
        <f>'KELURAHAN (DI ISI)'!HJ168+'KELURAHAN (DI ISI)'!HJ169+'KELURAHAN (DI ISI)'!HJ170+'KELURAHAN (DI ISI)'!HJ173+'KELURAHAN (DI ISI)'!HJ174+'KELURAHAN (DI ISI)'!HJ177</f>
        <v>0</v>
      </c>
      <c r="IB42" s="491">
        <f>'KELURAHAN (DI ISI)'!HK168+'KELURAHAN (DI ISI)'!HK169+'KELURAHAN (DI ISI)'!HK170+'KELURAHAN (DI ISI)'!HK173+'KELURAHAN (DI ISI)'!HK174+'KELURAHAN (DI ISI)'!HK177</f>
        <v>0</v>
      </c>
      <c r="IC42" s="491">
        <f>'KELURAHAN (DI ISI)'!HL168+'KELURAHAN (DI ISI)'!HL169+'KELURAHAN (DI ISI)'!HL170+'KELURAHAN (DI ISI)'!HL173+'KELURAHAN (DI ISI)'!HL174+'KELURAHAN (DI ISI)'!HL177</f>
        <v>0</v>
      </c>
      <c r="ID42" s="491">
        <f>'KELURAHAN (DI ISI)'!HM168+'KELURAHAN (DI ISI)'!HM169+'KELURAHAN (DI ISI)'!HM170+'KELURAHAN (DI ISI)'!HM173+'KELURAHAN (DI ISI)'!HM174+'KELURAHAN (DI ISI)'!HM177</f>
        <v>0</v>
      </c>
      <c r="IE42" s="491">
        <f>'KELURAHAN (DI ISI)'!HN168+'KELURAHAN (DI ISI)'!HN169+'KELURAHAN (DI ISI)'!HN170+'KELURAHAN (DI ISI)'!HN173+'KELURAHAN (DI ISI)'!HN174+'KELURAHAN (DI ISI)'!HN177</f>
        <v>0</v>
      </c>
      <c r="IF42" s="573">
        <f>'KELURAHAN (DI ISI)'!HO168+'KELURAHAN (DI ISI)'!HO169+'KELURAHAN (DI ISI)'!HO170+'KELURAHAN (DI ISI)'!HO173+'KELURAHAN (DI ISI)'!HO174+'KELURAHAN (DI ISI)'!HO177</f>
        <v>0</v>
      </c>
      <c r="IG42" s="573">
        <f>'KELURAHAN (DI ISI)'!HP168+'KELURAHAN (DI ISI)'!HP169+'KELURAHAN (DI ISI)'!HP170+'KELURAHAN (DI ISI)'!HP173+'KELURAHAN (DI ISI)'!HP174+'KELURAHAN (DI ISI)'!HP177</f>
        <v>0</v>
      </c>
      <c r="IK42" s="198">
        <f t="shared" si="21"/>
        <v>17</v>
      </c>
      <c r="IL42" s="198">
        <f t="shared" si="22"/>
        <v>17</v>
      </c>
      <c r="IM42" s="198">
        <f t="shared" si="23"/>
        <v>17</v>
      </c>
      <c r="IN42" s="198">
        <f t="shared" si="24"/>
        <v>17</v>
      </c>
      <c r="IO42" s="198">
        <f t="shared" si="25"/>
        <v>17</v>
      </c>
      <c r="IP42" s="198">
        <f t="shared" si="26"/>
        <v>19</v>
      </c>
      <c r="IQ42" s="574">
        <f t="shared" si="27"/>
        <v>17</v>
      </c>
      <c r="IR42" s="574">
        <f t="shared" si="28"/>
        <v>16</v>
      </c>
      <c r="IS42" s="574">
        <f t="shared" si="29"/>
        <v>20</v>
      </c>
      <c r="IT42" s="574">
        <f t="shared" si="30"/>
        <v>19</v>
      </c>
      <c r="IU42" s="574">
        <f t="shared" si="31"/>
        <v>18</v>
      </c>
      <c r="IV42" s="575">
        <f t="shared" si="32"/>
        <v>18</v>
      </c>
      <c r="IW42" s="583"/>
      <c r="IX42" s="576">
        <f t="shared" si="33"/>
        <v>-18</v>
      </c>
      <c r="IZ42" s="577"/>
      <c r="JA42" s="162">
        <f t="shared" si="34"/>
        <v>-3981</v>
      </c>
      <c r="JB42" s="578"/>
      <c r="JC42" s="579">
        <f t="shared" si="35"/>
        <v>-1103</v>
      </c>
      <c r="JD42" s="597"/>
      <c r="JE42" s="585"/>
      <c r="JF42" s="577"/>
      <c r="JG42" s="234">
        <f t="shared" si="36"/>
        <v>-3981</v>
      </c>
      <c r="JH42" s="578"/>
      <c r="JI42" s="579">
        <f t="shared" si="37"/>
        <v>-1103</v>
      </c>
      <c r="JJ42" s="247"/>
    </row>
    <row r="43" ht="14.25" customHeight="1">
      <c r="A43" s="158">
        <v>36.0</v>
      </c>
      <c r="B43" s="157" t="s">
        <v>290</v>
      </c>
      <c r="C43" s="253">
        <v>3374100.0</v>
      </c>
      <c r="D43" s="569" t="s">
        <v>337</v>
      </c>
      <c r="E43" s="253"/>
      <c r="F43" s="259">
        <f>'KELURAHAN (DI ISI)'!F182+'KELURAHAN (DI ISI)'!F183+'KELURAHAN (DI ISI)'!F184</f>
        <v>28</v>
      </c>
      <c r="G43" s="259">
        <f>'KELURAHAN (DI ISI)'!G182+'KELURAHAN (DI ISI)'!G183+'KELURAHAN (DI ISI)'!G184</f>
        <v>0</v>
      </c>
      <c r="H43" s="259">
        <f>'KELURAHAN (DI ISI)'!H182+'KELURAHAN (DI ISI)'!H183+'KELURAHAN (DI ISI)'!H184</f>
        <v>20</v>
      </c>
      <c r="I43" s="491">
        <f t="shared" si="1"/>
        <v>2</v>
      </c>
      <c r="J43" s="491">
        <f t="shared" si="2"/>
        <v>18</v>
      </c>
      <c r="K43" s="491">
        <f>'KELURAHAN (DI ISI)'!I182+'KELURAHAN (DI ISI)'!I183+'KELURAHAN (DI ISI)'!I184</f>
        <v>0</v>
      </c>
      <c r="L43" s="491">
        <f>'KELURAHAN (DI ISI)'!J182+'KELURAHAN (DI ISI)'!J183+'KELURAHAN (DI ISI)'!J184</f>
        <v>1</v>
      </c>
      <c r="M43" s="491">
        <f>'KELURAHAN (DI ISI)'!K182+'KELURAHAN (DI ISI)'!K183+'KELURAHAN (DI ISI)'!K184</f>
        <v>1</v>
      </c>
      <c r="N43" s="491">
        <f>'KELURAHAN (DI ISI)'!L182+'KELURAHAN (DI ISI)'!L183+'KELURAHAN (DI ISI)'!L184</f>
        <v>18</v>
      </c>
      <c r="O43" s="491">
        <f>'KELURAHAN (DI ISI)'!M182+'KELURAHAN (DI ISI)'!M183+'KELURAHAN (DI ISI)'!M184</f>
        <v>0</v>
      </c>
      <c r="P43" s="491">
        <f>'KELURAHAN (DI ISI)'!N182+'KELURAHAN (DI ISI)'!N183+'KELURAHAN (DI ISI)'!N184</f>
        <v>0</v>
      </c>
      <c r="Q43" s="491">
        <f>'KELURAHAN (DI ISI)'!O182+'KELURAHAN (DI ISI)'!O183+'KELURAHAN (DI ISI)'!O184</f>
        <v>20</v>
      </c>
      <c r="R43" s="491">
        <f>'KELURAHAN (DI ISI)'!P182+'KELURAHAN (DI ISI)'!P183+'KELURAHAN (DI ISI)'!P184</f>
        <v>25</v>
      </c>
      <c r="S43" s="491">
        <f t="shared" si="3"/>
        <v>6</v>
      </c>
      <c r="T43" s="491">
        <f t="shared" si="4"/>
        <v>19</v>
      </c>
      <c r="U43" s="491">
        <f>'KELURAHAN (DI ISI)'!Q182+'KELURAHAN (DI ISI)'!Q183+'KELURAHAN (DI ISI)'!Q184</f>
        <v>0</v>
      </c>
      <c r="V43" s="491">
        <f>'KELURAHAN (DI ISI)'!R182+'KELURAHAN (DI ISI)'!R183+'KELURAHAN (DI ISI)'!R184</f>
        <v>2</v>
      </c>
      <c r="W43" s="491">
        <f>'KELURAHAN (DI ISI)'!S182+'KELURAHAN (DI ISI)'!S183+'KELURAHAN (DI ISI)'!S184</f>
        <v>4</v>
      </c>
      <c r="X43" s="491">
        <f>'KELURAHAN (DI ISI)'!T182+'KELURAHAN (DI ISI)'!T183+'KELURAHAN (DI ISI)'!T184</f>
        <v>19</v>
      </c>
      <c r="Y43" s="491">
        <f>'KELURAHAN (DI ISI)'!U182+'KELURAHAN (DI ISI)'!U183+'KELURAHAN (DI ISI)'!U184</f>
        <v>5</v>
      </c>
      <c r="Z43" s="491">
        <f>'KELURAHAN (DI ISI)'!V182+'KELURAHAN (DI ISI)'!V183+'KELURAHAN (DI ISI)'!V184</f>
        <v>0</v>
      </c>
      <c r="AA43" s="491">
        <f>'KELURAHAN (DI ISI)'!W182+'KELURAHAN (DI ISI)'!W183+'KELURAHAN (DI ISI)'!W184</f>
        <v>20</v>
      </c>
      <c r="AB43" s="491">
        <f>'KELURAHAN (DI ISI)'!X182+'KELURAHAN (DI ISI)'!X183+'KELURAHAN (DI ISI)'!X184</f>
        <v>24</v>
      </c>
      <c r="AC43" s="491">
        <f t="shared" si="5"/>
        <v>6</v>
      </c>
      <c r="AD43" s="491">
        <f t="shared" si="6"/>
        <v>18</v>
      </c>
      <c r="AE43" s="491">
        <f>'KELURAHAN (DI ISI)'!Y182+'KELURAHAN (DI ISI)'!Y183+'KELURAHAN (DI ISI)'!Y184</f>
        <v>0</v>
      </c>
      <c r="AF43" s="491">
        <f>'KELURAHAN (DI ISI)'!Z182+'KELURAHAN (DI ISI)'!Z183+'KELURAHAN (DI ISI)'!Z184</f>
        <v>1</v>
      </c>
      <c r="AG43" s="491">
        <f>'KELURAHAN (DI ISI)'!AA182+'KELURAHAN (DI ISI)'!AA183+'KELURAHAN (DI ISI)'!AA184</f>
        <v>5</v>
      </c>
      <c r="AH43" s="491">
        <f>'KELURAHAN (DI ISI)'!AB182+'KELURAHAN (DI ISI)'!AB183+'KELURAHAN (DI ISI)'!AB184</f>
        <v>18</v>
      </c>
      <c r="AI43" s="491">
        <f>'KELURAHAN (DI ISI)'!AC182+'KELURAHAN (DI ISI)'!AC183+'KELURAHAN (DI ISI)'!AC184</f>
        <v>4</v>
      </c>
      <c r="AJ43" s="491">
        <f>'KELURAHAN (DI ISI)'!AD182+'KELURAHAN (DI ISI)'!AD183+'KELURAHAN (DI ISI)'!AD184</f>
        <v>0</v>
      </c>
      <c r="AK43" s="491">
        <f>'KELURAHAN (DI ISI)'!AE182+'KELURAHAN (DI ISI)'!AE183+'KELURAHAN (DI ISI)'!AE184</f>
        <v>20</v>
      </c>
      <c r="AL43" s="491">
        <f>'KELURAHAN (DI ISI)'!AF182+'KELURAHAN (DI ISI)'!AF183+'KELURAHAN (DI ISI)'!AF184</f>
        <v>21</v>
      </c>
      <c r="AM43" s="491">
        <f t="shared" si="7"/>
        <v>3</v>
      </c>
      <c r="AN43" s="491">
        <f t="shared" si="8"/>
        <v>18</v>
      </c>
      <c r="AO43" s="491">
        <f>'KELURAHAN (DI ISI)'!AG182+'KELURAHAN (DI ISI)'!AG183+'KELURAHAN (DI ISI)'!AG184</f>
        <v>0</v>
      </c>
      <c r="AP43" s="491">
        <f>'KELURAHAN (DI ISI)'!AH182+'KELURAHAN (DI ISI)'!AH183+'KELURAHAN (DI ISI)'!AH184</f>
        <v>2</v>
      </c>
      <c r="AQ43" s="491">
        <f>'KELURAHAN (DI ISI)'!AI182+'KELURAHAN (DI ISI)'!AI183+'KELURAHAN (DI ISI)'!AI184</f>
        <v>1</v>
      </c>
      <c r="AR43" s="491">
        <f>'KELURAHAN (DI ISI)'!AJ182+'KELURAHAN (DI ISI)'!AJ183+'KELURAHAN (DI ISI)'!AJ184</f>
        <v>18</v>
      </c>
      <c r="AS43" s="491">
        <f>'KELURAHAN (DI ISI)'!AK182+'KELURAHAN (DI ISI)'!AK183+'KELURAHAN (DI ISI)'!AK184</f>
        <v>2</v>
      </c>
      <c r="AT43" s="491">
        <f>'KELURAHAN (DI ISI)'!AL182+'KELURAHAN (DI ISI)'!AL183+'KELURAHAN (DI ISI)'!AL184</f>
        <v>1</v>
      </c>
      <c r="AU43" s="491">
        <f>'KELURAHAN (DI ISI)'!AM182+'KELURAHAN (DI ISI)'!AM183+'KELURAHAN (DI ISI)'!AM184</f>
        <v>18</v>
      </c>
      <c r="AV43" s="491">
        <f>'KELURAHAN (DI ISI)'!AN182+'KELURAHAN (DI ISI)'!AN183+'KELURAHAN (DI ISI)'!AN184</f>
        <v>20</v>
      </c>
      <c r="AW43" s="491">
        <f t="shared" si="9"/>
        <v>6</v>
      </c>
      <c r="AX43" s="491">
        <f t="shared" si="10"/>
        <v>14</v>
      </c>
      <c r="AY43" s="491">
        <f>'KELURAHAN (DI ISI)'!AO182+'KELURAHAN (DI ISI)'!AO183+'KELURAHAN (DI ISI)'!AO184</f>
        <v>1</v>
      </c>
      <c r="AZ43" s="491">
        <f>'KELURAHAN (DI ISI)'!AP182+'KELURAHAN (DI ISI)'!AP183+'KELURAHAN (DI ISI)'!AP184</f>
        <v>1</v>
      </c>
      <c r="BA43" s="491">
        <f>'KELURAHAN (DI ISI)'!AQ182+'KELURAHAN (DI ISI)'!AQ183+'KELURAHAN (DI ISI)'!AQ184</f>
        <v>4</v>
      </c>
      <c r="BB43" s="491">
        <f>'KELURAHAN (DI ISI)'!AR182+'KELURAHAN (DI ISI)'!AR183+'KELURAHAN (DI ISI)'!AR184</f>
        <v>14</v>
      </c>
      <c r="BC43" s="491">
        <f>'KELURAHAN (DI ISI)'!AS182+'KELURAHAN (DI ISI)'!AS183+'KELURAHAN (DI ISI)'!AS184</f>
        <v>2</v>
      </c>
      <c r="BD43" s="491">
        <f>'KELURAHAN (DI ISI)'!AT182+'KELURAHAN (DI ISI)'!AT183+'KELURAHAN (DI ISI)'!AT184</f>
        <v>1</v>
      </c>
      <c r="BE43" s="491">
        <f>'KELURAHAN (DI ISI)'!AU182+'KELURAHAN (DI ISI)'!AU183+'KELURAHAN (DI ISI)'!AU184</f>
        <v>17</v>
      </c>
      <c r="BF43" s="491">
        <f>'KELURAHAN (DI ISI)'!AV182+'KELURAHAN (DI ISI)'!AV183+'KELURAHAN (DI ISI)'!AV184</f>
        <v>1097</v>
      </c>
      <c r="BG43" s="491">
        <f>'KELURAHAN (DI ISI)'!AW182+'KELURAHAN (DI ISI)'!AW183+'KELURAHAN (DI ISI)'!AW184</f>
        <v>20</v>
      </c>
      <c r="BH43" s="491">
        <f t="shared" si="11"/>
        <v>3</v>
      </c>
      <c r="BI43" s="495">
        <f t="shared" si="12"/>
        <v>15</v>
      </c>
      <c r="BJ43" s="491">
        <f>'KELURAHAN (DI ISI)'!AX182+'KELURAHAN (DI ISI)'!AX183+'KELURAHAN (DI ISI)'!AX184</f>
        <v>0</v>
      </c>
      <c r="BK43" s="491">
        <f>'KELURAHAN (DI ISI)'!AY182+'KELURAHAN (DI ISI)'!AY183+'KELURAHAN (DI ISI)'!AY184</f>
        <v>2</v>
      </c>
      <c r="BL43" s="491">
        <f>'KELURAHAN (DI ISI)'!AZ182+'KELURAHAN (DI ISI)'!AZ183+'KELURAHAN (DI ISI)'!AZ184</f>
        <v>1</v>
      </c>
      <c r="BM43" s="491">
        <f>'KELURAHAN (DI ISI)'!BA182+'KELURAHAN (DI ISI)'!BA183+'KELURAHAN (DI ISI)'!BA184</f>
        <v>15</v>
      </c>
      <c r="BN43" s="491">
        <f>'KELURAHAN (DI ISI)'!BB182+'KELURAHAN (DI ISI)'!BB183+'KELURAHAN (DI ISI)'!BB184</f>
        <v>2</v>
      </c>
      <c r="BO43" s="491">
        <f>'KELURAHAN (DI ISI)'!BC182+'KELURAHAN (DI ISI)'!BC183+'KELURAHAN (DI ISI)'!BC184</f>
        <v>0</v>
      </c>
      <c r="BP43" s="491">
        <f>'KELURAHAN (DI ISI)'!BD182+'KELURAHAN (DI ISI)'!BD183+'KELURAHAN (DI ISI)'!BD184</f>
        <v>0</v>
      </c>
      <c r="BQ43" s="491">
        <f>'KELURAHAN (DI ISI)'!BE182+'KELURAHAN (DI ISI)'!BE183+'KELURAHAN (DI ISI)'!BE184</f>
        <v>0</v>
      </c>
      <c r="BR43" s="491">
        <f>'KELURAHAN (DI ISI)'!BF182+'KELURAHAN (DI ISI)'!BF183+'KELURAHAN (DI ISI)'!BF184</f>
        <v>0</v>
      </c>
      <c r="BS43" s="491">
        <f>'KELURAHAN (DI ISI)'!BG182+'KELURAHAN (DI ISI)'!BG183+'KELURAHAN (DI ISI)'!BG184</f>
        <v>0</v>
      </c>
      <c r="BT43" s="491">
        <f>'KELURAHAN (DI ISI)'!BH182+'KELURAHAN (DI ISI)'!BH183+'KELURAHAN (DI ISI)'!BH184</f>
        <v>2</v>
      </c>
      <c r="BU43" s="491">
        <f>'KELURAHAN (DI ISI)'!BI182+'KELURAHAN (DI ISI)'!BI183+'KELURAHAN (DI ISI)'!BI184</f>
        <v>0</v>
      </c>
      <c r="BV43" s="491">
        <f>'KELURAHAN (DI ISI)'!BJ182+'KELURAHAN (DI ISI)'!BJ183+'KELURAHAN (DI ISI)'!BJ184</f>
        <v>0</v>
      </c>
      <c r="BW43" s="491">
        <f>'KELURAHAN (DI ISI)'!BK182+'KELURAHAN (DI ISI)'!BK183+'KELURAHAN (DI ISI)'!BK184</f>
        <v>0</v>
      </c>
      <c r="BX43" s="491">
        <f>'KELURAHAN (DI ISI)'!BL182+'KELURAHAN (DI ISI)'!BL183+'KELURAHAN (DI ISI)'!BL184</f>
        <v>0</v>
      </c>
      <c r="BY43" s="491">
        <f>'KELURAHAN (DI ISI)'!BM182+'KELURAHAN (DI ISI)'!BM183+'KELURAHAN (DI ISI)'!BM184</f>
        <v>0</v>
      </c>
      <c r="BZ43" s="491">
        <f>'KELURAHAN (DI ISI)'!BN182+'KELURAHAN (DI ISI)'!BN183+'KELURAHAN (DI ISI)'!BN184</f>
        <v>0</v>
      </c>
      <c r="CA43" s="491">
        <f>'KELURAHAN (DI ISI)'!BO182+'KELURAHAN (DI ISI)'!BO183+'KELURAHAN (DI ISI)'!BO184</f>
        <v>0</v>
      </c>
      <c r="CB43" s="491">
        <f>'KELURAHAN (DI ISI)'!BP182+'KELURAHAN (DI ISI)'!BP183+'KELURAHAN (DI ISI)'!BP184</f>
        <v>2</v>
      </c>
      <c r="CC43" s="491">
        <f>'KELURAHAN (DI ISI)'!BQ182+'KELURAHAN (DI ISI)'!BQ183+'KELURAHAN (DI ISI)'!BQ184</f>
        <v>1103</v>
      </c>
      <c r="CD43" s="491">
        <f>'KELURAHAN (DI ISI)'!BR182+'KELURAHAN (DI ISI)'!BR183+'KELURAHAN (DI ISI)'!BR184</f>
        <v>18</v>
      </c>
      <c r="CE43" s="491">
        <f t="shared" si="13"/>
        <v>3</v>
      </c>
      <c r="CF43" s="491">
        <f t="shared" si="14"/>
        <v>15</v>
      </c>
      <c r="CG43" s="491">
        <f>'KELURAHAN (DI ISI)'!BS182+'KELURAHAN (DI ISI)'!BS183+'KELURAHAN (DI ISI)'!BS184</f>
        <v>1</v>
      </c>
      <c r="CH43" s="491">
        <f>'KELURAHAN (DI ISI)'!BT182+'KELURAHAN (DI ISI)'!BT183+'KELURAHAN (DI ISI)'!BT184</f>
        <v>1</v>
      </c>
      <c r="CI43" s="491">
        <f>'KELURAHAN (DI ISI)'!BU182+'KELURAHAN (DI ISI)'!BU183+'KELURAHAN (DI ISI)'!BU184</f>
        <v>1</v>
      </c>
      <c r="CJ43" s="491">
        <f>'KELURAHAN (DI ISI)'!BV182+'KELURAHAN (DI ISI)'!BV183+'KELURAHAN (DI ISI)'!BV184</f>
        <v>15</v>
      </c>
      <c r="CK43" s="491">
        <f>'KELURAHAN (DI ISI)'!BW182+'KELURAHAN (DI ISI)'!BW183+'KELURAHAN (DI ISI)'!BW184</f>
        <v>0</v>
      </c>
      <c r="CL43" s="491">
        <f>'KELURAHAN (DI ISI)'!BX182+'KELURAHAN (DI ISI)'!BX183+'KELURAHAN (DI ISI)'!BX184</f>
        <v>0</v>
      </c>
      <c r="CM43" s="491">
        <f>'KELURAHAN (DI ISI)'!BY182+'KELURAHAN (DI ISI)'!BY183+'KELURAHAN (DI ISI)'!BY184</f>
        <v>0</v>
      </c>
      <c r="CN43" s="491">
        <f>'KELURAHAN (DI ISI)'!BZ182+'KELURAHAN (DI ISI)'!BZ183+'KELURAHAN (DI ISI)'!BZ184</f>
        <v>0</v>
      </c>
      <c r="CO43" s="491">
        <f>'KELURAHAN (DI ISI)'!CA182+'KELURAHAN (DI ISI)'!CA183+'KELURAHAN (DI ISI)'!CA184</f>
        <v>0</v>
      </c>
      <c r="CP43" s="491">
        <f>'KELURAHAN (DI ISI)'!CB182+'KELURAHAN (DI ISI)'!CB183+'KELURAHAN (DI ISI)'!CB184</f>
        <v>1</v>
      </c>
      <c r="CQ43" s="491">
        <f>'KELURAHAN (DI ISI)'!CC182+'KELURAHAN (DI ISI)'!CC183+'KELURAHAN (DI ISI)'!CC184</f>
        <v>0</v>
      </c>
      <c r="CR43" s="491">
        <f>'KELURAHAN (DI ISI)'!CD182+'KELURAHAN (DI ISI)'!CD183+'KELURAHAN (DI ISI)'!CD184</f>
        <v>0</v>
      </c>
      <c r="CS43" s="491">
        <f>'KELURAHAN (DI ISI)'!CE182+'KELURAHAN (DI ISI)'!CE183+'KELURAHAN (DI ISI)'!CE184</f>
        <v>1</v>
      </c>
      <c r="CT43" s="491">
        <f>'KELURAHAN (DI ISI)'!CF182+'KELURAHAN (DI ISI)'!CF183+'KELURAHAN (DI ISI)'!CF184</f>
        <v>0</v>
      </c>
      <c r="CU43" s="491">
        <f>'KELURAHAN (DI ISI)'!CG182+'KELURAHAN (DI ISI)'!CG183+'KELURAHAN (DI ISI)'!CG184</f>
        <v>0</v>
      </c>
      <c r="CV43" s="491">
        <f>'KELURAHAN (DI ISI)'!CH182+'KELURAHAN (DI ISI)'!CH183+'KELURAHAN (DI ISI)'!CH184</f>
        <v>0</v>
      </c>
      <c r="CW43" s="491">
        <f>'KELURAHAN (DI ISI)'!CI182+'KELURAHAN (DI ISI)'!CI183+'KELURAHAN (DI ISI)'!CI184</f>
        <v>0</v>
      </c>
      <c r="CX43" s="491">
        <f>'KELURAHAN (DI ISI)'!CJ182+'KELURAHAN (DI ISI)'!CJ183+'KELURAHAN (DI ISI)'!CJ184</f>
        <v>0</v>
      </c>
      <c r="CY43" s="491">
        <f>'KELURAHAN (DI ISI)'!CK182+'KELURAHAN (DI ISI)'!CK183+'KELURAHAN (DI ISI)'!CK184</f>
        <v>2</v>
      </c>
      <c r="CZ43" s="491">
        <f>'KELURAHAN (DI ISI)'!CL182+'KELURAHAN (DI ISI)'!CL183+'KELURAHAN (DI ISI)'!CL184</f>
        <v>1101</v>
      </c>
      <c r="DA43" s="491">
        <f>'KELURAHAN (DI ISI)'!CM182+'KELURAHAN (DI ISI)'!CM183+'KELURAHAN (DI ISI)'!CM184</f>
        <v>420</v>
      </c>
      <c r="DB43" s="491">
        <f>'KELURAHAN (DI ISI)'!CN182+'KELURAHAN (DI ISI)'!CN183+'KELURAHAN (DI ISI)'!CN184</f>
        <v>18</v>
      </c>
      <c r="DC43" s="491">
        <f t="shared" si="15"/>
        <v>3</v>
      </c>
      <c r="DD43" s="491">
        <f t="shared" si="16"/>
        <v>14</v>
      </c>
      <c r="DE43" s="491">
        <f>'KELURAHAN (DI ISI)'!CO182+'KELURAHAN (DI ISI)'!CO183+'KELURAHAN (DI ISI)'!CO184</f>
        <v>1</v>
      </c>
      <c r="DF43" s="491">
        <f>'KELURAHAN (DI ISI)'!CP182+'KELURAHAN (DI ISI)'!CP183+'KELURAHAN (DI ISI)'!CP184</f>
        <v>1</v>
      </c>
      <c r="DG43" s="491">
        <f>'KELURAHAN (DI ISI)'!CQ182+'KELURAHAN (DI ISI)'!CQ183+'KELURAHAN (DI ISI)'!CQ184</f>
        <v>1</v>
      </c>
      <c r="DH43" s="491">
        <f>'KELURAHAN (DI ISI)'!CR182+'KELURAHAN (DI ISI)'!CR183+'KELURAHAN (DI ISI)'!CR184</f>
        <v>14</v>
      </c>
      <c r="DI43" s="491">
        <f>'KELURAHAN (DI ISI)'!CS182+'KELURAHAN (DI ISI)'!CS183+'KELURAHAN (DI ISI)'!CS184</f>
        <v>0</v>
      </c>
      <c r="DJ43" s="491">
        <f>'KELURAHAN (DI ISI)'!CT182+'KELURAHAN (DI ISI)'!CT183+'KELURAHAN (DI ISI)'!CT184</f>
        <v>0</v>
      </c>
      <c r="DK43" s="491">
        <f>'KELURAHAN (DI ISI)'!CU182+'KELURAHAN (DI ISI)'!CU183+'KELURAHAN (DI ISI)'!CU184</f>
        <v>1</v>
      </c>
      <c r="DL43" s="491">
        <f>'KELURAHAN (DI ISI)'!CV182+'KELURAHAN (DI ISI)'!CV183+'KELURAHAN (DI ISI)'!CV184</f>
        <v>0</v>
      </c>
      <c r="DM43" s="491">
        <f>'KELURAHAN (DI ISI)'!CW182+'KELURAHAN (DI ISI)'!CW183+'KELURAHAN (DI ISI)'!CW184</f>
        <v>0</v>
      </c>
      <c r="DN43" s="491">
        <f>'KELURAHAN (DI ISI)'!CX182+'KELURAHAN (DI ISI)'!CX183+'KELURAHAN (DI ISI)'!CX184</f>
        <v>0</v>
      </c>
      <c r="DO43" s="491">
        <f>'KELURAHAN (DI ISI)'!CY182+'KELURAHAN (DI ISI)'!CY183+'KELURAHAN (DI ISI)'!CY184</f>
        <v>0</v>
      </c>
      <c r="DP43" s="491">
        <f>'KELURAHAN (DI ISI)'!CZ182+'KELURAHAN (DI ISI)'!CZ183+'KELURAHAN (DI ISI)'!CZ184</f>
        <v>1</v>
      </c>
      <c r="DQ43" s="491">
        <f>'KELURAHAN (DI ISI)'!DA182+'KELURAHAN (DI ISI)'!DA183+'KELURAHAN (DI ISI)'!DA184</f>
        <v>0</v>
      </c>
      <c r="DR43" s="491">
        <f>'KELURAHAN (DI ISI)'!DB182+'KELURAHAN (DI ISI)'!DB183+'KELURAHAN (DI ISI)'!DB184</f>
        <v>0</v>
      </c>
      <c r="DS43" s="491">
        <f>'KELURAHAN (DI ISI)'!DC182+'KELURAHAN (DI ISI)'!DC183+'KELURAHAN (DI ISI)'!DC184</f>
        <v>0</v>
      </c>
      <c r="DT43" s="491">
        <f>'KELURAHAN (DI ISI)'!DD182+'KELURAHAN (DI ISI)'!DD183+'KELURAHAN (DI ISI)'!DD184</f>
        <v>0</v>
      </c>
      <c r="DU43" s="491">
        <f>'KELURAHAN (DI ISI)'!DE182+'KELURAHAN (DI ISI)'!DE183+'KELURAHAN (DI ISI)'!DE184</f>
        <v>0</v>
      </c>
      <c r="DV43" s="491">
        <f>'KELURAHAN (DI ISI)'!DF182+'KELURAHAN (DI ISI)'!DF183+'KELURAHAN (DI ISI)'!DF184</f>
        <v>0</v>
      </c>
      <c r="DW43" s="491">
        <f>'KELURAHAN (DI ISI)'!DG182+'KELURAHAN (DI ISI)'!DG183+'KELURAHAN (DI ISI)'!DG184</f>
        <v>1</v>
      </c>
      <c r="DX43" s="491">
        <f>'KELURAHAN (DI ISI)'!DH182+'KELURAHAN (DI ISI)'!DH183+'KELURAHAN (DI ISI)'!DH184</f>
        <v>981</v>
      </c>
      <c r="DY43" s="491">
        <f>'KELURAHAN (DI ISI)'!DI182+'KELURAHAN (DI ISI)'!DI183+'KELURAHAN (DI ISI)'!DI184</f>
        <v>366</v>
      </c>
      <c r="DZ43" s="491">
        <f>'KELURAHAN (DI ISI)'!DJ182+'KELURAHAN (DI ISI)'!DJ183+'KELURAHAN (DI ISI)'!DJ184</f>
        <v>931</v>
      </c>
      <c r="EA43" s="491">
        <f>'KELURAHAN (DI ISI)'!DK182+'KELURAHAN (DI ISI)'!DK183+'KELURAHAN (DI ISI)'!DK184</f>
        <v>349</v>
      </c>
      <c r="EB43" s="491">
        <f>'KELURAHAN (DI ISI)'!DL182+'KELURAHAN (DI ISI)'!DL183+'KELURAHAN (DI ISI)'!DL184</f>
        <v>18</v>
      </c>
      <c r="EC43" s="491">
        <f>'KELURAHAN (DI ISI)'!DM182+'KELURAHAN (DI ISI)'!DM183+'KELURAHAN (DI ISI)'!DM184</f>
        <v>4</v>
      </c>
      <c r="ED43" s="491">
        <f t="shared" si="17"/>
        <v>14</v>
      </c>
      <c r="EE43" s="491">
        <f>'KELURAHAN (DI ISI)'!DO182+'KELURAHAN (DI ISI)'!DO183+'KELURAHAN (DI ISI)'!DO184</f>
        <v>1</v>
      </c>
      <c r="EF43" s="491">
        <f>'KELURAHAN (DI ISI)'!DP182+'KELURAHAN (DI ISI)'!DP183+'KELURAHAN (DI ISI)'!DP184</f>
        <v>1</v>
      </c>
      <c r="EG43" s="491">
        <f>'KELURAHAN (DI ISI)'!DQ182+'KELURAHAN (DI ISI)'!DQ183+'KELURAHAN (DI ISI)'!DQ184</f>
        <v>2</v>
      </c>
      <c r="EH43" s="491">
        <f>'KELURAHAN (DI ISI)'!DR182+'KELURAHAN (DI ISI)'!DR183+'KELURAHAN (DI ISI)'!DR184</f>
        <v>13</v>
      </c>
      <c r="EI43" s="491">
        <f>'KELURAHAN (DI ISI)'!DS182+'KELURAHAN (DI ISI)'!DS183+'KELURAHAN (DI ISI)'!DS184</f>
        <v>0</v>
      </c>
      <c r="EJ43" s="491">
        <f>'KELURAHAN (DI ISI)'!DT182+'KELURAHAN (DI ISI)'!DT183+'KELURAHAN (DI ISI)'!DT184</f>
        <v>0</v>
      </c>
      <c r="EK43" s="491">
        <f>'KELURAHAN (DI ISI)'!DU182+'KELURAHAN (DI ISI)'!DU183+'KELURAHAN (DI ISI)'!DU184</f>
        <v>0</v>
      </c>
      <c r="EL43" s="491">
        <f>'KELURAHAN (DI ISI)'!DV182+'KELURAHAN (DI ISI)'!DV183+'KELURAHAN (DI ISI)'!DV184</f>
        <v>1</v>
      </c>
      <c r="EM43" s="491">
        <f>'KELURAHAN (DI ISI)'!DW182+'KELURAHAN (DI ISI)'!DW183+'KELURAHAN (DI ISI)'!DW184</f>
        <v>0</v>
      </c>
      <c r="EN43" s="491">
        <f>'KELURAHAN (DI ISI)'!DX182+'KELURAHAN (DI ISI)'!DX183+'KELURAHAN (DI ISI)'!DX184</f>
        <v>0</v>
      </c>
      <c r="EO43" s="491">
        <f>'KELURAHAN (DI ISI)'!DY182+'KELURAHAN (DI ISI)'!DY183+'KELURAHAN (DI ISI)'!DY184</f>
        <v>0</v>
      </c>
      <c r="EP43" s="491">
        <f>'KELURAHAN (DI ISI)'!DZ182+'KELURAHAN (DI ISI)'!DZ183+'KELURAHAN (DI ISI)'!DZ184</f>
        <v>0</v>
      </c>
      <c r="EQ43" s="491">
        <f>'KELURAHAN (DI ISI)'!EA182+'KELURAHAN (DI ISI)'!EA183+'KELURAHAN (DI ISI)'!EA184</f>
        <v>0</v>
      </c>
      <c r="ER43" s="491">
        <f>'KELURAHAN (DI ISI)'!EB182+'KELURAHAN (DI ISI)'!EB183+'KELURAHAN (DI ISI)'!EB184</f>
        <v>0</v>
      </c>
      <c r="ES43" s="491">
        <f>'KELURAHAN (DI ISI)'!EC182+'KELURAHAN (DI ISI)'!EC183+'KELURAHAN (DI ISI)'!EC184</f>
        <v>0</v>
      </c>
      <c r="ET43" s="491">
        <f>'KELURAHAN (DI ISI)'!ED182+'KELURAHAN (DI ISI)'!ED183+'KELURAHAN (DI ISI)'!ED184</f>
        <v>0</v>
      </c>
      <c r="EU43" s="491">
        <f>'KELURAHAN (DI ISI)'!EE182+'KELURAHAN (DI ISI)'!EE183+'KELURAHAN (DI ISI)'!EE184</f>
        <v>1</v>
      </c>
      <c r="EV43" s="491">
        <f>'KELURAHAN (DI ISI)'!EF182+'KELURAHAN (DI ISI)'!EF183+'KELURAHAN (DI ISI)'!EF184</f>
        <v>0</v>
      </c>
      <c r="EW43" s="491">
        <f>'KELURAHAN (DI ISI)'!EG182+'KELURAHAN (DI ISI)'!EG183+'KELURAHAN (DI ISI)'!EG184</f>
        <v>1</v>
      </c>
      <c r="EX43" s="491">
        <f>'KELURAHAN (DI ISI)'!EH182+'KELURAHAN (DI ISI)'!EH183+'KELURAHAN (DI ISI)'!EH184</f>
        <v>1</v>
      </c>
      <c r="EY43" s="491">
        <f>'KELURAHAN (DI ISI)'!EI182+'KELURAHAN (DI ISI)'!EI183+'KELURAHAN (DI ISI)'!EI184</f>
        <v>961</v>
      </c>
      <c r="EZ43" s="491">
        <f>'KELURAHAN (DI ISI)'!EJ182+'KELURAHAN (DI ISI)'!EJ183+'KELURAHAN (DI ISI)'!EJ184</f>
        <v>381</v>
      </c>
      <c r="FA43" s="491">
        <f>'KELURAHAN (DI ISI)'!EK182+'KELURAHAN (DI ISI)'!EK183+'KELURAHAN (DI ISI)'!EK184</f>
        <v>914</v>
      </c>
      <c r="FB43" s="491">
        <f>'KELURAHAN (DI ISI)'!EL182+'KELURAHAN (DI ISI)'!EL183+'KELURAHAN (DI ISI)'!EL184</f>
        <v>358</v>
      </c>
      <c r="FC43" s="491">
        <f>'KELURAHAN (DI ISI)'!EM182+'KELURAHAN (DI ISI)'!EM183+'KELURAHAN (DI ISI)'!EM184</f>
        <v>17</v>
      </c>
      <c r="FD43" s="491">
        <f>'KELURAHAN (DI ISI)'!EN182+'KELURAHAN (DI ISI)'!EN183+'KELURAHAN (DI ISI)'!EN184</f>
        <v>4</v>
      </c>
      <c r="FE43" s="491">
        <f t="shared" si="18"/>
        <v>13</v>
      </c>
      <c r="FF43" s="491">
        <f>'KELURAHAN (DI ISI)'!EP182+'KELURAHAN (DI ISI)'!EP183+'KELURAHAN (DI ISI)'!EP184</f>
        <v>0</v>
      </c>
      <c r="FG43" s="491">
        <f>'KELURAHAN (DI ISI)'!EQ182+'KELURAHAN (DI ISI)'!EQ183+'KELURAHAN (DI ISI)'!EQ184</f>
        <v>1</v>
      </c>
      <c r="FH43" s="491">
        <f>'KELURAHAN (DI ISI)'!ER182+'KELURAHAN (DI ISI)'!ER183+'KELURAHAN (DI ISI)'!ER184</f>
        <v>1</v>
      </c>
      <c r="FI43" s="491">
        <f>'KELURAHAN (DI ISI)'!ES182+'KELURAHAN (DI ISI)'!ES183+'KELURAHAN (DI ISI)'!ES184</f>
        <v>13</v>
      </c>
      <c r="FJ43" s="491">
        <f>'KELURAHAN (DI ISI)'!ET182+'KELURAHAN (DI ISI)'!ET183+'KELURAHAN (DI ISI)'!ET184</f>
        <v>0</v>
      </c>
      <c r="FK43" s="491">
        <f>'KELURAHAN (DI ISI)'!EU182+'KELURAHAN (DI ISI)'!EU183+'KELURAHAN (DI ISI)'!EU184</f>
        <v>0</v>
      </c>
      <c r="FL43" s="491">
        <f>'KELURAHAN (DI ISI)'!EV182+'KELURAHAN (DI ISI)'!EV183+'KELURAHAN (DI ISI)'!EV184</f>
        <v>2</v>
      </c>
      <c r="FM43" s="491">
        <f>'KELURAHAN (DI ISI)'!EW182+'KELURAHAN (DI ISI)'!EW183+'KELURAHAN (DI ISI)'!EW184</f>
        <v>0</v>
      </c>
      <c r="FN43" s="491">
        <f>'KELURAHAN (DI ISI)'!EX182+'KELURAHAN (DI ISI)'!EX183+'KELURAHAN (DI ISI)'!EX184</f>
        <v>0</v>
      </c>
      <c r="FO43" s="491">
        <f>'KELURAHAN (DI ISI)'!EY182+'KELURAHAN (DI ISI)'!EY183+'KELURAHAN (DI ISI)'!EY184</f>
        <v>0</v>
      </c>
      <c r="FP43" s="491">
        <f>'KELURAHAN (DI ISI)'!EZ182+'KELURAHAN (DI ISI)'!EZ183+'KELURAHAN (DI ISI)'!EZ184</f>
        <v>0</v>
      </c>
      <c r="FQ43" s="491">
        <f>'KELURAHAN (DI ISI)'!FA182+'KELURAHAN (DI ISI)'!FA183+'KELURAHAN (DI ISI)'!FA184</f>
        <v>1</v>
      </c>
      <c r="FR43" s="491">
        <f>'KELURAHAN (DI ISI)'!FB182+'KELURAHAN (DI ISI)'!FB183+'KELURAHAN (DI ISI)'!FB184</f>
        <v>1</v>
      </c>
      <c r="FS43" s="491">
        <f>'KELURAHAN (DI ISI)'!FC182+'KELURAHAN (DI ISI)'!FC183+'KELURAHAN (DI ISI)'!FC184</f>
        <v>0</v>
      </c>
      <c r="FT43" s="491">
        <f>'KELURAHAN (DI ISI)'!FD182+'KELURAHAN (DI ISI)'!FD183+'KELURAHAN (DI ISI)'!FD184</f>
        <v>0</v>
      </c>
      <c r="FU43" s="491">
        <f>'KELURAHAN (DI ISI)'!FE182+'KELURAHAN (DI ISI)'!FE183+'KELURAHAN (DI ISI)'!FE184</f>
        <v>0</v>
      </c>
      <c r="FV43" s="491">
        <f>'KELURAHAN (DI ISI)'!FF182+'KELURAHAN (DI ISI)'!FF183+'KELURAHAN (DI ISI)'!FF184</f>
        <v>1</v>
      </c>
      <c r="FW43" s="491">
        <f>'KELURAHAN (DI ISI)'!FG182+'KELURAHAN (DI ISI)'!FG183+'KELURAHAN (DI ISI)'!FG184</f>
        <v>0</v>
      </c>
      <c r="FX43" s="491">
        <f>'KELURAHAN (DI ISI)'!FH182+'KELURAHAN (DI ISI)'!FH183+'KELURAHAN (DI ISI)'!FH184</f>
        <v>3</v>
      </c>
      <c r="FY43" s="491">
        <f>'KELURAHAN (DI ISI)'!FI182+'KELURAHAN (DI ISI)'!FI183+'KELURAHAN (DI ISI)'!FI184</f>
        <v>1</v>
      </c>
      <c r="FZ43" s="491">
        <f>'KELURAHAN (DI ISI)'!FJ182+'KELURAHAN (DI ISI)'!FJ183+'KELURAHAN (DI ISI)'!FJ184</f>
        <v>946</v>
      </c>
      <c r="GA43" s="491">
        <f>'KELURAHAN (DI ISI)'!FK182+'KELURAHAN (DI ISI)'!FK183+'KELURAHAN (DI ISI)'!FK184</f>
        <v>369</v>
      </c>
      <c r="GB43" s="491">
        <f>'KELURAHAN (DI ISI)'!FL182+'KELURAHAN (DI ISI)'!FL183+'KELURAHAN (DI ISI)'!FL184</f>
        <v>922</v>
      </c>
      <c r="GC43" s="491">
        <f>'KELURAHAN (DI ISI)'!FM182+'KELURAHAN (DI ISI)'!FM183+'KELURAHAN (DI ISI)'!FM184</f>
        <v>362</v>
      </c>
      <c r="GD43" s="570">
        <v>922.0</v>
      </c>
      <c r="GE43" s="571">
        <f>'KELURAHAN (DI ISI)'!FO182+'KELURAHAN (DI ISI)'!FO183+'KELURAHAN (DI ISI)'!FO184</f>
        <v>15</v>
      </c>
      <c r="GF43" s="571">
        <f>'KELURAHAN (DI ISI)'!FP182+'KELURAHAN (DI ISI)'!FP183+'KELURAHAN (DI ISI)'!FP184</f>
        <v>15</v>
      </c>
      <c r="GG43" s="571">
        <f>'KELURAHAN (DI ISI)'!FP182+'KELURAHAN (DI ISI)'!FP183+'KELURAHAN (DI ISI)'!FP184</f>
        <v>15</v>
      </c>
      <c r="GH43" s="571">
        <f>'KELURAHAN (DI ISI)'!FQ182+'KELURAHAN (DI ISI)'!FQ183+'KELURAHAN (DI ISI)'!FQ184</f>
        <v>3</v>
      </c>
      <c r="GI43" s="571">
        <f t="shared" si="19"/>
        <v>12</v>
      </c>
      <c r="GJ43" s="491">
        <f>'KELURAHAN (DI ISI)'!FS182+'KELURAHAN (DI ISI)'!FS183+'KELURAHAN (DI ISI)'!FS184</f>
        <v>0</v>
      </c>
      <c r="GK43" s="491">
        <f>'KELURAHAN (DI ISI)'!FT182+'KELURAHAN (DI ISI)'!FT183+'KELURAHAN (DI ISI)'!FT184</f>
        <v>0</v>
      </c>
      <c r="GL43" s="491">
        <f>'KELURAHAN (DI ISI)'!FU182+'KELURAHAN (DI ISI)'!FU183+'KELURAHAN (DI ISI)'!FU184</f>
        <v>3</v>
      </c>
      <c r="GM43" s="491">
        <f>'KELURAHAN (DI ISI)'!FV182+'KELURAHAN (DI ISI)'!FV183+'KELURAHAN (DI ISI)'!FV184</f>
        <v>12</v>
      </c>
      <c r="GN43" s="491">
        <f>'KELURAHAN (DI ISI)'!FW182+'KELURAHAN (DI ISI)'!FW183+'KELURAHAN (DI ISI)'!FW184</f>
        <v>0</v>
      </c>
      <c r="GO43" s="491">
        <f>'KELURAHAN (DI ISI)'!FX182+'KELURAHAN (DI ISI)'!FX183+'KELURAHAN (DI ISI)'!FX184</f>
        <v>0</v>
      </c>
      <c r="GP43" s="491">
        <f>'KELURAHAN (DI ISI)'!FY182+'KELURAHAN (DI ISI)'!FY183+'KELURAHAN (DI ISI)'!FY184</f>
        <v>0</v>
      </c>
      <c r="GQ43" s="491">
        <f>'KELURAHAN (DI ISI)'!FZ182+'KELURAHAN (DI ISI)'!FZ183+'KELURAHAN (DI ISI)'!FZ184</f>
        <v>0</v>
      </c>
      <c r="GR43" s="491">
        <f>'KELURAHAN (DI ISI)'!GA182+'KELURAHAN (DI ISI)'!GA183+'KELURAHAN (DI ISI)'!GA184</f>
        <v>0</v>
      </c>
      <c r="GS43" s="491">
        <f>'KELURAHAN (DI ISI)'!GB182+'KELURAHAN (DI ISI)'!GB183+'KELURAHAN (DI ISI)'!GB184</f>
        <v>0</v>
      </c>
      <c r="GT43" s="491">
        <f>'KELURAHAN (DI ISI)'!GC182+'KELURAHAN (DI ISI)'!GC183+'KELURAHAN (DI ISI)'!GC184</f>
        <v>0</v>
      </c>
      <c r="GU43" s="491">
        <f>'KELURAHAN (DI ISI)'!GD182+'KELURAHAN (DI ISI)'!GD183+'KELURAHAN (DI ISI)'!GD184</f>
        <v>1</v>
      </c>
      <c r="GV43" s="491">
        <f>'KELURAHAN (DI ISI)'!GE182+'KELURAHAN (DI ISI)'!GE183+'KELURAHAN (DI ISI)'!GE184</f>
        <v>0</v>
      </c>
      <c r="GW43" s="491">
        <f>'KELURAHAN (DI ISI)'!GF182+'KELURAHAN (DI ISI)'!GF183+'KELURAHAN (DI ISI)'!GF184</f>
        <v>0</v>
      </c>
      <c r="GX43" s="491">
        <f>'KELURAHAN (DI ISI)'!GG182+'KELURAHAN (DI ISI)'!GG183+'KELURAHAN (DI ISI)'!GG184</f>
        <v>0</v>
      </c>
      <c r="GY43" s="491">
        <f>'KELURAHAN (DI ISI)'!GH182+'KELURAHAN (DI ISI)'!GH183+'KELURAHAN (DI ISI)'!GH184</f>
        <v>0</v>
      </c>
      <c r="GZ43" s="491">
        <f>'KELURAHAN (DI ISI)'!GI182+'KELURAHAN (DI ISI)'!GI183+'KELURAHAN (DI ISI)'!GI184</f>
        <v>1</v>
      </c>
      <c r="HA43" s="491">
        <f>'KELURAHAN (DI ISI)'!GJ182+'KELURAHAN (DI ISI)'!GJ183+'KELURAHAN (DI ISI)'!GJ184</f>
        <v>0</v>
      </c>
      <c r="HB43" s="572">
        <f>'KELURAHAN (DI ISI)'!GK182+'KELURAHAN (DI ISI)'!GK183+'KELURAHAN (DI ISI)'!GK184</f>
        <v>2</v>
      </c>
      <c r="HC43" s="572">
        <f>'KELURAHAN (DI ISI)'!GL182+'KELURAHAN (DI ISI)'!GL183+'KELURAHAN (DI ISI)'!GL184</f>
        <v>0</v>
      </c>
      <c r="HD43" s="491">
        <f>'KELURAHAN (DI ISI)'!GM182+'KELURAHAN (DI ISI)'!GM183+'KELURAHAN (DI ISI)'!GM184</f>
        <v>972</v>
      </c>
      <c r="HE43" s="491">
        <f>'KELURAHAN (DI ISI)'!GN182+'KELURAHAN (DI ISI)'!GN183+'KELURAHAN (DI ISI)'!GN184</f>
        <v>382</v>
      </c>
      <c r="HF43" s="491">
        <f>'KELURAHAN (DI ISI)'!GO182+'KELURAHAN (DI ISI)'!GO183+'KELURAHAN (DI ISI)'!GO184</f>
        <v>900</v>
      </c>
      <c r="HG43" s="491">
        <f>'KELURAHAN (DI ISI)'!GP182+'KELURAHAN (DI ISI)'!GP183+'KELURAHAN (DI ISI)'!GP184</f>
        <v>356</v>
      </c>
      <c r="HH43" s="570">
        <v>922.0</v>
      </c>
      <c r="HI43" s="225">
        <f>'KELURAHAN (DI ISI)'!GR182+'KELURAHAN (DI ISI)'!GR183+'KELURAHAN (DI ISI)'!GR184</f>
        <v>15</v>
      </c>
      <c r="HJ43" s="225">
        <f>'KELURAHAN (DI ISI)'!GS182+'KELURAHAN (DI ISI)'!GS183+'KELURAHAN (DI ISI)'!GS184</f>
        <v>4</v>
      </c>
      <c r="HK43" s="573">
        <f>'KELURAHAN (DI ISI)'!GT182+'KELURAHAN (DI ISI)'!GT183+'KELURAHAN (DI ISI)'!GT184</f>
        <v>15</v>
      </c>
      <c r="HL43" s="573">
        <f>'KELURAHAN (DI ISI)'!GU182+'KELURAHAN (DI ISI)'!GU183+'KELURAHAN (DI ISI)'!GU184</f>
        <v>4</v>
      </c>
      <c r="HM43" s="573">
        <f t="shared" si="20"/>
        <v>11</v>
      </c>
      <c r="HN43" s="491">
        <f>'KELURAHAN (DI ISI)'!GW182+'KELURAHAN (DI ISI)'!GW183+'KELURAHAN (DI ISI)'!GW184</f>
        <v>0</v>
      </c>
      <c r="HO43" s="491">
        <f>'KELURAHAN (DI ISI)'!GX182+'KELURAHAN (DI ISI)'!GX183+'KELURAHAN (DI ISI)'!GX184</f>
        <v>0</v>
      </c>
      <c r="HP43" s="491">
        <f>'KELURAHAN (DI ISI)'!GY182+'KELURAHAN (DI ISI)'!GY183+'KELURAHAN (DI ISI)'!GY184</f>
        <v>3</v>
      </c>
      <c r="HQ43" s="491">
        <f>'KELURAHAN (DI ISI)'!GZ182+'KELURAHAN (DI ISI)'!GZ183+'KELURAHAN (DI ISI)'!GZ184</f>
        <v>10</v>
      </c>
      <c r="HR43" s="491">
        <f>'KELURAHAN (DI ISI)'!HA182+'KELURAHAN (DI ISI)'!HA183+'KELURAHAN (DI ISI)'!HA184</f>
        <v>1</v>
      </c>
      <c r="HS43" s="491">
        <f>'KELURAHAN (DI ISI)'!HB182+'KELURAHAN (DI ISI)'!HB183+'KELURAHAN (DI ISI)'!HB184</f>
        <v>0</v>
      </c>
      <c r="HT43" s="491">
        <f>'KELURAHAN (DI ISI)'!HC182+'KELURAHAN (DI ISI)'!HC183+'KELURAHAN (DI ISI)'!HC184</f>
        <v>0</v>
      </c>
      <c r="HU43" s="491">
        <f>'KELURAHAN (DI ISI)'!HD182+'KELURAHAN (DI ISI)'!HD183+'KELURAHAN (DI ISI)'!HD184</f>
        <v>1</v>
      </c>
      <c r="HV43" s="491">
        <f>'KELURAHAN (DI ISI)'!HE182+'KELURAHAN (DI ISI)'!HE183+'KELURAHAN (DI ISI)'!HE184</f>
        <v>0</v>
      </c>
      <c r="HW43" s="491">
        <f>'KELURAHAN (DI ISI)'!HF182+'KELURAHAN (DI ISI)'!HF183+'KELURAHAN (DI ISI)'!HF184</f>
        <v>0</v>
      </c>
      <c r="HX43" s="491">
        <f>'KELURAHAN (DI ISI)'!HG182+'KELURAHAN (DI ISI)'!HG183+'KELURAHAN (DI ISI)'!HG184</f>
        <v>0</v>
      </c>
      <c r="HY43" s="491">
        <f>'KELURAHAN (DI ISI)'!HH182+'KELURAHAN (DI ISI)'!HH183+'KELURAHAN (DI ISI)'!HH184</f>
        <v>2</v>
      </c>
      <c r="HZ43" s="491">
        <f>'KELURAHAN (DI ISI)'!HI182+'KELURAHAN (DI ISI)'!HI183+'KELURAHAN (DI ISI)'!HI184</f>
        <v>0</v>
      </c>
      <c r="IA43" s="491">
        <f>'KELURAHAN (DI ISI)'!HJ182+'KELURAHAN (DI ISI)'!HJ183+'KELURAHAN (DI ISI)'!HJ184</f>
        <v>0</v>
      </c>
      <c r="IB43" s="491">
        <f>'KELURAHAN (DI ISI)'!HK182+'KELURAHAN (DI ISI)'!HK183+'KELURAHAN (DI ISI)'!HK184</f>
        <v>0</v>
      </c>
      <c r="IC43" s="491">
        <f>'KELURAHAN (DI ISI)'!HL182+'KELURAHAN (DI ISI)'!HL183+'KELURAHAN (DI ISI)'!HL184</f>
        <v>0</v>
      </c>
      <c r="ID43" s="491">
        <f>'KELURAHAN (DI ISI)'!HM182+'KELURAHAN (DI ISI)'!HM183+'KELURAHAN (DI ISI)'!HM184</f>
        <v>0</v>
      </c>
      <c r="IE43" s="491">
        <f>'KELURAHAN (DI ISI)'!HN182+'KELURAHAN (DI ISI)'!HN183+'KELURAHAN (DI ISI)'!HN184</f>
        <v>0</v>
      </c>
      <c r="IF43" s="573">
        <f>'KELURAHAN (DI ISI)'!HO182+'KELURAHAN (DI ISI)'!HO183+'KELURAHAN (DI ISI)'!HO184</f>
        <v>0</v>
      </c>
      <c r="IG43" s="573">
        <f>'KELURAHAN (DI ISI)'!HP182+'KELURAHAN (DI ISI)'!HP183+'KELURAHAN (DI ISI)'!HP184</f>
        <v>0</v>
      </c>
      <c r="IK43" s="198">
        <f t="shared" si="21"/>
        <v>20</v>
      </c>
      <c r="IL43" s="198">
        <f t="shared" si="22"/>
        <v>25</v>
      </c>
      <c r="IM43" s="198">
        <f t="shared" si="23"/>
        <v>24</v>
      </c>
      <c r="IN43" s="198">
        <f t="shared" si="24"/>
        <v>21</v>
      </c>
      <c r="IO43" s="198">
        <f t="shared" si="25"/>
        <v>20</v>
      </c>
      <c r="IP43" s="198">
        <f t="shared" si="26"/>
        <v>20</v>
      </c>
      <c r="IQ43" s="574">
        <f t="shared" si="27"/>
        <v>18</v>
      </c>
      <c r="IR43" s="574">
        <f t="shared" si="28"/>
        <v>18</v>
      </c>
      <c r="IS43" s="574">
        <f t="shared" si="29"/>
        <v>18</v>
      </c>
      <c r="IT43" s="574">
        <f t="shared" si="30"/>
        <v>17</v>
      </c>
      <c r="IU43" s="574">
        <f t="shared" si="31"/>
        <v>15</v>
      </c>
      <c r="IV43" s="575">
        <f t="shared" si="32"/>
        <v>15</v>
      </c>
      <c r="IW43" s="583"/>
      <c r="IX43" s="576">
        <f t="shared" si="33"/>
        <v>-15</v>
      </c>
      <c r="IZ43" s="577"/>
      <c r="JA43" s="162">
        <f t="shared" si="34"/>
        <v>-972</v>
      </c>
      <c r="JB43" s="578"/>
      <c r="JC43" s="579">
        <f t="shared" si="35"/>
        <v>-382</v>
      </c>
      <c r="JD43" s="596"/>
      <c r="JE43" s="594"/>
      <c r="JF43" s="577"/>
      <c r="JG43" s="234">
        <f t="shared" si="36"/>
        <v>-900</v>
      </c>
      <c r="JH43" s="578"/>
      <c r="JI43" s="579">
        <f t="shared" si="37"/>
        <v>-356</v>
      </c>
      <c r="JJ43" s="593"/>
    </row>
    <row r="44" ht="14.25" customHeight="1">
      <c r="A44" s="158">
        <v>37.0</v>
      </c>
      <c r="B44" s="157" t="s">
        <v>290</v>
      </c>
      <c r="C44" s="253">
        <v>3374100.0</v>
      </c>
      <c r="D44" s="569" t="s">
        <v>294</v>
      </c>
      <c r="E44" s="253"/>
      <c r="F44" s="259">
        <f>'KELURAHAN (DI ISI)'!F178+'KELURAHAN (DI ISI)'!F179+'KELURAHAN (DI ISI)'!F180+'KELURAHAN (DI ISI)'!F181</f>
        <v>21</v>
      </c>
      <c r="G44" s="259">
        <f>'KELURAHAN (DI ISI)'!G178+'KELURAHAN (DI ISI)'!G179+'KELURAHAN (DI ISI)'!G180+'KELURAHAN (DI ISI)'!G181</f>
        <v>1229</v>
      </c>
      <c r="H44" s="259">
        <f>'KELURAHAN (DI ISI)'!H178+'KELURAHAN (DI ISI)'!H179+'KELURAHAN (DI ISI)'!H180+'KELURAHAN (DI ISI)'!H181</f>
        <v>22</v>
      </c>
      <c r="I44" s="491">
        <f t="shared" si="1"/>
        <v>7</v>
      </c>
      <c r="J44" s="491">
        <f t="shared" si="2"/>
        <v>15</v>
      </c>
      <c r="K44" s="491">
        <f>'KELURAHAN (DI ISI)'!I178+'KELURAHAN (DI ISI)'!I179+'KELURAHAN (DI ISI)'!I180+'KELURAHAN (DI ISI)'!I181</f>
        <v>1</v>
      </c>
      <c r="L44" s="491">
        <f>'KELURAHAN (DI ISI)'!J178+'KELURAHAN (DI ISI)'!J179+'KELURAHAN (DI ISI)'!J180+'KELURAHAN (DI ISI)'!J181</f>
        <v>1</v>
      </c>
      <c r="M44" s="491">
        <f>'KELURAHAN (DI ISI)'!K178+'KELURAHAN (DI ISI)'!K179+'KELURAHAN (DI ISI)'!K180+'KELURAHAN (DI ISI)'!K181</f>
        <v>5</v>
      </c>
      <c r="N44" s="491">
        <f>'KELURAHAN (DI ISI)'!L178+'KELURAHAN (DI ISI)'!L179+'KELURAHAN (DI ISI)'!L180+'KELURAHAN (DI ISI)'!L181</f>
        <v>15</v>
      </c>
      <c r="O44" s="491">
        <f>'KELURAHAN (DI ISI)'!M178+'KELURAHAN (DI ISI)'!M179+'KELURAHAN (DI ISI)'!M180+'KELURAHAN (DI ISI)'!M181</f>
        <v>3</v>
      </c>
      <c r="P44" s="491">
        <f>'KELURAHAN (DI ISI)'!N178+'KELURAHAN (DI ISI)'!N179+'KELURAHAN (DI ISI)'!N180+'KELURAHAN (DI ISI)'!N181</f>
        <v>0</v>
      </c>
      <c r="Q44" s="491">
        <f>'KELURAHAN (DI ISI)'!O178+'KELURAHAN (DI ISI)'!O179+'KELURAHAN (DI ISI)'!O180+'KELURAHAN (DI ISI)'!O181</f>
        <v>19</v>
      </c>
      <c r="R44" s="491">
        <f>'KELURAHAN (DI ISI)'!P178+'KELURAHAN (DI ISI)'!P179+'KELURAHAN (DI ISI)'!P180+'KELURAHAN (DI ISI)'!P181</f>
        <v>22</v>
      </c>
      <c r="S44" s="491">
        <f t="shared" si="3"/>
        <v>9</v>
      </c>
      <c r="T44" s="491">
        <f t="shared" si="4"/>
        <v>13</v>
      </c>
      <c r="U44" s="491">
        <f>'KELURAHAN (DI ISI)'!Q178+'KELURAHAN (DI ISI)'!Q179+'KELURAHAN (DI ISI)'!Q180+'KELURAHAN (DI ISI)'!Q181</f>
        <v>1</v>
      </c>
      <c r="V44" s="491">
        <f>'KELURAHAN (DI ISI)'!R178+'KELURAHAN (DI ISI)'!R179+'KELURAHAN (DI ISI)'!R180+'KELURAHAN (DI ISI)'!R181</f>
        <v>3</v>
      </c>
      <c r="W44" s="491">
        <f>'KELURAHAN (DI ISI)'!S178+'KELURAHAN (DI ISI)'!S179+'KELURAHAN (DI ISI)'!S180+'KELURAHAN (DI ISI)'!S181</f>
        <v>5</v>
      </c>
      <c r="X44" s="491">
        <f>'KELURAHAN (DI ISI)'!T178+'KELURAHAN (DI ISI)'!T179+'KELURAHAN (DI ISI)'!T180+'KELURAHAN (DI ISI)'!T181</f>
        <v>13</v>
      </c>
      <c r="Y44" s="491">
        <f>'KELURAHAN (DI ISI)'!U178+'KELURAHAN (DI ISI)'!U179+'KELURAHAN (DI ISI)'!U180+'KELURAHAN (DI ISI)'!U181</f>
        <v>4</v>
      </c>
      <c r="Z44" s="491">
        <f>'KELURAHAN (DI ISI)'!V178+'KELURAHAN (DI ISI)'!V179+'KELURAHAN (DI ISI)'!V180+'KELURAHAN (DI ISI)'!V181</f>
        <v>0</v>
      </c>
      <c r="AA44" s="491">
        <f>'KELURAHAN (DI ISI)'!W178+'KELURAHAN (DI ISI)'!W179+'KELURAHAN (DI ISI)'!W180+'KELURAHAN (DI ISI)'!W181</f>
        <v>18</v>
      </c>
      <c r="AB44" s="491">
        <f>'KELURAHAN (DI ISI)'!X178+'KELURAHAN (DI ISI)'!X179+'KELURAHAN (DI ISI)'!X180+'KELURAHAN (DI ISI)'!X181</f>
        <v>20</v>
      </c>
      <c r="AC44" s="491">
        <f t="shared" si="5"/>
        <v>9</v>
      </c>
      <c r="AD44" s="491">
        <f t="shared" si="6"/>
        <v>11</v>
      </c>
      <c r="AE44" s="491">
        <f>'KELURAHAN (DI ISI)'!Y178+'KELURAHAN (DI ISI)'!Y179+'KELURAHAN (DI ISI)'!Y180+'KELURAHAN (DI ISI)'!Y181</f>
        <v>1</v>
      </c>
      <c r="AF44" s="491">
        <f>'KELURAHAN (DI ISI)'!Z178+'KELURAHAN (DI ISI)'!Z179+'KELURAHAN (DI ISI)'!Z180+'KELURAHAN (DI ISI)'!Z181</f>
        <v>3</v>
      </c>
      <c r="AG44" s="491">
        <f>'KELURAHAN (DI ISI)'!AA178+'KELURAHAN (DI ISI)'!AA179+'KELURAHAN (DI ISI)'!AA180+'KELURAHAN (DI ISI)'!AA181</f>
        <v>5</v>
      </c>
      <c r="AH44" s="491">
        <f>'KELURAHAN (DI ISI)'!AB178+'KELURAHAN (DI ISI)'!AB179+'KELURAHAN (DI ISI)'!AB180+'KELURAHAN (DI ISI)'!AB181</f>
        <v>11</v>
      </c>
      <c r="AI44" s="491">
        <f>'KELURAHAN (DI ISI)'!AC178+'KELURAHAN (DI ISI)'!AC179+'KELURAHAN (DI ISI)'!AC180+'KELURAHAN (DI ISI)'!AC181</f>
        <v>4</v>
      </c>
      <c r="AJ44" s="491">
        <f>'KELURAHAN (DI ISI)'!AD178+'KELURAHAN (DI ISI)'!AD179+'KELURAHAN (DI ISI)'!AD180+'KELURAHAN (DI ISI)'!AD181</f>
        <v>0</v>
      </c>
      <c r="AK44" s="491">
        <f>'KELURAHAN (DI ISI)'!AE178+'KELURAHAN (DI ISI)'!AE179+'KELURAHAN (DI ISI)'!AE180+'KELURAHAN (DI ISI)'!AE181</f>
        <v>16</v>
      </c>
      <c r="AL44" s="491">
        <f>'KELURAHAN (DI ISI)'!AF178+'KELURAHAN (DI ISI)'!AF179+'KELURAHAN (DI ISI)'!AF180+'KELURAHAN (DI ISI)'!AF181</f>
        <v>22</v>
      </c>
      <c r="AM44" s="491">
        <f t="shared" si="7"/>
        <v>6</v>
      </c>
      <c r="AN44" s="491">
        <f t="shared" si="8"/>
        <v>16</v>
      </c>
      <c r="AO44" s="491">
        <f>'KELURAHAN (DI ISI)'!AG178+'KELURAHAN (DI ISI)'!AG179+'KELURAHAN (DI ISI)'!AG180+'KELURAHAN (DI ISI)'!AG181</f>
        <v>1</v>
      </c>
      <c r="AP44" s="491">
        <f>'KELURAHAN (DI ISI)'!AH178+'KELURAHAN (DI ISI)'!AH179+'KELURAHAN (DI ISI)'!AH180+'KELURAHAN (DI ISI)'!AH181</f>
        <v>1</v>
      </c>
      <c r="AQ44" s="491">
        <f>'KELURAHAN (DI ISI)'!AI178+'KELURAHAN (DI ISI)'!AI179+'KELURAHAN (DI ISI)'!AI180+'KELURAHAN (DI ISI)'!AI181</f>
        <v>4</v>
      </c>
      <c r="AR44" s="491">
        <f>'KELURAHAN (DI ISI)'!AJ178+'KELURAHAN (DI ISI)'!AJ179+'KELURAHAN (DI ISI)'!AJ180+'KELURAHAN (DI ISI)'!AJ181</f>
        <v>16</v>
      </c>
      <c r="AS44" s="491">
        <f>'KELURAHAN (DI ISI)'!AK178+'KELURAHAN (DI ISI)'!AK179+'KELURAHAN (DI ISI)'!AK180+'KELURAHAN (DI ISI)'!AK181</f>
        <v>1</v>
      </c>
      <c r="AT44" s="491">
        <f>'KELURAHAN (DI ISI)'!AL178+'KELURAHAN (DI ISI)'!AL179+'KELURAHAN (DI ISI)'!AL180+'KELURAHAN (DI ISI)'!AL181</f>
        <v>0</v>
      </c>
      <c r="AU44" s="491">
        <f>'KELURAHAN (DI ISI)'!AM178+'KELURAHAN (DI ISI)'!AM179+'KELURAHAN (DI ISI)'!AM180+'KELURAHAN (DI ISI)'!AM181</f>
        <v>21</v>
      </c>
      <c r="AV44" s="491">
        <f>'KELURAHAN (DI ISI)'!AN178+'KELURAHAN (DI ISI)'!AN179+'KELURAHAN (DI ISI)'!AN180+'KELURAHAN (DI ISI)'!AN181</f>
        <v>25</v>
      </c>
      <c r="AW44" s="491">
        <f t="shared" si="9"/>
        <v>6</v>
      </c>
      <c r="AX44" s="491">
        <f t="shared" si="10"/>
        <v>19</v>
      </c>
      <c r="AY44" s="491">
        <f>'KELURAHAN (DI ISI)'!AO178+'KELURAHAN (DI ISI)'!AO179+'KELURAHAN (DI ISI)'!AO180+'KELURAHAN (DI ISI)'!AO181</f>
        <v>1</v>
      </c>
      <c r="AZ44" s="491">
        <f>'KELURAHAN (DI ISI)'!AP178+'KELURAHAN (DI ISI)'!AP179+'KELURAHAN (DI ISI)'!AP180+'KELURAHAN (DI ISI)'!AP181</f>
        <v>1</v>
      </c>
      <c r="BA44" s="491">
        <f>'KELURAHAN (DI ISI)'!AQ178+'KELURAHAN (DI ISI)'!AQ179+'KELURAHAN (DI ISI)'!AQ180+'KELURAHAN (DI ISI)'!AQ181</f>
        <v>4</v>
      </c>
      <c r="BB44" s="491">
        <f>'KELURAHAN (DI ISI)'!AR178+'KELURAHAN (DI ISI)'!AR179+'KELURAHAN (DI ISI)'!AR180+'KELURAHAN (DI ISI)'!AR181</f>
        <v>19</v>
      </c>
      <c r="BC44" s="491">
        <f>'KELURAHAN (DI ISI)'!AS178+'KELURAHAN (DI ISI)'!AS179+'KELURAHAN (DI ISI)'!AS180+'KELURAHAN (DI ISI)'!AS181</f>
        <v>5</v>
      </c>
      <c r="BD44" s="491">
        <f>'KELURAHAN (DI ISI)'!AT178+'KELURAHAN (DI ISI)'!AT179+'KELURAHAN (DI ISI)'!AT180+'KELURAHAN (DI ISI)'!AT181</f>
        <v>0</v>
      </c>
      <c r="BE44" s="491">
        <f>'KELURAHAN (DI ISI)'!AU178+'KELURAHAN (DI ISI)'!AU179+'KELURAHAN (DI ISI)'!AU180+'KELURAHAN (DI ISI)'!AU181</f>
        <v>20</v>
      </c>
      <c r="BF44" s="491">
        <f>'KELURAHAN (DI ISI)'!AV178+'KELURAHAN (DI ISI)'!AV179+'KELURAHAN (DI ISI)'!AV180+'KELURAHAN (DI ISI)'!AV181</f>
        <v>1223</v>
      </c>
      <c r="BG44" s="491">
        <f>'KELURAHAN (DI ISI)'!AW178+'KELURAHAN (DI ISI)'!AW179+'KELURAHAN (DI ISI)'!AW180+'KELURAHAN (DI ISI)'!AW181</f>
        <v>27</v>
      </c>
      <c r="BH44" s="491">
        <f t="shared" si="11"/>
        <v>6</v>
      </c>
      <c r="BI44" s="495">
        <f t="shared" si="12"/>
        <v>19</v>
      </c>
      <c r="BJ44" s="491">
        <f>'KELURAHAN (DI ISI)'!AX178+'KELURAHAN (DI ISI)'!AX179+'KELURAHAN (DI ISI)'!AX180+'KELURAHAN (DI ISI)'!AX181</f>
        <v>1</v>
      </c>
      <c r="BK44" s="491">
        <f>'KELURAHAN (DI ISI)'!AY178+'KELURAHAN (DI ISI)'!AY179+'KELURAHAN (DI ISI)'!AY180+'KELURAHAN (DI ISI)'!AY181</f>
        <v>1</v>
      </c>
      <c r="BL44" s="491">
        <f>'KELURAHAN (DI ISI)'!AZ178+'KELURAHAN (DI ISI)'!AZ179+'KELURAHAN (DI ISI)'!AZ180+'KELURAHAN (DI ISI)'!AZ181</f>
        <v>4</v>
      </c>
      <c r="BM44" s="491">
        <f>'KELURAHAN (DI ISI)'!BA178+'KELURAHAN (DI ISI)'!BA179+'KELURAHAN (DI ISI)'!BA180+'KELURAHAN (DI ISI)'!BA181</f>
        <v>19</v>
      </c>
      <c r="BN44" s="491">
        <f>'KELURAHAN (DI ISI)'!BB178+'KELURAHAN (DI ISI)'!BB179+'KELURAHAN (DI ISI)'!BB180+'KELURAHAN (DI ISI)'!BB181</f>
        <v>1</v>
      </c>
      <c r="BO44" s="491">
        <f>'KELURAHAN (DI ISI)'!BC178+'KELURAHAN (DI ISI)'!BC179+'KELURAHAN (DI ISI)'!BC180+'KELURAHAN (DI ISI)'!BC181</f>
        <v>0</v>
      </c>
      <c r="BP44" s="491">
        <f>'KELURAHAN (DI ISI)'!BD178+'KELURAHAN (DI ISI)'!BD179+'KELURAHAN (DI ISI)'!BD180+'KELURAHAN (DI ISI)'!BD181</f>
        <v>0</v>
      </c>
      <c r="BQ44" s="491">
        <f>'KELURAHAN (DI ISI)'!BE178+'KELURAHAN (DI ISI)'!BE179+'KELURAHAN (DI ISI)'!BE180+'KELURAHAN (DI ISI)'!BE181</f>
        <v>1</v>
      </c>
      <c r="BR44" s="491">
        <f>'KELURAHAN (DI ISI)'!BF178+'KELURAHAN (DI ISI)'!BF179+'KELURAHAN (DI ISI)'!BF180+'KELURAHAN (DI ISI)'!BF181</f>
        <v>0</v>
      </c>
      <c r="BS44" s="491">
        <f>'KELURAHAN (DI ISI)'!BG178+'KELURAHAN (DI ISI)'!BG179+'KELURAHAN (DI ISI)'!BG180+'KELURAHAN (DI ISI)'!BG181</f>
        <v>0</v>
      </c>
      <c r="BT44" s="491">
        <f>'KELURAHAN (DI ISI)'!BH178+'KELURAHAN (DI ISI)'!BH179+'KELURAHAN (DI ISI)'!BH180+'KELURAHAN (DI ISI)'!BH181</f>
        <v>0</v>
      </c>
      <c r="BU44" s="491">
        <f>'KELURAHAN (DI ISI)'!BI178+'KELURAHAN (DI ISI)'!BI179+'KELURAHAN (DI ISI)'!BI180+'KELURAHAN (DI ISI)'!BI181</f>
        <v>0</v>
      </c>
      <c r="BV44" s="491">
        <f>'KELURAHAN (DI ISI)'!BJ178+'KELURAHAN (DI ISI)'!BJ179+'KELURAHAN (DI ISI)'!BJ180+'KELURAHAN (DI ISI)'!BJ181</f>
        <v>0</v>
      </c>
      <c r="BW44" s="491">
        <f>'KELURAHAN (DI ISI)'!BK178+'KELURAHAN (DI ISI)'!BK179+'KELURAHAN (DI ISI)'!BK180+'KELURAHAN (DI ISI)'!BK181</f>
        <v>0</v>
      </c>
      <c r="BX44" s="491">
        <f>'KELURAHAN (DI ISI)'!BL178+'KELURAHAN (DI ISI)'!BL179+'KELURAHAN (DI ISI)'!BL180+'KELURAHAN (DI ISI)'!BL181</f>
        <v>0</v>
      </c>
      <c r="BY44" s="491">
        <f>'KELURAHAN (DI ISI)'!BM178+'KELURAHAN (DI ISI)'!BM179+'KELURAHAN (DI ISI)'!BM180+'KELURAHAN (DI ISI)'!BM181</f>
        <v>0</v>
      </c>
      <c r="BZ44" s="491">
        <f>'KELURAHAN (DI ISI)'!BN178+'KELURAHAN (DI ISI)'!BN179+'KELURAHAN (DI ISI)'!BN180+'KELURAHAN (DI ISI)'!BN181</f>
        <v>0</v>
      </c>
      <c r="CA44" s="491">
        <f>'KELURAHAN (DI ISI)'!BO178+'KELURAHAN (DI ISI)'!BO179+'KELURAHAN (DI ISI)'!BO180+'KELURAHAN (DI ISI)'!BO181</f>
        <v>0</v>
      </c>
      <c r="CB44" s="491">
        <f>'KELURAHAN (DI ISI)'!BP178+'KELURAHAN (DI ISI)'!BP179+'KELURAHAN (DI ISI)'!BP180+'KELURAHAN (DI ISI)'!BP181</f>
        <v>0</v>
      </c>
      <c r="CC44" s="491">
        <f>'KELURAHAN (DI ISI)'!BQ178+'KELURAHAN (DI ISI)'!BQ179+'KELURAHAN (DI ISI)'!BQ180+'KELURAHAN (DI ISI)'!BQ181</f>
        <v>1223</v>
      </c>
      <c r="CD44" s="491">
        <f>'KELURAHAN (DI ISI)'!BR178+'KELURAHAN (DI ISI)'!BR179+'KELURAHAN (DI ISI)'!BR180+'KELURAHAN (DI ISI)'!BR181</f>
        <v>25</v>
      </c>
      <c r="CE44" s="491">
        <f t="shared" si="13"/>
        <v>4</v>
      </c>
      <c r="CF44" s="491">
        <f t="shared" si="14"/>
        <v>13</v>
      </c>
      <c r="CG44" s="491">
        <f>'KELURAHAN (DI ISI)'!BS178+'KELURAHAN (DI ISI)'!BS179+'KELURAHAN (DI ISI)'!BS180+'KELURAHAN (DI ISI)'!BS181</f>
        <v>2</v>
      </c>
      <c r="CH44" s="491">
        <f>'KELURAHAN (DI ISI)'!BT178+'KELURAHAN (DI ISI)'!BT179+'KELURAHAN (DI ISI)'!BT180+'KELURAHAN (DI ISI)'!BT181</f>
        <v>0</v>
      </c>
      <c r="CI44" s="491">
        <f>'KELURAHAN (DI ISI)'!BU178+'KELURAHAN (DI ISI)'!BU179+'KELURAHAN (DI ISI)'!BU180+'KELURAHAN (DI ISI)'!BU181</f>
        <v>2</v>
      </c>
      <c r="CJ44" s="491">
        <f>'KELURAHAN (DI ISI)'!BV178+'KELURAHAN (DI ISI)'!BV179+'KELURAHAN (DI ISI)'!BV180+'KELURAHAN (DI ISI)'!BV181</f>
        <v>13</v>
      </c>
      <c r="CK44" s="491">
        <f>'KELURAHAN (DI ISI)'!BW178+'KELURAHAN (DI ISI)'!BW179+'KELURAHAN (DI ISI)'!BW180+'KELURAHAN (DI ISI)'!BW181</f>
        <v>1</v>
      </c>
      <c r="CL44" s="491">
        <f>'KELURAHAN (DI ISI)'!BX178+'KELURAHAN (DI ISI)'!BX179+'KELURAHAN (DI ISI)'!BX180+'KELURAHAN (DI ISI)'!BX181</f>
        <v>2</v>
      </c>
      <c r="CM44" s="491">
        <f>'KELURAHAN (DI ISI)'!BY178+'KELURAHAN (DI ISI)'!BY179+'KELURAHAN (DI ISI)'!BY180+'KELURAHAN (DI ISI)'!BY181</f>
        <v>2</v>
      </c>
      <c r="CN44" s="491">
        <f>'KELURAHAN (DI ISI)'!BZ178+'KELURAHAN (DI ISI)'!BZ179+'KELURAHAN (DI ISI)'!BZ180+'KELURAHAN (DI ISI)'!BZ181</f>
        <v>3</v>
      </c>
      <c r="CO44" s="491">
        <f>'KELURAHAN (DI ISI)'!CA178+'KELURAHAN (DI ISI)'!CA179+'KELURAHAN (DI ISI)'!CA180+'KELURAHAN (DI ISI)'!CA181</f>
        <v>0</v>
      </c>
      <c r="CP44" s="491">
        <f>'KELURAHAN (DI ISI)'!CB178+'KELURAHAN (DI ISI)'!CB179+'KELURAHAN (DI ISI)'!CB180+'KELURAHAN (DI ISI)'!CB181</f>
        <v>1</v>
      </c>
      <c r="CQ44" s="491">
        <f>'KELURAHAN (DI ISI)'!CC178+'KELURAHAN (DI ISI)'!CC179+'KELURAHAN (DI ISI)'!CC180+'KELURAHAN (DI ISI)'!CC181</f>
        <v>1</v>
      </c>
      <c r="CR44" s="491">
        <f>'KELURAHAN (DI ISI)'!CD178+'KELURAHAN (DI ISI)'!CD179+'KELURAHAN (DI ISI)'!CD180+'KELURAHAN (DI ISI)'!CD181</f>
        <v>7</v>
      </c>
      <c r="CS44" s="491">
        <f>'KELURAHAN (DI ISI)'!CE178+'KELURAHAN (DI ISI)'!CE179+'KELURAHAN (DI ISI)'!CE180+'KELURAHAN (DI ISI)'!CE181</f>
        <v>0</v>
      </c>
      <c r="CT44" s="491">
        <f>'KELURAHAN (DI ISI)'!CF178+'KELURAHAN (DI ISI)'!CF179+'KELURAHAN (DI ISI)'!CF180+'KELURAHAN (DI ISI)'!CF181</f>
        <v>0</v>
      </c>
      <c r="CU44" s="491">
        <f>'KELURAHAN (DI ISI)'!CG178+'KELURAHAN (DI ISI)'!CG179+'KELURAHAN (DI ISI)'!CG180+'KELURAHAN (DI ISI)'!CG181</f>
        <v>1</v>
      </c>
      <c r="CV44" s="491">
        <f>'KELURAHAN (DI ISI)'!CH178+'KELURAHAN (DI ISI)'!CH179+'KELURAHAN (DI ISI)'!CH180+'KELURAHAN (DI ISI)'!CH181</f>
        <v>0</v>
      </c>
      <c r="CW44" s="491">
        <f>'KELURAHAN (DI ISI)'!CI178+'KELURAHAN (DI ISI)'!CI179+'KELURAHAN (DI ISI)'!CI180+'KELURAHAN (DI ISI)'!CI181</f>
        <v>0</v>
      </c>
      <c r="CX44" s="491">
        <f>'KELURAHAN (DI ISI)'!CJ178+'KELURAHAN (DI ISI)'!CJ179+'KELURAHAN (DI ISI)'!CJ180+'KELURAHAN (DI ISI)'!CJ181</f>
        <v>0</v>
      </c>
      <c r="CY44" s="491">
        <f>'KELURAHAN (DI ISI)'!CK178+'KELURAHAN (DI ISI)'!CK179+'KELURAHAN (DI ISI)'!CK180+'KELURAHAN (DI ISI)'!CK181</f>
        <v>10</v>
      </c>
      <c r="CZ44" s="491">
        <f>'KELURAHAN (DI ISI)'!CL178+'KELURAHAN (DI ISI)'!CL179+'KELURAHAN (DI ISI)'!CL180+'KELURAHAN (DI ISI)'!CL181</f>
        <v>1217</v>
      </c>
      <c r="DA44" s="491">
        <f>'KELURAHAN (DI ISI)'!CM178+'KELURAHAN (DI ISI)'!CM179+'KELURAHAN (DI ISI)'!CM180+'KELURAHAN (DI ISI)'!CM181</f>
        <v>460</v>
      </c>
      <c r="DB44" s="491">
        <f>'KELURAHAN (DI ISI)'!CN178+'KELURAHAN (DI ISI)'!CN179+'KELURAHAN (DI ISI)'!CN180+'KELURAHAN (DI ISI)'!CN181</f>
        <v>25</v>
      </c>
      <c r="DC44" s="491">
        <f t="shared" si="15"/>
        <v>6</v>
      </c>
      <c r="DD44" s="491">
        <f t="shared" si="16"/>
        <v>18</v>
      </c>
      <c r="DE44" s="491">
        <f>'KELURAHAN (DI ISI)'!CO178+'KELURAHAN (DI ISI)'!CO179+'KELURAHAN (DI ISI)'!CO180+'KELURAHAN (DI ISI)'!CO181</f>
        <v>2</v>
      </c>
      <c r="DF44" s="491">
        <f>'KELURAHAN (DI ISI)'!CP178+'KELURAHAN (DI ISI)'!CP179+'KELURAHAN (DI ISI)'!CP180+'KELURAHAN (DI ISI)'!CP181</f>
        <v>0</v>
      </c>
      <c r="DG44" s="491">
        <f>'KELURAHAN (DI ISI)'!CQ178+'KELURAHAN (DI ISI)'!CQ179+'KELURAHAN (DI ISI)'!CQ180+'KELURAHAN (DI ISI)'!CQ181</f>
        <v>4</v>
      </c>
      <c r="DH44" s="491">
        <f>'KELURAHAN (DI ISI)'!CR178+'KELURAHAN (DI ISI)'!CR179+'KELURAHAN (DI ISI)'!CR180+'KELURAHAN (DI ISI)'!CR181</f>
        <v>18</v>
      </c>
      <c r="DI44" s="491">
        <f>'KELURAHAN (DI ISI)'!CS178+'KELURAHAN (DI ISI)'!CS179+'KELURAHAN (DI ISI)'!CS180+'KELURAHAN (DI ISI)'!CS181</f>
        <v>0</v>
      </c>
      <c r="DJ44" s="491">
        <f>'KELURAHAN (DI ISI)'!CT178+'KELURAHAN (DI ISI)'!CT179+'KELURAHAN (DI ISI)'!CT180+'KELURAHAN (DI ISI)'!CT181</f>
        <v>0</v>
      </c>
      <c r="DK44" s="491">
        <f>'KELURAHAN (DI ISI)'!CU178+'KELURAHAN (DI ISI)'!CU179+'KELURAHAN (DI ISI)'!CU180+'KELURAHAN (DI ISI)'!CU181</f>
        <v>1</v>
      </c>
      <c r="DL44" s="491">
        <f>'KELURAHAN (DI ISI)'!CV178+'KELURAHAN (DI ISI)'!CV179+'KELURAHAN (DI ISI)'!CV180+'KELURAHAN (DI ISI)'!CV181</f>
        <v>0</v>
      </c>
      <c r="DM44" s="491">
        <f>'KELURAHAN (DI ISI)'!CW178+'KELURAHAN (DI ISI)'!CW179+'KELURAHAN (DI ISI)'!CW180+'KELURAHAN (DI ISI)'!CW181</f>
        <v>0</v>
      </c>
      <c r="DN44" s="491">
        <f>'KELURAHAN (DI ISI)'!CX178+'KELURAHAN (DI ISI)'!CX179+'KELURAHAN (DI ISI)'!CX180+'KELURAHAN (DI ISI)'!CX181</f>
        <v>0</v>
      </c>
      <c r="DO44" s="491">
        <f>'KELURAHAN (DI ISI)'!CY178+'KELURAHAN (DI ISI)'!CY179+'KELURAHAN (DI ISI)'!CY180+'KELURAHAN (DI ISI)'!CY181</f>
        <v>0</v>
      </c>
      <c r="DP44" s="491">
        <f>'KELURAHAN (DI ISI)'!CZ178+'KELURAHAN (DI ISI)'!CZ179+'KELURAHAN (DI ISI)'!CZ180+'KELURAHAN (DI ISI)'!CZ181</f>
        <v>0</v>
      </c>
      <c r="DQ44" s="491">
        <f>'KELURAHAN (DI ISI)'!DA178+'KELURAHAN (DI ISI)'!DA179+'KELURAHAN (DI ISI)'!DA180+'KELURAHAN (DI ISI)'!DA181</f>
        <v>0</v>
      </c>
      <c r="DR44" s="491">
        <f>'KELURAHAN (DI ISI)'!DB178+'KELURAHAN (DI ISI)'!DB179+'KELURAHAN (DI ISI)'!DB180+'KELURAHAN (DI ISI)'!DB181</f>
        <v>0</v>
      </c>
      <c r="DS44" s="491">
        <f>'KELURAHAN (DI ISI)'!DC178+'KELURAHAN (DI ISI)'!DC179+'KELURAHAN (DI ISI)'!DC180+'KELURAHAN (DI ISI)'!DC181</f>
        <v>0</v>
      </c>
      <c r="DT44" s="491">
        <f>'KELURAHAN (DI ISI)'!DD178+'KELURAHAN (DI ISI)'!DD179+'KELURAHAN (DI ISI)'!DD180+'KELURAHAN (DI ISI)'!DD181</f>
        <v>0</v>
      </c>
      <c r="DU44" s="491">
        <f>'KELURAHAN (DI ISI)'!DE178+'KELURAHAN (DI ISI)'!DE179+'KELURAHAN (DI ISI)'!DE180+'KELURAHAN (DI ISI)'!DE181</f>
        <v>0</v>
      </c>
      <c r="DV44" s="491">
        <f>'KELURAHAN (DI ISI)'!DF178+'KELURAHAN (DI ISI)'!DF179+'KELURAHAN (DI ISI)'!DF180+'KELURAHAN (DI ISI)'!DF181</f>
        <v>0</v>
      </c>
      <c r="DW44" s="491">
        <f>'KELURAHAN (DI ISI)'!DG178+'KELURAHAN (DI ISI)'!DG179+'KELURAHAN (DI ISI)'!DG180+'KELURAHAN (DI ISI)'!DG181</f>
        <v>0</v>
      </c>
      <c r="DX44" s="491">
        <f>'KELURAHAN (DI ISI)'!DH178+'KELURAHAN (DI ISI)'!DH179+'KELURAHAN (DI ISI)'!DH180+'KELURAHAN (DI ISI)'!DH181</f>
        <v>1131</v>
      </c>
      <c r="DY44" s="491">
        <f>'KELURAHAN (DI ISI)'!DI178+'KELURAHAN (DI ISI)'!DI179+'KELURAHAN (DI ISI)'!DI180+'KELURAHAN (DI ISI)'!DI181</f>
        <v>423</v>
      </c>
      <c r="DZ44" s="491">
        <f>'KELURAHAN (DI ISI)'!DJ178+'KELURAHAN (DI ISI)'!DJ179+'KELURAHAN (DI ISI)'!DJ180+'KELURAHAN (DI ISI)'!DJ181</f>
        <v>1131</v>
      </c>
      <c r="EA44" s="491">
        <f>'KELURAHAN (DI ISI)'!DK178+'KELURAHAN (DI ISI)'!DK179+'KELURAHAN (DI ISI)'!DK180+'KELURAHAN (DI ISI)'!DK181</f>
        <v>423</v>
      </c>
      <c r="EB44" s="491">
        <f>'KELURAHAN (DI ISI)'!DL178+'KELURAHAN (DI ISI)'!DL179+'KELURAHAN (DI ISI)'!DL180+'KELURAHAN (DI ISI)'!DL181</f>
        <v>25</v>
      </c>
      <c r="EC44" s="491">
        <f>'KELURAHAN (DI ISI)'!DM178+'KELURAHAN (DI ISI)'!DM179+'KELURAHAN (DI ISI)'!DM180+'KELURAHAN (DI ISI)'!DM181</f>
        <v>9</v>
      </c>
      <c r="ED44" s="491">
        <f t="shared" si="17"/>
        <v>16</v>
      </c>
      <c r="EE44" s="491">
        <f>'KELURAHAN (DI ISI)'!DO178+'KELURAHAN (DI ISI)'!DO179+'KELURAHAN (DI ISI)'!DO180+'KELURAHAN (DI ISI)'!DO181</f>
        <v>2</v>
      </c>
      <c r="EF44" s="491">
        <f>'KELURAHAN (DI ISI)'!DP178+'KELURAHAN (DI ISI)'!DP179+'KELURAHAN (DI ISI)'!DP180+'KELURAHAN (DI ISI)'!DP181</f>
        <v>0</v>
      </c>
      <c r="EG44" s="491">
        <f>'KELURAHAN (DI ISI)'!DQ178+'KELURAHAN (DI ISI)'!DQ179+'KELURAHAN (DI ISI)'!DQ180+'KELURAHAN (DI ISI)'!DQ181</f>
        <v>5</v>
      </c>
      <c r="EH44" s="491">
        <f>'KELURAHAN (DI ISI)'!DR178+'KELURAHAN (DI ISI)'!DR179+'KELURAHAN (DI ISI)'!DR180+'KELURAHAN (DI ISI)'!DR181</f>
        <v>15</v>
      </c>
      <c r="EI44" s="491">
        <f>'KELURAHAN (DI ISI)'!DS178+'KELURAHAN (DI ISI)'!DS179+'KELURAHAN (DI ISI)'!DS180+'KELURAHAN (DI ISI)'!DS181</f>
        <v>0</v>
      </c>
      <c r="EJ44" s="491">
        <f>'KELURAHAN (DI ISI)'!DT178+'KELURAHAN (DI ISI)'!DT179+'KELURAHAN (DI ISI)'!DT180+'KELURAHAN (DI ISI)'!DT181</f>
        <v>1</v>
      </c>
      <c r="EK44" s="491">
        <f>'KELURAHAN (DI ISI)'!DU178+'KELURAHAN (DI ISI)'!DU179+'KELURAHAN (DI ISI)'!DU180+'KELURAHAN (DI ISI)'!DU181</f>
        <v>1</v>
      </c>
      <c r="EL44" s="491">
        <f>'KELURAHAN (DI ISI)'!DV178+'KELURAHAN (DI ISI)'!DV179+'KELURAHAN (DI ISI)'!DV180+'KELURAHAN (DI ISI)'!DV181</f>
        <v>1</v>
      </c>
      <c r="EM44" s="491">
        <f>'KELURAHAN (DI ISI)'!DW178+'KELURAHAN (DI ISI)'!DW179+'KELURAHAN (DI ISI)'!DW180+'KELURAHAN (DI ISI)'!DW181</f>
        <v>0</v>
      </c>
      <c r="EN44" s="491">
        <f>'KELURAHAN (DI ISI)'!DX178+'KELURAHAN (DI ISI)'!DX179+'KELURAHAN (DI ISI)'!DX180+'KELURAHAN (DI ISI)'!DX181</f>
        <v>0</v>
      </c>
      <c r="EO44" s="491">
        <f>'KELURAHAN (DI ISI)'!DY178+'KELURAHAN (DI ISI)'!DY179+'KELURAHAN (DI ISI)'!DY180+'KELURAHAN (DI ISI)'!DY181</f>
        <v>0</v>
      </c>
      <c r="EP44" s="491">
        <f>'KELURAHAN (DI ISI)'!DZ178+'KELURAHAN (DI ISI)'!DZ179+'KELURAHAN (DI ISI)'!DZ180+'KELURAHAN (DI ISI)'!DZ181</f>
        <v>3</v>
      </c>
      <c r="EQ44" s="491">
        <f>'KELURAHAN (DI ISI)'!EA178+'KELURAHAN (DI ISI)'!EA179+'KELURAHAN (DI ISI)'!EA180+'KELURAHAN (DI ISI)'!EA181</f>
        <v>0</v>
      </c>
      <c r="ER44" s="491">
        <f>'KELURAHAN (DI ISI)'!EB178+'KELURAHAN (DI ISI)'!EB179+'KELURAHAN (DI ISI)'!EB180+'KELURAHAN (DI ISI)'!EB181</f>
        <v>0</v>
      </c>
      <c r="ES44" s="491">
        <f>'KELURAHAN (DI ISI)'!EC178+'KELURAHAN (DI ISI)'!EC179+'KELURAHAN (DI ISI)'!EC180+'KELURAHAN (DI ISI)'!EC181</f>
        <v>0</v>
      </c>
      <c r="ET44" s="491">
        <f>'KELURAHAN (DI ISI)'!ED178+'KELURAHAN (DI ISI)'!ED179+'KELURAHAN (DI ISI)'!ED180+'KELURAHAN (DI ISI)'!ED181</f>
        <v>0</v>
      </c>
      <c r="EU44" s="491">
        <f>'KELURAHAN (DI ISI)'!EE178+'KELURAHAN (DI ISI)'!EE179+'KELURAHAN (DI ISI)'!EE180+'KELURAHAN (DI ISI)'!EE181</f>
        <v>0</v>
      </c>
      <c r="EV44" s="491">
        <f>'KELURAHAN (DI ISI)'!EF178+'KELURAHAN (DI ISI)'!EF179+'KELURAHAN (DI ISI)'!EF180+'KELURAHAN (DI ISI)'!EF181</f>
        <v>0</v>
      </c>
      <c r="EW44" s="491">
        <f>'KELURAHAN (DI ISI)'!EG178+'KELURAHAN (DI ISI)'!EG179+'KELURAHAN (DI ISI)'!EG180+'KELURAHAN (DI ISI)'!EG181</f>
        <v>3</v>
      </c>
      <c r="EX44" s="491">
        <f>'KELURAHAN (DI ISI)'!EH178+'KELURAHAN (DI ISI)'!EH179+'KELURAHAN (DI ISI)'!EH180+'KELURAHAN (DI ISI)'!EH181</f>
        <v>0</v>
      </c>
      <c r="EY44" s="491">
        <f>'KELURAHAN (DI ISI)'!EI178+'KELURAHAN (DI ISI)'!EI179+'KELURAHAN (DI ISI)'!EI180+'KELURAHAN (DI ISI)'!EI181</f>
        <v>1110</v>
      </c>
      <c r="EZ44" s="491">
        <f>'KELURAHAN (DI ISI)'!EJ178+'KELURAHAN (DI ISI)'!EJ179+'KELURAHAN (DI ISI)'!EJ180+'KELURAHAN (DI ISI)'!EJ181</f>
        <v>427</v>
      </c>
      <c r="FA44" s="491">
        <f>'KELURAHAN (DI ISI)'!EK178+'KELURAHAN (DI ISI)'!EK179+'KELURAHAN (DI ISI)'!EK180+'KELURAHAN (DI ISI)'!EK181</f>
        <v>1110</v>
      </c>
      <c r="FB44" s="491">
        <f>'KELURAHAN (DI ISI)'!EL178+'KELURAHAN (DI ISI)'!EL179+'KELURAHAN (DI ISI)'!EL180+'KELURAHAN (DI ISI)'!EL181</f>
        <v>427</v>
      </c>
      <c r="FC44" s="491">
        <f>'KELURAHAN (DI ISI)'!EM178+'KELURAHAN (DI ISI)'!EM179+'KELURAHAN (DI ISI)'!EM180+'KELURAHAN (DI ISI)'!EM181</f>
        <v>27</v>
      </c>
      <c r="FD44" s="491">
        <f>'KELURAHAN (DI ISI)'!EN178+'KELURAHAN (DI ISI)'!EN179+'KELURAHAN (DI ISI)'!EN180+'KELURAHAN (DI ISI)'!EN181</f>
        <v>9</v>
      </c>
      <c r="FE44" s="491">
        <f t="shared" si="18"/>
        <v>18</v>
      </c>
      <c r="FF44" s="491">
        <f>'KELURAHAN (DI ISI)'!EP178+'KELURAHAN (DI ISI)'!EP179+'KELURAHAN (DI ISI)'!EP180+'KELURAHAN (DI ISI)'!EP181</f>
        <v>0</v>
      </c>
      <c r="FG44" s="491">
        <f>'KELURAHAN (DI ISI)'!EQ178+'KELURAHAN (DI ISI)'!EQ179+'KELURAHAN (DI ISI)'!EQ180+'KELURAHAN (DI ISI)'!EQ181</f>
        <v>1</v>
      </c>
      <c r="FH44" s="491">
        <f>'KELURAHAN (DI ISI)'!ER178+'KELURAHAN (DI ISI)'!ER179+'KELURAHAN (DI ISI)'!ER180+'KELURAHAN (DI ISI)'!ER181</f>
        <v>6</v>
      </c>
      <c r="FI44" s="491">
        <f>'KELURAHAN (DI ISI)'!ES178+'KELURAHAN (DI ISI)'!ES179+'KELURAHAN (DI ISI)'!ES180+'KELURAHAN (DI ISI)'!ES181</f>
        <v>16</v>
      </c>
      <c r="FJ44" s="491">
        <f>'KELURAHAN (DI ISI)'!ET178+'KELURAHAN (DI ISI)'!ET179+'KELURAHAN (DI ISI)'!ET180+'KELURAHAN (DI ISI)'!ET181</f>
        <v>1</v>
      </c>
      <c r="FK44" s="491">
        <f>'KELURAHAN (DI ISI)'!EU178+'KELURAHAN (DI ISI)'!EU179+'KELURAHAN (DI ISI)'!EU180+'KELURAHAN (DI ISI)'!EU181</f>
        <v>0</v>
      </c>
      <c r="FL44" s="491">
        <f>'KELURAHAN (DI ISI)'!EV178+'KELURAHAN (DI ISI)'!EV179+'KELURAHAN (DI ISI)'!EV180+'KELURAHAN (DI ISI)'!EV181</f>
        <v>1</v>
      </c>
      <c r="FM44" s="491">
        <f>'KELURAHAN (DI ISI)'!EW178+'KELURAHAN (DI ISI)'!EW179+'KELURAHAN (DI ISI)'!EW180+'KELURAHAN (DI ISI)'!EW181</f>
        <v>2</v>
      </c>
      <c r="FN44" s="491">
        <f>'KELURAHAN (DI ISI)'!EX178+'KELURAHAN (DI ISI)'!EX179+'KELURAHAN (DI ISI)'!EX180+'KELURAHAN (DI ISI)'!EX181</f>
        <v>1</v>
      </c>
      <c r="FO44" s="491">
        <f>'KELURAHAN (DI ISI)'!EY178+'KELURAHAN (DI ISI)'!EY179+'KELURAHAN (DI ISI)'!EY180+'KELURAHAN (DI ISI)'!EY181</f>
        <v>1</v>
      </c>
      <c r="FP44" s="491">
        <f>'KELURAHAN (DI ISI)'!EZ178+'KELURAHAN (DI ISI)'!EZ179+'KELURAHAN (DI ISI)'!EZ180+'KELURAHAN (DI ISI)'!EZ181</f>
        <v>0</v>
      </c>
      <c r="FQ44" s="491">
        <f>'KELURAHAN (DI ISI)'!FA178+'KELURAHAN (DI ISI)'!FA179+'KELURAHAN (DI ISI)'!FA180+'KELURAHAN (DI ISI)'!FA181</f>
        <v>0</v>
      </c>
      <c r="FR44" s="491">
        <f>'KELURAHAN (DI ISI)'!FB178+'KELURAHAN (DI ISI)'!FB179+'KELURAHAN (DI ISI)'!FB180+'KELURAHAN (DI ISI)'!FB181</f>
        <v>0</v>
      </c>
      <c r="FS44" s="491">
        <f>'KELURAHAN (DI ISI)'!FC178+'KELURAHAN (DI ISI)'!FC179+'KELURAHAN (DI ISI)'!FC180+'KELURAHAN (DI ISI)'!FC181</f>
        <v>0</v>
      </c>
      <c r="FT44" s="491">
        <f>'KELURAHAN (DI ISI)'!FD178+'KELURAHAN (DI ISI)'!FD179+'KELURAHAN (DI ISI)'!FD180+'KELURAHAN (DI ISI)'!FD181</f>
        <v>0</v>
      </c>
      <c r="FU44" s="491">
        <f>'KELURAHAN (DI ISI)'!FE178+'KELURAHAN (DI ISI)'!FE179+'KELURAHAN (DI ISI)'!FE180+'KELURAHAN (DI ISI)'!FE181</f>
        <v>0</v>
      </c>
      <c r="FV44" s="491">
        <f>'KELURAHAN (DI ISI)'!FF178+'KELURAHAN (DI ISI)'!FF179+'KELURAHAN (DI ISI)'!FF180+'KELURAHAN (DI ISI)'!FF181</f>
        <v>0</v>
      </c>
      <c r="FW44" s="491">
        <f>'KELURAHAN (DI ISI)'!FG178+'KELURAHAN (DI ISI)'!FG179+'KELURAHAN (DI ISI)'!FG180+'KELURAHAN (DI ISI)'!FG181</f>
        <v>0</v>
      </c>
      <c r="FX44" s="491">
        <f>'KELURAHAN (DI ISI)'!FH178+'KELURAHAN (DI ISI)'!FH179+'KELURAHAN (DI ISI)'!FH180+'KELURAHAN (DI ISI)'!FH181</f>
        <v>2</v>
      </c>
      <c r="FY44" s="491">
        <f>'KELURAHAN (DI ISI)'!FI178+'KELURAHAN (DI ISI)'!FI179+'KELURAHAN (DI ISI)'!FI180+'KELURAHAN (DI ISI)'!FI181</f>
        <v>2</v>
      </c>
      <c r="FZ44" s="491">
        <f>'KELURAHAN (DI ISI)'!FJ178+'KELURAHAN (DI ISI)'!FJ179+'KELURAHAN (DI ISI)'!FJ180+'KELURAHAN (DI ISI)'!FJ181</f>
        <v>1092</v>
      </c>
      <c r="GA44" s="491">
        <f>'KELURAHAN (DI ISI)'!FK178+'KELURAHAN (DI ISI)'!FK179+'KELURAHAN (DI ISI)'!FK180+'KELURAHAN (DI ISI)'!FK181</f>
        <v>414</v>
      </c>
      <c r="GB44" s="491">
        <f>'KELURAHAN (DI ISI)'!FL178+'KELURAHAN (DI ISI)'!FL179+'KELURAHAN (DI ISI)'!FL180+'KELURAHAN (DI ISI)'!FL181</f>
        <v>1092</v>
      </c>
      <c r="GC44" s="491">
        <f>'KELURAHAN (DI ISI)'!FM178+'KELURAHAN (DI ISI)'!FM179+'KELURAHAN (DI ISI)'!FM180+'KELURAHAN (DI ISI)'!FM181</f>
        <v>414</v>
      </c>
      <c r="GD44" s="570">
        <v>1092.0</v>
      </c>
      <c r="GE44" s="571">
        <f>'KELURAHAN (DI ISI)'!FO178+'KELURAHAN (DI ISI)'!FO179+'KELURAHAN (DI ISI)'!FO180+'KELURAHAN (DI ISI)'!FO181</f>
        <v>27</v>
      </c>
      <c r="GF44" s="571">
        <f>'KELURAHAN (DI ISI)'!FP178+'KELURAHAN (DI ISI)'!FP179+'KELURAHAN (DI ISI)'!FP180+'KELURAHAN (DI ISI)'!FP181</f>
        <v>27</v>
      </c>
      <c r="GG44" s="571">
        <f>'KELURAHAN (DI ISI)'!FP178+'KELURAHAN (DI ISI)'!FP179+'KELURAHAN (DI ISI)'!FP180+'KELURAHAN (DI ISI)'!FP181</f>
        <v>27</v>
      </c>
      <c r="GH44" s="571">
        <f>'KELURAHAN (DI ISI)'!FQ178+'KELURAHAN (DI ISI)'!FQ179+'KELURAHAN (DI ISI)'!FQ180+'KELURAHAN (DI ISI)'!FQ181</f>
        <v>7</v>
      </c>
      <c r="GI44" s="571">
        <f t="shared" si="19"/>
        <v>20</v>
      </c>
      <c r="GJ44" s="491">
        <f>'KELURAHAN (DI ISI)'!FS178+'KELURAHAN (DI ISI)'!FS179+'KELURAHAN (DI ISI)'!FS180+'KELURAHAN (DI ISI)'!FS181</f>
        <v>1</v>
      </c>
      <c r="GK44" s="491">
        <f>'KELURAHAN (DI ISI)'!FT178+'KELURAHAN (DI ISI)'!FT179+'KELURAHAN (DI ISI)'!FT180+'KELURAHAN (DI ISI)'!FT181</f>
        <v>0</v>
      </c>
      <c r="GL44" s="491">
        <f>'KELURAHAN (DI ISI)'!FU178+'KELURAHAN (DI ISI)'!FU179+'KELURAHAN (DI ISI)'!FU180+'KELURAHAN (DI ISI)'!FU181</f>
        <v>6</v>
      </c>
      <c r="GM44" s="491">
        <f>'KELURAHAN (DI ISI)'!FV178+'KELURAHAN (DI ISI)'!FV179+'KELURAHAN (DI ISI)'!FV180+'KELURAHAN (DI ISI)'!FV181</f>
        <v>19</v>
      </c>
      <c r="GN44" s="491">
        <f>'KELURAHAN (DI ISI)'!FW178+'KELURAHAN (DI ISI)'!FW179+'KELURAHAN (DI ISI)'!FW180+'KELURAHAN (DI ISI)'!FW181</f>
        <v>0</v>
      </c>
      <c r="GO44" s="491">
        <f>'KELURAHAN (DI ISI)'!FX178+'KELURAHAN (DI ISI)'!FX179+'KELURAHAN (DI ISI)'!FX180+'KELURAHAN (DI ISI)'!FX181</f>
        <v>0</v>
      </c>
      <c r="GP44" s="491">
        <f>'KELURAHAN (DI ISI)'!FY178+'KELURAHAN (DI ISI)'!FY179+'KELURAHAN (DI ISI)'!FY180+'KELURAHAN (DI ISI)'!FY181</f>
        <v>0</v>
      </c>
      <c r="GQ44" s="491">
        <f>'KELURAHAN (DI ISI)'!FZ178+'KELURAHAN (DI ISI)'!FZ179+'KELURAHAN (DI ISI)'!FZ180+'KELURAHAN (DI ISI)'!FZ181</f>
        <v>1</v>
      </c>
      <c r="GR44" s="491">
        <f>'KELURAHAN (DI ISI)'!GA178+'KELURAHAN (DI ISI)'!GA179+'KELURAHAN (DI ISI)'!GA180+'KELURAHAN (DI ISI)'!GA181</f>
        <v>0</v>
      </c>
      <c r="GS44" s="491">
        <f>'KELURAHAN (DI ISI)'!GB178+'KELURAHAN (DI ISI)'!GB179+'KELURAHAN (DI ISI)'!GB180+'KELURAHAN (DI ISI)'!GB181</f>
        <v>0</v>
      </c>
      <c r="GT44" s="491">
        <f>'KELURAHAN (DI ISI)'!GC178+'KELURAHAN (DI ISI)'!GC179+'KELURAHAN (DI ISI)'!GC180+'KELURAHAN (DI ISI)'!GC181</f>
        <v>0</v>
      </c>
      <c r="GU44" s="491">
        <f>'KELURAHAN (DI ISI)'!GD178+'KELURAHAN (DI ISI)'!GD179+'KELURAHAN (DI ISI)'!GD180+'KELURAHAN (DI ISI)'!GD181</f>
        <v>1</v>
      </c>
      <c r="GV44" s="491">
        <f>'KELURAHAN (DI ISI)'!GE178+'KELURAHAN (DI ISI)'!GE179+'KELURAHAN (DI ISI)'!GE180+'KELURAHAN (DI ISI)'!GE181</f>
        <v>0</v>
      </c>
      <c r="GW44" s="491">
        <f>'KELURAHAN (DI ISI)'!GF178+'KELURAHAN (DI ISI)'!GF179+'KELURAHAN (DI ISI)'!GF180+'KELURAHAN (DI ISI)'!GF181</f>
        <v>0</v>
      </c>
      <c r="GX44" s="491">
        <f>'KELURAHAN (DI ISI)'!GG178+'KELURAHAN (DI ISI)'!GG179+'KELURAHAN (DI ISI)'!GG180+'KELURAHAN (DI ISI)'!GG181</f>
        <v>0</v>
      </c>
      <c r="GY44" s="491">
        <f>'KELURAHAN (DI ISI)'!GH178+'KELURAHAN (DI ISI)'!GH179+'KELURAHAN (DI ISI)'!GH180+'KELURAHAN (DI ISI)'!GH181</f>
        <v>0</v>
      </c>
      <c r="GZ44" s="491">
        <f>'KELURAHAN (DI ISI)'!GI178+'KELURAHAN (DI ISI)'!GI179+'KELURAHAN (DI ISI)'!GI180+'KELURAHAN (DI ISI)'!GI181</f>
        <v>0</v>
      </c>
      <c r="HA44" s="491">
        <f>'KELURAHAN (DI ISI)'!GJ178+'KELURAHAN (DI ISI)'!GJ179+'KELURAHAN (DI ISI)'!GJ180+'KELURAHAN (DI ISI)'!GJ181</f>
        <v>0</v>
      </c>
      <c r="HB44" s="572">
        <f>'KELURAHAN (DI ISI)'!GK178+'KELURAHAN (DI ISI)'!GK179+'KELURAHAN (DI ISI)'!GK180+'KELURAHAN (DI ISI)'!GK181</f>
        <v>1</v>
      </c>
      <c r="HC44" s="572">
        <f>'KELURAHAN (DI ISI)'!GL178+'KELURAHAN (DI ISI)'!GL179+'KELURAHAN (DI ISI)'!GL180+'KELURAHAN (DI ISI)'!GL181</f>
        <v>0</v>
      </c>
      <c r="HD44" s="491">
        <f>'KELURAHAN (DI ISI)'!GM178+'KELURAHAN (DI ISI)'!GM179+'KELURAHAN (DI ISI)'!GM180+'KELURAHAN (DI ISI)'!GM181</f>
        <v>1067</v>
      </c>
      <c r="HE44" s="491">
        <f>'KELURAHAN (DI ISI)'!GN178+'KELURAHAN (DI ISI)'!GN179+'KELURAHAN (DI ISI)'!GN180+'KELURAHAN (DI ISI)'!GN181</f>
        <v>398</v>
      </c>
      <c r="HF44" s="491">
        <f>'KELURAHAN (DI ISI)'!GO178+'KELURAHAN (DI ISI)'!GO179+'KELURAHAN (DI ISI)'!GO180+'KELURAHAN (DI ISI)'!GO181</f>
        <v>1067</v>
      </c>
      <c r="HG44" s="491">
        <f>'KELURAHAN (DI ISI)'!GP178+'KELURAHAN (DI ISI)'!GP179+'KELURAHAN (DI ISI)'!GP180+'KELURAHAN (DI ISI)'!GP181</f>
        <v>398</v>
      </c>
      <c r="HH44" s="570">
        <v>1092.0</v>
      </c>
      <c r="HI44" s="225">
        <f>'KELURAHAN (DI ISI)'!GR178+'KELURAHAN (DI ISI)'!GR179+'KELURAHAN (DI ISI)'!GR180+'KELURAHAN (DI ISI)'!GR181</f>
        <v>28</v>
      </c>
      <c r="HJ44" s="225">
        <f>'KELURAHAN (DI ISI)'!GS178+'KELURAHAN (DI ISI)'!GS179+'KELURAHAN (DI ISI)'!GS180+'KELURAHAN (DI ISI)'!GS181</f>
        <v>5</v>
      </c>
      <c r="HK44" s="573">
        <f>'KELURAHAN (DI ISI)'!GT178+'KELURAHAN (DI ISI)'!GT179+'KELURAHAN (DI ISI)'!GT180+'KELURAHAN (DI ISI)'!GT181</f>
        <v>28</v>
      </c>
      <c r="HL44" s="573">
        <f>'KELURAHAN (DI ISI)'!GU178+'KELURAHAN (DI ISI)'!GU179+'KELURAHAN (DI ISI)'!GU180+'KELURAHAN (DI ISI)'!GU181</f>
        <v>5</v>
      </c>
      <c r="HM44" s="573">
        <f t="shared" si="20"/>
        <v>23</v>
      </c>
      <c r="HN44" s="491">
        <f>'KELURAHAN (DI ISI)'!GW178+'KELURAHAN (DI ISI)'!GW179+'KELURAHAN (DI ISI)'!GW180+'KELURAHAN (DI ISI)'!GW181</f>
        <v>0</v>
      </c>
      <c r="HO44" s="491">
        <f>'KELURAHAN (DI ISI)'!GX178+'KELURAHAN (DI ISI)'!GX179+'KELURAHAN (DI ISI)'!GX180+'KELURAHAN (DI ISI)'!GX181</f>
        <v>1</v>
      </c>
      <c r="HP44" s="491">
        <f>'KELURAHAN (DI ISI)'!GY178+'KELURAHAN (DI ISI)'!GY179+'KELURAHAN (DI ISI)'!GY180+'KELURAHAN (DI ISI)'!GY181</f>
        <v>3</v>
      </c>
      <c r="HQ44" s="491">
        <f>'KELURAHAN (DI ISI)'!GZ178+'KELURAHAN (DI ISI)'!GZ179+'KELURAHAN (DI ISI)'!GZ180+'KELURAHAN (DI ISI)'!GZ181</f>
        <v>23</v>
      </c>
      <c r="HR44" s="491">
        <f>'KELURAHAN (DI ISI)'!HA178+'KELURAHAN (DI ISI)'!HA179+'KELURAHAN (DI ISI)'!HA180+'KELURAHAN (DI ISI)'!HA181</f>
        <v>0</v>
      </c>
      <c r="HS44" s="491">
        <f>'KELURAHAN (DI ISI)'!HB178+'KELURAHAN (DI ISI)'!HB179+'KELURAHAN (DI ISI)'!HB180+'KELURAHAN (DI ISI)'!HB181</f>
        <v>0</v>
      </c>
      <c r="HT44" s="491">
        <f>'KELURAHAN (DI ISI)'!HC178+'KELURAHAN (DI ISI)'!HC179+'KELURAHAN (DI ISI)'!HC180+'KELURAHAN (DI ISI)'!HC181</f>
        <v>1</v>
      </c>
      <c r="HU44" s="491">
        <f>'KELURAHAN (DI ISI)'!HD178+'KELURAHAN (DI ISI)'!HD179+'KELURAHAN (DI ISI)'!HD180+'KELURAHAN (DI ISI)'!HD181</f>
        <v>0</v>
      </c>
      <c r="HV44" s="491">
        <f>'KELURAHAN (DI ISI)'!HE178+'KELURAHAN (DI ISI)'!HE179+'KELURAHAN (DI ISI)'!HE180+'KELURAHAN (DI ISI)'!HE181</f>
        <v>0</v>
      </c>
      <c r="HW44" s="491">
        <f>'KELURAHAN (DI ISI)'!HF178+'KELURAHAN (DI ISI)'!HF179+'KELURAHAN (DI ISI)'!HF180+'KELURAHAN (DI ISI)'!HF181</f>
        <v>0</v>
      </c>
      <c r="HX44" s="491">
        <f>'KELURAHAN (DI ISI)'!HG178+'KELURAHAN (DI ISI)'!HG179+'KELURAHAN (DI ISI)'!HG180+'KELURAHAN (DI ISI)'!HG181</f>
        <v>0</v>
      </c>
      <c r="HY44" s="491">
        <f>'KELURAHAN (DI ISI)'!HH178+'KELURAHAN (DI ISI)'!HH179+'KELURAHAN (DI ISI)'!HH180+'KELURAHAN (DI ISI)'!HH181</f>
        <v>0</v>
      </c>
      <c r="HZ44" s="491">
        <f>'KELURAHAN (DI ISI)'!HI178+'KELURAHAN (DI ISI)'!HI179+'KELURAHAN (DI ISI)'!HI180+'KELURAHAN (DI ISI)'!HI181</f>
        <v>0</v>
      </c>
      <c r="IA44" s="491">
        <f>'KELURAHAN (DI ISI)'!HJ178+'KELURAHAN (DI ISI)'!HJ179+'KELURAHAN (DI ISI)'!HJ180+'KELURAHAN (DI ISI)'!HJ181</f>
        <v>0</v>
      </c>
      <c r="IB44" s="491">
        <f>'KELURAHAN (DI ISI)'!HK178+'KELURAHAN (DI ISI)'!HK179+'KELURAHAN (DI ISI)'!HK180+'KELURAHAN (DI ISI)'!HK181</f>
        <v>0</v>
      </c>
      <c r="IC44" s="491">
        <f>'KELURAHAN (DI ISI)'!HL178+'KELURAHAN (DI ISI)'!HL179+'KELURAHAN (DI ISI)'!HL180+'KELURAHAN (DI ISI)'!HL181</f>
        <v>0</v>
      </c>
      <c r="ID44" s="491">
        <f>'KELURAHAN (DI ISI)'!HM178+'KELURAHAN (DI ISI)'!HM179+'KELURAHAN (DI ISI)'!HM180+'KELURAHAN (DI ISI)'!HM181</f>
        <v>0</v>
      </c>
      <c r="IE44" s="491">
        <f>'KELURAHAN (DI ISI)'!HN178+'KELURAHAN (DI ISI)'!HN179+'KELURAHAN (DI ISI)'!HN180+'KELURAHAN (DI ISI)'!HN181</f>
        <v>0</v>
      </c>
      <c r="IF44" s="573">
        <f>'KELURAHAN (DI ISI)'!HO178+'KELURAHAN (DI ISI)'!HO179+'KELURAHAN (DI ISI)'!HO180+'KELURAHAN (DI ISI)'!HO181</f>
        <v>0</v>
      </c>
      <c r="IG44" s="573">
        <f>'KELURAHAN (DI ISI)'!HP178+'KELURAHAN (DI ISI)'!HP179+'KELURAHAN (DI ISI)'!HP180+'KELURAHAN (DI ISI)'!HP181</f>
        <v>0</v>
      </c>
      <c r="IK44" s="198">
        <f t="shared" si="21"/>
        <v>22</v>
      </c>
      <c r="IL44" s="198">
        <f t="shared" si="22"/>
        <v>22</v>
      </c>
      <c r="IM44" s="198">
        <f t="shared" si="23"/>
        <v>20</v>
      </c>
      <c r="IN44" s="198">
        <f t="shared" si="24"/>
        <v>22</v>
      </c>
      <c r="IO44" s="198">
        <f t="shared" si="25"/>
        <v>25</v>
      </c>
      <c r="IP44" s="198">
        <f t="shared" si="26"/>
        <v>27</v>
      </c>
      <c r="IQ44" s="574">
        <f t="shared" si="27"/>
        <v>25</v>
      </c>
      <c r="IR44" s="574">
        <f t="shared" si="28"/>
        <v>25</v>
      </c>
      <c r="IS44" s="574">
        <f t="shared" si="29"/>
        <v>25</v>
      </c>
      <c r="IT44" s="574">
        <f t="shared" si="30"/>
        <v>27</v>
      </c>
      <c r="IU44" s="574">
        <f t="shared" si="31"/>
        <v>27</v>
      </c>
      <c r="IV44" s="575">
        <f t="shared" si="32"/>
        <v>28</v>
      </c>
      <c r="IW44" s="583"/>
      <c r="IX44" s="576">
        <f t="shared" si="33"/>
        <v>-28</v>
      </c>
      <c r="IZ44" s="577"/>
      <c r="JA44" s="162">
        <f t="shared" si="34"/>
        <v>-1067</v>
      </c>
      <c r="JB44" s="578"/>
      <c r="JC44" s="579">
        <f t="shared" si="35"/>
        <v>-398</v>
      </c>
      <c r="JD44" s="584"/>
      <c r="JE44" s="585"/>
      <c r="JF44" s="577"/>
      <c r="JG44" s="234">
        <f t="shared" si="36"/>
        <v>-1067</v>
      </c>
      <c r="JH44" s="578"/>
      <c r="JI44" s="579">
        <f t="shared" si="37"/>
        <v>-398</v>
      </c>
      <c r="JJ44" s="247"/>
    </row>
    <row r="45" ht="29.25" customHeight="1">
      <c r="A45" s="513"/>
      <c r="B45" s="513" t="s">
        <v>299</v>
      </c>
      <c r="C45" s="513"/>
      <c r="D45" s="513"/>
      <c r="E45" s="513"/>
      <c r="F45" s="606">
        <f t="shared" ref="F45:H45" si="38">SUM(F8:F44)</f>
        <v>1622</v>
      </c>
      <c r="G45" s="606">
        <f t="shared" si="38"/>
        <v>91166</v>
      </c>
      <c r="H45" s="606">
        <f t="shared" si="38"/>
        <v>1735</v>
      </c>
      <c r="I45" s="491">
        <f t="shared" si="1"/>
        <v>560</v>
      </c>
      <c r="J45" s="491">
        <f t="shared" si="2"/>
        <v>1174</v>
      </c>
      <c r="K45" s="607">
        <f t="shared" ref="K45:R45" si="39">SUM(K8:K44)</f>
        <v>93</v>
      </c>
      <c r="L45" s="607">
        <f t="shared" si="39"/>
        <v>95</v>
      </c>
      <c r="M45" s="607">
        <f t="shared" si="39"/>
        <v>372</v>
      </c>
      <c r="N45" s="607">
        <f t="shared" si="39"/>
        <v>1174</v>
      </c>
      <c r="O45" s="607">
        <f t="shared" si="39"/>
        <v>167</v>
      </c>
      <c r="P45" s="607">
        <f t="shared" si="39"/>
        <v>98</v>
      </c>
      <c r="Q45" s="607">
        <f t="shared" si="39"/>
        <v>1471</v>
      </c>
      <c r="R45" s="607">
        <f t="shared" si="39"/>
        <v>1859</v>
      </c>
      <c r="S45" s="491">
        <f t="shared" si="3"/>
        <v>571</v>
      </c>
      <c r="T45" s="491">
        <f t="shared" si="4"/>
        <v>1288</v>
      </c>
      <c r="U45" s="607">
        <f t="shared" ref="U45:AB45" si="40">SUM(U8:U44)</f>
        <v>60</v>
      </c>
      <c r="V45" s="607">
        <f t="shared" si="40"/>
        <v>82</v>
      </c>
      <c r="W45" s="607">
        <f t="shared" si="40"/>
        <v>429</v>
      </c>
      <c r="X45" s="607">
        <f t="shared" si="40"/>
        <v>1288</v>
      </c>
      <c r="Y45" s="607">
        <f t="shared" si="40"/>
        <v>390</v>
      </c>
      <c r="Z45" s="607">
        <f t="shared" si="40"/>
        <v>176</v>
      </c>
      <c r="AA45" s="607">
        <f t="shared" si="40"/>
        <v>1281</v>
      </c>
      <c r="AB45" s="607">
        <f t="shared" si="40"/>
        <v>1723</v>
      </c>
      <c r="AC45" s="491">
        <f t="shared" si="5"/>
        <v>524</v>
      </c>
      <c r="AD45" s="491">
        <f t="shared" si="6"/>
        <v>1199</v>
      </c>
      <c r="AE45" s="607">
        <f t="shared" ref="AE45:AL45" si="41">SUM(AE8:AE44)</f>
        <v>62</v>
      </c>
      <c r="AF45" s="607">
        <f t="shared" si="41"/>
        <v>91</v>
      </c>
      <c r="AG45" s="607">
        <f t="shared" si="41"/>
        <v>371</v>
      </c>
      <c r="AH45" s="607">
        <f t="shared" si="41"/>
        <v>1199</v>
      </c>
      <c r="AI45" s="607">
        <f t="shared" si="41"/>
        <v>176</v>
      </c>
      <c r="AJ45" s="607">
        <f t="shared" si="41"/>
        <v>256</v>
      </c>
      <c r="AK45" s="607">
        <f t="shared" si="41"/>
        <v>1280</v>
      </c>
      <c r="AL45" s="607">
        <f t="shared" si="41"/>
        <v>1538</v>
      </c>
      <c r="AM45" s="491">
        <f t="shared" si="7"/>
        <v>444</v>
      </c>
      <c r="AN45" s="491">
        <f t="shared" si="8"/>
        <v>1093</v>
      </c>
      <c r="AO45" s="607">
        <f t="shared" ref="AO45:AV45" si="42">SUM(AO8:AO44)</f>
        <v>44</v>
      </c>
      <c r="AP45" s="607">
        <f t="shared" si="42"/>
        <v>81</v>
      </c>
      <c r="AQ45" s="607">
        <f t="shared" si="42"/>
        <v>319</v>
      </c>
      <c r="AR45" s="607">
        <f t="shared" si="42"/>
        <v>1093</v>
      </c>
      <c r="AS45" s="607">
        <f t="shared" si="42"/>
        <v>192</v>
      </c>
      <c r="AT45" s="607">
        <f t="shared" si="42"/>
        <v>228</v>
      </c>
      <c r="AU45" s="607">
        <f t="shared" si="42"/>
        <v>1119</v>
      </c>
      <c r="AV45" s="607">
        <f t="shared" si="42"/>
        <v>1505</v>
      </c>
      <c r="AW45" s="491">
        <f t="shared" si="9"/>
        <v>446</v>
      </c>
      <c r="AX45" s="491">
        <f t="shared" si="10"/>
        <v>1059</v>
      </c>
      <c r="AY45" s="607">
        <f t="shared" ref="AY45:BG45" si="43">SUM(AY8:AY44)</f>
        <v>46</v>
      </c>
      <c r="AZ45" s="607">
        <f t="shared" si="43"/>
        <v>82</v>
      </c>
      <c r="BA45" s="607">
        <f t="shared" si="43"/>
        <v>318</v>
      </c>
      <c r="BB45" s="607">
        <f t="shared" si="43"/>
        <v>1059</v>
      </c>
      <c r="BC45" s="607">
        <f t="shared" si="43"/>
        <v>130</v>
      </c>
      <c r="BD45" s="607">
        <f t="shared" si="43"/>
        <v>140</v>
      </c>
      <c r="BE45" s="607">
        <f t="shared" si="43"/>
        <v>1237</v>
      </c>
      <c r="BF45" s="607">
        <f t="shared" si="43"/>
        <v>94251</v>
      </c>
      <c r="BG45" s="607">
        <f t="shared" si="43"/>
        <v>1487</v>
      </c>
      <c r="BH45" s="491">
        <f t="shared" si="11"/>
        <v>347</v>
      </c>
      <c r="BI45" s="495">
        <f t="shared" si="12"/>
        <v>974</v>
      </c>
      <c r="BJ45" s="607">
        <f t="shared" ref="BJ45:CD45" si="44">SUM(BJ8:BJ44)</f>
        <v>23</v>
      </c>
      <c r="BK45" s="607">
        <f t="shared" si="44"/>
        <v>63</v>
      </c>
      <c r="BL45" s="607">
        <f t="shared" si="44"/>
        <v>261</v>
      </c>
      <c r="BM45" s="607">
        <f t="shared" si="44"/>
        <v>974</v>
      </c>
      <c r="BN45" s="607">
        <f t="shared" si="44"/>
        <v>17</v>
      </c>
      <c r="BO45" s="607">
        <f t="shared" si="44"/>
        <v>23</v>
      </c>
      <c r="BP45" s="607">
        <f t="shared" si="44"/>
        <v>52</v>
      </c>
      <c r="BQ45" s="607">
        <f t="shared" si="44"/>
        <v>71</v>
      </c>
      <c r="BR45" s="607">
        <f t="shared" si="44"/>
        <v>5</v>
      </c>
      <c r="BS45" s="607">
        <f t="shared" si="44"/>
        <v>14</v>
      </c>
      <c r="BT45" s="607">
        <f t="shared" si="44"/>
        <v>28</v>
      </c>
      <c r="BU45" s="607">
        <f t="shared" si="44"/>
        <v>88</v>
      </c>
      <c r="BV45" s="607">
        <f t="shared" si="44"/>
        <v>0</v>
      </c>
      <c r="BW45" s="607">
        <f t="shared" si="44"/>
        <v>0</v>
      </c>
      <c r="BX45" s="607">
        <f t="shared" si="44"/>
        <v>4</v>
      </c>
      <c r="BY45" s="607">
        <f t="shared" si="44"/>
        <v>7</v>
      </c>
      <c r="BZ45" s="607">
        <f t="shared" si="44"/>
        <v>17</v>
      </c>
      <c r="CA45" s="607">
        <f t="shared" si="44"/>
        <v>0</v>
      </c>
      <c r="CB45" s="607">
        <f t="shared" si="44"/>
        <v>163</v>
      </c>
      <c r="CC45" s="607">
        <f t="shared" si="44"/>
        <v>95057</v>
      </c>
      <c r="CD45" s="607">
        <f t="shared" si="44"/>
        <v>1292</v>
      </c>
      <c r="CE45" s="491">
        <f t="shared" si="13"/>
        <v>260</v>
      </c>
      <c r="CF45" s="491">
        <f t="shared" si="14"/>
        <v>902</v>
      </c>
      <c r="CG45" s="607">
        <f t="shared" ref="CG45:DB45" si="45">SUM(CG8:CG44)</f>
        <v>18</v>
      </c>
      <c r="CH45" s="607">
        <f t="shared" si="45"/>
        <v>47</v>
      </c>
      <c r="CI45" s="607">
        <f t="shared" si="45"/>
        <v>195</v>
      </c>
      <c r="CJ45" s="607">
        <f t="shared" si="45"/>
        <v>902</v>
      </c>
      <c r="CK45" s="607">
        <f t="shared" si="45"/>
        <v>18</v>
      </c>
      <c r="CL45" s="607">
        <f t="shared" si="45"/>
        <v>13</v>
      </c>
      <c r="CM45" s="607">
        <f t="shared" si="45"/>
        <v>33</v>
      </c>
      <c r="CN45" s="607">
        <f t="shared" si="45"/>
        <v>66</v>
      </c>
      <c r="CO45" s="607">
        <f t="shared" si="45"/>
        <v>10</v>
      </c>
      <c r="CP45" s="607">
        <f t="shared" si="45"/>
        <v>24</v>
      </c>
      <c r="CQ45" s="607">
        <f t="shared" si="45"/>
        <v>63</v>
      </c>
      <c r="CR45" s="607">
        <f t="shared" si="45"/>
        <v>110</v>
      </c>
      <c r="CS45" s="607">
        <f t="shared" si="45"/>
        <v>1</v>
      </c>
      <c r="CT45" s="607">
        <f t="shared" si="45"/>
        <v>1</v>
      </c>
      <c r="CU45" s="607">
        <f t="shared" si="45"/>
        <v>5</v>
      </c>
      <c r="CV45" s="607">
        <f t="shared" si="45"/>
        <v>6</v>
      </c>
      <c r="CW45" s="607">
        <f t="shared" si="45"/>
        <v>33</v>
      </c>
      <c r="CX45" s="607">
        <f t="shared" si="45"/>
        <v>0</v>
      </c>
      <c r="CY45" s="607">
        <f t="shared" si="45"/>
        <v>254</v>
      </c>
      <c r="CZ45" s="607">
        <f t="shared" si="45"/>
        <v>95447</v>
      </c>
      <c r="DA45" s="607">
        <f t="shared" si="45"/>
        <v>33223</v>
      </c>
      <c r="DB45" s="607">
        <f t="shared" si="45"/>
        <v>1465</v>
      </c>
      <c r="DC45" s="491">
        <f t="shared" si="15"/>
        <v>260</v>
      </c>
      <c r="DD45" s="491">
        <f t="shared" si="16"/>
        <v>876</v>
      </c>
      <c r="DE45" s="607">
        <f t="shared" ref="DE45:GC45" si="46">SUM(DE8:DE44)</f>
        <v>22</v>
      </c>
      <c r="DF45" s="607">
        <f t="shared" si="46"/>
        <v>31</v>
      </c>
      <c r="DG45" s="607">
        <f t="shared" si="46"/>
        <v>207</v>
      </c>
      <c r="DH45" s="607">
        <f t="shared" si="46"/>
        <v>876</v>
      </c>
      <c r="DI45" s="607">
        <f t="shared" si="46"/>
        <v>19</v>
      </c>
      <c r="DJ45" s="607">
        <f t="shared" si="46"/>
        <v>20</v>
      </c>
      <c r="DK45" s="607">
        <f t="shared" si="46"/>
        <v>92</v>
      </c>
      <c r="DL45" s="607">
        <f t="shared" si="46"/>
        <v>198</v>
      </c>
      <c r="DM45" s="607">
        <f t="shared" si="46"/>
        <v>7</v>
      </c>
      <c r="DN45" s="607">
        <f t="shared" si="46"/>
        <v>19</v>
      </c>
      <c r="DO45" s="607">
        <f t="shared" si="46"/>
        <v>35</v>
      </c>
      <c r="DP45" s="607">
        <f t="shared" si="46"/>
        <v>67</v>
      </c>
      <c r="DQ45" s="607">
        <f t="shared" si="46"/>
        <v>0</v>
      </c>
      <c r="DR45" s="607">
        <f t="shared" si="46"/>
        <v>3</v>
      </c>
      <c r="DS45" s="607">
        <f t="shared" si="46"/>
        <v>1</v>
      </c>
      <c r="DT45" s="607">
        <f t="shared" si="46"/>
        <v>10</v>
      </c>
      <c r="DU45" s="607">
        <f t="shared" si="46"/>
        <v>9</v>
      </c>
      <c r="DV45" s="607" t="str">
        <f t="shared" si="46"/>
        <v>#REF!</v>
      </c>
      <c r="DW45" s="607">
        <f t="shared" si="46"/>
        <v>152</v>
      </c>
      <c r="DX45" s="607">
        <f t="shared" si="46"/>
        <v>89987</v>
      </c>
      <c r="DY45" s="607">
        <f t="shared" si="46"/>
        <v>28166</v>
      </c>
      <c r="DZ45" s="607">
        <f t="shared" si="46"/>
        <v>86211</v>
      </c>
      <c r="EA45" s="607">
        <f t="shared" si="46"/>
        <v>26615</v>
      </c>
      <c r="EB45" s="607">
        <f t="shared" si="46"/>
        <v>1448</v>
      </c>
      <c r="EC45" s="607">
        <f t="shared" si="46"/>
        <v>355</v>
      </c>
      <c r="ED45" s="607">
        <f t="shared" si="46"/>
        <v>1093</v>
      </c>
      <c r="EE45" s="607">
        <f t="shared" si="46"/>
        <v>14</v>
      </c>
      <c r="EF45" s="607">
        <f t="shared" si="46"/>
        <v>28</v>
      </c>
      <c r="EG45" s="607">
        <f t="shared" si="46"/>
        <v>235</v>
      </c>
      <c r="EH45" s="607">
        <f t="shared" si="46"/>
        <v>982</v>
      </c>
      <c r="EI45" s="607">
        <f t="shared" si="46"/>
        <v>8</v>
      </c>
      <c r="EJ45" s="607">
        <f t="shared" si="46"/>
        <v>14</v>
      </c>
      <c r="EK45" s="607">
        <f t="shared" si="46"/>
        <v>56</v>
      </c>
      <c r="EL45" s="607">
        <f t="shared" si="46"/>
        <v>111</v>
      </c>
      <c r="EM45" s="607">
        <f t="shared" si="46"/>
        <v>17</v>
      </c>
      <c r="EN45" s="607">
        <f t="shared" si="46"/>
        <v>20</v>
      </c>
      <c r="EO45" s="607">
        <f t="shared" si="46"/>
        <v>47</v>
      </c>
      <c r="EP45" s="607">
        <f t="shared" si="46"/>
        <v>91</v>
      </c>
      <c r="EQ45" s="607">
        <f t="shared" si="46"/>
        <v>0</v>
      </c>
      <c r="ER45" s="607">
        <f t="shared" si="46"/>
        <v>1</v>
      </c>
      <c r="ES45" s="607">
        <f t="shared" si="46"/>
        <v>2</v>
      </c>
      <c r="ET45" s="607">
        <f t="shared" si="46"/>
        <v>14</v>
      </c>
      <c r="EU45" s="607">
        <f t="shared" si="46"/>
        <v>14</v>
      </c>
      <c r="EV45" s="607">
        <f t="shared" si="46"/>
        <v>1</v>
      </c>
      <c r="EW45" s="607">
        <f t="shared" si="46"/>
        <v>207</v>
      </c>
      <c r="EX45" s="607">
        <f t="shared" si="46"/>
        <v>102</v>
      </c>
      <c r="EY45" s="607">
        <f t="shared" si="46"/>
        <v>89239</v>
      </c>
      <c r="EZ45" s="607">
        <f t="shared" si="46"/>
        <v>27667</v>
      </c>
      <c r="FA45" s="607">
        <f t="shared" si="46"/>
        <v>85691</v>
      </c>
      <c r="FB45" s="607">
        <f t="shared" si="46"/>
        <v>26321</v>
      </c>
      <c r="FC45" s="607">
        <f t="shared" si="46"/>
        <v>1423</v>
      </c>
      <c r="FD45" s="607">
        <f t="shared" si="46"/>
        <v>326</v>
      </c>
      <c r="FE45" s="607">
        <f t="shared" si="46"/>
        <v>1096</v>
      </c>
      <c r="FF45" s="607">
        <f t="shared" si="46"/>
        <v>8</v>
      </c>
      <c r="FG45" s="607">
        <f t="shared" si="46"/>
        <v>29</v>
      </c>
      <c r="FH45" s="607">
        <f t="shared" si="46"/>
        <v>233</v>
      </c>
      <c r="FI45" s="607">
        <f t="shared" si="46"/>
        <v>1002</v>
      </c>
      <c r="FJ45" s="607">
        <f t="shared" si="46"/>
        <v>10</v>
      </c>
      <c r="FK45" s="607">
        <f t="shared" si="46"/>
        <v>5</v>
      </c>
      <c r="FL45" s="607">
        <f t="shared" si="46"/>
        <v>42</v>
      </c>
      <c r="FM45" s="607">
        <f t="shared" si="46"/>
        <v>94</v>
      </c>
      <c r="FN45" s="607">
        <f t="shared" si="46"/>
        <v>5</v>
      </c>
      <c r="FO45" s="607">
        <f t="shared" si="46"/>
        <v>4</v>
      </c>
      <c r="FP45" s="607">
        <f t="shared" si="46"/>
        <v>22</v>
      </c>
      <c r="FQ45" s="607">
        <f t="shared" si="46"/>
        <v>94</v>
      </c>
      <c r="FR45" s="607">
        <f t="shared" si="46"/>
        <v>1</v>
      </c>
      <c r="FS45" s="607">
        <f t="shared" si="46"/>
        <v>3</v>
      </c>
      <c r="FT45" s="607">
        <f t="shared" si="46"/>
        <v>4</v>
      </c>
      <c r="FU45" s="607">
        <f t="shared" si="46"/>
        <v>5</v>
      </c>
      <c r="FV45" s="607">
        <f t="shared" si="46"/>
        <v>14</v>
      </c>
      <c r="FW45" s="607">
        <f t="shared" si="46"/>
        <v>0</v>
      </c>
      <c r="FX45" s="607">
        <f t="shared" si="46"/>
        <v>152</v>
      </c>
      <c r="FY45" s="607">
        <f t="shared" si="46"/>
        <v>39</v>
      </c>
      <c r="FZ45" s="607">
        <f t="shared" si="46"/>
        <v>88549</v>
      </c>
      <c r="GA45" s="607">
        <f t="shared" si="46"/>
        <v>26104</v>
      </c>
      <c r="GB45" s="607">
        <f t="shared" si="46"/>
        <v>85194</v>
      </c>
      <c r="GC45" s="607">
        <f t="shared" si="46"/>
        <v>24785</v>
      </c>
      <c r="GD45" s="608">
        <v>85194.0</v>
      </c>
      <c r="GE45" s="607">
        <f t="shared" ref="GE45:IG45" si="47">SUM(GE8:GE44)</f>
        <v>1410</v>
      </c>
      <c r="GF45" s="607">
        <f t="shared" si="47"/>
        <v>1410</v>
      </c>
      <c r="GG45" s="607">
        <f t="shared" si="47"/>
        <v>1410</v>
      </c>
      <c r="GH45" s="607">
        <f t="shared" si="47"/>
        <v>316</v>
      </c>
      <c r="GI45" s="607">
        <f t="shared" si="47"/>
        <v>1094</v>
      </c>
      <c r="GJ45" s="607">
        <f t="shared" si="47"/>
        <v>12</v>
      </c>
      <c r="GK45" s="607">
        <f t="shared" si="47"/>
        <v>19</v>
      </c>
      <c r="GL45" s="607">
        <f t="shared" si="47"/>
        <v>229</v>
      </c>
      <c r="GM45" s="607">
        <f t="shared" si="47"/>
        <v>1025</v>
      </c>
      <c r="GN45" s="607">
        <f t="shared" si="47"/>
        <v>10</v>
      </c>
      <c r="GO45" s="607">
        <f t="shared" si="47"/>
        <v>8</v>
      </c>
      <c r="GP45" s="607">
        <f t="shared" si="47"/>
        <v>38</v>
      </c>
      <c r="GQ45" s="607">
        <f t="shared" si="47"/>
        <v>69</v>
      </c>
      <c r="GR45" s="607">
        <f t="shared" si="47"/>
        <v>2</v>
      </c>
      <c r="GS45" s="607">
        <f t="shared" si="47"/>
        <v>5</v>
      </c>
      <c r="GT45" s="607">
        <f t="shared" si="47"/>
        <v>12</v>
      </c>
      <c r="GU45" s="607">
        <f t="shared" si="47"/>
        <v>73</v>
      </c>
      <c r="GV45" s="607">
        <f t="shared" si="47"/>
        <v>0</v>
      </c>
      <c r="GW45" s="607">
        <f t="shared" si="47"/>
        <v>1</v>
      </c>
      <c r="GX45" s="607">
        <f t="shared" si="47"/>
        <v>7</v>
      </c>
      <c r="GY45" s="607">
        <f t="shared" si="47"/>
        <v>12</v>
      </c>
      <c r="GZ45" s="607">
        <f t="shared" si="47"/>
        <v>19</v>
      </c>
      <c r="HA45" s="607">
        <f t="shared" si="47"/>
        <v>0</v>
      </c>
      <c r="HB45" s="607">
        <f t="shared" si="47"/>
        <v>131</v>
      </c>
      <c r="HC45" s="607">
        <f t="shared" si="47"/>
        <v>27</v>
      </c>
      <c r="HD45" s="607">
        <f t="shared" si="47"/>
        <v>88319</v>
      </c>
      <c r="HE45" s="607">
        <f t="shared" si="47"/>
        <v>26556</v>
      </c>
      <c r="HF45" s="607">
        <f t="shared" si="47"/>
        <v>85331</v>
      </c>
      <c r="HG45" s="607">
        <f t="shared" si="47"/>
        <v>24714</v>
      </c>
      <c r="HH45" s="607">
        <f t="shared" si="47"/>
        <v>85194</v>
      </c>
      <c r="HI45" s="607">
        <f t="shared" si="47"/>
        <v>1416</v>
      </c>
      <c r="HJ45" s="607">
        <f t="shared" si="47"/>
        <v>311</v>
      </c>
      <c r="HK45" s="607">
        <f t="shared" si="47"/>
        <v>1416</v>
      </c>
      <c r="HL45" s="607">
        <f t="shared" si="47"/>
        <v>311</v>
      </c>
      <c r="HM45" s="607">
        <f t="shared" si="47"/>
        <v>1105</v>
      </c>
      <c r="HN45" s="607">
        <f t="shared" si="47"/>
        <v>9</v>
      </c>
      <c r="HO45" s="607">
        <f t="shared" si="47"/>
        <v>23</v>
      </c>
      <c r="HP45" s="607">
        <f t="shared" si="47"/>
        <v>214</v>
      </c>
      <c r="HQ45" s="607">
        <f t="shared" si="47"/>
        <v>1039</v>
      </c>
      <c r="HR45" s="607">
        <f t="shared" si="47"/>
        <v>10</v>
      </c>
      <c r="HS45" s="607">
        <f t="shared" si="47"/>
        <v>13</v>
      </c>
      <c r="HT45" s="607">
        <f t="shared" si="47"/>
        <v>42</v>
      </c>
      <c r="HU45" s="607">
        <f t="shared" si="47"/>
        <v>66</v>
      </c>
      <c r="HV45" s="607">
        <f t="shared" si="47"/>
        <v>4</v>
      </c>
      <c r="HW45" s="607">
        <f t="shared" si="47"/>
        <v>6</v>
      </c>
      <c r="HX45" s="607">
        <f t="shared" si="47"/>
        <v>24</v>
      </c>
      <c r="HY45" s="607">
        <f t="shared" si="47"/>
        <v>73</v>
      </c>
      <c r="HZ45" s="607">
        <f t="shared" si="47"/>
        <v>0</v>
      </c>
      <c r="IA45" s="607">
        <f t="shared" si="47"/>
        <v>0</v>
      </c>
      <c r="IB45" s="607">
        <f t="shared" si="47"/>
        <v>1</v>
      </c>
      <c r="IC45" s="607">
        <f t="shared" si="47"/>
        <v>2</v>
      </c>
      <c r="ID45" s="607">
        <f t="shared" si="47"/>
        <v>16</v>
      </c>
      <c r="IE45" s="607">
        <f t="shared" si="47"/>
        <v>0</v>
      </c>
      <c r="IF45" s="607">
        <f t="shared" si="47"/>
        <v>65</v>
      </c>
      <c r="IG45" s="607">
        <f t="shared" si="47"/>
        <v>23</v>
      </c>
      <c r="IH45" s="609"/>
      <c r="II45" s="609"/>
      <c r="IJ45" s="609"/>
      <c r="IK45" s="610">
        <f t="shared" si="21"/>
        <v>1735</v>
      </c>
      <c r="IL45" s="198">
        <f t="shared" si="22"/>
        <v>1859</v>
      </c>
      <c r="IM45" s="198">
        <f t="shared" si="23"/>
        <v>1723</v>
      </c>
      <c r="IN45" s="198">
        <f t="shared" si="24"/>
        <v>1538</v>
      </c>
      <c r="IO45" s="198">
        <f t="shared" si="25"/>
        <v>1505</v>
      </c>
      <c r="IP45" s="198">
        <f t="shared" si="26"/>
        <v>1487</v>
      </c>
      <c r="IQ45" s="574">
        <f t="shared" si="27"/>
        <v>1292</v>
      </c>
      <c r="IR45" s="574">
        <f t="shared" si="28"/>
        <v>1465</v>
      </c>
      <c r="IS45" s="574">
        <f t="shared" si="29"/>
        <v>1448</v>
      </c>
      <c r="IT45" s="574">
        <f t="shared" si="30"/>
        <v>1423</v>
      </c>
      <c r="IU45" s="574">
        <f t="shared" si="31"/>
        <v>1410</v>
      </c>
      <c r="IV45" s="575">
        <f t="shared" si="32"/>
        <v>1416</v>
      </c>
      <c r="IX45" s="611">
        <f>SUM(IX8:IX44)</f>
        <v>-1416</v>
      </c>
      <c r="IZ45" s="577"/>
      <c r="JA45" s="162">
        <f t="shared" si="34"/>
        <v>-88319</v>
      </c>
      <c r="JB45" s="578"/>
      <c r="JC45" s="579">
        <f t="shared" si="35"/>
        <v>-26556</v>
      </c>
      <c r="JD45" s="612"/>
      <c r="JE45" s="612"/>
      <c r="JF45" s="577"/>
      <c r="JG45" s="234">
        <f t="shared" si="36"/>
        <v>-85331</v>
      </c>
      <c r="JH45" s="578"/>
      <c r="JI45" s="579">
        <f t="shared" si="37"/>
        <v>-24714</v>
      </c>
      <c r="JJ45" s="612"/>
    </row>
    <row r="46" ht="14.25" customHeight="1">
      <c r="HD46" s="613"/>
      <c r="HE46" s="613"/>
      <c r="HF46" s="613"/>
      <c r="HG46" s="613"/>
      <c r="HH46" s="613"/>
      <c r="HI46" s="613"/>
      <c r="HJ46" s="533"/>
      <c r="HK46" s="533"/>
      <c r="HL46" s="533"/>
      <c r="HM46" s="533"/>
      <c r="HN46" s="613"/>
      <c r="HO46" s="613"/>
      <c r="HP46" s="613"/>
      <c r="HQ46" s="613"/>
      <c r="HR46" s="613"/>
      <c r="HS46" s="613"/>
      <c r="HT46" s="613"/>
      <c r="HU46" s="613"/>
      <c r="HV46" s="613"/>
      <c r="HW46" s="613"/>
      <c r="HX46" s="613"/>
      <c r="HY46" s="613"/>
      <c r="HZ46" s="613"/>
      <c r="IA46" s="613"/>
      <c r="IB46" s="613"/>
      <c r="IC46" s="613"/>
      <c r="ID46" s="613"/>
      <c r="IE46" s="613"/>
      <c r="IF46" s="613"/>
      <c r="IG46" s="613"/>
      <c r="IW46" s="250" t="s">
        <v>338</v>
      </c>
      <c r="IX46" s="250" t="s">
        <v>338</v>
      </c>
      <c r="IZ46" s="250" t="s">
        <v>338</v>
      </c>
      <c r="JA46" s="250" t="s">
        <v>338</v>
      </c>
      <c r="JB46" s="250" t="s">
        <v>338</v>
      </c>
      <c r="JC46" s="250" t="s">
        <v>338</v>
      </c>
      <c r="JD46" s="247"/>
      <c r="JE46" s="565"/>
      <c r="JF46" s="237" t="s">
        <v>338</v>
      </c>
      <c r="JG46" s="234" t="s">
        <v>338</v>
      </c>
      <c r="JH46" s="614" t="s">
        <v>338</v>
      </c>
      <c r="JI46" s="567" t="s">
        <v>338</v>
      </c>
      <c r="JJ46" s="247"/>
    </row>
    <row r="47" ht="14.25" customHeight="1">
      <c r="HD47" s="613"/>
      <c r="HE47" s="613"/>
      <c r="HF47" s="613"/>
      <c r="HG47" s="613"/>
      <c r="HH47" s="613"/>
      <c r="HI47" s="613"/>
      <c r="HJ47" s="533"/>
      <c r="HK47" s="533"/>
      <c r="HL47" s="533"/>
      <c r="HM47" s="533"/>
      <c r="HN47" s="613"/>
      <c r="HO47" s="613"/>
      <c r="HP47" s="613"/>
      <c r="HQ47" s="613"/>
      <c r="HR47" s="613"/>
      <c r="HS47" s="613"/>
      <c r="HT47" s="613"/>
      <c r="HU47" s="613"/>
      <c r="HV47" s="613"/>
      <c r="HW47" s="613"/>
      <c r="HX47" s="613"/>
      <c r="HY47" s="613"/>
      <c r="HZ47" s="613"/>
      <c r="IA47" s="613"/>
      <c r="IB47" s="613"/>
      <c r="IC47" s="613"/>
      <c r="ID47" s="613"/>
      <c r="IE47" s="613"/>
      <c r="IF47" s="613"/>
      <c r="IG47" s="613"/>
      <c r="IX47" s="615"/>
      <c r="IZ47" s="231"/>
      <c r="JA47" s="231"/>
      <c r="JB47" s="616"/>
      <c r="JC47" s="616"/>
      <c r="JD47" s="247"/>
      <c r="JE47" s="617"/>
      <c r="JF47" s="231"/>
      <c r="JG47" s="231"/>
      <c r="JH47" s="616"/>
      <c r="JI47" s="616"/>
      <c r="JJ47" s="247"/>
    </row>
    <row r="48" ht="14.25" customHeight="1">
      <c r="EB48" s="611">
        <f>EE45+EF45+EG45+EH45+EI45+EJ45+EK45+EL45</f>
        <v>1448</v>
      </c>
      <c r="EC48" s="611">
        <f>EE45+EF45+EG45+EI45+EJ45+EK45</f>
        <v>355</v>
      </c>
      <c r="HD48" s="613"/>
      <c r="HE48" s="613"/>
      <c r="HF48" s="613"/>
      <c r="HG48" s="613"/>
      <c r="HH48" s="613"/>
      <c r="HI48" s="613"/>
      <c r="HJ48" s="533"/>
      <c r="HK48" s="533"/>
      <c r="HL48" s="533"/>
      <c r="HM48" s="533"/>
      <c r="HN48" s="613"/>
      <c r="HO48" s="613"/>
      <c r="HP48" s="613"/>
      <c r="HQ48" s="613"/>
      <c r="HR48" s="613"/>
      <c r="HS48" s="613"/>
      <c r="HT48" s="613"/>
      <c r="HU48" s="613"/>
      <c r="HV48" s="613"/>
      <c r="HW48" s="613"/>
      <c r="HX48" s="613"/>
      <c r="HY48" s="613"/>
      <c r="HZ48" s="613"/>
      <c r="IA48" s="613"/>
      <c r="IB48" s="613"/>
      <c r="IC48" s="613"/>
      <c r="ID48" s="613"/>
      <c r="IE48" s="613"/>
      <c r="IF48" s="613"/>
      <c r="IG48" s="613"/>
      <c r="IX48" s="615"/>
      <c r="IZ48" s="231"/>
      <c r="JA48" s="231"/>
      <c r="JB48" s="247"/>
      <c r="JC48" s="247"/>
      <c r="JD48" s="247"/>
      <c r="JE48" s="617"/>
      <c r="JF48" s="231"/>
      <c r="JG48" s="231"/>
      <c r="JH48" s="247"/>
      <c r="JI48" s="247"/>
      <c r="JJ48" s="247"/>
    </row>
    <row r="49" ht="14.25" customHeight="1">
      <c r="HD49" s="613"/>
      <c r="HE49" s="613"/>
      <c r="HF49" s="613"/>
      <c r="HG49" s="613"/>
      <c r="HH49" s="613"/>
      <c r="HI49" s="613"/>
      <c r="HJ49" s="533"/>
      <c r="HK49" s="533"/>
      <c r="HL49" s="533"/>
      <c r="HM49" s="533"/>
      <c r="HN49" s="613"/>
      <c r="HO49" s="613"/>
      <c r="HP49" s="613"/>
      <c r="HQ49" s="613"/>
      <c r="HR49" s="613"/>
      <c r="HS49" s="613"/>
      <c r="HT49" s="613"/>
      <c r="HU49" s="613"/>
      <c r="HV49" s="613"/>
      <c r="HW49" s="613"/>
      <c r="HX49" s="613"/>
      <c r="HY49" s="613"/>
      <c r="HZ49" s="613"/>
      <c r="IA49" s="613"/>
      <c r="IB49" s="613"/>
      <c r="IC49" s="613"/>
      <c r="ID49" s="613"/>
      <c r="IE49" s="613"/>
      <c r="IF49" s="613"/>
      <c r="IG49" s="613"/>
      <c r="IZ49" s="231"/>
      <c r="JA49" s="231"/>
      <c r="JB49" s="247"/>
      <c r="JC49" s="247"/>
      <c r="JD49" s="247"/>
      <c r="JE49" s="617"/>
      <c r="JF49" s="231"/>
      <c r="JG49" s="231"/>
      <c r="JH49" s="247"/>
      <c r="JI49" s="247"/>
      <c r="JJ49" s="247"/>
    </row>
    <row r="50" ht="14.25" customHeight="1">
      <c r="HD50" s="613"/>
      <c r="HE50" s="613"/>
      <c r="HF50" s="613"/>
      <c r="HG50" s="613"/>
      <c r="HH50" s="613"/>
      <c r="HI50" s="613"/>
      <c r="HJ50" s="533"/>
      <c r="HK50" s="533"/>
      <c r="HL50" s="533"/>
      <c r="HM50" s="533"/>
      <c r="HN50" s="613"/>
      <c r="HO50" s="613"/>
      <c r="HP50" s="613"/>
      <c r="HQ50" s="613"/>
      <c r="HR50" s="613"/>
      <c r="HS50" s="613"/>
      <c r="HT50" s="613"/>
      <c r="HU50" s="613"/>
      <c r="HV50" s="613"/>
      <c r="HW50" s="613"/>
      <c r="HX50" s="613"/>
      <c r="HY50" s="613"/>
      <c r="HZ50" s="613"/>
      <c r="IA50" s="613"/>
      <c r="IB50" s="613"/>
      <c r="IC50" s="613"/>
      <c r="ID50" s="613"/>
      <c r="IE50" s="613"/>
      <c r="IF50" s="613"/>
      <c r="IG50" s="613"/>
      <c r="IZ50" s="231"/>
      <c r="JA50" s="231"/>
      <c r="JB50" s="247"/>
      <c r="JC50" s="247"/>
      <c r="JD50" s="247"/>
      <c r="JE50" s="617"/>
      <c r="JF50" s="231"/>
      <c r="JG50" s="231"/>
      <c r="JH50" s="247"/>
      <c r="JI50" s="247"/>
      <c r="JJ50" s="247"/>
    </row>
    <row r="51" ht="14.25" customHeight="1">
      <c r="HD51" s="613"/>
      <c r="HE51" s="613"/>
      <c r="HF51" s="613"/>
      <c r="HG51" s="613"/>
      <c r="HH51" s="613"/>
      <c r="HI51" s="613"/>
      <c r="HJ51" s="533"/>
      <c r="HK51" s="533"/>
      <c r="HL51" s="533"/>
      <c r="HM51" s="533"/>
      <c r="HN51" s="613"/>
      <c r="HO51" s="613"/>
      <c r="HP51" s="613"/>
      <c r="HQ51" s="613"/>
      <c r="HR51" s="613"/>
      <c r="HS51" s="613"/>
      <c r="HT51" s="613"/>
      <c r="HU51" s="613"/>
      <c r="HV51" s="613"/>
      <c r="HW51" s="613"/>
      <c r="HX51" s="613"/>
      <c r="HY51" s="613"/>
      <c r="HZ51" s="613"/>
      <c r="IA51" s="613"/>
      <c r="IB51" s="613"/>
      <c r="IC51" s="613"/>
      <c r="ID51" s="613"/>
      <c r="IE51" s="613"/>
      <c r="IF51" s="613"/>
      <c r="IG51" s="613"/>
      <c r="IZ51" s="231"/>
      <c r="JA51" s="231"/>
      <c r="JB51" s="247"/>
      <c r="JC51" s="247"/>
      <c r="JD51" s="247"/>
      <c r="JE51" s="617"/>
      <c r="JF51" s="231"/>
      <c r="JG51" s="231"/>
      <c r="JH51" s="247"/>
      <c r="JI51" s="247"/>
      <c r="JJ51" s="247"/>
    </row>
    <row r="52" ht="14.25" customHeight="1">
      <c r="HD52" s="613"/>
      <c r="HE52" s="613"/>
      <c r="HF52" s="613"/>
      <c r="HG52" s="613"/>
      <c r="HH52" s="613"/>
      <c r="HI52" s="613"/>
      <c r="HJ52" s="533"/>
      <c r="HK52" s="533"/>
      <c r="HL52" s="533"/>
      <c r="HM52" s="533"/>
      <c r="HN52" s="613"/>
      <c r="HO52" s="613"/>
      <c r="HP52" s="613"/>
      <c r="HQ52" s="613"/>
      <c r="HR52" s="613"/>
      <c r="HS52" s="613"/>
      <c r="HT52" s="613"/>
      <c r="HU52" s="613"/>
      <c r="HV52" s="613"/>
      <c r="HW52" s="613"/>
      <c r="HX52" s="613"/>
      <c r="HY52" s="613"/>
      <c r="HZ52" s="613"/>
      <c r="IA52" s="613"/>
      <c r="IB52" s="613"/>
      <c r="IC52" s="613"/>
      <c r="ID52" s="613"/>
      <c r="IE52" s="613"/>
      <c r="IF52" s="613"/>
      <c r="IG52" s="613"/>
      <c r="IZ52" s="231"/>
      <c r="JA52" s="231"/>
      <c r="JE52" s="617"/>
      <c r="JF52" s="231"/>
      <c r="JG52" s="231"/>
    </row>
    <row r="53" ht="14.25" customHeight="1">
      <c r="HD53" s="613"/>
      <c r="HE53" s="613"/>
      <c r="HF53" s="613"/>
      <c r="HG53" s="613"/>
      <c r="HH53" s="613"/>
      <c r="HI53" s="613"/>
      <c r="HJ53" s="533"/>
      <c r="HK53" s="533"/>
      <c r="HL53" s="533"/>
      <c r="HM53" s="533"/>
      <c r="HN53" s="613"/>
      <c r="HO53" s="613"/>
      <c r="HP53" s="613"/>
      <c r="HQ53" s="613"/>
      <c r="HR53" s="613"/>
      <c r="HS53" s="613"/>
      <c r="HT53" s="613"/>
      <c r="HU53" s="613"/>
      <c r="HV53" s="613"/>
      <c r="HW53" s="613"/>
      <c r="HX53" s="613"/>
      <c r="HY53" s="613"/>
      <c r="HZ53" s="613"/>
      <c r="IA53" s="613"/>
      <c r="IB53" s="613"/>
      <c r="IC53" s="613"/>
      <c r="ID53" s="613"/>
      <c r="IE53" s="613"/>
      <c r="IF53" s="613"/>
      <c r="IG53" s="613"/>
      <c r="IZ53" s="231"/>
      <c r="JA53" s="231"/>
      <c r="JE53" s="617"/>
      <c r="JF53" s="231"/>
      <c r="JG53" s="231"/>
    </row>
    <row r="54" ht="14.25" customHeight="1">
      <c r="HD54" s="613"/>
      <c r="HE54" s="613"/>
      <c r="HF54" s="613"/>
      <c r="HG54" s="613"/>
      <c r="HH54" s="613"/>
      <c r="HI54" s="613"/>
      <c r="HJ54" s="533"/>
      <c r="HK54" s="533"/>
      <c r="HL54" s="533"/>
      <c r="HM54" s="533"/>
      <c r="HN54" s="613"/>
      <c r="HO54" s="613"/>
      <c r="HP54" s="613"/>
      <c r="HQ54" s="613"/>
      <c r="HR54" s="613"/>
      <c r="HS54" s="613"/>
      <c r="HT54" s="613"/>
      <c r="HU54" s="613"/>
      <c r="HV54" s="613"/>
      <c r="HW54" s="613"/>
      <c r="HX54" s="613"/>
      <c r="HY54" s="613"/>
      <c r="HZ54" s="613"/>
      <c r="IA54" s="613"/>
      <c r="IB54" s="613"/>
      <c r="IC54" s="613"/>
      <c r="ID54" s="613"/>
      <c r="IE54" s="613"/>
      <c r="IF54" s="613"/>
      <c r="IG54" s="613"/>
      <c r="IZ54" s="231"/>
      <c r="JA54" s="231"/>
      <c r="JE54" s="617"/>
      <c r="JF54" s="231"/>
      <c r="JG54" s="231"/>
    </row>
    <row r="55" ht="14.25" customHeight="1">
      <c r="HD55" s="613"/>
      <c r="HE55" s="613"/>
      <c r="HF55" s="613"/>
      <c r="HG55" s="613"/>
      <c r="HH55" s="613"/>
      <c r="HI55" s="613"/>
      <c r="HJ55" s="533"/>
      <c r="HK55" s="533"/>
      <c r="HL55" s="533"/>
      <c r="HM55" s="533"/>
      <c r="HN55" s="613"/>
      <c r="HO55" s="613"/>
      <c r="HP55" s="613"/>
      <c r="HQ55" s="613"/>
      <c r="HR55" s="613"/>
      <c r="HS55" s="613"/>
      <c r="HT55" s="613"/>
      <c r="HU55" s="613"/>
      <c r="HV55" s="613"/>
      <c r="HW55" s="613"/>
      <c r="HX55" s="613"/>
      <c r="HY55" s="613"/>
      <c r="HZ55" s="613"/>
      <c r="IA55" s="613"/>
      <c r="IB55" s="613"/>
      <c r="IC55" s="613"/>
      <c r="ID55" s="613"/>
      <c r="IE55" s="613"/>
      <c r="IF55" s="613"/>
      <c r="IG55" s="613"/>
      <c r="IZ55" s="231"/>
      <c r="JA55" s="231"/>
      <c r="JE55" s="617"/>
      <c r="JF55" s="231"/>
      <c r="JG55" s="231"/>
    </row>
    <row r="56" ht="14.25" customHeight="1">
      <c r="HD56" s="613"/>
      <c r="HE56" s="613"/>
      <c r="HF56" s="613"/>
      <c r="HG56" s="613"/>
      <c r="HH56" s="613"/>
      <c r="HI56" s="613"/>
      <c r="HJ56" s="533"/>
      <c r="HK56" s="533"/>
      <c r="HL56" s="533"/>
      <c r="HM56" s="533"/>
      <c r="HN56" s="613"/>
      <c r="HO56" s="613"/>
      <c r="HP56" s="613"/>
      <c r="HQ56" s="613"/>
      <c r="HR56" s="613"/>
      <c r="HS56" s="613"/>
      <c r="HT56" s="613"/>
      <c r="HU56" s="613"/>
      <c r="HV56" s="613"/>
      <c r="HW56" s="613"/>
      <c r="HX56" s="613"/>
      <c r="HY56" s="613"/>
      <c r="HZ56" s="613"/>
      <c r="IA56" s="613"/>
      <c r="IB56" s="613"/>
      <c r="IC56" s="613"/>
      <c r="ID56" s="613"/>
      <c r="IE56" s="613"/>
      <c r="IF56" s="613"/>
      <c r="IG56" s="613"/>
      <c r="IZ56" s="231"/>
      <c r="JA56" s="231"/>
    </row>
    <row r="57" ht="14.25" customHeight="1">
      <c r="HD57" s="613"/>
      <c r="HE57" s="613"/>
      <c r="HF57" s="613"/>
      <c r="HG57" s="613"/>
      <c r="HH57" s="613"/>
      <c r="HI57" s="613"/>
      <c r="HJ57" s="533"/>
      <c r="HK57" s="533"/>
      <c r="HL57" s="533"/>
      <c r="HM57" s="533"/>
      <c r="HN57" s="613"/>
      <c r="HO57" s="613"/>
      <c r="HP57" s="613"/>
      <c r="HQ57" s="613"/>
      <c r="HR57" s="613"/>
      <c r="HS57" s="613"/>
      <c r="HT57" s="613"/>
      <c r="HU57" s="613"/>
      <c r="HV57" s="613"/>
      <c r="HW57" s="613"/>
      <c r="HX57" s="613"/>
      <c r="HY57" s="613"/>
      <c r="HZ57" s="613"/>
      <c r="IA57" s="613"/>
      <c r="IB57" s="613"/>
      <c r="IC57" s="613"/>
      <c r="ID57" s="613"/>
      <c r="IE57" s="613"/>
      <c r="IF57" s="613"/>
      <c r="IG57" s="613"/>
      <c r="IZ57" s="231"/>
      <c r="JA57" s="231"/>
    </row>
    <row r="58" ht="14.25" customHeight="1">
      <c r="HD58" s="613"/>
      <c r="HE58" s="613"/>
      <c r="HF58" s="613"/>
      <c r="HG58" s="613"/>
      <c r="HH58" s="613"/>
      <c r="HI58" s="613"/>
      <c r="HJ58" s="533"/>
      <c r="HK58" s="533"/>
      <c r="HL58" s="533"/>
      <c r="HM58" s="533"/>
      <c r="HN58" s="613"/>
      <c r="HO58" s="613"/>
      <c r="HP58" s="613"/>
      <c r="HQ58" s="613"/>
      <c r="HR58" s="613"/>
      <c r="HS58" s="613"/>
      <c r="HT58" s="613"/>
      <c r="HU58" s="613"/>
      <c r="HV58" s="613"/>
      <c r="HW58" s="613"/>
      <c r="HX58" s="613"/>
      <c r="HY58" s="613"/>
      <c r="HZ58" s="613"/>
      <c r="IA58" s="613"/>
      <c r="IB58" s="613"/>
      <c r="IC58" s="613"/>
      <c r="ID58" s="613"/>
      <c r="IE58" s="613"/>
      <c r="IF58" s="613"/>
      <c r="IG58" s="613"/>
      <c r="IZ58" s="231"/>
      <c r="JA58" s="231"/>
    </row>
    <row r="59" ht="14.25" customHeight="1">
      <c r="HD59" s="613"/>
      <c r="HE59" s="613"/>
      <c r="HF59" s="613"/>
      <c r="HG59" s="613"/>
      <c r="HH59" s="613"/>
      <c r="HI59" s="613"/>
      <c r="HJ59" s="533"/>
      <c r="HK59" s="533"/>
      <c r="HL59" s="533"/>
      <c r="HM59" s="533"/>
      <c r="HN59" s="613"/>
      <c r="HO59" s="613"/>
      <c r="HP59" s="613"/>
      <c r="HQ59" s="613"/>
      <c r="HR59" s="613"/>
      <c r="HS59" s="613"/>
      <c r="HT59" s="613"/>
      <c r="HU59" s="613"/>
      <c r="HV59" s="613"/>
      <c r="HW59" s="613"/>
      <c r="HX59" s="613"/>
      <c r="HY59" s="613"/>
      <c r="HZ59" s="613"/>
      <c r="IA59" s="613"/>
      <c r="IB59" s="613"/>
      <c r="IC59" s="613"/>
      <c r="ID59" s="613"/>
      <c r="IE59" s="613"/>
      <c r="IF59" s="613"/>
      <c r="IG59" s="613"/>
      <c r="IZ59" s="231"/>
      <c r="JA59" s="231"/>
    </row>
    <row r="60" ht="14.25" customHeight="1">
      <c r="HD60" s="613"/>
      <c r="HE60" s="613"/>
      <c r="HF60" s="613"/>
      <c r="HG60" s="613"/>
      <c r="HH60" s="613"/>
      <c r="HI60" s="613"/>
      <c r="HJ60" s="533"/>
      <c r="HK60" s="533"/>
      <c r="HL60" s="533"/>
      <c r="HM60" s="533"/>
      <c r="HN60" s="613"/>
      <c r="HO60" s="613"/>
      <c r="HP60" s="613"/>
      <c r="HQ60" s="613"/>
      <c r="HR60" s="613"/>
      <c r="HS60" s="613"/>
      <c r="HT60" s="613"/>
      <c r="HU60" s="613"/>
      <c r="HV60" s="613"/>
      <c r="HW60" s="613"/>
      <c r="HX60" s="613"/>
      <c r="HY60" s="613"/>
      <c r="HZ60" s="613"/>
      <c r="IA60" s="613"/>
      <c r="IB60" s="613"/>
      <c r="IC60" s="613"/>
      <c r="ID60" s="613"/>
      <c r="IE60" s="613"/>
      <c r="IF60" s="613"/>
      <c r="IG60" s="613"/>
      <c r="IZ60" s="231"/>
      <c r="JA60" s="231"/>
    </row>
    <row r="61" ht="14.25" customHeight="1">
      <c r="HD61" s="613"/>
      <c r="HE61" s="613"/>
      <c r="HF61" s="613"/>
      <c r="HG61" s="613"/>
      <c r="HH61" s="613"/>
      <c r="HI61" s="613"/>
      <c r="HJ61" s="533"/>
      <c r="HK61" s="533"/>
      <c r="HL61" s="533"/>
      <c r="HM61" s="533"/>
      <c r="HN61" s="613"/>
      <c r="HO61" s="613"/>
      <c r="HP61" s="613"/>
      <c r="HQ61" s="613"/>
      <c r="HR61" s="613"/>
      <c r="HS61" s="613"/>
      <c r="HT61" s="613"/>
      <c r="HU61" s="613"/>
      <c r="HV61" s="613"/>
      <c r="HW61" s="613"/>
      <c r="HX61" s="613"/>
      <c r="HY61" s="613"/>
      <c r="HZ61" s="613"/>
      <c r="IA61" s="613"/>
      <c r="IB61" s="613"/>
      <c r="IC61" s="613"/>
      <c r="ID61" s="613"/>
      <c r="IE61" s="613"/>
      <c r="IF61" s="613"/>
      <c r="IG61" s="613"/>
      <c r="IZ61" s="231"/>
      <c r="JA61" s="231"/>
    </row>
    <row r="62" ht="14.25" customHeight="1">
      <c r="HD62" s="613"/>
      <c r="HE62" s="613"/>
      <c r="HF62" s="613"/>
      <c r="HG62" s="613"/>
      <c r="HH62" s="613"/>
      <c r="HI62" s="613"/>
      <c r="HJ62" s="533"/>
      <c r="HK62" s="533"/>
      <c r="HL62" s="533"/>
      <c r="HM62" s="533"/>
      <c r="HN62" s="613"/>
      <c r="HO62" s="613"/>
      <c r="HP62" s="613"/>
      <c r="HQ62" s="613"/>
      <c r="HR62" s="613"/>
      <c r="HS62" s="613"/>
      <c r="HT62" s="613"/>
      <c r="HU62" s="613"/>
      <c r="HV62" s="613"/>
      <c r="HW62" s="613"/>
      <c r="HX62" s="613"/>
      <c r="HY62" s="613"/>
      <c r="HZ62" s="613"/>
      <c r="IA62" s="613"/>
      <c r="IB62" s="613"/>
      <c r="IC62" s="613"/>
      <c r="ID62" s="613"/>
      <c r="IE62" s="613"/>
      <c r="IF62" s="613"/>
      <c r="IG62" s="613"/>
      <c r="IZ62" s="231"/>
      <c r="JA62" s="231"/>
    </row>
    <row r="63" ht="14.25" customHeight="1">
      <c r="HD63" s="613"/>
      <c r="HE63" s="613"/>
      <c r="HF63" s="613"/>
      <c r="HG63" s="613"/>
      <c r="HH63" s="613"/>
      <c r="HI63" s="613"/>
      <c r="HJ63" s="533"/>
      <c r="HK63" s="533"/>
      <c r="HL63" s="533"/>
      <c r="HM63" s="533"/>
      <c r="HN63" s="613"/>
      <c r="HO63" s="613"/>
      <c r="HP63" s="613"/>
      <c r="HQ63" s="613"/>
      <c r="HR63" s="613"/>
      <c r="HS63" s="613"/>
      <c r="HT63" s="613"/>
      <c r="HU63" s="613"/>
      <c r="HV63" s="613"/>
      <c r="HW63" s="613"/>
      <c r="HX63" s="613"/>
      <c r="HY63" s="613"/>
      <c r="HZ63" s="613"/>
      <c r="IA63" s="613"/>
      <c r="IB63" s="613"/>
      <c r="IC63" s="613"/>
      <c r="ID63" s="613"/>
      <c r="IE63" s="613"/>
      <c r="IF63" s="613"/>
      <c r="IG63" s="613"/>
      <c r="IZ63" s="231"/>
      <c r="JA63" s="231"/>
    </row>
    <row r="64" ht="14.25" customHeight="1">
      <c r="HD64" s="613"/>
      <c r="HE64" s="613"/>
      <c r="HF64" s="613"/>
      <c r="HG64" s="613"/>
      <c r="HH64" s="613"/>
      <c r="HI64" s="613"/>
      <c r="HJ64" s="533"/>
      <c r="HK64" s="533"/>
      <c r="HL64" s="533"/>
      <c r="HM64" s="533"/>
      <c r="HN64" s="613"/>
      <c r="HO64" s="613"/>
      <c r="HP64" s="613"/>
      <c r="HQ64" s="613"/>
      <c r="HR64" s="613"/>
      <c r="HS64" s="613"/>
      <c r="HT64" s="613"/>
      <c r="HU64" s="613"/>
      <c r="HV64" s="613"/>
      <c r="HW64" s="613"/>
      <c r="HX64" s="613"/>
      <c r="HY64" s="613"/>
      <c r="HZ64" s="613"/>
      <c r="IA64" s="613"/>
      <c r="IB64" s="613"/>
      <c r="IC64" s="613"/>
      <c r="ID64" s="613"/>
      <c r="IE64" s="613"/>
      <c r="IF64" s="613"/>
      <c r="IG64" s="613"/>
      <c r="IZ64" s="231"/>
      <c r="JA64" s="231"/>
    </row>
    <row r="65" ht="14.25" customHeight="1">
      <c r="HD65" s="613"/>
      <c r="HE65" s="613"/>
      <c r="HF65" s="613"/>
      <c r="HG65" s="613"/>
      <c r="HH65" s="613"/>
      <c r="HI65" s="613"/>
      <c r="HJ65" s="533"/>
      <c r="HK65" s="533"/>
      <c r="HL65" s="533"/>
      <c r="HM65" s="533"/>
      <c r="HN65" s="613"/>
      <c r="HO65" s="613"/>
      <c r="HP65" s="613"/>
      <c r="HQ65" s="613"/>
      <c r="HR65" s="613"/>
      <c r="HS65" s="613"/>
      <c r="HT65" s="613"/>
      <c r="HU65" s="613"/>
      <c r="HV65" s="613"/>
      <c r="HW65" s="613"/>
      <c r="HX65" s="613"/>
      <c r="HY65" s="613"/>
      <c r="HZ65" s="613"/>
      <c r="IA65" s="613"/>
      <c r="IB65" s="613"/>
      <c r="IC65" s="613"/>
      <c r="ID65" s="613"/>
      <c r="IE65" s="613"/>
      <c r="IF65" s="613"/>
      <c r="IG65" s="613"/>
      <c r="IZ65" s="231"/>
      <c r="JA65" s="231"/>
    </row>
    <row r="66" ht="14.25" customHeight="1">
      <c r="HD66" s="613"/>
      <c r="HE66" s="613"/>
      <c r="HF66" s="613"/>
      <c r="HG66" s="613"/>
      <c r="HH66" s="613"/>
      <c r="HI66" s="613"/>
      <c r="HJ66" s="533"/>
      <c r="HK66" s="533"/>
      <c r="HL66" s="533"/>
      <c r="HM66" s="533"/>
      <c r="HN66" s="613"/>
      <c r="HO66" s="613"/>
      <c r="HP66" s="613"/>
      <c r="HQ66" s="613"/>
      <c r="HR66" s="613"/>
      <c r="HS66" s="613"/>
      <c r="HT66" s="613"/>
      <c r="HU66" s="613"/>
      <c r="HV66" s="613"/>
      <c r="HW66" s="613"/>
      <c r="HX66" s="613"/>
      <c r="HY66" s="613"/>
      <c r="HZ66" s="613"/>
      <c r="IA66" s="613"/>
      <c r="IB66" s="613"/>
      <c r="IC66" s="613"/>
      <c r="ID66" s="613"/>
      <c r="IE66" s="613"/>
      <c r="IF66" s="613"/>
      <c r="IG66" s="613"/>
      <c r="IZ66" s="231"/>
      <c r="JA66" s="231"/>
    </row>
    <row r="67" ht="14.25" customHeight="1">
      <c r="HD67" s="613"/>
      <c r="HE67" s="613"/>
      <c r="HF67" s="613"/>
      <c r="HG67" s="613"/>
      <c r="HH67" s="613"/>
      <c r="HI67" s="613"/>
      <c r="HJ67" s="533"/>
      <c r="HK67" s="533"/>
      <c r="HL67" s="533"/>
      <c r="HM67" s="533"/>
      <c r="HN67" s="613"/>
      <c r="HO67" s="613"/>
      <c r="HP67" s="613"/>
      <c r="HQ67" s="613"/>
      <c r="HR67" s="613"/>
      <c r="HS67" s="613"/>
      <c r="HT67" s="613"/>
      <c r="HU67" s="613"/>
      <c r="HV67" s="613"/>
      <c r="HW67" s="613"/>
      <c r="HX67" s="613"/>
      <c r="HY67" s="613"/>
      <c r="HZ67" s="613"/>
      <c r="IA67" s="613"/>
      <c r="IB67" s="613"/>
      <c r="IC67" s="613"/>
      <c r="ID67" s="613"/>
      <c r="IE67" s="613"/>
      <c r="IF67" s="613"/>
      <c r="IG67" s="613"/>
      <c r="IZ67" s="231"/>
      <c r="JA67" s="231"/>
    </row>
    <row r="68" ht="14.25" customHeight="1">
      <c r="HD68" s="613"/>
      <c r="HE68" s="613"/>
      <c r="HF68" s="613"/>
      <c r="HG68" s="613"/>
      <c r="HH68" s="613"/>
      <c r="HI68" s="613"/>
      <c r="HJ68" s="533"/>
      <c r="HK68" s="533"/>
      <c r="HL68" s="533"/>
      <c r="HM68" s="533"/>
      <c r="HN68" s="613"/>
      <c r="HO68" s="613"/>
      <c r="HP68" s="613"/>
      <c r="HQ68" s="613"/>
      <c r="HR68" s="613"/>
      <c r="HS68" s="613"/>
      <c r="HT68" s="613"/>
      <c r="HU68" s="613"/>
      <c r="HV68" s="613"/>
      <c r="HW68" s="613"/>
      <c r="HX68" s="613"/>
      <c r="HY68" s="613"/>
      <c r="HZ68" s="613"/>
      <c r="IA68" s="613"/>
      <c r="IB68" s="613"/>
      <c r="IC68" s="613"/>
      <c r="ID68" s="613"/>
      <c r="IE68" s="613"/>
      <c r="IF68" s="613"/>
      <c r="IG68" s="613"/>
      <c r="IZ68" s="231"/>
      <c r="JA68" s="231"/>
    </row>
    <row r="69" ht="14.25" customHeight="1">
      <c r="HD69" s="613"/>
      <c r="HE69" s="613"/>
      <c r="HF69" s="613"/>
      <c r="HG69" s="613"/>
      <c r="HH69" s="613"/>
      <c r="HI69" s="613"/>
      <c r="HJ69" s="533"/>
      <c r="HK69" s="533"/>
      <c r="HL69" s="533"/>
      <c r="HM69" s="533"/>
      <c r="HN69" s="613"/>
      <c r="HO69" s="613"/>
      <c r="HP69" s="613"/>
      <c r="HQ69" s="613"/>
      <c r="HR69" s="613"/>
      <c r="HS69" s="613"/>
      <c r="HT69" s="613"/>
      <c r="HU69" s="613"/>
      <c r="HV69" s="613"/>
      <c r="HW69" s="613"/>
      <c r="HX69" s="613"/>
      <c r="HY69" s="613"/>
      <c r="HZ69" s="613"/>
      <c r="IA69" s="613"/>
      <c r="IB69" s="613"/>
      <c r="IC69" s="613"/>
      <c r="ID69" s="613"/>
      <c r="IE69" s="613"/>
      <c r="IF69" s="613"/>
      <c r="IG69" s="613"/>
      <c r="IZ69" s="231"/>
      <c r="JA69" s="231"/>
    </row>
    <row r="70" ht="14.25" customHeight="1">
      <c r="HD70" s="613"/>
      <c r="HE70" s="613"/>
      <c r="HF70" s="613"/>
      <c r="HG70" s="613"/>
      <c r="HH70" s="613"/>
      <c r="HI70" s="613"/>
      <c r="HJ70" s="533"/>
      <c r="HK70" s="533"/>
      <c r="HL70" s="533"/>
      <c r="HM70" s="533"/>
      <c r="HN70" s="613"/>
      <c r="HO70" s="613"/>
      <c r="HP70" s="613"/>
      <c r="HQ70" s="613"/>
      <c r="HR70" s="613"/>
      <c r="HS70" s="613"/>
      <c r="HT70" s="613"/>
      <c r="HU70" s="613"/>
      <c r="HV70" s="613"/>
      <c r="HW70" s="613"/>
      <c r="HX70" s="613"/>
      <c r="HY70" s="613"/>
      <c r="HZ70" s="613"/>
      <c r="IA70" s="613"/>
      <c r="IB70" s="613"/>
      <c r="IC70" s="613"/>
      <c r="ID70" s="613"/>
      <c r="IE70" s="613"/>
      <c r="IF70" s="613"/>
      <c r="IG70" s="613"/>
      <c r="IZ70" s="231"/>
      <c r="JA70" s="231"/>
    </row>
    <row r="71" ht="14.25" customHeight="1">
      <c r="HD71" s="613"/>
      <c r="HE71" s="613"/>
      <c r="HF71" s="613"/>
      <c r="HG71" s="613"/>
      <c r="HH71" s="613"/>
      <c r="HI71" s="613"/>
      <c r="HJ71" s="533"/>
      <c r="HK71" s="533"/>
      <c r="HL71" s="533"/>
      <c r="HM71" s="533"/>
      <c r="HN71" s="613"/>
      <c r="HO71" s="613"/>
      <c r="HP71" s="613"/>
      <c r="HQ71" s="613"/>
      <c r="HR71" s="613"/>
      <c r="HS71" s="613"/>
      <c r="HT71" s="613"/>
      <c r="HU71" s="613"/>
      <c r="HV71" s="613"/>
      <c r="HW71" s="613"/>
      <c r="HX71" s="613"/>
      <c r="HY71" s="613"/>
      <c r="HZ71" s="613"/>
      <c r="IA71" s="613"/>
      <c r="IB71" s="613"/>
      <c r="IC71" s="613"/>
      <c r="ID71" s="613"/>
      <c r="IE71" s="613"/>
      <c r="IF71" s="613"/>
      <c r="IG71" s="613"/>
      <c r="IZ71" s="231"/>
      <c r="JA71" s="231"/>
    </row>
    <row r="72" ht="14.25" customHeight="1">
      <c r="HD72" s="613"/>
      <c r="HE72" s="613"/>
      <c r="HF72" s="613"/>
      <c r="HG72" s="613"/>
      <c r="HH72" s="613"/>
      <c r="HI72" s="613"/>
      <c r="HJ72" s="533"/>
      <c r="HK72" s="533"/>
      <c r="HL72" s="533"/>
      <c r="HM72" s="533"/>
      <c r="HN72" s="613"/>
      <c r="HO72" s="613"/>
      <c r="HP72" s="613"/>
      <c r="HQ72" s="613"/>
      <c r="HR72" s="613"/>
      <c r="HS72" s="613"/>
      <c r="HT72" s="613"/>
      <c r="HU72" s="613"/>
      <c r="HV72" s="613"/>
      <c r="HW72" s="613"/>
      <c r="HX72" s="613"/>
      <c r="HY72" s="613"/>
      <c r="HZ72" s="613"/>
      <c r="IA72" s="613"/>
      <c r="IB72" s="613"/>
      <c r="IC72" s="613"/>
      <c r="ID72" s="613"/>
      <c r="IE72" s="613"/>
      <c r="IF72" s="613"/>
      <c r="IG72" s="613"/>
      <c r="IZ72" s="231"/>
      <c r="JA72" s="231"/>
    </row>
    <row r="73" ht="14.25" customHeight="1">
      <c r="HD73" s="613"/>
      <c r="HE73" s="613"/>
      <c r="HF73" s="613"/>
      <c r="HG73" s="613"/>
      <c r="HH73" s="613"/>
      <c r="HI73" s="613"/>
      <c r="HJ73" s="533"/>
      <c r="HK73" s="533"/>
      <c r="HL73" s="533"/>
      <c r="HM73" s="533"/>
      <c r="HN73" s="613"/>
      <c r="HO73" s="613"/>
      <c r="HP73" s="613"/>
      <c r="HQ73" s="613"/>
      <c r="HR73" s="613"/>
      <c r="HS73" s="613"/>
      <c r="HT73" s="613"/>
      <c r="HU73" s="613"/>
      <c r="HV73" s="613"/>
      <c r="HW73" s="613"/>
      <c r="HX73" s="613"/>
      <c r="HY73" s="613"/>
      <c r="HZ73" s="613"/>
      <c r="IA73" s="613"/>
      <c r="IB73" s="613"/>
      <c r="IC73" s="613"/>
      <c r="ID73" s="613"/>
      <c r="IE73" s="613"/>
      <c r="IF73" s="613"/>
      <c r="IG73" s="613"/>
      <c r="IZ73" s="231"/>
      <c r="JA73" s="231"/>
    </row>
    <row r="74" ht="14.25" customHeight="1">
      <c r="HD74" s="613"/>
      <c r="HE74" s="613"/>
      <c r="HF74" s="613"/>
      <c r="HG74" s="613"/>
      <c r="HH74" s="613"/>
      <c r="HI74" s="613"/>
      <c r="HJ74" s="533"/>
      <c r="HK74" s="533"/>
      <c r="HL74" s="533"/>
      <c r="HM74" s="533"/>
      <c r="HN74" s="613"/>
      <c r="HO74" s="613"/>
      <c r="HP74" s="613"/>
      <c r="HQ74" s="613"/>
      <c r="HR74" s="613"/>
      <c r="HS74" s="613"/>
      <c r="HT74" s="613"/>
      <c r="HU74" s="613"/>
      <c r="HV74" s="613"/>
      <c r="HW74" s="613"/>
      <c r="HX74" s="613"/>
      <c r="HY74" s="613"/>
      <c r="HZ74" s="613"/>
      <c r="IA74" s="613"/>
      <c r="IB74" s="613"/>
      <c r="IC74" s="613"/>
      <c r="ID74" s="613"/>
      <c r="IE74" s="613"/>
      <c r="IF74" s="613"/>
      <c r="IG74" s="613"/>
      <c r="IZ74" s="231"/>
      <c r="JA74" s="231"/>
    </row>
    <row r="75" ht="14.25" customHeight="1">
      <c r="HD75" s="613"/>
      <c r="HE75" s="613"/>
      <c r="HF75" s="613"/>
      <c r="HG75" s="613"/>
      <c r="HH75" s="613"/>
      <c r="HI75" s="613"/>
      <c r="HJ75" s="533"/>
      <c r="HK75" s="533"/>
      <c r="HL75" s="533"/>
      <c r="HM75" s="533"/>
      <c r="HN75" s="613"/>
      <c r="HO75" s="613"/>
      <c r="HP75" s="613"/>
      <c r="HQ75" s="613"/>
      <c r="HR75" s="613"/>
      <c r="HS75" s="613"/>
      <c r="HT75" s="613"/>
      <c r="HU75" s="613"/>
      <c r="HV75" s="613"/>
      <c r="HW75" s="613"/>
      <c r="HX75" s="613"/>
      <c r="HY75" s="613"/>
      <c r="HZ75" s="613"/>
      <c r="IA75" s="613"/>
      <c r="IB75" s="613"/>
      <c r="IC75" s="613"/>
      <c r="ID75" s="613"/>
      <c r="IE75" s="613"/>
      <c r="IF75" s="613"/>
      <c r="IG75" s="613"/>
      <c r="IZ75" s="231"/>
      <c r="JA75" s="231"/>
    </row>
    <row r="76" ht="14.25" customHeight="1">
      <c r="HD76" s="613"/>
      <c r="HE76" s="613"/>
      <c r="HF76" s="613"/>
      <c r="HG76" s="613"/>
      <c r="HH76" s="613"/>
      <c r="HI76" s="613"/>
      <c r="HJ76" s="533"/>
      <c r="HK76" s="533"/>
      <c r="HL76" s="533"/>
      <c r="HM76" s="533"/>
      <c r="HN76" s="613"/>
      <c r="HO76" s="613"/>
      <c r="HP76" s="613"/>
      <c r="HQ76" s="613"/>
      <c r="HR76" s="613"/>
      <c r="HS76" s="613"/>
      <c r="HT76" s="613"/>
      <c r="HU76" s="613"/>
      <c r="HV76" s="613"/>
      <c r="HW76" s="613"/>
      <c r="HX76" s="613"/>
      <c r="HY76" s="613"/>
      <c r="HZ76" s="613"/>
      <c r="IA76" s="613"/>
      <c r="IB76" s="613"/>
      <c r="IC76" s="613"/>
      <c r="ID76" s="613"/>
      <c r="IE76" s="613"/>
      <c r="IF76" s="613"/>
      <c r="IG76" s="613"/>
      <c r="IZ76" s="231"/>
      <c r="JA76" s="231"/>
    </row>
    <row r="77" ht="14.25" customHeight="1">
      <c r="HD77" s="613"/>
      <c r="HE77" s="613"/>
      <c r="HF77" s="613"/>
      <c r="HG77" s="613"/>
      <c r="HH77" s="613"/>
      <c r="HI77" s="613"/>
      <c r="HJ77" s="533"/>
      <c r="HK77" s="533"/>
      <c r="HL77" s="533"/>
      <c r="HM77" s="533"/>
      <c r="HN77" s="613"/>
      <c r="HO77" s="613"/>
      <c r="HP77" s="613"/>
      <c r="HQ77" s="613"/>
      <c r="HR77" s="613"/>
      <c r="HS77" s="613"/>
      <c r="HT77" s="613"/>
      <c r="HU77" s="613"/>
      <c r="HV77" s="613"/>
      <c r="HW77" s="613"/>
      <c r="HX77" s="613"/>
      <c r="HY77" s="613"/>
      <c r="HZ77" s="613"/>
      <c r="IA77" s="613"/>
      <c r="IB77" s="613"/>
      <c r="IC77" s="613"/>
      <c r="ID77" s="613"/>
      <c r="IE77" s="613"/>
      <c r="IF77" s="613"/>
      <c r="IG77" s="613"/>
      <c r="IZ77" s="231"/>
      <c r="JA77" s="231"/>
    </row>
    <row r="78" ht="14.25" customHeight="1">
      <c r="HD78" s="613"/>
      <c r="HE78" s="613"/>
      <c r="HF78" s="613"/>
      <c r="HG78" s="613"/>
      <c r="HH78" s="613"/>
      <c r="HI78" s="613"/>
      <c r="HJ78" s="533"/>
      <c r="HK78" s="533"/>
      <c r="HL78" s="533"/>
      <c r="HM78" s="533"/>
      <c r="HN78" s="613"/>
      <c r="HO78" s="613"/>
      <c r="HP78" s="613"/>
      <c r="HQ78" s="613"/>
      <c r="HR78" s="613"/>
      <c r="HS78" s="613"/>
      <c r="HT78" s="613"/>
      <c r="HU78" s="613"/>
      <c r="HV78" s="613"/>
      <c r="HW78" s="613"/>
      <c r="HX78" s="613"/>
      <c r="HY78" s="613"/>
      <c r="HZ78" s="613"/>
      <c r="IA78" s="613"/>
      <c r="IB78" s="613"/>
      <c r="IC78" s="613"/>
      <c r="ID78" s="613"/>
      <c r="IE78" s="613"/>
      <c r="IF78" s="613"/>
      <c r="IG78" s="613"/>
      <c r="IZ78" s="231"/>
      <c r="JA78" s="231"/>
    </row>
    <row r="79" ht="14.25" customHeight="1">
      <c r="HD79" s="613"/>
      <c r="HE79" s="613"/>
      <c r="HF79" s="613"/>
      <c r="HG79" s="613"/>
      <c r="HH79" s="613"/>
      <c r="HI79" s="613"/>
      <c r="HJ79" s="533"/>
      <c r="HK79" s="533"/>
      <c r="HL79" s="533"/>
      <c r="HM79" s="533"/>
      <c r="HN79" s="613"/>
      <c r="HO79" s="613"/>
      <c r="HP79" s="613"/>
      <c r="HQ79" s="613"/>
      <c r="HR79" s="613"/>
      <c r="HS79" s="613"/>
      <c r="HT79" s="613"/>
      <c r="HU79" s="613"/>
      <c r="HV79" s="613"/>
      <c r="HW79" s="613"/>
      <c r="HX79" s="613"/>
      <c r="HY79" s="613"/>
      <c r="HZ79" s="613"/>
      <c r="IA79" s="613"/>
      <c r="IB79" s="613"/>
      <c r="IC79" s="613"/>
      <c r="ID79" s="613"/>
      <c r="IE79" s="613"/>
      <c r="IF79" s="613"/>
      <c r="IG79" s="613"/>
      <c r="IZ79" s="231"/>
      <c r="JA79" s="231"/>
    </row>
    <row r="80" ht="14.25" customHeight="1">
      <c r="HD80" s="613"/>
      <c r="HE80" s="613"/>
      <c r="HF80" s="613"/>
      <c r="HG80" s="613"/>
      <c r="HH80" s="613"/>
      <c r="HI80" s="613"/>
      <c r="HJ80" s="533"/>
      <c r="HK80" s="533"/>
      <c r="HL80" s="533"/>
      <c r="HM80" s="533"/>
      <c r="HN80" s="613"/>
      <c r="HO80" s="613"/>
      <c r="HP80" s="613"/>
      <c r="HQ80" s="613"/>
      <c r="HR80" s="613"/>
      <c r="HS80" s="613"/>
      <c r="HT80" s="613"/>
      <c r="HU80" s="613"/>
      <c r="HV80" s="613"/>
      <c r="HW80" s="613"/>
      <c r="HX80" s="613"/>
      <c r="HY80" s="613"/>
      <c r="HZ80" s="613"/>
      <c r="IA80" s="613"/>
      <c r="IB80" s="613"/>
      <c r="IC80" s="613"/>
      <c r="ID80" s="613"/>
      <c r="IE80" s="613"/>
      <c r="IF80" s="613"/>
      <c r="IG80" s="613"/>
      <c r="IZ80" s="231"/>
      <c r="JA80" s="231"/>
    </row>
    <row r="81" ht="14.25" customHeight="1">
      <c r="HD81" s="613"/>
      <c r="HE81" s="613"/>
      <c r="HF81" s="613"/>
      <c r="HG81" s="613"/>
      <c r="HH81" s="613"/>
      <c r="HI81" s="613"/>
      <c r="HJ81" s="533"/>
      <c r="HK81" s="533"/>
      <c r="HL81" s="533"/>
      <c r="HM81" s="533"/>
      <c r="HN81" s="613"/>
      <c r="HO81" s="613"/>
      <c r="HP81" s="613"/>
      <c r="HQ81" s="613"/>
      <c r="HR81" s="613"/>
      <c r="HS81" s="613"/>
      <c r="HT81" s="613"/>
      <c r="HU81" s="613"/>
      <c r="HV81" s="613"/>
      <c r="HW81" s="613"/>
      <c r="HX81" s="613"/>
      <c r="HY81" s="613"/>
      <c r="HZ81" s="613"/>
      <c r="IA81" s="613"/>
      <c r="IB81" s="613"/>
      <c r="IC81" s="613"/>
      <c r="ID81" s="613"/>
      <c r="IE81" s="613"/>
      <c r="IF81" s="613"/>
      <c r="IG81" s="613"/>
      <c r="IZ81" s="231"/>
      <c r="JA81" s="231"/>
    </row>
    <row r="82" ht="14.25" customHeight="1">
      <c r="HD82" s="613"/>
      <c r="HE82" s="613"/>
      <c r="HF82" s="613"/>
      <c r="HG82" s="613"/>
      <c r="HH82" s="613"/>
      <c r="HI82" s="613"/>
      <c r="HJ82" s="533"/>
      <c r="HK82" s="533"/>
      <c r="HL82" s="533"/>
      <c r="HM82" s="533"/>
      <c r="HN82" s="613"/>
      <c r="HO82" s="613"/>
      <c r="HP82" s="613"/>
      <c r="HQ82" s="613"/>
      <c r="HR82" s="613"/>
      <c r="HS82" s="613"/>
      <c r="HT82" s="613"/>
      <c r="HU82" s="613"/>
      <c r="HV82" s="613"/>
      <c r="HW82" s="613"/>
      <c r="HX82" s="613"/>
      <c r="HY82" s="613"/>
      <c r="HZ82" s="613"/>
      <c r="IA82" s="613"/>
      <c r="IB82" s="613"/>
      <c r="IC82" s="613"/>
      <c r="ID82" s="613"/>
      <c r="IE82" s="613"/>
      <c r="IF82" s="613"/>
      <c r="IG82" s="613"/>
      <c r="IZ82" s="231"/>
      <c r="JA82" s="231"/>
    </row>
    <row r="83" ht="14.25" customHeight="1">
      <c r="HD83" s="613"/>
      <c r="HE83" s="613"/>
      <c r="HF83" s="613"/>
      <c r="HG83" s="613"/>
      <c r="HH83" s="613"/>
      <c r="HI83" s="613"/>
      <c r="HJ83" s="533"/>
      <c r="HK83" s="533"/>
      <c r="HL83" s="533"/>
      <c r="HM83" s="533"/>
      <c r="HN83" s="613"/>
      <c r="HO83" s="613"/>
      <c r="HP83" s="613"/>
      <c r="HQ83" s="613"/>
      <c r="HR83" s="613"/>
      <c r="HS83" s="613"/>
      <c r="HT83" s="613"/>
      <c r="HU83" s="613"/>
      <c r="HV83" s="613"/>
      <c r="HW83" s="613"/>
      <c r="HX83" s="613"/>
      <c r="HY83" s="613"/>
      <c r="HZ83" s="613"/>
      <c r="IA83" s="613"/>
      <c r="IB83" s="613"/>
      <c r="IC83" s="613"/>
      <c r="ID83" s="613"/>
      <c r="IE83" s="613"/>
      <c r="IF83" s="613"/>
      <c r="IG83" s="613"/>
      <c r="IZ83" s="231"/>
      <c r="JA83" s="231"/>
    </row>
    <row r="84" ht="14.25" customHeight="1">
      <c r="HD84" s="613"/>
      <c r="HE84" s="613"/>
      <c r="HF84" s="613"/>
      <c r="HG84" s="613"/>
      <c r="HH84" s="613"/>
      <c r="HI84" s="613"/>
      <c r="HJ84" s="533"/>
      <c r="HK84" s="533"/>
      <c r="HL84" s="533"/>
      <c r="HM84" s="533"/>
      <c r="HN84" s="613"/>
      <c r="HO84" s="613"/>
      <c r="HP84" s="613"/>
      <c r="HQ84" s="613"/>
      <c r="HR84" s="613"/>
      <c r="HS84" s="613"/>
      <c r="HT84" s="613"/>
      <c r="HU84" s="613"/>
      <c r="HV84" s="613"/>
      <c r="HW84" s="613"/>
      <c r="HX84" s="613"/>
      <c r="HY84" s="613"/>
      <c r="HZ84" s="613"/>
      <c r="IA84" s="613"/>
      <c r="IB84" s="613"/>
      <c r="IC84" s="613"/>
      <c r="ID84" s="613"/>
      <c r="IE84" s="613"/>
      <c r="IF84" s="613"/>
      <c r="IG84" s="613"/>
      <c r="IZ84" s="231"/>
      <c r="JA84" s="231"/>
    </row>
    <row r="85" ht="14.25" customHeight="1">
      <c r="HD85" s="613"/>
      <c r="HE85" s="613"/>
      <c r="HF85" s="613"/>
      <c r="HG85" s="613"/>
      <c r="HH85" s="613"/>
      <c r="HI85" s="613"/>
      <c r="HJ85" s="533"/>
      <c r="HK85" s="533"/>
      <c r="HL85" s="533"/>
      <c r="HM85" s="533"/>
      <c r="HN85" s="613"/>
      <c r="HO85" s="613"/>
      <c r="HP85" s="613"/>
      <c r="HQ85" s="613"/>
      <c r="HR85" s="613"/>
      <c r="HS85" s="613"/>
      <c r="HT85" s="613"/>
      <c r="HU85" s="613"/>
      <c r="HV85" s="613"/>
      <c r="HW85" s="613"/>
      <c r="HX85" s="613"/>
      <c r="HY85" s="613"/>
      <c r="HZ85" s="613"/>
      <c r="IA85" s="613"/>
      <c r="IB85" s="613"/>
      <c r="IC85" s="613"/>
      <c r="ID85" s="613"/>
      <c r="IE85" s="613"/>
      <c r="IF85" s="613"/>
      <c r="IG85" s="613"/>
      <c r="IZ85" s="231"/>
      <c r="JA85" s="231"/>
    </row>
    <row r="86" ht="14.25" customHeight="1">
      <c r="HD86" s="613"/>
      <c r="HE86" s="613"/>
      <c r="HF86" s="613"/>
      <c r="HG86" s="613"/>
      <c r="HH86" s="613"/>
      <c r="HI86" s="613"/>
      <c r="HJ86" s="533"/>
      <c r="HK86" s="533"/>
      <c r="HL86" s="533"/>
      <c r="HM86" s="533"/>
      <c r="HN86" s="613"/>
      <c r="HO86" s="613"/>
      <c r="HP86" s="613"/>
      <c r="HQ86" s="613"/>
      <c r="HR86" s="613"/>
      <c r="HS86" s="613"/>
      <c r="HT86" s="613"/>
      <c r="HU86" s="613"/>
      <c r="HV86" s="613"/>
      <c r="HW86" s="613"/>
      <c r="HX86" s="613"/>
      <c r="HY86" s="613"/>
      <c r="HZ86" s="613"/>
      <c r="IA86" s="613"/>
      <c r="IB86" s="613"/>
      <c r="IC86" s="613"/>
      <c r="ID86" s="613"/>
      <c r="IE86" s="613"/>
      <c r="IF86" s="613"/>
      <c r="IG86" s="613"/>
      <c r="IZ86" s="231"/>
      <c r="JA86" s="231"/>
    </row>
    <row r="87" ht="14.25" customHeight="1">
      <c r="HD87" s="613"/>
      <c r="HE87" s="613"/>
      <c r="HF87" s="613"/>
      <c r="HG87" s="613"/>
      <c r="HH87" s="613"/>
      <c r="HI87" s="613"/>
      <c r="HJ87" s="533"/>
      <c r="HK87" s="533"/>
      <c r="HL87" s="533"/>
      <c r="HM87" s="533"/>
      <c r="HN87" s="613"/>
      <c r="HO87" s="613"/>
      <c r="HP87" s="613"/>
      <c r="HQ87" s="613"/>
      <c r="HR87" s="613"/>
      <c r="HS87" s="613"/>
      <c r="HT87" s="613"/>
      <c r="HU87" s="613"/>
      <c r="HV87" s="613"/>
      <c r="HW87" s="613"/>
      <c r="HX87" s="613"/>
      <c r="HY87" s="613"/>
      <c r="HZ87" s="613"/>
      <c r="IA87" s="613"/>
      <c r="IB87" s="613"/>
      <c r="IC87" s="613"/>
      <c r="ID87" s="613"/>
      <c r="IE87" s="613"/>
      <c r="IF87" s="613"/>
      <c r="IG87" s="613"/>
      <c r="IZ87" s="231"/>
      <c r="JA87" s="231"/>
    </row>
    <row r="88" ht="14.25" customHeight="1">
      <c r="HD88" s="613"/>
      <c r="HE88" s="613"/>
      <c r="HF88" s="613"/>
      <c r="HG88" s="613"/>
      <c r="HH88" s="613"/>
      <c r="HI88" s="613"/>
      <c r="HJ88" s="533"/>
      <c r="HK88" s="533"/>
      <c r="HL88" s="533"/>
      <c r="HM88" s="533"/>
      <c r="HN88" s="613"/>
      <c r="HO88" s="613"/>
      <c r="HP88" s="613"/>
      <c r="HQ88" s="613"/>
      <c r="HR88" s="613"/>
      <c r="HS88" s="613"/>
      <c r="HT88" s="613"/>
      <c r="HU88" s="613"/>
      <c r="HV88" s="613"/>
      <c r="HW88" s="613"/>
      <c r="HX88" s="613"/>
      <c r="HY88" s="613"/>
      <c r="HZ88" s="613"/>
      <c r="IA88" s="613"/>
      <c r="IB88" s="613"/>
      <c r="IC88" s="613"/>
      <c r="ID88" s="613"/>
      <c r="IE88" s="613"/>
      <c r="IF88" s="613"/>
      <c r="IG88" s="613"/>
      <c r="IZ88" s="231"/>
      <c r="JA88" s="231"/>
    </row>
    <row r="89" ht="14.25" customHeight="1">
      <c r="HD89" s="613"/>
      <c r="HE89" s="613"/>
      <c r="HF89" s="613"/>
      <c r="HG89" s="613"/>
      <c r="HH89" s="613"/>
      <c r="HI89" s="613"/>
      <c r="HJ89" s="533"/>
      <c r="HK89" s="533"/>
      <c r="HL89" s="533"/>
      <c r="HM89" s="533"/>
      <c r="HN89" s="613"/>
      <c r="HO89" s="613"/>
      <c r="HP89" s="613"/>
      <c r="HQ89" s="613"/>
      <c r="HR89" s="613"/>
      <c r="HS89" s="613"/>
      <c r="HT89" s="613"/>
      <c r="HU89" s="613"/>
      <c r="HV89" s="613"/>
      <c r="HW89" s="613"/>
      <c r="HX89" s="613"/>
      <c r="HY89" s="613"/>
      <c r="HZ89" s="613"/>
      <c r="IA89" s="613"/>
      <c r="IB89" s="613"/>
      <c r="IC89" s="613"/>
      <c r="ID89" s="613"/>
      <c r="IE89" s="613"/>
      <c r="IF89" s="613"/>
      <c r="IG89" s="613"/>
      <c r="IZ89" s="231"/>
      <c r="JA89" s="231"/>
    </row>
    <row r="90" ht="14.25" customHeight="1">
      <c r="HD90" s="613"/>
      <c r="HE90" s="613"/>
      <c r="HF90" s="613"/>
      <c r="HG90" s="613"/>
      <c r="HH90" s="613"/>
      <c r="HI90" s="613"/>
      <c r="HJ90" s="533"/>
      <c r="HK90" s="533"/>
      <c r="HL90" s="533"/>
      <c r="HM90" s="533"/>
      <c r="HN90" s="613"/>
      <c r="HO90" s="613"/>
      <c r="HP90" s="613"/>
      <c r="HQ90" s="613"/>
      <c r="HR90" s="613"/>
      <c r="HS90" s="613"/>
      <c r="HT90" s="613"/>
      <c r="HU90" s="613"/>
      <c r="HV90" s="613"/>
      <c r="HW90" s="613"/>
      <c r="HX90" s="613"/>
      <c r="HY90" s="613"/>
      <c r="HZ90" s="613"/>
      <c r="IA90" s="613"/>
      <c r="IB90" s="613"/>
      <c r="IC90" s="613"/>
      <c r="ID90" s="613"/>
      <c r="IE90" s="613"/>
      <c r="IF90" s="613"/>
      <c r="IG90" s="613"/>
      <c r="IZ90" s="231"/>
      <c r="JA90" s="231"/>
    </row>
    <row r="91" ht="14.25" customHeight="1">
      <c r="HD91" s="613"/>
      <c r="HE91" s="613"/>
      <c r="HF91" s="613"/>
      <c r="HG91" s="613"/>
      <c r="HH91" s="613"/>
      <c r="HI91" s="613"/>
      <c r="HJ91" s="533"/>
      <c r="HK91" s="533"/>
      <c r="HL91" s="533"/>
      <c r="HM91" s="533"/>
      <c r="HN91" s="613"/>
      <c r="HO91" s="613"/>
      <c r="HP91" s="613"/>
      <c r="HQ91" s="613"/>
      <c r="HR91" s="613"/>
      <c r="HS91" s="613"/>
      <c r="HT91" s="613"/>
      <c r="HU91" s="613"/>
      <c r="HV91" s="613"/>
      <c r="HW91" s="613"/>
      <c r="HX91" s="613"/>
      <c r="HY91" s="613"/>
      <c r="HZ91" s="613"/>
      <c r="IA91" s="613"/>
      <c r="IB91" s="613"/>
      <c r="IC91" s="613"/>
      <c r="ID91" s="613"/>
      <c r="IE91" s="613"/>
      <c r="IF91" s="613"/>
      <c r="IG91" s="613"/>
      <c r="IZ91" s="231"/>
      <c r="JA91" s="231"/>
    </row>
    <row r="92" ht="14.25" customHeight="1">
      <c r="HD92" s="613"/>
      <c r="HE92" s="613"/>
      <c r="HF92" s="613"/>
      <c r="HG92" s="613"/>
      <c r="HH92" s="613"/>
      <c r="HI92" s="613"/>
      <c r="HJ92" s="533"/>
      <c r="HK92" s="533"/>
      <c r="HL92" s="533"/>
      <c r="HM92" s="533"/>
      <c r="HN92" s="613"/>
      <c r="HO92" s="613"/>
      <c r="HP92" s="613"/>
      <c r="HQ92" s="613"/>
      <c r="HR92" s="613"/>
      <c r="HS92" s="613"/>
      <c r="HT92" s="613"/>
      <c r="HU92" s="613"/>
      <c r="HV92" s="613"/>
      <c r="HW92" s="613"/>
      <c r="HX92" s="613"/>
      <c r="HY92" s="613"/>
      <c r="HZ92" s="613"/>
      <c r="IA92" s="613"/>
      <c r="IB92" s="613"/>
      <c r="IC92" s="613"/>
      <c r="ID92" s="613"/>
      <c r="IE92" s="613"/>
      <c r="IF92" s="613"/>
      <c r="IG92" s="613"/>
      <c r="IZ92" s="231"/>
      <c r="JA92" s="231"/>
    </row>
    <row r="93" ht="14.25" customHeight="1">
      <c r="HD93" s="613"/>
      <c r="HE93" s="613"/>
      <c r="HF93" s="613"/>
      <c r="HG93" s="613"/>
      <c r="HH93" s="613"/>
      <c r="HI93" s="613"/>
      <c r="HJ93" s="533"/>
      <c r="HK93" s="533"/>
      <c r="HL93" s="533"/>
      <c r="HM93" s="533"/>
      <c r="HN93" s="613"/>
      <c r="HO93" s="613"/>
      <c r="HP93" s="613"/>
      <c r="HQ93" s="613"/>
      <c r="HR93" s="613"/>
      <c r="HS93" s="613"/>
      <c r="HT93" s="613"/>
      <c r="HU93" s="613"/>
      <c r="HV93" s="613"/>
      <c r="HW93" s="613"/>
      <c r="HX93" s="613"/>
      <c r="HY93" s="613"/>
      <c r="HZ93" s="613"/>
      <c r="IA93" s="613"/>
      <c r="IB93" s="613"/>
      <c r="IC93" s="613"/>
      <c r="ID93" s="613"/>
      <c r="IE93" s="613"/>
      <c r="IF93" s="613"/>
      <c r="IG93" s="613"/>
      <c r="IZ93" s="231"/>
      <c r="JA93" s="231"/>
    </row>
    <row r="94" ht="14.25" customHeight="1">
      <c r="HD94" s="613"/>
      <c r="HE94" s="613"/>
      <c r="HF94" s="613"/>
      <c r="HG94" s="613"/>
      <c r="HH94" s="613"/>
      <c r="HI94" s="613"/>
      <c r="HJ94" s="533"/>
      <c r="HK94" s="533"/>
      <c r="HL94" s="533"/>
      <c r="HM94" s="533"/>
      <c r="HN94" s="613"/>
      <c r="HO94" s="613"/>
      <c r="HP94" s="613"/>
      <c r="HQ94" s="613"/>
      <c r="HR94" s="613"/>
      <c r="HS94" s="613"/>
      <c r="HT94" s="613"/>
      <c r="HU94" s="613"/>
      <c r="HV94" s="613"/>
      <c r="HW94" s="613"/>
      <c r="HX94" s="613"/>
      <c r="HY94" s="613"/>
      <c r="HZ94" s="613"/>
      <c r="IA94" s="613"/>
      <c r="IB94" s="613"/>
      <c r="IC94" s="613"/>
      <c r="ID94" s="613"/>
      <c r="IE94" s="613"/>
      <c r="IF94" s="613"/>
      <c r="IG94" s="613"/>
      <c r="IZ94" s="231"/>
      <c r="JA94" s="231"/>
    </row>
    <row r="95" ht="14.25" customHeight="1">
      <c r="HD95" s="613"/>
      <c r="HE95" s="613"/>
      <c r="HF95" s="613"/>
      <c r="HG95" s="613"/>
      <c r="HH95" s="613"/>
      <c r="HI95" s="613"/>
      <c r="HJ95" s="533"/>
      <c r="HK95" s="533"/>
      <c r="HL95" s="533"/>
      <c r="HM95" s="533"/>
      <c r="HN95" s="613"/>
      <c r="HO95" s="613"/>
      <c r="HP95" s="613"/>
      <c r="HQ95" s="613"/>
      <c r="HR95" s="613"/>
      <c r="HS95" s="613"/>
      <c r="HT95" s="613"/>
      <c r="HU95" s="613"/>
      <c r="HV95" s="613"/>
      <c r="HW95" s="613"/>
      <c r="HX95" s="613"/>
      <c r="HY95" s="613"/>
      <c r="HZ95" s="613"/>
      <c r="IA95" s="613"/>
      <c r="IB95" s="613"/>
      <c r="IC95" s="613"/>
      <c r="ID95" s="613"/>
      <c r="IE95" s="613"/>
      <c r="IF95" s="613"/>
      <c r="IG95" s="613"/>
      <c r="IZ95" s="231"/>
      <c r="JA95" s="231"/>
    </row>
    <row r="96" ht="14.25" customHeight="1">
      <c r="HD96" s="613"/>
      <c r="HE96" s="613"/>
      <c r="HF96" s="613"/>
      <c r="HG96" s="613"/>
      <c r="HH96" s="613"/>
      <c r="HI96" s="613"/>
      <c r="HJ96" s="533"/>
      <c r="HK96" s="533"/>
      <c r="HL96" s="533"/>
      <c r="HM96" s="533"/>
      <c r="HN96" s="613"/>
      <c r="HO96" s="613"/>
      <c r="HP96" s="613"/>
      <c r="HQ96" s="613"/>
      <c r="HR96" s="613"/>
      <c r="HS96" s="613"/>
      <c r="HT96" s="613"/>
      <c r="HU96" s="613"/>
      <c r="HV96" s="613"/>
      <c r="HW96" s="613"/>
      <c r="HX96" s="613"/>
      <c r="HY96" s="613"/>
      <c r="HZ96" s="613"/>
      <c r="IA96" s="613"/>
      <c r="IB96" s="613"/>
      <c r="IC96" s="613"/>
      <c r="ID96" s="613"/>
      <c r="IE96" s="613"/>
      <c r="IF96" s="613"/>
      <c r="IG96" s="613"/>
      <c r="IZ96" s="231"/>
      <c r="JA96" s="231"/>
    </row>
    <row r="97" ht="14.25" customHeight="1">
      <c r="HD97" s="613"/>
      <c r="HE97" s="613"/>
      <c r="HF97" s="613"/>
      <c r="HG97" s="613"/>
      <c r="HH97" s="613"/>
      <c r="HI97" s="613"/>
      <c r="HJ97" s="533"/>
      <c r="HK97" s="533"/>
      <c r="HL97" s="533"/>
      <c r="HM97" s="533"/>
      <c r="HN97" s="613"/>
      <c r="HO97" s="613"/>
      <c r="HP97" s="613"/>
      <c r="HQ97" s="613"/>
      <c r="HR97" s="613"/>
      <c r="HS97" s="613"/>
      <c r="HT97" s="613"/>
      <c r="HU97" s="613"/>
      <c r="HV97" s="613"/>
      <c r="HW97" s="613"/>
      <c r="HX97" s="613"/>
      <c r="HY97" s="613"/>
      <c r="HZ97" s="613"/>
      <c r="IA97" s="613"/>
      <c r="IB97" s="613"/>
      <c r="IC97" s="613"/>
      <c r="ID97" s="613"/>
      <c r="IE97" s="613"/>
      <c r="IF97" s="613"/>
      <c r="IG97" s="613"/>
      <c r="IZ97" s="231"/>
      <c r="JA97" s="231"/>
    </row>
    <row r="98" ht="14.25" customHeight="1">
      <c r="HD98" s="613"/>
      <c r="HE98" s="613"/>
      <c r="HF98" s="613"/>
      <c r="HG98" s="613"/>
      <c r="HH98" s="613"/>
      <c r="HI98" s="613"/>
      <c r="HJ98" s="533"/>
      <c r="HK98" s="533"/>
      <c r="HL98" s="533"/>
      <c r="HM98" s="533"/>
      <c r="HN98" s="613"/>
      <c r="HO98" s="613"/>
      <c r="HP98" s="613"/>
      <c r="HQ98" s="613"/>
      <c r="HR98" s="613"/>
      <c r="HS98" s="613"/>
      <c r="HT98" s="613"/>
      <c r="HU98" s="613"/>
      <c r="HV98" s="613"/>
      <c r="HW98" s="613"/>
      <c r="HX98" s="613"/>
      <c r="HY98" s="613"/>
      <c r="HZ98" s="613"/>
      <c r="IA98" s="613"/>
      <c r="IB98" s="613"/>
      <c r="IC98" s="613"/>
      <c r="ID98" s="613"/>
      <c r="IE98" s="613"/>
      <c r="IF98" s="613"/>
      <c r="IG98" s="613"/>
      <c r="IZ98" s="231"/>
      <c r="JA98" s="231"/>
    </row>
    <row r="99" ht="14.25" customHeight="1">
      <c r="HD99" s="613"/>
      <c r="HE99" s="613"/>
      <c r="HF99" s="613"/>
      <c r="HG99" s="613"/>
      <c r="HH99" s="613"/>
      <c r="HI99" s="613"/>
      <c r="HJ99" s="533"/>
      <c r="HK99" s="533"/>
      <c r="HL99" s="533"/>
      <c r="HM99" s="533"/>
      <c r="HN99" s="613"/>
      <c r="HO99" s="613"/>
      <c r="HP99" s="613"/>
      <c r="HQ99" s="613"/>
      <c r="HR99" s="613"/>
      <c r="HS99" s="613"/>
      <c r="HT99" s="613"/>
      <c r="HU99" s="613"/>
      <c r="HV99" s="613"/>
      <c r="HW99" s="613"/>
      <c r="HX99" s="613"/>
      <c r="HY99" s="613"/>
      <c r="HZ99" s="613"/>
      <c r="IA99" s="613"/>
      <c r="IB99" s="613"/>
      <c r="IC99" s="613"/>
      <c r="ID99" s="613"/>
      <c r="IE99" s="613"/>
      <c r="IF99" s="613"/>
      <c r="IG99" s="613"/>
      <c r="IZ99" s="231"/>
      <c r="JA99" s="231"/>
    </row>
    <row r="100" ht="14.25" customHeight="1">
      <c r="HD100" s="613"/>
      <c r="HE100" s="613"/>
      <c r="HF100" s="613"/>
      <c r="HG100" s="613"/>
      <c r="HH100" s="613"/>
      <c r="HI100" s="613"/>
      <c r="HJ100" s="533"/>
      <c r="HK100" s="533"/>
      <c r="HL100" s="533"/>
      <c r="HM100" s="533"/>
      <c r="HN100" s="613"/>
      <c r="HO100" s="613"/>
      <c r="HP100" s="613"/>
      <c r="HQ100" s="613"/>
      <c r="HR100" s="613"/>
      <c r="HS100" s="613"/>
      <c r="HT100" s="613"/>
      <c r="HU100" s="613"/>
      <c r="HV100" s="613"/>
      <c r="HW100" s="613"/>
      <c r="HX100" s="613"/>
      <c r="HY100" s="613"/>
      <c r="HZ100" s="613"/>
      <c r="IA100" s="613"/>
      <c r="IB100" s="613"/>
      <c r="IC100" s="613"/>
      <c r="ID100" s="613"/>
      <c r="IE100" s="613"/>
      <c r="IF100" s="613"/>
      <c r="IG100" s="613"/>
      <c r="IZ100" s="231"/>
      <c r="JA100" s="231"/>
    </row>
    <row r="101" ht="14.25" customHeight="1">
      <c r="HD101" s="613"/>
      <c r="HE101" s="613"/>
      <c r="HF101" s="613"/>
      <c r="HG101" s="613"/>
      <c r="HH101" s="613"/>
      <c r="HI101" s="613"/>
      <c r="HJ101" s="533"/>
      <c r="HK101" s="533"/>
      <c r="HL101" s="533"/>
      <c r="HM101" s="533"/>
      <c r="HN101" s="613"/>
      <c r="HO101" s="613"/>
      <c r="HP101" s="613"/>
      <c r="HQ101" s="613"/>
      <c r="HR101" s="613"/>
      <c r="HS101" s="613"/>
      <c r="HT101" s="613"/>
      <c r="HU101" s="613"/>
      <c r="HV101" s="613"/>
      <c r="HW101" s="613"/>
      <c r="HX101" s="613"/>
      <c r="HY101" s="613"/>
      <c r="HZ101" s="613"/>
      <c r="IA101" s="613"/>
      <c r="IB101" s="613"/>
      <c r="IC101" s="613"/>
      <c r="ID101" s="613"/>
      <c r="IE101" s="613"/>
      <c r="IF101" s="613"/>
      <c r="IG101" s="613"/>
      <c r="IZ101" s="231"/>
      <c r="JA101" s="231"/>
    </row>
    <row r="102" ht="14.25" customHeight="1">
      <c r="HD102" s="613"/>
      <c r="HE102" s="613"/>
      <c r="HF102" s="613"/>
      <c r="HG102" s="613"/>
      <c r="HH102" s="613"/>
      <c r="HI102" s="613"/>
      <c r="HJ102" s="533"/>
      <c r="HK102" s="533"/>
      <c r="HL102" s="533"/>
      <c r="HM102" s="533"/>
      <c r="HN102" s="613"/>
      <c r="HO102" s="613"/>
      <c r="HP102" s="613"/>
      <c r="HQ102" s="613"/>
      <c r="HR102" s="613"/>
      <c r="HS102" s="613"/>
      <c r="HT102" s="613"/>
      <c r="HU102" s="613"/>
      <c r="HV102" s="613"/>
      <c r="HW102" s="613"/>
      <c r="HX102" s="613"/>
      <c r="HY102" s="613"/>
      <c r="HZ102" s="613"/>
      <c r="IA102" s="613"/>
      <c r="IB102" s="613"/>
      <c r="IC102" s="613"/>
      <c r="ID102" s="613"/>
      <c r="IE102" s="613"/>
      <c r="IF102" s="613"/>
      <c r="IG102" s="613"/>
      <c r="IZ102" s="231"/>
      <c r="JA102" s="231"/>
    </row>
    <row r="103" ht="14.25" customHeight="1">
      <c r="HD103" s="613"/>
      <c r="HE103" s="613"/>
      <c r="HF103" s="613"/>
      <c r="HG103" s="613"/>
      <c r="HH103" s="613"/>
      <c r="HI103" s="613"/>
      <c r="HJ103" s="533"/>
      <c r="HK103" s="533"/>
      <c r="HL103" s="533"/>
      <c r="HM103" s="533"/>
      <c r="HN103" s="613"/>
      <c r="HO103" s="613"/>
      <c r="HP103" s="613"/>
      <c r="HQ103" s="613"/>
      <c r="HR103" s="613"/>
      <c r="HS103" s="613"/>
      <c r="HT103" s="613"/>
      <c r="HU103" s="613"/>
      <c r="HV103" s="613"/>
      <c r="HW103" s="613"/>
      <c r="HX103" s="613"/>
      <c r="HY103" s="613"/>
      <c r="HZ103" s="613"/>
      <c r="IA103" s="613"/>
      <c r="IB103" s="613"/>
      <c r="IC103" s="613"/>
      <c r="ID103" s="613"/>
      <c r="IE103" s="613"/>
      <c r="IF103" s="613"/>
      <c r="IG103" s="613"/>
      <c r="IZ103" s="231"/>
      <c r="JA103" s="231"/>
    </row>
    <row r="104" ht="14.25" customHeight="1">
      <c r="HD104" s="613"/>
      <c r="HE104" s="613"/>
      <c r="HF104" s="613"/>
      <c r="HG104" s="613"/>
      <c r="HH104" s="613"/>
      <c r="HI104" s="613"/>
      <c r="HJ104" s="533"/>
      <c r="HK104" s="533"/>
      <c r="HL104" s="533"/>
      <c r="HM104" s="533"/>
      <c r="HN104" s="613"/>
      <c r="HO104" s="613"/>
      <c r="HP104" s="613"/>
      <c r="HQ104" s="613"/>
      <c r="HR104" s="613"/>
      <c r="HS104" s="613"/>
      <c r="HT104" s="613"/>
      <c r="HU104" s="613"/>
      <c r="HV104" s="613"/>
      <c r="HW104" s="613"/>
      <c r="HX104" s="613"/>
      <c r="HY104" s="613"/>
      <c r="HZ104" s="613"/>
      <c r="IA104" s="613"/>
      <c r="IB104" s="613"/>
      <c r="IC104" s="613"/>
      <c r="ID104" s="613"/>
      <c r="IE104" s="613"/>
      <c r="IF104" s="613"/>
      <c r="IG104" s="613"/>
      <c r="IZ104" s="231"/>
      <c r="JA104" s="231"/>
    </row>
    <row r="105" ht="14.25" customHeight="1">
      <c r="HD105" s="613"/>
      <c r="HE105" s="613"/>
      <c r="HF105" s="613"/>
      <c r="HG105" s="613"/>
      <c r="HH105" s="613"/>
      <c r="HI105" s="613"/>
      <c r="HJ105" s="533"/>
      <c r="HK105" s="533"/>
      <c r="HL105" s="533"/>
      <c r="HM105" s="533"/>
      <c r="HN105" s="613"/>
      <c r="HO105" s="613"/>
      <c r="HP105" s="613"/>
      <c r="HQ105" s="613"/>
      <c r="HR105" s="613"/>
      <c r="HS105" s="613"/>
      <c r="HT105" s="613"/>
      <c r="HU105" s="613"/>
      <c r="HV105" s="613"/>
      <c r="HW105" s="613"/>
      <c r="HX105" s="613"/>
      <c r="HY105" s="613"/>
      <c r="HZ105" s="613"/>
      <c r="IA105" s="613"/>
      <c r="IB105" s="613"/>
      <c r="IC105" s="613"/>
      <c r="ID105" s="613"/>
      <c r="IE105" s="613"/>
      <c r="IF105" s="613"/>
      <c r="IG105" s="613"/>
      <c r="IZ105" s="231"/>
      <c r="JA105" s="231"/>
    </row>
    <row r="106" ht="14.25" customHeight="1">
      <c r="HD106" s="613"/>
      <c r="HE106" s="613"/>
      <c r="HF106" s="613"/>
      <c r="HG106" s="613"/>
      <c r="HH106" s="613"/>
      <c r="HI106" s="613"/>
      <c r="HJ106" s="533"/>
      <c r="HK106" s="533"/>
      <c r="HL106" s="533"/>
      <c r="HM106" s="533"/>
      <c r="HN106" s="613"/>
      <c r="HO106" s="613"/>
      <c r="HP106" s="613"/>
      <c r="HQ106" s="613"/>
      <c r="HR106" s="613"/>
      <c r="HS106" s="613"/>
      <c r="HT106" s="613"/>
      <c r="HU106" s="613"/>
      <c r="HV106" s="613"/>
      <c r="HW106" s="613"/>
      <c r="HX106" s="613"/>
      <c r="HY106" s="613"/>
      <c r="HZ106" s="613"/>
      <c r="IA106" s="613"/>
      <c r="IB106" s="613"/>
      <c r="IC106" s="613"/>
      <c r="ID106" s="613"/>
      <c r="IE106" s="613"/>
      <c r="IF106" s="613"/>
      <c r="IG106" s="613"/>
      <c r="IZ106" s="231"/>
      <c r="JA106" s="231"/>
    </row>
    <row r="107" ht="14.25" customHeight="1">
      <c r="HD107" s="613"/>
      <c r="HE107" s="613"/>
      <c r="HF107" s="613"/>
      <c r="HG107" s="613"/>
      <c r="HH107" s="613"/>
      <c r="HI107" s="613"/>
      <c r="HJ107" s="533"/>
      <c r="HK107" s="533"/>
      <c r="HL107" s="533"/>
      <c r="HM107" s="533"/>
      <c r="HN107" s="613"/>
      <c r="HO107" s="613"/>
      <c r="HP107" s="613"/>
      <c r="HQ107" s="613"/>
      <c r="HR107" s="613"/>
      <c r="HS107" s="613"/>
      <c r="HT107" s="613"/>
      <c r="HU107" s="613"/>
      <c r="HV107" s="613"/>
      <c r="HW107" s="613"/>
      <c r="HX107" s="613"/>
      <c r="HY107" s="613"/>
      <c r="HZ107" s="613"/>
      <c r="IA107" s="613"/>
      <c r="IB107" s="613"/>
      <c r="IC107" s="613"/>
      <c r="ID107" s="613"/>
      <c r="IE107" s="613"/>
      <c r="IF107" s="613"/>
      <c r="IG107" s="613"/>
      <c r="IZ107" s="231"/>
      <c r="JA107" s="231"/>
    </row>
    <row r="108" ht="14.25" customHeight="1">
      <c r="HD108" s="613"/>
      <c r="HE108" s="613"/>
      <c r="HF108" s="613"/>
      <c r="HG108" s="613"/>
      <c r="HH108" s="613"/>
      <c r="HI108" s="613"/>
      <c r="HJ108" s="533"/>
      <c r="HK108" s="533"/>
      <c r="HL108" s="533"/>
      <c r="HM108" s="533"/>
      <c r="HN108" s="613"/>
      <c r="HO108" s="613"/>
      <c r="HP108" s="613"/>
      <c r="HQ108" s="613"/>
      <c r="HR108" s="613"/>
      <c r="HS108" s="613"/>
      <c r="HT108" s="613"/>
      <c r="HU108" s="613"/>
      <c r="HV108" s="613"/>
      <c r="HW108" s="613"/>
      <c r="HX108" s="613"/>
      <c r="HY108" s="613"/>
      <c r="HZ108" s="613"/>
      <c r="IA108" s="613"/>
      <c r="IB108" s="613"/>
      <c r="IC108" s="613"/>
      <c r="ID108" s="613"/>
      <c r="IE108" s="613"/>
      <c r="IF108" s="613"/>
      <c r="IG108" s="613"/>
      <c r="IZ108" s="231"/>
      <c r="JA108" s="231"/>
    </row>
    <row r="109" ht="14.25" customHeight="1">
      <c r="HD109" s="613"/>
      <c r="HE109" s="613"/>
      <c r="HF109" s="613"/>
      <c r="HG109" s="613"/>
      <c r="HH109" s="613"/>
      <c r="HI109" s="613"/>
      <c r="HJ109" s="533"/>
      <c r="HK109" s="533"/>
      <c r="HL109" s="533"/>
      <c r="HM109" s="533"/>
      <c r="HN109" s="613"/>
      <c r="HO109" s="613"/>
      <c r="HP109" s="613"/>
      <c r="HQ109" s="613"/>
      <c r="HR109" s="613"/>
      <c r="HS109" s="613"/>
      <c r="HT109" s="613"/>
      <c r="HU109" s="613"/>
      <c r="HV109" s="613"/>
      <c r="HW109" s="613"/>
      <c r="HX109" s="613"/>
      <c r="HY109" s="613"/>
      <c r="HZ109" s="613"/>
      <c r="IA109" s="613"/>
      <c r="IB109" s="613"/>
      <c r="IC109" s="613"/>
      <c r="ID109" s="613"/>
      <c r="IE109" s="613"/>
      <c r="IF109" s="613"/>
      <c r="IG109" s="613"/>
      <c r="IZ109" s="231"/>
      <c r="JA109" s="231"/>
    </row>
    <row r="110" ht="14.25" customHeight="1">
      <c r="HD110" s="613"/>
      <c r="HE110" s="613"/>
      <c r="HF110" s="613"/>
      <c r="HG110" s="613"/>
      <c r="HH110" s="613"/>
      <c r="HI110" s="613"/>
      <c r="HJ110" s="533"/>
      <c r="HK110" s="533"/>
      <c r="HL110" s="533"/>
      <c r="HM110" s="533"/>
      <c r="HN110" s="613"/>
      <c r="HO110" s="613"/>
      <c r="HP110" s="613"/>
      <c r="HQ110" s="613"/>
      <c r="HR110" s="613"/>
      <c r="HS110" s="613"/>
      <c r="HT110" s="613"/>
      <c r="HU110" s="613"/>
      <c r="HV110" s="613"/>
      <c r="HW110" s="613"/>
      <c r="HX110" s="613"/>
      <c r="HY110" s="613"/>
      <c r="HZ110" s="613"/>
      <c r="IA110" s="613"/>
      <c r="IB110" s="613"/>
      <c r="IC110" s="613"/>
      <c r="ID110" s="613"/>
      <c r="IE110" s="613"/>
      <c r="IF110" s="613"/>
      <c r="IG110" s="613"/>
      <c r="IZ110" s="231"/>
      <c r="JA110" s="231"/>
    </row>
    <row r="111" ht="14.25" customHeight="1">
      <c r="HD111" s="613"/>
      <c r="HE111" s="613"/>
      <c r="HF111" s="613"/>
      <c r="HG111" s="613"/>
      <c r="HH111" s="613"/>
      <c r="HI111" s="613"/>
      <c r="HJ111" s="533"/>
      <c r="HK111" s="533"/>
      <c r="HL111" s="533"/>
      <c r="HM111" s="533"/>
      <c r="HN111" s="613"/>
      <c r="HO111" s="613"/>
      <c r="HP111" s="613"/>
      <c r="HQ111" s="613"/>
      <c r="HR111" s="613"/>
      <c r="HS111" s="613"/>
      <c r="HT111" s="613"/>
      <c r="HU111" s="613"/>
      <c r="HV111" s="613"/>
      <c r="HW111" s="613"/>
      <c r="HX111" s="613"/>
      <c r="HY111" s="613"/>
      <c r="HZ111" s="613"/>
      <c r="IA111" s="613"/>
      <c r="IB111" s="613"/>
      <c r="IC111" s="613"/>
      <c r="ID111" s="613"/>
      <c r="IE111" s="613"/>
      <c r="IF111" s="613"/>
      <c r="IG111" s="613"/>
      <c r="IZ111" s="231"/>
      <c r="JA111" s="231"/>
    </row>
    <row r="112" ht="14.25" customHeight="1">
      <c r="HD112" s="613"/>
      <c r="HE112" s="613"/>
      <c r="HF112" s="613"/>
      <c r="HG112" s="613"/>
      <c r="HH112" s="613"/>
      <c r="HI112" s="613"/>
      <c r="HJ112" s="533"/>
      <c r="HK112" s="533"/>
      <c r="HL112" s="533"/>
      <c r="HM112" s="533"/>
      <c r="HN112" s="613"/>
      <c r="HO112" s="613"/>
      <c r="HP112" s="613"/>
      <c r="HQ112" s="613"/>
      <c r="HR112" s="613"/>
      <c r="HS112" s="613"/>
      <c r="HT112" s="613"/>
      <c r="HU112" s="613"/>
      <c r="HV112" s="613"/>
      <c r="HW112" s="613"/>
      <c r="HX112" s="613"/>
      <c r="HY112" s="613"/>
      <c r="HZ112" s="613"/>
      <c r="IA112" s="613"/>
      <c r="IB112" s="613"/>
      <c r="IC112" s="613"/>
      <c r="ID112" s="613"/>
      <c r="IE112" s="613"/>
      <c r="IF112" s="613"/>
      <c r="IG112" s="613"/>
      <c r="IZ112" s="231"/>
      <c r="JA112" s="231"/>
    </row>
    <row r="113" ht="14.25" customHeight="1">
      <c r="HD113" s="613"/>
      <c r="HE113" s="613"/>
      <c r="HF113" s="613"/>
      <c r="HG113" s="613"/>
      <c r="HH113" s="613"/>
      <c r="HI113" s="613"/>
      <c r="HJ113" s="533"/>
      <c r="HK113" s="533"/>
      <c r="HL113" s="533"/>
      <c r="HM113" s="533"/>
      <c r="HN113" s="613"/>
      <c r="HO113" s="613"/>
      <c r="HP113" s="613"/>
      <c r="HQ113" s="613"/>
      <c r="HR113" s="613"/>
      <c r="HS113" s="613"/>
      <c r="HT113" s="613"/>
      <c r="HU113" s="613"/>
      <c r="HV113" s="613"/>
      <c r="HW113" s="613"/>
      <c r="HX113" s="613"/>
      <c r="HY113" s="613"/>
      <c r="HZ113" s="613"/>
      <c r="IA113" s="613"/>
      <c r="IB113" s="613"/>
      <c r="IC113" s="613"/>
      <c r="ID113" s="613"/>
      <c r="IE113" s="613"/>
      <c r="IF113" s="613"/>
      <c r="IG113" s="613"/>
      <c r="IZ113" s="231"/>
      <c r="JA113" s="231"/>
    </row>
    <row r="114" ht="14.25" customHeight="1">
      <c r="HD114" s="613"/>
      <c r="HE114" s="613"/>
      <c r="HF114" s="613"/>
      <c r="HG114" s="613"/>
      <c r="HH114" s="613"/>
      <c r="HI114" s="613"/>
      <c r="HJ114" s="533"/>
      <c r="HK114" s="533"/>
      <c r="HL114" s="533"/>
      <c r="HM114" s="533"/>
      <c r="HN114" s="613"/>
      <c r="HO114" s="613"/>
      <c r="HP114" s="613"/>
      <c r="HQ114" s="613"/>
      <c r="HR114" s="613"/>
      <c r="HS114" s="613"/>
      <c r="HT114" s="613"/>
      <c r="HU114" s="613"/>
      <c r="HV114" s="613"/>
      <c r="HW114" s="613"/>
      <c r="HX114" s="613"/>
      <c r="HY114" s="613"/>
      <c r="HZ114" s="613"/>
      <c r="IA114" s="613"/>
      <c r="IB114" s="613"/>
      <c r="IC114" s="613"/>
      <c r="ID114" s="613"/>
      <c r="IE114" s="613"/>
      <c r="IF114" s="613"/>
      <c r="IG114" s="613"/>
      <c r="IZ114" s="231"/>
      <c r="JA114" s="231"/>
    </row>
    <row r="115" ht="14.25" customHeight="1">
      <c r="HD115" s="613"/>
      <c r="HE115" s="613"/>
      <c r="HF115" s="613"/>
      <c r="HG115" s="613"/>
      <c r="HH115" s="613"/>
      <c r="HI115" s="613"/>
      <c r="HJ115" s="533"/>
      <c r="HK115" s="533"/>
      <c r="HL115" s="533"/>
      <c r="HM115" s="533"/>
      <c r="HN115" s="613"/>
      <c r="HO115" s="613"/>
      <c r="HP115" s="613"/>
      <c r="HQ115" s="613"/>
      <c r="HR115" s="613"/>
      <c r="HS115" s="613"/>
      <c r="HT115" s="613"/>
      <c r="HU115" s="613"/>
      <c r="HV115" s="613"/>
      <c r="HW115" s="613"/>
      <c r="HX115" s="613"/>
      <c r="HY115" s="613"/>
      <c r="HZ115" s="613"/>
      <c r="IA115" s="613"/>
      <c r="IB115" s="613"/>
      <c r="IC115" s="613"/>
      <c r="ID115" s="613"/>
      <c r="IE115" s="613"/>
      <c r="IF115" s="613"/>
      <c r="IG115" s="613"/>
      <c r="IZ115" s="231"/>
      <c r="JA115" s="231"/>
    </row>
    <row r="116" ht="14.25" customHeight="1">
      <c r="HD116" s="613"/>
      <c r="HE116" s="613"/>
      <c r="HF116" s="613"/>
      <c r="HG116" s="613"/>
      <c r="HH116" s="613"/>
      <c r="HI116" s="613"/>
      <c r="HJ116" s="533"/>
      <c r="HK116" s="533"/>
      <c r="HL116" s="533"/>
      <c r="HM116" s="533"/>
      <c r="HN116" s="613"/>
      <c r="HO116" s="613"/>
      <c r="HP116" s="613"/>
      <c r="HQ116" s="613"/>
      <c r="HR116" s="613"/>
      <c r="HS116" s="613"/>
      <c r="HT116" s="613"/>
      <c r="HU116" s="613"/>
      <c r="HV116" s="613"/>
      <c r="HW116" s="613"/>
      <c r="HX116" s="613"/>
      <c r="HY116" s="613"/>
      <c r="HZ116" s="613"/>
      <c r="IA116" s="613"/>
      <c r="IB116" s="613"/>
      <c r="IC116" s="613"/>
      <c r="ID116" s="613"/>
      <c r="IE116" s="613"/>
      <c r="IF116" s="613"/>
      <c r="IG116" s="613"/>
      <c r="IZ116" s="231"/>
      <c r="JA116" s="231"/>
    </row>
    <row r="117" ht="14.25" customHeight="1">
      <c r="HD117" s="613"/>
      <c r="HE117" s="613"/>
      <c r="HF117" s="613"/>
      <c r="HG117" s="613"/>
      <c r="HH117" s="613"/>
      <c r="HI117" s="613"/>
      <c r="HJ117" s="533"/>
      <c r="HK117" s="533"/>
      <c r="HL117" s="533"/>
      <c r="HM117" s="533"/>
      <c r="HN117" s="613"/>
      <c r="HO117" s="613"/>
      <c r="HP117" s="613"/>
      <c r="HQ117" s="613"/>
      <c r="HR117" s="613"/>
      <c r="HS117" s="613"/>
      <c r="HT117" s="613"/>
      <c r="HU117" s="613"/>
      <c r="HV117" s="613"/>
      <c r="HW117" s="613"/>
      <c r="HX117" s="613"/>
      <c r="HY117" s="613"/>
      <c r="HZ117" s="613"/>
      <c r="IA117" s="613"/>
      <c r="IB117" s="613"/>
      <c r="IC117" s="613"/>
      <c r="ID117" s="613"/>
      <c r="IE117" s="613"/>
      <c r="IF117" s="613"/>
      <c r="IG117" s="613"/>
      <c r="IZ117" s="231"/>
      <c r="JA117" s="231"/>
    </row>
    <row r="118" ht="14.25" customHeight="1">
      <c r="HD118" s="613"/>
      <c r="HE118" s="613"/>
      <c r="HF118" s="613"/>
      <c r="HG118" s="613"/>
      <c r="HH118" s="613"/>
      <c r="HI118" s="613"/>
      <c r="HJ118" s="533"/>
      <c r="HK118" s="533"/>
      <c r="HL118" s="533"/>
      <c r="HM118" s="533"/>
      <c r="HN118" s="613"/>
      <c r="HO118" s="613"/>
      <c r="HP118" s="613"/>
      <c r="HQ118" s="613"/>
      <c r="HR118" s="613"/>
      <c r="HS118" s="613"/>
      <c r="HT118" s="613"/>
      <c r="HU118" s="613"/>
      <c r="HV118" s="613"/>
      <c r="HW118" s="613"/>
      <c r="HX118" s="613"/>
      <c r="HY118" s="613"/>
      <c r="HZ118" s="613"/>
      <c r="IA118" s="613"/>
      <c r="IB118" s="613"/>
      <c r="IC118" s="613"/>
      <c r="ID118" s="613"/>
      <c r="IE118" s="613"/>
      <c r="IF118" s="613"/>
      <c r="IG118" s="613"/>
      <c r="IZ118" s="231"/>
      <c r="JA118" s="231"/>
    </row>
    <row r="119" ht="14.25" customHeight="1">
      <c r="HD119" s="613"/>
      <c r="HE119" s="613"/>
      <c r="HF119" s="613"/>
      <c r="HG119" s="613"/>
      <c r="HH119" s="613"/>
      <c r="HI119" s="613"/>
      <c r="HJ119" s="533"/>
      <c r="HK119" s="533"/>
      <c r="HL119" s="533"/>
      <c r="HM119" s="533"/>
      <c r="HN119" s="613"/>
      <c r="HO119" s="613"/>
      <c r="HP119" s="613"/>
      <c r="HQ119" s="613"/>
      <c r="HR119" s="613"/>
      <c r="HS119" s="613"/>
      <c r="HT119" s="613"/>
      <c r="HU119" s="613"/>
      <c r="HV119" s="613"/>
      <c r="HW119" s="613"/>
      <c r="HX119" s="613"/>
      <c r="HY119" s="613"/>
      <c r="HZ119" s="613"/>
      <c r="IA119" s="613"/>
      <c r="IB119" s="613"/>
      <c r="IC119" s="613"/>
      <c r="ID119" s="613"/>
      <c r="IE119" s="613"/>
      <c r="IF119" s="613"/>
      <c r="IG119" s="613"/>
      <c r="IZ119" s="231"/>
      <c r="JA119" s="231"/>
    </row>
    <row r="120" ht="14.25" customHeight="1">
      <c r="HD120" s="613"/>
      <c r="HE120" s="613"/>
      <c r="HF120" s="613"/>
      <c r="HG120" s="613"/>
      <c r="HH120" s="613"/>
      <c r="HI120" s="613"/>
      <c r="HJ120" s="533"/>
      <c r="HK120" s="533"/>
      <c r="HL120" s="533"/>
      <c r="HM120" s="533"/>
      <c r="HN120" s="613"/>
      <c r="HO120" s="613"/>
      <c r="HP120" s="613"/>
      <c r="HQ120" s="613"/>
      <c r="HR120" s="613"/>
      <c r="HS120" s="613"/>
      <c r="HT120" s="613"/>
      <c r="HU120" s="613"/>
      <c r="HV120" s="613"/>
      <c r="HW120" s="613"/>
      <c r="HX120" s="613"/>
      <c r="HY120" s="613"/>
      <c r="HZ120" s="613"/>
      <c r="IA120" s="613"/>
      <c r="IB120" s="613"/>
      <c r="IC120" s="613"/>
      <c r="ID120" s="613"/>
      <c r="IE120" s="613"/>
      <c r="IF120" s="613"/>
      <c r="IG120" s="613"/>
      <c r="IZ120" s="231"/>
      <c r="JA120" s="231"/>
    </row>
    <row r="121" ht="14.25" customHeight="1">
      <c r="HD121" s="613"/>
      <c r="HE121" s="613"/>
      <c r="HF121" s="613"/>
      <c r="HG121" s="613"/>
      <c r="HH121" s="613"/>
      <c r="HI121" s="613"/>
      <c r="HJ121" s="533"/>
      <c r="HK121" s="533"/>
      <c r="HL121" s="533"/>
      <c r="HM121" s="533"/>
      <c r="HN121" s="613"/>
      <c r="HO121" s="613"/>
      <c r="HP121" s="613"/>
      <c r="HQ121" s="613"/>
      <c r="HR121" s="613"/>
      <c r="HS121" s="613"/>
      <c r="HT121" s="613"/>
      <c r="HU121" s="613"/>
      <c r="HV121" s="613"/>
      <c r="HW121" s="613"/>
      <c r="HX121" s="613"/>
      <c r="HY121" s="613"/>
      <c r="HZ121" s="613"/>
      <c r="IA121" s="613"/>
      <c r="IB121" s="613"/>
      <c r="IC121" s="613"/>
      <c r="ID121" s="613"/>
      <c r="IE121" s="613"/>
      <c r="IF121" s="613"/>
      <c r="IG121" s="613"/>
      <c r="IZ121" s="231"/>
      <c r="JA121" s="231"/>
    </row>
    <row r="122" ht="14.25" customHeight="1">
      <c r="HD122" s="613"/>
      <c r="HE122" s="613"/>
      <c r="HF122" s="613"/>
      <c r="HG122" s="613"/>
      <c r="HH122" s="613"/>
      <c r="HI122" s="613"/>
      <c r="HJ122" s="533"/>
      <c r="HK122" s="533"/>
      <c r="HL122" s="533"/>
      <c r="HM122" s="533"/>
      <c r="HN122" s="613"/>
      <c r="HO122" s="613"/>
      <c r="HP122" s="613"/>
      <c r="HQ122" s="613"/>
      <c r="HR122" s="613"/>
      <c r="HS122" s="613"/>
      <c r="HT122" s="613"/>
      <c r="HU122" s="613"/>
      <c r="HV122" s="613"/>
      <c r="HW122" s="613"/>
      <c r="HX122" s="613"/>
      <c r="HY122" s="613"/>
      <c r="HZ122" s="613"/>
      <c r="IA122" s="613"/>
      <c r="IB122" s="613"/>
      <c r="IC122" s="613"/>
      <c r="ID122" s="613"/>
      <c r="IE122" s="613"/>
      <c r="IF122" s="613"/>
      <c r="IG122" s="613"/>
      <c r="IZ122" s="231"/>
      <c r="JA122" s="231"/>
    </row>
    <row r="123" ht="14.25" customHeight="1">
      <c r="HD123" s="613"/>
      <c r="HE123" s="613"/>
      <c r="HF123" s="613"/>
      <c r="HG123" s="613"/>
      <c r="HH123" s="613"/>
      <c r="HI123" s="613"/>
      <c r="HJ123" s="533"/>
      <c r="HK123" s="533"/>
      <c r="HL123" s="533"/>
      <c r="HM123" s="533"/>
      <c r="HN123" s="613"/>
      <c r="HO123" s="613"/>
      <c r="HP123" s="613"/>
      <c r="HQ123" s="613"/>
      <c r="HR123" s="613"/>
      <c r="HS123" s="613"/>
      <c r="HT123" s="613"/>
      <c r="HU123" s="613"/>
      <c r="HV123" s="613"/>
      <c r="HW123" s="613"/>
      <c r="HX123" s="613"/>
      <c r="HY123" s="613"/>
      <c r="HZ123" s="613"/>
      <c r="IA123" s="613"/>
      <c r="IB123" s="613"/>
      <c r="IC123" s="613"/>
      <c r="ID123" s="613"/>
      <c r="IE123" s="613"/>
      <c r="IF123" s="613"/>
      <c r="IG123" s="613"/>
      <c r="IZ123" s="231"/>
      <c r="JA123" s="231"/>
    </row>
    <row r="124" ht="14.25" customHeight="1">
      <c r="HD124" s="613"/>
      <c r="HE124" s="613"/>
      <c r="HF124" s="613"/>
      <c r="HG124" s="613"/>
      <c r="HH124" s="613"/>
      <c r="HI124" s="613"/>
      <c r="HJ124" s="533"/>
      <c r="HK124" s="533"/>
      <c r="HL124" s="533"/>
      <c r="HM124" s="533"/>
      <c r="HN124" s="613"/>
      <c r="HO124" s="613"/>
      <c r="HP124" s="613"/>
      <c r="HQ124" s="613"/>
      <c r="HR124" s="613"/>
      <c r="HS124" s="613"/>
      <c r="HT124" s="613"/>
      <c r="HU124" s="613"/>
      <c r="HV124" s="613"/>
      <c r="HW124" s="613"/>
      <c r="HX124" s="613"/>
      <c r="HY124" s="613"/>
      <c r="HZ124" s="613"/>
      <c r="IA124" s="613"/>
      <c r="IB124" s="613"/>
      <c r="IC124" s="613"/>
      <c r="ID124" s="613"/>
      <c r="IE124" s="613"/>
      <c r="IF124" s="613"/>
      <c r="IG124" s="613"/>
      <c r="IZ124" s="231"/>
      <c r="JA124" s="231"/>
    </row>
    <row r="125" ht="14.25" customHeight="1">
      <c r="HD125" s="613"/>
      <c r="HE125" s="613"/>
      <c r="HF125" s="613"/>
      <c r="HG125" s="613"/>
      <c r="HH125" s="613"/>
      <c r="HI125" s="613"/>
      <c r="HJ125" s="533"/>
      <c r="HK125" s="533"/>
      <c r="HL125" s="533"/>
      <c r="HM125" s="533"/>
      <c r="HN125" s="613"/>
      <c r="HO125" s="613"/>
      <c r="HP125" s="613"/>
      <c r="HQ125" s="613"/>
      <c r="HR125" s="613"/>
      <c r="HS125" s="613"/>
      <c r="HT125" s="613"/>
      <c r="HU125" s="613"/>
      <c r="HV125" s="613"/>
      <c r="HW125" s="613"/>
      <c r="HX125" s="613"/>
      <c r="HY125" s="613"/>
      <c r="HZ125" s="613"/>
      <c r="IA125" s="613"/>
      <c r="IB125" s="613"/>
      <c r="IC125" s="613"/>
      <c r="ID125" s="613"/>
      <c r="IE125" s="613"/>
      <c r="IF125" s="613"/>
      <c r="IG125" s="613"/>
      <c r="IZ125" s="231"/>
      <c r="JA125" s="231"/>
    </row>
    <row r="126" ht="14.25" customHeight="1">
      <c r="HD126" s="613"/>
      <c r="HE126" s="613"/>
      <c r="HF126" s="613"/>
      <c r="HG126" s="613"/>
      <c r="HH126" s="613"/>
      <c r="HI126" s="613"/>
      <c r="HJ126" s="533"/>
      <c r="HK126" s="533"/>
      <c r="HL126" s="533"/>
      <c r="HM126" s="533"/>
      <c r="HN126" s="613"/>
      <c r="HO126" s="613"/>
      <c r="HP126" s="613"/>
      <c r="HQ126" s="613"/>
      <c r="HR126" s="613"/>
      <c r="HS126" s="613"/>
      <c r="HT126" s="613"/>
      <c r="HU126" s="613"/>
      <c r="HV126" s="613"/>
      <c r="HW126" s="613"/>
      <c r="HX126" s="613"/>
      <c r="HY126" s="613"/>
      <c r="HZ126" s="613"/>
      <c r="IA126" s="613"/>
      <c r="IB126" s="613"/>
      <c r="IC126" s="613"/>
      <c r="ID126" s="613"/>
      <c r="IE126" s="613"/>
      <c r="IF126" s="613"/>
      <c r="IG126" s="613"/>
      <c r="IZ126" s="231"/>
      <c r="JA126" s="231"/>
    </row>
    <row r="127" ht="14.25" customHeight="1">
      <c r="HD127" s="613"/>
      <c r="HE127" s="613"/>
      <c r="HF127" s="613"/>
      <c r="HG127" s="613"/>
      <c r="HH127" s="613"/>
      <c r="HI127" s="613"/>
      <c r="HJ127" s="533"/>
      <c r="HK127" s="533"/>
      <c r="HL127" s="533"/>
      <c r="HM127" s="533"/>
      <c r="HN127" s="613"/>
      <c r="HO127" s="613"/>
      <c r="HP127" s="613"/>
      <c r="HQ127" s="613"/>
      <c r="HR127" s="613"/>
      <c r="HS127" s="613"/>
      <c r="HT127" s="613"/>
      <c r="HU127" s="613"/>
      <c r="HV127" s="613"/>
      <c r="HW127" s="613"/>
      <c r="HX127" s="613"/>
      <c r="HY127" s="613"/>
      <c r="HZ127" s="613"/>
      <c r="IA127" s="613"/>
      <c r="IB127" s="613"/>
      <c r="IC127" s="613"/>
      <c r="ID127" s="613"/>
      <c r="IE127" s="613"/>
      <c r="IF127" s="613"/>
      <c r="IG127" s="613"/>
      <c r="IZ127" s="231"/>
      <c r="JA127" s="231"/>
    </row>
    <row r="128" ht="14.25" customHeight="1">
      <c r="HD128" s="613"/>
      <c r="HE128" s="613"/>
      <c r="HF128" s="613"/>
      <c r="HG128" s="613"/>
      <c r="HH128" s="613"/>
      <c r="HI128" s="613"/>
      <c r="HJ128" s="533"/>
      <c r="HK128" s="533"/>
      <c r="HL128" s="533"/>
      <c r="HM128" s="533"/>
      <c r="HN128" s="613"/>
      <c r="HO128" s="613"/>
      <c r="HP128" s="613"/>
      <c r="HQ128" s="613"/>
      <c r="HR128" s="613"/>
      <c r="HS128" s="613"/>
      <c r="HT128" s="613"/>
      <c r="HU128" s="613"/>
      <c r="HV128" s="613"/>
      <c r="HW128" s="613"/>
      <c r="HX128" s="613"/>
      <c r="HY128" s="613"/>
      <c r="HZ128" s="613"/>
      <c r="IA128" s="613"/>
      <c r="IB128" s="613"/>
      <c r="IC128" s="613"/>
      <c r="ID128" s="613"/>
      <c r="IE128" s="613"/>
      <c r="IF128" s="613"/>
      <c r="IG128" s="613"/>
      <c r="IZ128" s="231"/>
      <c r="JA128" s="231"/>
    </row>
    <row r="129" ht="14.25" customHeight="1">
      <c r="HD129" s="613"/>
      <c r="HE129" s="613"/>
      <c r="HF129" s="613"/>
      <c r="HG129" s="613"/>
      <c r="HH129" s="613"/>
      <c r="HI129" s="613"/>
      <c r="HJ129" s="533"/>
      <c r="HK129" s="533"/>
      <c r="HL129" s="533"/>
      <c r="HM129" s="533"/>
      <c r="HN129" s="613"/>
      <c r="HO129" s="613"/>
      <c r="HP129" s="613"/>
      <c r="HQ129" s="613"/>
      <c r="HR129" s="613"/>
      <c r="HS129" s="613"/>
      <c r="HT129" s="613"/>
      <c r="HU129" s="613"/>
      <c r="HV129" s="613"/>
      <c r="HW129" s="613"/>
      <c r="HX129" s="613"/>
      <c r="HY129" s="613"/>
      <c r="HZ129" s="613"/>
      <c r="IA129" s="613"/>
      <c r="IB129" s="613"/>
      <c r="IC129" s="613"/>
      <c r="ID129" s="613"/>
      <c r="IE129" s="613"/>
      <c r="IF129" s="613"/>
      <c r="IG129" s="613"/>
      <c r="IZ129" s="231"/>
      <c r="JA129" s="231"/>
    </row>
    <row r="130" ht="14.25" customHeight="1">
      <c r="HD130" s="613"/>
      <c r="HE130" s="613"/>
      <c r="HF130" s="613"/>
      <c r="HG130" s="613"/>
      <c r="HH130" s="613"/>
      <c r="HI130" s="613"/>
      <c r="HJ130" s="533"/>
      <c r="HK130" s="533"/>
      <c r="HL130" s="533"/>
      <c r="HM130" s="533"/>
      <c r="HN130" s="613"/>
      <c r="HO130" s="613"/>
      <c r="HP130" s="613"/>
      <c r="HQ130" s="613"/>
      <c r="HR130" s="613"/>
      <c r="HS130" s="613"/>
      <c r="HT130" s="613"/>
      <c r="HU130" s="613"/>
      <c r="HV130" s="613"/>
      <c r="HW130" s="613"/>
      <c r="HX130" s="613"/>
      <c r="HY130" s="613"/>
      <c r="HZ130" s="613"/>
      <c r="IA130" s="613"/>
      <c r="IB130" s="613"/>
      <c r="IC130" s="613"/>
      <c r="ID130" s="613"/>
      <c r="IE130" s="613"/>
      <c r="IF130" s="613"/>
      <c r="IG130" s="613"/>
      <c r="IZ130" s="231"/>
      <c r="JA130" s="231"/>
    </row>
    <row r="131" ht="14.25" customHeight="1">
      <c r="HD131" s="613"/>
      <c r="HE131" s="613"/>
      <c r="HF131" s="613"/>
      <c r="HG131" s="613"/>
      <c r="HH131" s="613"/>
      <c r="HI131" s="613"/>
      <c r="HJ131" s="533"/>
      <c r="HK131" s="533"/>
      <c r="HL131" s="533"/>
      <c r="HM131" s="533"/>
      <c r="HN131" s="613"/>
      <c r="HO131" s="613"/>
      <c r="HP131" s="613"/>
      <c r="HQ131" s="613"/>
      <c r="HR131" s="613"/>
      <c r="HS131" s="613"/>
      <c r="HT131" s="613"/>
      <c r="HU131" s="613"/>
      <c r="HV131" s="613"/>
      <c r="HW131" s="613"/>
      <c r="HX131" s="613"/>
      <c r="HY131" s="613"/>
      <c r="HZ131" s="613"/>
      <c r="IA131" s="613"/>
      <c r="IB131" s="613"/>
      <c r="IC131" s="613"/>
      <c r="ID131" s="613"/>
      <c r="IE131" s="613"/>
      <c r="IF131" s="613"/>
      <c r="IG131" s="613"/>
      <c r="IZ131" s="231"/>
      <c r="JA131" s="231"/>
    </row>
    <row r="132" ht="14.25" customHeight="1">
      <c r="HD132" s="613"/>
      <c r="HE132" s="613"/>
      <c r="HF132" s="613"/>
      <c r="HG132" s="613"/>
      <c r="HH132" s="613"/>
      <c r="HI132" s="613"/>
      <c r="HJ132" s="533"/>
      <c r="HK132" s="533"/>
      <c r="HL132" s="533"/>
      <c r="HM132" s="533"/>
      <c r="HN132" s="613"/>
      <c r="HO132" s="613"/>
      <c r="HP132" s="613"/>
      <c r="HQ132" s="613"/>
      <c r="HR132" s="613"/>
      <c r="HS132" s="613"/>
      <c r="HT132" s="613"/>
      <c r="HU132" s="613"/>
      <c r="HV132" s="613"/>
      <c r="HW132" s="613"/>
      <c r="HX132" s="613"/>
      <c r="HY132" s="613"/>
      <c r="HZ132" s="613"/>
      <c r="IA132" s="613"/>
      <c r="IB132" s="613"/>
      <c r="IC132" s="613"/>
      <c r="ID132" s="613"/>
      <c r="IE132" s="613"/>
      <c r="IF132" s="613"/>
      <c r="IG132" s="613"/>
      <c r="IZ132" s="231"/>
      <c r="JA132" s="231"/>
    </row>
    <row r="133" ht="14.25" customHeight="1">
      <c r="HD133" s="613"/>
      <c r="HE133" s="613"/>
      <c r="HF133" s="613"/>
      <c r="HG133" s="613"/>
      <c r="HH133" s="613"/>
      <c r="HI133" s="613"/>
      <c r="HJ133" s="533"/>
      <c r="HK133" s="533"/>
      <c r="HL133" s="533"/>
      <c r="HM133" s="533"/>
      <c r="HN133" s="613"/>
      <c r="HO133" s="613"/>
      <c r="HP133" s="613"/>
      <c r="HQ133" s="613"/>
      <c r="HR133" s="613"/>
      <c r="HS133" s="613"/>
      <c r="HT133" s="613"/>
      <c r="HU133" s="613"/>
      <c r="HV133" s="613"/>
      <c r="HW133" s="613"/>
      <c r="HX133" s="613"/>
      <c r="HY133" s="613"/>
      <c r="HZ133" s="613"/>
      <c r="IA133" s="613"/>
      <c r="IB133" s="613"/>
      <c r="IC133" s="613"/>
      <c r="ID133" s="613"/>
      <c r="IE133" s="613"/>
      <c r="IF133" s="613"/>
      <c r="IG133" s="613"/>
      <c r="IZ133" s="231"/>
      <c r="JA133" s="231"/>
    </row>
    <row r="134" ht="14.25" customHeight="1">
      <c r="HD134" s="613"/>
      <c r="HE134" s="613"/>
      <c r="HF134" s="613"/>
      <c r="HG134" s="613"/>
      <c r="HH134" s="613"/>
      <c r="HI134" s="613"/>
      <c r="HJ134" s="533"/>
      <c r="HK134" s="533"/>
      <c r="HL134" s="533"/>
      <c r="HM134" s="533"/>
      <c r="HN134" s="613"/>
      <c r="HO134" s="613"/>
      <c r="HP134" s="613"/>
      <c r="HQ134" s="613"/>
      <c r="HR134" s="613"/>
      <c r="HS134" s="613"/>
      <c r="HT134" s="613"/>
      <c r="HU134" s="613"/>
      <c r="HV134" s="613"/>
      <c r="HW134" s="613"/>
      <c r="HX134" s="613"/>
      <c r="HY134" s="613"/>
      <c r="HZ134" s="613"/>
      <c r="IA134" s="613"/>
      <c r="IB134" s="613"/>
      <c r="IC134" s="613"/>
      <c r="ID134" s="613"/>
      <c r="IE134" s="613"/>
      <c r="IF134" s="613"/>
      <c r="IG134" s="613"/>
      <c r="IZ134" s="231"/>
      <c r="JA134" s="231"/>
    </row>
    <row r="135" ht="14.25" customHeight="1">
      <c r="HD135" s="613"/>
      <c r="HE135" s="613"/>
      <c r="HF135" s="613"/>
      <c r="HG135" s="613"/>
      <c r="HH135" s="613"/>
      <c r="HI135" s="613"/>
      <c r="HJ135" s="533"/>
      <c r="HK135" s="533"/>
      <c r="HL135" s="533"/>
      <c r="HM135" s="533"/>
      <c r="HN135" s="613"/>
      <c r="HO135" s="613"/>
      <c r="HP135" s="613"/>
      <c r="HQ135" s="613"/>
      <c r="HR135" s="613"/>
      <c r="HS135" s="613"/>
      <c r="HT135" s="613"/>
      <c r="HU135" s="613"/>
      <c r="HV135" s="613"/>
      <c r="HW135" s="613"/>
      <c r="HX135" s="613"/>
      <c r="HY135" s="613"/>
      <c r="HZ135" s="613"/>
      <c r="IA135" s="613"/>
      <c r="IB135" s="613"/>
      <c r="IC135" s="613"/>
      <c r="ID135" s="613"/>
      <c r="IE135" s="613"/>
      <c r="IF135" s="613"/>
      <c r="IG135" s="613"/>
      <c r="IZ135" s="231"/>
      <c r="JA135" s="231"/>
    </row>
    <row r="136" ht="14.25" customHeight="1">
      <c r="HD136" s="613"/>
      <c r="HE136" s="613"/>
      <c r="HF136" s="613"/>
      <c r="HG136" s="613"/>
      <c r="HH136" s="613"/>
      <c r="HI136" s="613"/>
      <c r="HJ136" s="533"/>
      <c r="HK136" s="533"/>
      <c r="HL136" s="533"/>
      <c r="HM136" s="533"/>
      <c r="HN136" s="613"/>
      <c r="HO136" s="613"/>
      <c r="HP136" s="613"/>
      <c r="HQ136" s="613"/>
      <c r="HR136" s="613"/>
      <c r="HS136" s="613"/>
      <c r="HT136" s="613"/>
      <c r="HU136" s="613"/>
      <c r="HV136" s="613"/>
      <c r="HW136" s="613"/>
      <c r="HX136" s="613"/>
      <c r="HY136" s="613"/>
      <c r="HZ136" s="613"/>
      <c r="IA136" s="613"/>
      <c r="IB136" s="613"/>
      <c r="IC136" s="613"/>
      <c r="ID136" s="613"/>
      <c r="IE136" s="613"/>
      <c r="IF136" s="613"/>
      <c r="IG136" s="613"/>
      <c r="IZ136" s="231"/>
      <c r="JA136" s="231"/>
    </row>
    <row r="137" ht="14.25" customHeight="1">
      <c r="HD137" s="613"/>
      <c r="HE137" s="613"/>
      <c r="HF137" s="613"/>
      <c r="HG137" s="613"/>
      <c r="HH137" s="613"/>
      <c r="HI137" s="613"/>
      <c r="HJ137" s="533"/>
      <c r="HK137" s="533"/>
      <c r="HL137" s="533"/>
      <c r="HM137" s="533"/>
      <c r="HN137" s="613"/>
      <c r="HO137" s="613"/>
      <c r="HP137" s="613"/>
      <c r="HQ137" s="613"/>
      <c r="HR137" s="613"/>
      <c r="HS137" s="613"/>
      <c r="HT137" s="613"/>
      <c r="HU137" s="613"/>
      <c r="HV137" s="613"/>
      <c r="HW137" s="613"/>
      <c r="HX137" s="613"/>
      <c r="HY137" s="613"/>
      <c r="HZ137" s="613"/>
      <c r="IA137" s="613"/>
      <c r="IB137" s="613"/>
      <c r="IC137" s="613"/>
      <c r="ID137" s="613"/>
      <c r="IE137" s="613"/>
      <c r="IF137" s="613"/>
      <c r="IG137" s="613"/>
      <c r="IZ137" s="231"/>
      <c r="JA137" s="231"/>
    </row>
    <row r="138" ht="14.25" customHeight="1">
      <c r="HD138" s="613"/>
      <c r="HE138" s="613"/>
      <c r="HF138" s="613"/>
      <c r="HG138" s="613"/>
      <c r="HH138" s="613"/>
      <c r="HI138" s="613"/>
      <c r="HJ138" s="533"/>
      <c r="HK138" s="533"/>
      <c r="HL138" s="533"/>
      <c r="HM138" s="533"/>
      <c r="HN138" s="613"/>
      <c r="HO138" s="613"/>
      <c r="HP138" s="613"/>
      <c r="HQ138" s="613"/>
      <c r="HR138" s="613"/>
      <c r="HS138" s="613"/>
      <c r="HT138" s="613"/>
      <c r="HU138" s="613"/>
      <c r="HV138" s="613"/>
      <c r="HW138" s="613"/>
      <c r="HX138" s="613"/>
      <c r="HY138" s="613"/>
      <c r="HZ138" s="613"/>
      <c r="IA138" s="613"/>
      <c r="IB138" s="613"/>
      <c r="IC138" s="613"/>
      <c r="ID138" s="613"/>
      <c r="IE138" s="613"/>
      <c r="IF138" s="613"/>
      <c r="IG138" s="613"/>
      <c r="IZ138" s="231"/>
      <c r="JA138" s="231"/>
    </row>
    <row r="139" ht="14.25" customHeight="1">
      <c r="HD139" s="613"/>
      <c r="HE139" s="613"/>
      <c r="HF139" s="613"/>
      <c r="HG139" s="613"/>
      <c r="HH139" s="613"/>
      <c r="HI139" s="613"/>
      <c r="HJ139" s="533"/>
      <c r="HK139" s="533"/>
      <c r="HL139" s="533"/>
      <c r="HM139" s="533"/>
      <c r="HN139" s="613"/>
      <c r="HO139" s="613"/>
      <c r="HP139" s="613"/>
      <c r="HQ139" s="613"/>
      <c r="HR139" s="613"/>
      <c r="HS139" s="613"/>
      <c r="HT139" s="613"/>
      <c r="HU139" s="613"/>
      <c r="HV139" s="613"/>
      <c r="HW139" s="613"/>
      <c r="HX139" s="613"/>
      <c r="HY139" s="613"/>
      <c r="HZ139" s="613"/>
      <c r="IA139" s="613"/>
      <c r="IB139" s="613"/>
      <c r="IC139" s="613"/>
      <c r="ID139" s="613"/>
      <c r="IE139" s="613"/>
      <c r="IF139" s="613"/>
      <c r="IG139" s="613"/>
      <c r="IZ139" s="231"/>
      <c r="JA139" s="231"/>
    </row>
    <row r="140" ht="14.25" customHeight="1">
      <c r="HD140" s="613"/>
      <c r="HE140" s="613"/>
      <c r="HF140" s="613"/>
      <c r="HG140" s="613"/>
      <c r="HH140" s="613"/>
      <c r="HI140" s="613"/>
      <c r="HJ140" s="533"/>
      <c r="HK140" s="533"/>
      <c r="HL140" s="533"/>
      <c r="HM140" s="533"/>
      <c r="HN140" s="613"/>
      <c r="HO140" s="613"/>
      <c r="HP140" s="613"/>
      <c r="HQ140" s="613"/>
      <c r="HR140" s="613"/>
      <c r="HS140" s="613"/>
      <c r="HT140" s="613"/>
      <c r="HU140" s="613"/>
      <c r="HV140" s="613"/>
      <c r="HW140" s="613"/>
      <c r="HX140" s="613"/>
      <c r="HY140" s="613"/>
      <c r="HZ140" s="613"/>
      <c r="IA140" s="613"/>
      <c r="IB140" s="613"/>
      <c r="IC140" s="613"/>
      <c r="ID140" s="613"/>
      <c r="IE140" s="613"/>
      <c r="IF140" s="613"/>
      <c r="IG140" s="613"/>
      <c r="IZ140" s="231"/>
      <c r="JA140" s="231"/>
    </row>
    <row r="141" ht="14.25" customHeight="1">
      <c r="HD141" s="613"/>
      <c r="HE141" s="613"/>
      <c r="HF141" s="613"/>
      <c r="HG141" s="613"/>
      <c r="HH141" s="613"/>
      <c r="HI141" s="613"/>
      <c r="HJ141" s="533"/>
      <c r="HK141" s="533"/>
      <c r="HL141" s="533"/>
      <c r="HM141" s="533"/>
      <c r="HN141" s="613"/>
      <c r="HO141" s="613"/>
      <c r="HP141" s="613"/>
      <c r="HQ141" s="613"/>
      <c r="HR141" s="613"/>
      <c r="HS141" s="613"/>
      <c r="HT141" s="613"/>
      <c r="HU141" s="613"/>
      <c r="HV141" s="613"/>
      <c r="HW141" s="613"/>
      <c r="HX141" s="613"/>
      <c r="HY141" s="613"/>
      <c r="HZ141" s="613"/>
      <c r="IA141" s="613"/>
      <c r="IB141" s="613"/>
      <c r="IC141" s="613"/>
      <c r="ID141" s="613"/>
      <c r="IE141" s="613"/>
      <c r="IF141" s="613"/>
      <c r="IG141" s="613"/>
      <c r="IZ141" s="231"/>
      <c r="JA141" s="231"/>
    </row>
    <row r="142" ht="14.25" customHeight="1">
      <c r="HD142" s="613"/>
      <c r="HE142" s="613"/>
      <c r="HF142" s="613"/>
      <c r="HG142" s="613"/>
      <c r="HH142" s="613"/>
      <c r="HI142" s="613"/>
      <c r="HJ142" s="533"/>
      <c r="HK142" s="533"/>
      <c r="HL142" s="533"/>
      <c r="HM142" s="533"/>
      <c r="HN142" s="613"/>
      <c r="HO142" s="613"/>
      <c r="HP142" s="613"/>
      <c r="HQ142" s="613"/>
      <c r="HR142" s="613"/>
      <c r="HS142" s="613"/>
      <c r="HT142" s="613"/>
      <c r="HU142" s="613"/>
      <c r="HV142" s="613"/>
      <c r="HW142" s="613"/>
      <c r="HX142" s="613"/>
      <c r="HY142" s="613"/>
      <c r="HZ142" s="613"/>
      <c r="IA142" s="613"/>
      <c r="IB142" s="613"/>
      <c r="IC142" s="613"/>
      <c r="ID142" s="613"/>
      <c r="IE142" s="613"/>
      <c r="IF142" s="613"/>
      <c r="IG142" s="613"/>
      <c r="IZ142" s="231"/>
      <c r="JA142" s="231"/>
    </row>
    <row r="143" ht="14.25" customHeight="1">
      <c r="HD143" s="613"/>
      <c r="HE143" s="613"/>
      <c r="HF143" s="613"/>
      <c r="HG143" s="613"/>
      <c r="HH143" s="613"/>
      <c r="HI143" s="613"/>
      <c r="HJ143" s="533"/>
      <c r="HK143" s="533"/>
      <c r="HL143" s="533"/>
      <c r="HM143" s="533"/>
      <c r="HN143" s="613"/>
      <c r="HO143" s="613"/>
      <c r="HP143" s="613"/>
      <c r="HQ143" s="613"/>
      <c r="HR143" s="613"/>
      <c r="HS143" s="613"/>
      <c r="HT143" s="613"/>
      <c r="HU143" s="613"/>
      <c r="HV143" s="613"/>
      <c r="HW143" s="613"/>
      <c r="HX143" s="613"/>
      <c r="HY143" s="613"/>
      <c r="HZ143" s="613"/>
      <c r="IA143" s="613"/>
      <c r="IB143" s="613"/>
      <c r="IC143" s="613"/>
      <c r="ID143" s="613"/>
      <c r="IE143" s="613"/>
      <c r="IF143" s="613"/>
      <c r="IG143" s="613"/>
      <c r="IZ143" s="231"/>
      <c r="JA143" s="231"/>
    </row>
    <row r="144" ht="14.25" customHeight="1">
      <c r="HD144" s="613"/>
      <c r="HE144" s="613"/>
      <c r="HF144" s="613"/>
      <c r="HG144" s="613"/>
      <c r="HH144" s="613"/>
      <c r="HI144" s="613"/>
      <c r="HJ144" s="533"/>
      <c r="HK144" s="533"/>
      <c r="HL144" s="533"/>
      <c r="HM144" s="533"/>
      <c r="HN144" s="613"/>
      <c r="HO144" s="613"/>
      <c r="HP144" s="613"/>
      <c r="HQ144" s="613"/>
      <c r="HR144" s="613"/>
      <c r="HS144" s="613"/>
      <c r="HT144" s="613"/>
      <c r="HU144" s="613"/>
      <c r="HV144" s="613"/>
      <c r="HW144" s="613"/>
      <c r="HX144" s="613"/>
      <c r="HY144" s="613"/>
      <c r="HZ144" s="613"/>
      <c r="IA144" s="613"/>
      <c r="IB144" s="613"/>
      <c r="IC144" s="613"/>
      <c r="ID144" s="613"/>
      <c r="IE144" s="613"/>
      <c r="IF144" s="613"/>
      <c r="IG144" s="613"/>
      <c r="IZ144" s="231"/>
      <c r="JA144" s="231"/>
    </row>
    <row r="145" ht="14.25" customHeight="1">
      <c r="HD145" s="613"/>
      <c r="HE145" s="613"/>
      <c r="HF145" s="613"/>
      <c r="HG145" s="613"/>
      <c r="HH145" s="613"/>
      <c r="HI145" s="613"/>
      <c r="HJ145" s="533"/>
      <c r="HK145" s="533"/>
      <c r="HL145" s="533"/>
      <c r="HM145" s="533"/>
      <c r="HN145" s="613"/>
      <c r="HO145" s="613"/>
      <c r="HP145" s="613"/>
      <c r="HQ145" s="613"/>
      <c r="HR145" s="613"/>
      <c r="HS145" s="613"/>
      <c r="HT145" s="613"/>
      <c r="HU145" s="613"/>
      <c r="HV145" s="613"/>
      <c r="HW145" s="613"/>
      <c r="HX145" s="613"/>
      <c r="HY145" s="613"/>
      <c r="HZ145" s="613"/>
      <c r="IA145" s="613"/>
      <c r="IB145" s="613"/>
      <c r="IC145" s="613"/>
      <c r="ID145" s="613"/>
      <c r="IE145" s="613"/>
      <c r="IF145" s="613"/>
      <c r="IG145" s="613"/>
      <c r="IZ145" s="231"/>
      <c r="JA145" s="231"/>
    </row>
    <row r="146" ht="14.25" customHeight="1">
      <c r="HD146" s="613"/>
      <c r="HE146" s="613"/>
      <c r="HF146" s="613"/>
      <c r="HG146" s="613"/>
      <c r="HH146" s="613"/>
      <c r="HI146" s="613"/>
      <c r="HJ146" s="533"/>
      <c r="HK146" s="533"/>
      <c r="HL146" s="533"/>
      <c r="HM146" s="533"/>
      <c r="HN146" s="613"/>
      <c r="HO146" s="613"/>
      <c r="HP146" s="613"/>
      <c r="HQ146" s="613"/>
      <c r="HR146" s="613"/>
      <c r="HS146" s="613"/>
      <c r="HT146" s="613"/>
      <c r="HU146" s="613"/>
      <c r="HV146" s="613"/>
      <c r="HW146" s="613"/>
      <c r="HX146" s="613"/>
      <c r="HY146" s="613"/>
      <c r="HZ146" s="613"/>
      <c r="IA146" s="613"/>
      <c r="IB146" s="613"/>
      <c r="IC146" s="613"/>
      <c r="ID146" s="613"/>
      <c r="IE146" s="613"/>
      <c r="IF146" s="613"/>
      <c r="IG146" s="613"/>
      <c r="IZ146" s="231"/>
      <c r="JA146" s="231"/>
    </row>
    <row r="147" ht="14.25" customHeight="1">
      <c r="HD147" s="613"/>
      <c r="HE147" s="613"/>
      <c r="HF147" s="613"/>
      <c r="HG147" s="613"/>
      <c r="HH147" s="613"/>
      <c r="HI147" s="613"/>
      <c r="HJ147" s="533"/>
      <c r="HK147" s="533"/>
      <c r="HL147" s="533"/>
      <c r="HM147" s="533"/>
      <c r="HN147" s="613"/>
      <c r="HO147" s="613"/>
      <c r="HP147" s="613"/>
      <c r="HQ147" s="613"/>
      <c r="HR147" s="613"/>
      <c r="HS147" s="613"/>
      <c r="HT147" s="613"/>
      <c r="HU147" s="613"/>
      <c r="HV147" s="613"/>
      <c r="HW147" s="613"/>
      <c r="HX147" s="613"/>
      <c r="HY147" s="613"/>
      <c r="HZ147" s="613"/>
      <c r="IA147" s="613"/>
      <c r="IB147" s="613"/>
      <c r="IC147" s="613"/>
      <c r="ID147" s="613"/>
      <c r="IE147" s="613"/>
      <c r="IF147" s="613"/>
      <c r="IG147" s="613"/>
      <c r="IZ147" s="231"/>
      <c r="JA147" s="231"/>
    </row>
    <row r="148" ht="14.25" customHeight="1">
      <c r="HD148" s="613"/>
      <c r="HE148" s="613"/>
      <c r="HF148" s="613"/>
      <c r="HG148" s="613"/>
      <c r="HH148" s="613"/>
      <c r="HI148" s="613"/>
      <c r="HJ148" s="533"/>
      <c r="HK148" s="533"/>
      <c r="HL148" s="533"/>
      <c r="HM148" s="533"/>
      <c r="HN148" s="613"/>
      <c r="HO148" s="613"/>
      <c r="HP148" s="613"/>
      <c r="HQ148" s="613"/>
      <c r="HR148" s="613"/>
      <c r="HS148" s="613"/>
      <c r="HT148" s="613"/>
      <c r="HU148" s="613"/>
      <c r="HV148" s="613"/>
      <c r="HW148" s="613"/>
      <c r="HX148" s="613"/>
      <c r="HY148" s="613"/>
      <c r="HZ148" s="613"/>
      <c r="IA148" s="613"/>
      <c r="IB148" s="613"/>
      <c r="IC148" s="613"/>
      <c r="ID148" s="613"/>
      <c r="IE148" s="613"/>
      <c r="IF148" s="613"/>
      <c r="IG148" s="613"/>
      <c r="IZ148" s="231"/>
      <c r="JA148" s="231"/>
    </row>
    <row r="149" ht="14.25" customHeight="1">
      <c r="HD149" s="613"/>
      <c r="HE149" s="613"/>
      <c r="HF149" s="613"/>
      <c r="HG149" s="613"/>
      <c r="HH149" s="613"/>
      <c r="HI149" s="613"/>
      <c r="HJ149" s="533"/>
      <c r="HK149" s="533"/>
      <c r="HL149" s="533"/>
      <c r="HM149" s="533"/>
      <c r="HN149" s="613"/>
      <c r="HO149" s="613"/>
      <c r="HP149" s="613"/>
      <c r="HQ149" s="613"/>
      <c r="HR149" s="613"/>
      <c r="HS149" s="613"/>
      <c r="HT149" s="613"/>
      <c r="HU149" s="613"/>
      <c r="HV149" s="613"/>
      <c r="HW149" s="613"/>
      <c r="HX149" s="613"/>
      <c r="HY149" s="613"/>
      <c r="HZ149" s="613"/>
      <c r="IA149" s="613"/>
      <c r="IB149" s="613"/>
      <c r="IC149" s="613"/>
      <c r="ID149" s="613"/>
      <c r="IE149" s="613"/>
      <c r="IF149" s="613"/>
      <c r="IG149" s="613"/>
      <c r="IZ149" s="231"/>
      <c r="JA149" s="231"/>
    </row>
    <row r="150" ht="14.25" customHeight="1">
      <c r="HD150" s="613"/>
      <c r="HE150" s="613"/>
      <c r="HF150" s="613"/>
      <c r="HG150" s="613"/>
      <c r="HH150" s="613"/>
      <c r="HI150" s="613"/>
      <c r="HJ150" s="533"/>
      <c r="HK150" s="533"/>
      <c r="HL150" s="533"/>
      <c r="HM150" s="533"/>
      <c r="HN150" s="613"/>
      <c r="HO150" s="613"/>
      <c r="HP150" s="613"/>
      <c r="HQ150" s="613"/>
      <c r="HR150" s="613"/>
      <c r="HS150" s="613"/>
      <c r="HT150" s="613"/>
      <c r="HU150" s="613"/>
      <c r="HV150" s="613"/>
      <c r="HW150" s="613"/>
      <c r="HX150" s="613"/>
      <c r="HY150" s="613"/>
      <c r="HZ150" s="613"/>
      <c r="IA150" s="613"/>
      <c r="IB150" s="613"/>
      <c r="IC150" s="613"/>
      <c r="ID150" s="613"/>
      <c r="IE150" s="613"/>
      <c r="IF150" s="613"/>
      <c r="IG150" s="613"/>
      <c r="IZ150" s="231"/>
      <c r="JA150" s="231"/>
    </row>
    <row r="151" ht="14.25" customHeight="1">
      <c r="HD151" s="613"/>
      <c r="HE151" s="613"/>
      <c r="HF151" s="613"/>
      <c r="HG151" s="613"/>
      <c r="HH151" s="613"/>
      <c r="HI151" s="613"/>
      <c r="HJ151" s="533"/>
      <c r="HK151" s="533"/>
      <c r="HL151" s="533"/>
      <c r="HM151" s="533"/>
      <c r="HN151" s="613"/>
      <c r="HO151" s="613"/>
      <c r="HP151" s="613"/>
      <c r="HQ151" s="613"/>
      <c r="HR151" s="613"/>
      <c r="HS151" s="613"/>
      <c r="HT151" s="613"/>
      <c r="HU151" s="613"/>
      <c r="HV151" s="613"/>
      <c r="HW151" s="613"/>
      <c r="HX151" s="613"/>
      <c r="HY151" s="613"/>
      <c r="HZ151" s="613"/>
      <c r="IA151" s="613"/>
      <c r="IB151" s="613"/>
      <c r="IC151" s="613"/>
      <c r="ID151" s="613"/>
      <c r="IE151" s="613"/>
      <c r="IF151" s="613"/>
      <c r="IG151" s="613"/>
      <c r="IZ151" s="231"/>
      <c r="JA151" s="231"/>
    </row>
    <row r="152" ht="14.25" customHeight="1">
      <c r="HD152" s="613"/>
      <c r="HE152" s="613"/>
      <c r="HF152" s="613"/>
      <c r="HG152" s="613"/>
      <c r="HH152" s="613"/>
      <c r="HI152" s="613"/>
      <c r="HJ152" s="533"/>
      <c r="HK152" s="533"/>
      <c r="HL152" s="533"/>
      <c r="HM152" s="533"/>
      <c r="HN152" s="613"/>
      <c r="HO152" s="613"/>
      <c r="HP152" s="613"/>
      <c r="HQ152" s="613"/>
      <c r="HR152" s="613"/>
      <c r="HS152" s="613"/>
      <c r="HT152" s="613"/>
      <c r="HU152" s="613"/>
      <c r="HV152" s="613"/>
      <c r="HW152" s="613"/>
      <c r="HX152" s="613"/>
      <c r="HY152" s="613"/>
      <c r="HZ152" s="613"/>
      <c r="IA152" s="613"/>
      <c r="IB152" s="613"/>
      <c r="IC152" s="613"/>
      <c r="ID152" s="613"/>
      <c r="IE152" s="613"/>
      <c r="IF152" s="613"/>
      <c r="IG152" s="613"/>
      <c r="IZ152" s="231"/>
      <c r="JA152" s="231"/>
    </row>
    <row r="153" ht="14.25" customHeight="1">
      <c r="HD153" s="613"/>
      <c r="HE153" s="613"/>
      <c r="HF153" s="613"/>
      <c r="HG153" s="613"/>
      <c r="HH153" s="613"/>
      <c r="HI153" s="613"/>
      <c r="HJ153" s="533"/>
      <c r="HK153" s="533"/>
      <c r="HL153" s="533"/>
      <c r="HM153" s="533"/>
      <c r="HN153" s="613"/>
      <c r="HO153" s="613"/>
      <c r="HP153" s="613"/>
      <c r="HQ153" s="613"/>
      <c r="HR153" s="613"/>
      <c r="HS153" s="613"/>
      <c r="HT153" s="613"/>
      <c r="HU153" s="613"/>
      <c r="HV153" s="613"/>
      <c r="HW153" s="613"/>
      <c r="HX153" s="613"/>
      <c r="HY153" s="613"/>
      <c r="HZ153" s="613"/>
      <c r="IA153" s="613"/>
      <c r="IB153" s="613"/>
      <c r="IC153" s="613"/>
      <c r="ID153" s="613"/>
      <c r="IE153" s="613"/>
      <c r="IF153" s="613"/>
      <c r="IG153" s="613"/>
      <c r="IZ153" s="231"/>
      <c r="JA153" s="231"/>
    </row>
    <row r="154" ht="14.25" customHeight="1">
      <c r="HD154" s="613"/>
      <c r="HE154" s="613"/>
      <c r="HF154" s="613"/>
      <c r="HG154" s="613"/>
      <c r="HH154" s="613"/>
      <c r="HI154" s="613"/>
      <c r="HJ154" s="533"/>
      <c r="HK154" s="533"/>
      <c r="HL154" s="533"/>
      <c r="HM154" s="533"/>
      <c r="HN154" s="613"/>
      <c r="HO154" s="613"/>
      <c r="HP154" s="613"/>
      <c r="HQ154" s="613"/>
      <c r="HR154" s="613"/>
      <c r="HS154" s="613"/>
      <c r="HT154" s="613"/>
      <c r="HU154" s="613"/>
      <c r="HV154" s="613"/>
      <c r="HW154" s="613"/>
      <c r="HX154" s="613"/>
      <c r="HY154" s="613"/>
      <c r="HZ154" s="613"/>
      <c r="IA154" s="613"/>
      <c r="IB154" s="613"/>
      <c r="IC154" s="613"/>
      <c r="ID154" s="613"/>
      <c r="IE154" s="613"/>
      <c r="IF154" s="613"/>
      <c r="IG154" s="613"/>
      <c r="IZ154" s="231"/>
      <c r="JA154" s="231"/>
    </row>
    <row r="155" ht="14.25" customHeight="1">
      <c r="HD155" s="613"/>
      <c r="HE155" s="613"/>
      <c r="HF155" s="613"/>
      <c r="HG155" s="613"/>
      <c r="HH155" s="613"/>
      <c r="HI155" s="613"/>
      <c r="HJ155" s="533"/>
      <c r="HK155" s="533"/>
      <c r="HL155" s="533"/>
      <c r="HM155" s="533"/>
      <c r="HN155" s="613"/>
      <c r="HO155" s="613"/>
      <c r="HP155" s="613"/>
      <c r="HQ155" s="613"/>
      <c r="HR155" s="613"/>
      <c r="HS155" s="613"/>
      <c r="HT155" s="613"/>
      <c r="HU155" s="613"/>
      <c r="HV155" s="613"/>
      <c r="HW155" s="613"/>
      <c r="HX155" s="613"/>
      <c r="HY155" s="613"/>
      <c r="HZ155" s="613"/>
      <c r="IA155" s="613"/>
      <c r="IB155" s="613"/>
      <c r="IC155" s="613"/>
      <c r="ID155" s="613"/>
      <c r="IE155" s="613"/>
      <c r="IF155" s="613"/>
      <c r="IG155" s="613"/>
      <c r="IZ155" s="231"/>
      <c r="JA155" s="231"/>
    </row>
    <row r="156" ht="14.25" customHeight="1">
      <c r="HD156" s="613"/>
      <c r="HE156" s="613"/>
      <c r="HF156" s="613"/>
      <c r="HG156" s="613"/>
      <c r="HH156" s="613"/>
      <c r="HI156" s="613"/>
      <c r="HJ156" s="533"/>
      <c r="HK156" s="533"/>
      <c r="HL156" s="533"/>
      <c r="HM156" s="533"/>
      <c r="HN156" s="613"/>
      <c r="HO156" s="613"/>
      <c r="HP156" s="613"/>
      <c r="HQ156" s="613"/>
      <c r="HR156" s="613"/>
      <c r="HS156" s="613"/>
      <c r="HT156" s="613"/>
      <c r="HU156" s="613"/>
      <c r="HV156" s="613"/>
      <c r="HW156" s="613"/>
      <c r="HX156" s="613"/>
      <c r="HY156" s="613"/>
      <c r="HZ156" s="613"/>
      <c r="IA156" s="613"/>
      <c r="IB156" s="613"/>
      <c r="IC156" s="613"/>
      <c r="ID156" s="613"/>
      <c r="IE156" s="613"/>
      <c r="IF156" s="613"/>
      <c r="IG156" s="613"/>
      <c r="IZ156" s="231"/>
      <c r="JA156" s="231"/>
    </row>
    <row r="157" ht="14.25" customHeight="1">
      <c r="HD157" s="613"/>
      <c r="HE157" s="613"/>
      <c r="HF157" s="613"/>
      <c r="HG157" s="613"/>
      <c r="HH157" s="613"/>
      <c r="HI157" s="613"/>
      <c r="HJ157" s="533"/>
      <c r="HK157" s="533"/>
      <c r="HL157" s="533"/>
      <c r="HM157" s="533"/>
      <c r="HN157" s="613"/>
      <c r="HO157" s="613"/>
      <c r="HP157" s="613"/>
      <c r="HQ157" s="613"/>
      <c r="HR157" s="613"/>
      <c r="HS157" s="613"/>
      <c r="HT157" s="613"/>
      <c r="HU157" s="613"/>
      <c r="HV157" s="613"/>
      <c r="HW157" s="613"/>
      <c r="HX157" s="613"/>
      <c r="HY157" s="613"/>
      <c r="HZ157" s="613"/>
      <c r="IA157" s="613"/>
      <c r="IB157" s="613"/>
      <c r="IC157" s="613"/>
      <c r="ID157" s="613"/>
      <c r="IE157" s="613"/>
      <c r="IF157" s="613"/>
      <c r="IG157" s="613"/>
      <c r="IZ157" s="231"/>
      <c r="JA157" s="231"/>
    </row>
    <row r="158" ht="14.25" customHeight="1">
      <c r="HD158" s="613"/>
      <c r="HE158" s="613"/>
      <c r="HF158" s="613"/>
      <c r="HG158" s="613"/>
      <c r="HH158" s="613"/>
      <c r="HI158" s="613"/>
      <c r="HJ158" s="533"/>
      <c r="HK158" s="533"/>
      <c r="HL158" s="533"/>
      <c r="HM158" s="533"/>
      <c r="HN158" s="613"/>
      <c r="HO158" s="613"/>
      <c r="HP158" s="613"/>
      <c r="HQ158" s="613"/>
      <c r="HR158" s="613"/>
      <c r="HS158" s="613"/>
      <c r="HT158" s="613"/>
      <c r="HU158" s="613"/>
      <c r="HV158" s="613"/>
      <c r="HW158" s="613"/>
      <c r="HX158" s="613"/>
      <c r="HY158" s="613"/>
      <c r="HZ158" s="613"/>
      <c r="IA158" s="613"/>
      <c r="IB158" s="613"/>
      <c r="IC158" s="613"/>
      <c r="ID158" s="613"/>
      <c r="IE158" s="613"/>
      <c r="IF158" s="613"/>
      <c r="IG158" s="613"/>
      <c r="IZ158" s="231"/>
      <c r="JA158" s="231"/>
    </row>
    <row r="159" ht="14.25" customHeight="1">
      <c r="HD159" s="613"/>
      <c r="HE159" s="613"/>
      <c r="HF159" s="613"/>
      <c r="HG159" s="613"/>
      <c r="HH159" s="613"/>
      <c r="HI159" s="613"/>
      <c r="HJ159" s="533"/>
      <c r="HK159" s="533"/>
      <c r="HL159" s="533"/>
      <c r="HM159" s="533"/>
      <c r="HN159" s="613"/>
      <c r="HO159" s="613"/>
      <c r="HP159" s="613"/>
      <c r="HQ159" s="613"/>
      <c r="HR159" s="613"/>
      <c r="HS159" s="613"/>
      <c r="HT159" s="613"/>
      <c r="HU159" s="613"/>
      <c r="HV159" s="613"/>
      <c r="HW159" s="613"/>
      <c r="HX159" s="613"/>
      <c r="HY159" s="613"/>
      <c r="HZ159" s="613"/>
      <c r="IA159" s="613"/>
      <c r="IB159" s="613"/>
      <c r="IC159" s="613"/>
      <c r="ID159" s="613"/>
      <c r="IE159" s="613"/>
      <c r="IF159" s="613"/>
      <c r="IG159" s="613"/>
      <c r="IZ159" s="231"/>
      <c r="JA159" s="231"/>
    </row>
    <row r="160" ht="14.25" customHeight="1">
      <c r="HD160" s="613"/>
      <c r="HE160" s="613"/>
      <c r="HF160" s="613"/>
      <c r="HG160" s="613"/>
      <c r="HH160" s="613"/>
      <c r="HI160" s="613"/>
      <c r="HJ160" s="533"/>
      <c r="HK160" s="533"/>
      <c r="HL160" s="533"/>
      <c r="HM160" s="533"/>
      <c r="HN160" s="613"/>
      <c r="HO160" s="613"/>
      <c r="HP160" s="613"/>
      <c r="HQ160" s="613"/>
      <c r="HR160" s="613"/>
      <c r="HS160" s="613"/>
      <c r="HT160" s="613"/>
      <c r="HU160" s="613"/>
      <c r="HV160" s="613"/>
      <c r="HW160" s="613"/>
      <c r="HX160" s="613"/>
      <c r="HY160" s="613"/>
      <c r="HZ160" s="613"/>
      <c r="IA160" s="613"/>
      <c r="IB160" s="613"/>
      <c r="IC160" s="613"/>
      <c r="ID160" s="613"/>
      <c r="IE160" s="613"/>
      <c r="IF160" s="613"/>
      <c r="IG160" s="613"/>
      <c r="IZ160" s="231"/>
      <c r="JA160" s="231"/>
    </row>
    <row r="161" ht="14.25" customHeight="1">
      <c r="HD161" s="613"/>
      <c r="HE161" s="613"/>
      <c r="HF161" s="613"/>
      <c r="HG161" s="613"/>
      <c r="HH161" s="613"/>
      <c r="HI161" s="613"/>
      <c r="HJ161" s="533"/>
      <c r="HK161" s="533"/>
      <c r="HL161" s="533"/>
      <c r="HM161" s="533"/>
      <c r="HN161" s="613"/>
      <c r="HO161" s="613"/>
      <c r="HP161" s="613"/>
      <c r="HQ161" s="613"/>
      <c r="HR161" s="613"/>
      <c r="HS161" s="613"/>
      <c r="HT161" s="613"/>
      <c r="HU161" s="613"/>
      <c r="HV161" s="613"/>
      <c r="HW161" s="613"/>
      <c r="HX161" s="613"/>
      <c r="HY161" s="613"/>
      <c r="HZ161" s="613"/>
      <c r="IA161" s="613"/>
      <c r="IB161" s="613"/>
      <c r="IC161" s="613"/>
      <c r="ID161" s="613"/>
      <c r="IE161" s="613"/>
      <c r="IF161" s="613"/>
      <c r="IG161" s="613"/>
      <c r="IZ161" s="231"/>
      <c r="JA161" s="231"/>
    </row>
    <row r="162" ht="14.25" customHeight="1">
      <c r="HD162" s="613"/>
      <c r="HE162" s="613"/>
      <c r="HF162" s="613"/>
      <c r="HG162" s="613"/>
      <c r="HH162" s="613"/>
      <c r="HI162" s="613"/>
      <c r="HJ162" s="533"/>
      <c r="HK162" s="533"/>
      <c r="HL162" s="533"/>
      <c r="HM162" s="533"/>
      <c r="HN162" s="613"/>
      <c r="HO162" s="613"/>
      <c r="HP162" s="613"/>
      <c r="HQ162" s="613"/>
      <c r="HR162" s="613"/>
      <c r="HS162" s="613"/>
      <c r="HT162" s="613"/>
      <c r="HU162" s="613"/>
      <c r="HV162" s="613"/>
      <c r="HW162" s="613"/>
      <c r="HX162" s="613"/>
      <c r="HY162" s="613"/>
      <c r="HZ162" s="613"/>
      <c r="IA162" s="613"/>
      <c r="IB162" s="613"/>
      <c r="IC162" s="613"/>
      <c r="ID162" s="613"/>
      <c r="IE162" s="613"/>
      <c r="IF162" s="613"/>
      <c r="IG162" s="613"/>
      <c r="IZ162" s="231"/>
      <c r="JA162" s="231"/>
    </row>
    <row r="163" ht="14.25" customHeight="1">
      <c r="HD163" s="613"/>
      <c r="HE163" s="613"/>
      <c r="HF163" s="613"/>
      <c r="HG163" s="613"/>
      <c r="HH163" s="613"/>
      <c r="HI163" s="613"/>
      <c r="HJ163" s="533"/>
      <c r="HK163" s="533"/>
      <c r="HL163" s="533"/>
      <c r="HM163" s="533"/>
      <c r="HN163" s="613"/>
      <c r="HO163" s="613"/>
      <c r="HP163" s="613"/>
      <c r="HQ163" s="613"/>
      <c r="HR163" s="613"/>
      <c r="HS163" s="613"/>
      <c r="HT163" s="613"/>
      <c r="HU163" s="613"/>
      <c r="HV163" s="613"/>
      <c r="HW163" s="613"/>
      <c r="HX163" s="613"/>
      <c r="HY163" s="613"/>
      <c r="HZ163" s="613"/>
      <c r="IA163" s="613"/>
      <c r="IB163" s="613"/>
      <c r="IC163" s="613"/>
      <c r="ID163" s="613"/>
      <c r="IE163" s="613"/>
      <c r="IF163" s="613"/>
      <c r="IG163" s="613"/>
      <c r="IZ163" s="231"/>
      <c r="JA163" s="231"/>
    </row>
    <row r="164" ht="14.25" customHeight="1">
      <c r="HD164" s="613"/>
      <c r="HE164" s="613"/>
      <c r="HF164" s="613"/>
      <c r="HG164" s="613"/>
      <c r="HH164" s="613"/>
      <c r="HI164" s="613"/>
      <c r="HJ164" s="533"/>
      <c r="HK164" s="533"/>
      <c r="HL164" s="533"/>
      <c r="HM164" s="533"/>
      <c r="HN164" s="613"/>
      <c r="HO164" s="613"/>
      <c r="HP164" s="613"/>
      <c r="HQ164" s="613"/>
      <c r="HR164" s="613"/>
      <c r="HS164" s="613"/>
      <c r="HT164" s="613"/>
      <c r="HU164" s="613"/>
      <c r="HV164" s="613"/>
      <c r="HW164" s="613"/>
      <c r="HX164" s="613"/>
      <c r="HY164" s="613"/>
      <c r="HZ164" s="613"/>
      <c r="IA164" s="613"/>
      <c r="IB164" s="613"/>
      <c r="IC164" s="613"/>
      <c r="ID164" s="613"/>
      <c r="IE164" s="613"/>
      <c r="IF164" s="613"/>
      <c r="IG164" s="613"/>
      <c r="IZ164" s="231"/>
      <c r="JA164" s="231"/>
    </row>
    <row r="165" ht="14.25" customHeight="1">
      <c r="HD165" s="613"/>
      <c r="HE165" s="613"/>
      <c r="HF165" s="613"/>
      <c r="HG165" s="613"/>
      <c r="HH165" s="613"/>
      <c r="HI165" s="613"/>
      <c r="HJ165" s="533"/>
      <c r="HK165" s="533"/>
      <c r="HL165" s="533"/>
      <c r="HM165" s="533"/>
      <c r="HN165" s="613"/>
      <c r="HO165" s="613"/>
      <c r="HP165" s="613"/>
      <c r="HQ165" s="613"/>
      <c r="HR165" s="613"/>
      <c r="HS165" s="613"/>
      <c r="HT165" s="613"/>
      <c r="HU165" s="613"/>
      <c r="HV165" s="613"/>
      <c r="HW165" s="613"/>
      <c r="HX165" s="613"/>
      <c r="HY165" s="613"/>
      <c r="HZ165" s="613"/>
      <c r="IA165" s="613"/>
      <c r="IB165" s="613"/>
      <c r="IC165" s="613"/>
      <c r="ID165" s="613"/>
      <c r="IE165" s="613"/>
      <c r="IF165" s="613"/>
      <c r="IG165" s="613"/>
      <c r="IZ165" s="231"/>
      <c r="JA165" s="231"/>
    </row>
    <row r="166" ht="14.25" customHeight="1">
      <c r="HD166" s="613"/>
      <c r="HE166" s="613"/>
      <c r="HF166" s="613"/>
      <c r="HG166" s="613"/>
      <c r="HH166" s="613"/>
      <c r="HI166" s="613"/>
      <c r="HJ166" s="533"/>
      <c r="HK166" s="533"/>
      <c r="HL166" s="533"/>
      <c r="HM166" s="533"/>
      <c r="HN166" s="613"/>
      <c r="HO166" s="613"/>
      <c r="HP166" s="613"/>
      <c r="HQ166" s="613"/>
      <c r="HR166" s="613"/>
      <c r="HS166" s="613"/>
      <c r="HT166" s="613"/>
      <c r="HU166" s="613"/>
      <c r="HV166" s="613"/>
      <c r="HW166" s="613"/>
      <c r="HX166" s="613"/>
      <c r="HY166" s="613"/>
      <c r="HZ166" s="613"/>
      <c r="IA166" s="613"/>
      <c r="IB166" s="613"/>
      <c r="IC166" s="613"/>
      <c r="ID166" s="613"/>
      <c r="IE166" s="613"/>
      <c r="IF166" s="613"/>
      <c r="IG166" s="613"/>
      <c r="IZ166" s="231"/>
      <c r="JA166" s="231"/>
    </row>
    <row r="167" ht="14.25" customHeight="1">
      <c r="HD167" s="613"/>
      <c r="HE167" s="613"/>
      <c r="HF167" s="613"/>
      <c r="HG167" s="613"/>
      <c r="HH167" s="613"/>
      <c r="HI167" s="613"/>
      <c r="HJ167" s="533"/>
      <c r="HK167" s="533"/>
      <c r="HL167" s="533"/>
      <c r="HM167" s="533"/>
      <c r="HN167" s="613"/>
      <c r="HO167" s="613"/>
      <c r="HP167" s="613"/>
      <c r="HQ167" s="613"/>
      <c r="HR167" s="613"/>
      <c r="HS167" s="613"/>
      <c r="HT167" s="613"/>
      <c r="HU167" s="613"/>
      <c r="HV167" s="613"/>
      <c r="HW167" s="613"/>
      <c r="HX167" s="613"/>
      <c r="HY167" s="613"/>
      <c r="HZ167" s="613"/>
      <c r="IA167" s="613"/>
      <c r="IB167" s="613"/>
      <c r="IC167" s="613"/>
      <c r="ID167" s="613"/>
      <c r="IE167" s="613"/>
      <c r="IF167" s="613"/>
      <c r="IG167" s="613"/>
      <c r="IZ167" s="231"/>
      <c r="JA167" s="231"/>
    </row>
    <row r="168" ht="14.25" customHeight="1">
      <c r="HD168" s="613"/>
      <c r="HE168" s="613"/>
      <c r="HF168" s="613"/>
      <c r="HG168" s="613"/>
      <c r="HH168" s="613"/>
      <c r="HI168" s="613"/>
      <c r="HJ168" s="533"/>
      <c r="HK168" s="533"/>
      <c r="HL168" s="533"/>
      <c r="HM168" s="533"/>
      <c r="HN168" s="613"/>
      <c r="HO168" s="613"/>
      <c r="HP168" s="613"/>
      <c r="HQ168" s="613"/>
      <c r="HR168" s="613"/>
      <c r="HS168" s="613"/>
      <c r="HT168" s="613"/>
      <c r="HU168" s="613"/>
      <c r="HV168" s="613"/>
      <c r="HW168" s="613"/>
      <c r="HX168" s="613"/>
      <c r="HY168" s="613"/>
      <c r="HZ168" s="613"/>
      <c r="IA168" s="613"/>
      <c r="IB168" s="613"/>
      <c r="IC168" s="613"/>
      <c r="ID168" s="613"/>
      <c r="IE168" s="613"/>
      <c r="IF168" s="613"/>
      <c r="IG168" s="613"/>
      <c r="IZ168" s="231"/>
      <c r="JA168" s="231"/>
    </row>
    <row r="169" ht="14.25" customHeight="1">
      <c r="HD169" s="613"/>
      <c r="HE169" s="613"/>
      <c r="HF169" s="613"/>
      <c r="HG169" s="613"/>
      <c r="HH169" s="613"/>
      <c r="HI169" s="613"/>
      <c r="HJ169" s="533"/>
      <c r="HK169" s="533"/>
      <c r="HL169" s="533"/>
      <c r="HM169" s="533"/>
      <c r="HN169" s="613"/>
      <c r="HO169" s="613"/>
      <c r="HP169" s="613"/>
      <c r="HQ169" s="613"/>
      <c r="HR169" s="613"/>
      <c r="HS169" s="613"/>
      <c r="HT169" s="613"/>
      <c r="HU169" s="613"/>
      <c r="HV169" s="613"/>
      <c r="HW169" s="613"/>
      <c r="HX169" s="613"/>
      <c r="HY169" s="613"/>
      <c r="HZ169" s="613"/>
      <c r="IA169" s="613"/>
      <c r="IB169" s="613"/>
      <c r="IC169" s="613"/>
      <c r="ID169" s="613"/>
      <c r="IE169" s="613"/>
      <c r="IF169" s="613"/>
      <c r="IG169" s="613"/>
      <c r="IZ169" s="231"/>
      <c r="JA169" s="231"/>
    </row>
    <row r="170" ht="14.25" customHeight="1">
      <c r="HD170" s="613"/>
      <c r="HE170" s="613"/>
      <c r="HF170" s="613"/>
      <c r="HG170" s="613"/>
      <c r="HH170" s="613"/>
      <c r="HI170" s="613"/>
      <c r="HJ170" s="533"/>
      <c r="HK170" s="533"/>
      <c r="HL170" s="533"/>
      <c r="HM170" s="533"/>
      <c r="HN170" s="613"/>
      <c r="HO170" s="613"/>
      <c r="HP170" s="613"/>
      <c r="HQ170" s="613"/>
      <c r="HR170" s="613"/>
      <c r="HS170" s="613"/>
      <c r="HT170" s="613"/>
      <c r="HU170" s="613"/>
      <c r="HV170" s="613"/>
      <c r="HW170" s="613"/>
      <c r="HX170" s="613"/>
      <c r="HY170" s="613"/>
      <c r="HZ170" s="613"/>
      <c r="IA170" s="613"/>
      <c r="IB170" s="613"/>
      <c r="IC170" s="613"/>
      <c r="ID170" s="613"/>
      <c r="IE170" s="613"/>
      <c r="IF170" s="613"/>
      <c r="IG170" s="613"/>
      <c r="IZ170" s="231"/>
      <c r="JA170" s="231"/>
    </row>
    <row r="171" ht="14.25" customHeight="1">
      <c r="HD171" s="613"/>
      <c r="HE171" s="613"/>
      <c r="HF171" s="613"/>
      <c r="HG171" s="613"/>
      <c r="HH171" s="613"/>
      <c r="HI171" s="613"/>
      <c r="HJ171" s="533"/>
      <c r="HK171" s="533"/>
      <c r="HL171" s="533"/>
      <c r="HM171" s="533"/>
      <c r="HN171" s="613"/>
      <c r="HO171" s="613"/>
      <c r="HP171" s="613"/>
      <c r="HQ171" s="613"/>
      <c r="HR171" s="613"/>
      <c r="HS171" s="613"/>
      <c r="HT171" s="613"/>
      <c r="HU171" s="613"/>
      <c r="HV171" s="613"/>
      <c r="HW171" s="613"/>
      <c r="HX171" s="613"/>
      <c r="HY171" s="613"/>
      <c r="HZ171" s="613"/>
      <c r="IA171" s="613"/>
      <c r="IB171" s="613"/>
      <c r="IC171" s="613"/>
      <c r="ID171" s="613"/>
      <c r="IE171" s="613"/>
      <c r="IF171" s="613"/>
      <c r="IG171" s="613"/>
      <c r="IZ171" s="231"/>
      <c r="JA171" s="231"/>
    </row>
    <row r="172" ht="14.25" customHeight="1">
      <c r="HD172" s="613"/>
      <c r="HE172" s="613"/>
      <c r="HF172" s="613"/>
      <c r="HG172" s="613"/>
      <c r="HH172" s="613"/>
      <c r="HI172" s="613"/>
      <c r="HJ172" s="533"/>
      <c r="HK172" s="533"/>
      <c r="HL172" s="533"/>
      <c r="HM172" s="533"/>
      <c r="HN172" s="613"/>
      <c r="HO172" s="613"/>
      <c r="HP172" s="613"/>
      <c r="HQ172" s="613"/>
      <c r="HR172" s="613"/>
      <c r="HS172" s="613"/>
      <c r="HT172" s="613"/>
      <c r="HU172" s="613"/>
      <c r="HV172" s="613"/>
      <c r="HW172" s="613"/>
      <c r="HX172" s="613"/>
      <c r="HY172" s="613"/>
      <c r="HZ172" s="613"/>
      <c r="IA172" s="613"/>
      <c r="IB172" s="613"/>
      <c r="IC172" s="613"/>
      <c r="ID172" s="613"/>
      <c r="IE172" s="613"/>
      <c r="IF172" s="613"/>
      <c r="IG172" s="613"/>
      <c r="IZ172" s="231"/>
      <c r="JA172" s="231"/>
    </row>
    <row r="173" ht="14.25" customHeight="1">
      <c r="HD173" s="613"/>
      <c r="HE173" s="613"/>
      <c r="HF173" s="613"/>
      <c r="HG173" s="613"/>
      <c r="HH173" s="613"/>
      <c r="HI173" s="613"/>
      <c r="HJ173" s="533"/>
      <c r="HK173" s="533"/>
      <c r="HL173" s="533"/>
      <c r="HM173" s="533"/>
      <c r="HN173" s="613"/>
      <c r="HO173" s="613"/>
      <c r="HP173" s="613"/>
      <c r="HQ173" s="613"/>
      <c r="HR173" s="613"/>
      <c r="HS173" s="613"/>
      <c r="HT173" s="613"/>
      <c r="HU173" s="613"/>
      <c r="HV173" s="613"/>
      <c r="HW173" s="613"/>
      <c r="HX173" s="613"/>
      <c r="HY173" s="613"/>
      <c r="HZ173" s="613"/>
      <c r="IA173" s="613"/>
      <c r="IB173" s="613"/>
      <c r="IC173" s="613"/>
      <c r="ID173" s="613"/>
      <c r="IE173" s="613"/>
      <c r="IF173" s="613"/>
      <c r="IG173" s="613"/>
      <c r="IZ173" s="231"/>
      <c r="JA173" s="231"/>
    </row>
    <row r="174" ht="14.25" customHeight="1">
      <c r="HD174" s="613"/>
      <c r="HE174" s="613"/>
      <c r="HF174" s="613"/>
      <c r="HG174" s="613"/>
      <c r="HH174" s="613"/>
      <c r="HI174" s="613"/>
      <c r="HJ174" s="533"/>
      <c r="HK174" s="533"/>
      <c r="HL174" s="533"/>
      <c r="HM174" s="533"/>
      <c r="HN174" s="613"/>
      <c r="HO174" s="613"/>
      <c r="HP174" s="613"/>
      <c r="HQ174" s="613"/>
      <c r="HR174" s="613"/>
      <c r="HS174" s="613"/>
      <c r="HT174" s="613"/>
      <c r="HU174" s="613"/>
      <c r="HV174" s="613"/>
      <c r="HW174" s="613"/>
      <c r="HX174" s="613"/>
      <c r="HY174" s="613"/>
      <c r="HZ174" s="613"/>
      <c r="IA174" s="613"/>
      <c r="IB174" s="613"/>
      <c r="IC174" s="613"/>
      <c r="ID174" s="613"/>
      <c r="IE174" s="613"/>
      <c r="IF174" s="613"/>
      <c r="IG174" s="613"/>
      <c r="IZ174" s="231"/>
      <c r="JA174" s="231"/>
    </row>
    <row r="175" ht="14.25" customHeight="1">
      <c r="HD175" s="613"/>
      <c r="HE175" s="613"/>
      <c r="HF175" s="613"/>
      <c r="HG175" s="613"/>
      <c r="HH175" s="613"/>
      <c r="HI175" s="613"/>
      <c r="HJ175" s="533"/>
      <c r="HK175" s="533"/>
      <c r="HL175" s="533"/>
      <c r="HM175" s="533"/>
      <c r="HN175" s="613"/>
      <c r="HO175" s="613"/>
      <c r="HP175" s="613"/>
      <c r="HQ175" s="613"/>
      <c r="HR175" s="613"/>
      <c r="HS175" s="613"/>
      <c r="HT175" s="613"/>
      <c r="HU175" s="613"/>
      <c r="HV175" s="613"/>
      <c r="HW175" s="613"/>
      <c r="HX175" s="613"/>
      <c r="HY175" s="613"/>
      <c r="HZ175" s="613"/>
      <c r="IA175" s="613"/>
      <c r="IB175" s="613"/>
      <c r="IC175" s="613"/>
      <c r="ID175" s="613"/>
      <c r="IE175" s="613"/>
      <c r="IF175" s="613"/>
      <c r="IG175" s="613"/>
      <c r="IZ175" s="231"/>
      <c r="JA175" s="231"/>
    </row>
    <row r="176" ht="14.25" customHeight="1">
      <c r="HD176" s="613"/>
      <c r="HE176" s="613"/>
      <c r="HF176" s="613"/>
      <c r="HG176" s="613"/>
      <c r="HH176" s="613"/>
      <c r="HI176" s="613"/>
      <c r="HJ176" s="533"/>
      <c r="HK176" s="533"/>
      <c r="HL176" s="533"/>
      <c r="HM176" s="533"/>
      <c r="HN176" s="613"/>
      <c r="HO176" s="613"/>
      <c r="HP176" s="613"/>
      <c r="HQ176" s="613"/>
      <c r="HR176" s="613"/>
      <c r="HS176" s="613"/>
      <c r="HT176" s="613"/>
      <c r="HU176" s="613"/>
      <c r="HV176" s="613"/>
      <c r="HW176" s="613"/>
      <c r="HX176" s="613"/>
      <c r="HY176" s="613"/>
      <c r="HZ176" s="613"/>
      <c r="IA176" s="613"/>
      <c r="IB176" s="613"/>
      <c r="IC176" s="613"/>
      <c r="ID176" s="613"/>
      <c r="IE176" s="613"/>
      <c r="IF176" s="613"/>
      <c r="IG176" s="613"/>
      <c r="IZ176" s="231"/>
      <c r="JA176" s="231"/>
    </row>
    <row r="177" ht="14.25" customHeight="1">
      <c r="HD177" s="613"/>
      <c r="HE177" s="613"/>
      <c r="HF177" s="613"/>
      <c r="HG177" s="613"/>
      <c r="HH177" s="613"/>
      <c r="HI177" s="613"/>
      <c r="HJ177" s="533"/>
      <c r="HK177" s="533"/>
      <c r="HL177" s="533"/>
      <c r="HM177" s="533"/>
      <c r="HN177" s="613"/>
      <c r="HO177" s="613"/>
      <c r="HP177" s="613"/>
      <c r="HQ177" s="613"/>
      <c r="HR177" s="613"/>
      <c r="HS177" s="613"/>
      <c r="HT177" s="613"/>
      <c r="HU177" s="613"/>
      <c r="HV177" s="613"/>
      <c r="HW177" s="613"/>
      <c r="HX177" s="613"/>
      <c r="HY177" s="613"/>
      <c r="HZ177" s="613"/>
      <c r="IA177" s="613"/>
      <c r="IB177" s="613"/>
      <c r="IC177" s="613"/>
      <c r="ID177" s="613"/>
      <c r="IE177" s="613"/>
      <c r="IF177" s="613"/>
      <c r="IG177" s="613"/>
      <c r="IZ177" s="231"/>
      <c r="JA177" s="231"/>
    </row>
    <row r="178" ht="14.25" customHeight="1">
      <c r="HD178" s="613"/>
      <c r="HE178" s="613"/>
      <c r="HF178" s="613"/>
      <c r="HG178" s="613"/>
      <c r="HH178" s="613"/>
      <c r="HI178" s="613"/>
      <c r="HJ178" s="533"/>
      <c r="HK178" s="533"/>
      <c r="HL178" s="533"/>
      <c r="HM178" s="533"/>
      <c r="HN178" s="613"/>
      <c r="HO178" s="613"/>
      <c r="HP178" s="613"/>
      <c r="HQ178" s="613"/>
      <c r="HR178" s="613"/>
      <c r="HS178" s="613"/>
      <c r="HT178" s="613"/>
      <c r="HU178" s="613"/>
      <c r="HV178" s="613"/>
      <c r="HW178" s="613"/>
      <c r="HX178" s="613"/>
      <c r="HY178" s="613"/>
      <c r="HZ178" s="613"/>
      <c r="IA178" s="613"/>
      <c r="IB178" s="613"/>
      <c r="IC178" s="613"/>
      <c r="ID178" s="613"/>
      <c r="IE178" s="613"/>
      <c r="IF178" s="613"/>
      <c r="IG178" s="613"/>
      <c r="IZ178" s="231"/>
      <c r="JA178" s="231"/>
    </row>
    <row r="179" ht="14.25" customHeight="1">
      <c r="HD179" s="613"/>
      <c r="HE179" s="613"/>
      <c r="HF179" s="613"/>
      <c r="HG179" s="613"/>
      <c r="HH179" s="613"/>
      <c r="HI179" s="613"/>
      <c r="HJ179" s="533"/>
      <c r="HK179" s="533"/>
      <c r="HL179" s="533"/>
      <c r="HM179" s="533"/>
      <c r="HN179" s="613"/>
      <c r="HO179" s="613"/>
      <c r="HP179" s="613"/>
      <c r="HQ179" s="613"/>
      <c r="HR179" s="613"/>
      <c r="HS179" s="613"/>
      <c r="HT179" s="613"/>
      <c r="HU179" s="613"/>
      <c r="HV179" s="613"/>
      <c r="HW179" s="613"/>
      <c r="HX179" s="613"/>
      <c r="HY179" s="613"/>
      <c r="HZ179" s="613"/>
      <c r="IA179" s="613"/>
      <c r="IB179" s="613"/>
      <c r="IC179" s="613"/>
      <c r="ID179" s="613"/>
      <c r="IE179" s="613"/>
      <c r="IF179" s="613"/>
      <c r="IG179" s="613"/>
      <c r="IZ179" s="231"/>
      <c r="JA179" s="231"/>
    </row>
    <row r="180" ht="14.25" customHeight="1">
      <c r="HD180" s="613"/>
      <c r="HE180" s="613"/>
      <c r="HF180" s="613"/>
      <c r="HG180" s="613"/>
      <c r="HH180" s="613"/>
      <c r="HI180" s="613"/>
      <c r="HJ180" s="533"/>
      <c r="HK180" s="533"/>
      <c r="HL180" s="533"/>
      <c r="HM180" s="533"/>
      <c r="HN180" s="613"/>
      <c r="HO180" s="613"/>
      <c r="HP180" s="613"/>
      <c r="HQ180" s="613"/>
      <c r="HR180" s="613"/>
      <c r="HS180" s="613"/>
      <c r="HT180" s="613"/>
      <c r="HU180" s="613"/>
      <c r="HV180" s="613"/>
      <c r="HW180" s="613"/>
      <c r="HX180" s="613"/>
      <c r="HY180" s="613"/>
      <c r="HZ180" s="613"/>
      <c r="IA180" s="613"/>
      <c r="IB180" s="613"/>
      <c r="IC180" s="613"/>
      <c r="ID180" s="613"/>
      <c r="IE180" s="613"/>
      <c r="IF180" s="613"/>
      <c r="IG180" s="613"/>
      <c r="IZ180" s="231"/>
      <c r="JA180" s="231"/>
    </row>
    <row r="181" ht="14.25" customHeight="1">
      <c r="HD181" s="613"/>
      <c r="HE181" s="613"/>
      <c r="HF181" s="613"/>
      <c r="HG181" s="613"/>
      <c r="HH181" s="613"/>
      <c r="HI181" s="613"/>
      <c r="HJ181" s="533"/>
      <c r="HK181" s="533"/>
      <c r="HL181" s="533"/>
      <c r="HM181" s="533"/>
      <c r="HN181" s="613"/>
      <c r="HO181" s="613"/>
      <c r="HP181" s="613"/>
      <c r="HQ181" s="613"/>
      <c r="HR181" s="613"/>
      <c r="HS181" s="613"/>
      <c r="HT181" s="613"/>
      <c r="HU181" s="613"/>
      <c r="HV181" s="613"/>
      <c r="HW181" s="613"/>
      <c r="HX181" s="613"/>
      <c r="HY181" s="613"/>
      <c r="HZ181" s="613"/>
      <c r="IA181" s="613"/>
      <c r="IB181" s="613"/>
      <c r="IC181" s="613"/>
      <c r="ID181" s="613"/>
      <c r="IE181" s="613"/>
      <c r="IF181" s="613"/>
      <c r="IG181" s="613"/>
      <c r="IZ181" s="231"/>
      <c r="JA181" s="231"/>
    </row>
    <row r="182" ht="14.25" customHeight="1">
      <c r="HD182" s="613"/>
      <c r="HE182" s="613"/>
      <c r="HF182" s="613"/>
      <c r="HG182" s="613"/>
      <c r="HH182" s="613"/>
      <c r="HI182" s="613"/>
      <c r="HJ182" s="533"/>
      <c r="HK182" s="533"/>
      <c r="HL182" s="533"/>
      <c r="HM182" s="533"/>
      <c r="HN182" s="613"/>
      <c r="HO182" s="613"/>
      <c r="HP182" s="613"/>
      <c r="HQ182" s="613"/>
      <c r="HR182" s="613"/>
      <c r="HS182" s="613"/>
      <c r="HT182" s="613"/>
      <c r="HU182" s="613"/>
      <c r="HV182" s="613"/>
      <c r="HW182" s="613"/>
      <c r="HX182" s="613"/>
      <c r="HY182" s="613"/>
      <c r="HZ182" s="613"/>
      <c r="IA182" s="613"/>
      <c r="IB182" s="613"/>
      <c r="IC182" s="613"/>
      <c r="ID182" s="613"/>
      <c r="IE182" s="613"/>
      <c r="IF182" s="613"/>
      <c r="IG182" s="613"/>
      <c r="IZ182" s="231"/>
      <c r="JA182" s="231"/>
    </row>
    <row r="183" ht="14.25" customHeight="1">
      <c r="HD183" s="613"/>
      <c r="HE183" s="613"/>
      <c r="HF183" s="613"/>
      <c r="HG183" s="613"/>
      <c r="HH183" s="613"/>
      <c r="HI183" s="613"/>
      <c r="HJ183" s="533"/>
      <c r="HK183" s="533"/>
      <c r="HL183" s="533"/>
      <c r="HM183" s="533"/>
      <c r="HN183" s="613"/>
      <c r="HO183" s="613"/>
      <c r="HP183" s="613"/>
      <c r="HQ183" s="613"/>
      <c r="HR183" s="613"/>
      <c r="HS183" s="613"/>
      <c r="HT183" s="613"/>
      <c r="HU183" s="613"/>
      <c r="HV183" s="613"/>
      <c r="HW183" s="613"/>
      <c r="HX183" s="613"/>
      <c r="HY183" s="613"/>
      <c r="HZ183" s="613"/>
      <c r="IA183" s="613"/>
      <c r="IB183" s="613"/>
      <c r="IC183" s="613"/>
      <c r="ID183" s="613"/>
      <c r="IE183" s="613"/>
      <c r="IF183" s="613"/>
      <c r="IG183" s="613"/>
      <c r="IZ183" s="231"/>
      <c r="JA183" s="231"/>
    </row>
    <row r="184" ht="14.25" customHeight="1">
      <c r="HD184" s="613"/>
      <c r="HE184" s="613"/>
      <c r="HF184" s="613"/>
      <c r="HG184" s="613"/>
      <c r="HH184" s="613"/>
      <c r="HI184" s="613"/>
      <c r="HJ184" s="533"/>
      <c r="HK184" s="533"/>
      <c r="HL184" s="533"/>
      <c r="HM184" s="533"/>
      <c r="HN184" s="613"/>
      <c r="HO184" s="613"/>
      <c r="HP184" s="613"/>
      <c r="HQ184" s="613"/>
      <c r="HR184" s="613"/>
      <c r="HS184" s="613"/>
      <c r="HT184" s="613"/>
      <c r="HU184" s="613"/>
      <c r="HV184" s="613"/>
      <c r="HW184" s="613"/>
      <c r="HX184" s="613"/>
      <c r="HY184" s="613"/>
      <c r="HZ184" s="613"/>
      <c r="IA184" s="613"/>
      <c r="IB184" s="613"/>
      <c r="IC184" s="613"/>
      <c r="ID184" s="613"/>
      <c r="IE184" s="613"/>
      <c r="IF184" s="613"/>
      <c r="IG184" s="613"/>
      <c r="IZ184" s="231"/>
      <c r="JA184" s="231"/>
    </row>
    <row r="185" ht="14.25" customHeight="1">
      <c r="HD185" s="618">
        <f t="shared" ref="HD185:HI185" si="48">SUM(HD8:HD184)</f>
        <v>176638</v>
      </c>
      <c r="HE185" s="618">
        <f t="shared" si="48"/>
        <v>53112</v>
      </c>
      <c r="HF185" s="618">
        <f t="shared" si="48"/>
        <v>170662</v>
      </c>
      <c r="HG185" s="618">
        <f t="shared" si="48"/>
        <v>49428</v>
      </c>
      <c r="HH185" s="618">
        <f t="shared" si="48"/>
        <v>170388</v>
      </c>
      <c r="HI185" s="618">
        <f t="shared" si="48"/>
        <v>2832</v>
      </c>
      <c r="HJ185" s="618"/>
      <c r="HK185" s="618"/>
      <c r="HL185" s="618"/>
      <c r="HM185" s="618"/>
      <c r="HN185" s="618"/>
      <c r="HO185" s="618"/>
      <c r="HP185" s="618"/>
      <c r="HQ185" s="618"/>
      <c r="HR185" s="618"/>
      <c r="HS185" s="618"/>
      <c r="HT185" s="618"/>
      <c r="HU185" s="618"/>
      <c r="HV185" s="618"/>
      <c r="HW185" s="618"/>
      <c r="HX185" s="618"/>
      <c r="HY185" s="618"/>
      <c r="HZ185" s="618"/>
      <c r="IA185" s="618"/>
      <c r="IB185" s="618"/>
      <c r="IC185" s="618"/>
      <c r="ID185" s="618"/>
      <c r="IE185" s="618"/>
      <c r="IF185" s="618"/>
      <c r="IG185" s="618"/>
      <c r="IZ185" s="231"/>
      <c r="JA185" s="231"/>
    </row>
    <row r="186" ht="14.25" customHeight="1">
      <c r="HD186" s="593"/>
      <c r="HE186" s="593"/>
      <c r="HF186" s="593"/>
      <c r="HG186" s="593"/>
      <c r="HH186" s="593"/>
      <c r="HI186" s="593"/>
      <c r="HJ186" s="593"/>
      <c r="HK186" s="593"/>
      <c r="HL186" s="593"/>
      <c r="HM186" s="593"/>
      <c r="HN186" s="593"/>
      <c r="HO186" s="593"/>
      <c r="HP186" s="593"/>
      <c r="HQ186" s="593"/>
      <c r="HR186" s="593"/>
      <c r="HS186" s="593"/>
      <c r="HT186" s="593"/>
      <c r="HU186" s="593"/>
      <c r="HV186" s="593"/>
      <c r="HW186" s="593"/>
      <c r="HX186" s="593"/>
      <c r="HY186" s="593"/>
      <c r="HZ186" s="593"/>
      <c r="IA186" s="593"/>
      <c r="IB186" s="593"/>
      <c r="IC186" s="593"/>
      <c r="ID186" s="593"/>
      <c r="IE186" s="593"/>
      <c r="IF186" s="593"/>
      <c r="IG186" s="593"/>
      <c r="IZ186" s="231"/>
      <c r="JA186" s="231"/>
    </row>
    <row r="187" ht="14.25" customHeight="1">
      <c r="HD187" s="593"/>
      <c r="HE187" s="593"/>
      <c r="HF187" s="593"/>
      <c r="HG187" s="593"/>
      <c r="HH187" s="593"/>
      <c r="HI187" s="593"/>
      <c r="HJ187" s="593"/>
      <c r="HK187" s="593"/>
      <c r="HL187" s="593"/>
      <c r="HM187" s="593"/>
      <c r="HN187" s="593"/>
      <c r="HO187" s="593"/>
      <c r="HP187" s="593"/>
      <c r="HQ187" s="593"/>
      <c r="HR187" s="593"/>
      <c r="HS187" s="593"/>
      <c r="HT187" s="593"/>
      <c r="HU187" s="593"/>
      <c r="HV187" s="593"/>
      <c r="HW187" s="593"/>
      <c r="HX187" s="593"/>
      <c r="HY187" s="593"/>
      <c r="HZ187" s="593"/>
      <c r="IA187" s="593"/>
      <c r="IB187" s="593"/>
      <c r="IC187" s="593"/>
      <c r="ID187" s="593"/>
      <c r="IE187" s="593"/>
      <c r="IF187" s="593"/>
      <c r="IG187" s="593"/>
      <c r="IZ187" s="231"/>
      <c r="JA187" s="231"/>
    </row>
    <row r="188" ht="14.25" customHeight="1">
      <c r="HD188" s="593"/>
      <c r="HE188" s="593"/>
      <c r="HF188" s="593"/>
      <c r="HG188" s="593"/>
      <c r="HH188" s="593"/>
      <c r="HI188" s="593"/>
      <c r="HJ188" s="593"/>
      <c r="HK188" s="593"/>
      <c r="HL188" s="593"/>
      <c r="HM188" s="593"/>
      <c r="HN188" s="593"/>
      <c r="HO188" s="593"/>
      <c r="HP188" s="593"/>
      <c r="HQ188" s="593"/>
      <c r="HR188" s="593"/>
      <c r="HS188" s="593"/>
      <c r="HT188" s="593"/>
      <c r="HU188" s="593"/>
      <c r="HV188" s="593"/>
      <c r="HW188" s="593"/>
      <c r="HX188" s="593"/>
      <c r="HY188" s="593"/>
      <c r="HZ188" s="593"/>
      <c r="IA188" s="593"/>
      <c r="IB188" s="593"/>
      <c r="IC188" s="593"/>
      <c r="ID188" s="593"/>
      <c r="IE188" s="593"/>
      <c r="IF188" s="593"/>
      <c r="IG188" s="593"/>
      <c r="IZ188" s="231"/>
      <c r="JA188" s="231"/>
    </row>
    <row r="189" ht="14.25" customHeight="1">
      <c r="HD189" s="593"/>
      <c r="HE189" s="593"/>
      <c r="HF189" s="593"/>
      <c r="HG189" s="593"/>
      <c r="HH189" s="593"/>
      <c r="HI189" s="593"/>
      <c r="HJ189" s="593"/>
      <c r="HK189" s="593"/>
      <c r="HL189" s="593"/>
      <c r="HM189" s="593"/>
      <c r="HN189" s="593"/>
      <c r="HO189" s="593"/>
      <c r="HP189" s="593"/>
      <c r="HQ189" s="593"/>
      <c r="HR189" s="593"/>
      <c r="HS189" s="593"/>
      <c r="HT189" s="593"/>
      <c r="HU189" s="593"/>
      <c r="HV189" s="593"/>
      <c r="HW189" s="593"/>
      <c r="HX189" s="593"/>
      <c r="HY189" s="593"/>
      <c r="HZ189" s="593"/>
      <c r="IA189" s="593"/>
      <c r="IB189" s="593"/>
      <c r="IC189" s="593"/>
      <c r="ID189" s="593"/>
      <c r="IE189" s="593"/>
      <c r="IF189" s="593"/>
      <c r="IG189" s="593"/>
      <c r="IZ189" s="231"/>
      <c r="JA189" s="231"/>
    </row>
    <row r="190" ht="14.25" customHeight="1">
      <c r="HD190" s="593"/>
      <c r="HE190" s="593"/>
      <c r="HF190" s="593"/>
      <c r="HG190" s="593"/>
      <c r="HH190" s="593"/>
      <c r="HI190" s="593"/>
      <c r="HJ190" s="593"/>
      <c r="HK190" s="593"/>
      <c r="HL190" s="593"/>
      <c r="HM190" s="593"/>
      <c r="HN190" s="593"/>
      <c r="HO190" s="593"/>
      <c r="HP190" s="593"/>
      <c r="HQ190" s="593"/>
      <c r="HR190" s="593"/>
      <c r="HS190" s="593"/>
      <c r="HT190" s="593"/>
      <c r="HU190" s="593"/>
      <c r="HV190" s="593"/>
      <c r="HW190" s="593"/>
      <c r="HX190" s="593"/>
      <c r="HY190" s="593"/>
      <c r="HZ190" s="593"/>
      <c r="IA190" s="593"/>
      <c r="IB190" s="593"/>
      <c r="IC190" s="593"/>
      <c r="ID190" s="593"/>
      <c r="IE190" s="593"/>
      <c r="IF190" s="593"/>
      <c r="IG190" s="593"/>
      <c r="IZ190" s="231"/>
      <c r="JA190" s="231"/>
    </row>
    <row r="191" ht="14.25" customHeight="1">
      <c r="HD191" s="593"/>
      <c r="HE191" s="593"/>
      <c r="HF191" s="593"/>
      <c r="HG191" s="593"/>
      <c r="HH191" s="593"/>
      <c r="HI191" s="593"/>
      <c r="HJ191" s="593"/>
      <c r="HK191" s="593"/>
      <c r="HL191" s="593"/>
      <c r="HM191" s="593"/>
      <c r="HN191" s="593"/>
      <c r="HO191" s="593"/>
      <c r="HP191" s="593"/>
      <c r="HQ191" s="593"/>
      <c r="HR191" s="593"/>
      <c r="HS191" s="593"/>
      <c r="HT191" s="593"/>
      <c r="HU191" s="593"/>
      <c r="HV191" s="593"/>
      <c r="HW191" s="593"/>
      <c r="HX191" s="593"/>
      <c r="HY191" s="593"/>
      <c r="HZ191" s="593"/>
      <c r="IA191" s="593"/>
      <c r="IB191" s="593"/>
      <c r="IC191" s="593"/>
      <c r="ID191" s="593"/>
      <c r="IE191" s="593"/>
      <c r="IF191" s="593"/>
      <c r="IG191" s="593"/>
      <c r="IZ191" s="231"/>
      <c r="JA191" s="231"/>
    </row>
    <row r="192" ht="14.25" customHeight="1">
      <c r="HD192" s="593"/>
      <c r="HE192" s="593"/>
      <c r="HF192" s="593"/>
      <c r="HG192" s="593"/>
      <c r="HH192" s="593"/>
      <c r="HI192" s="593"/>
      <c r="HJ192" s="593"/>
      <c r="HK192" s="593"/>
      <c r="HL192" s="593"/>
      <c r="HM192" s="593"/>
      <c r="HN192" s="593"/>
      <c r="HO192" s="593"/>
      <c r="HP192" s="593"/>
      <c r="HQ192" s="593"/>
      <c r="HR192" s="593"/>
      <c r="HS192" s="593"/>
      <c r="HT192" s="593"/>
      <c r="HU192" s="593"/>
      <c r="HV192" s="593"/>
      <c r="HW192" s="593"/>
      <c r="HX192" s="593"/>
      <c r="HY192" s="593"/>
      <c r="HZ192" s="593"/>
      <c r="IA192" s="593"/>
      <c r="IB192" s="593"/>
      <c r="IC192" s="593"/>
      <c r="ID192" s="593"/>
      <c r="IE192" s="593"/>
      <c r="IF192" s="593"/>
      <c r="IG192" s="593"/>
      <c r="IZ192" s="231"/>
      <c r="JA192" s="231"/>
    </row>
    <row r="193" ht="14.25" customHeight="1">
      <c r="HD193" s="593"/>
      <c r="HE193" s="593"/>
      <c r="HF193" s="593"/>
      <c r="HG193" s="593"/>
      <c r="HH193" s="593"/>
      <c r="HI193" s="593"/>
      <c r="HJ193" s="593"/>
      <c r="HK193" s="593"/>
      <c r="HL193" s="593"/>
      <c r="HM193" s="593"/>
      <c r="HN193" s="593"/>
      <c r="HO193" s="593"/>
      <c r="HP193" s="593"/>
      <c r="HQ193" s="593"/>
      <c r="HR193" s="593"/>
      <c r="HS193" s="593"/>
      <c r="HT193" s="593"/>
      <c r="HU193" s="593"/>
      <c r="HV193" s="593"/>
      <c r="HW193" s="593"/>
      <c r="HX193" s="593"/>
      <c r="HY193" s="593"/>
      <c r="HZ193" s="593"/>
      <c r="IA193" s="593"/>
      <c r="IB193" s="593"/>
      <c r="IC193" s="593"/>
      <c r="ID193" s="593"/>
      <c r="IE193" s="593"/>
      <c r="IF193" s="593"/>
      <c r="IG193" s="593"/>
      <c r="IZ193" s="231"/>
      <c r="JA193" s="231"/>
    </row>
    <row r="194" ht="14.25" customHeight="1">
      <c r="HD194" s="593"/>
      <c r="HE194" s="593"/>
      <c r="HF194" s="593"/>
      <c r="HG194" s="593"/>
      <c r="HH194" s="593"/>
      <c r="HI194" s="593"/>
      <c r="HJ194" s="593"/>
      <c r="HK194" s="593"/>
      <c r="HL194" s="593"/>
      <c r="HM194" s="593"/>
      <c r="HN194" s="593"/>
      <c r="HO194" s="593"/>
      <c r="HP194" s="593"/>
      <c r="HQ194" s="593"/>
      <c r="HR194" s="593"/>
      <c r="HS194" s="593"/>
      <c r="HT194" s="593"/>
      <c r="HU194" s="593"/>
      <c r="HV194" s="593"/>
      <c r="HW194" s="593"/>
      <c r="HX194" s="593"/>
      <c r="HY194" s="593"/>
      <c r="HZ194" s="593"/>
      <c r="IA194" s="593"/>
      <c r="IB194" s="593"/>
      <c r="IC194" s="593"/>
      <c r="ID194" s="593"/>
      <c r="IE194" s="593"/>
      <c r="IF194" s="593"/>
      <c r="IG194" s="593"/>
      <c r="IZ194" s="231"/>
      <c r="JA194" s="231"/>
    </row>
    <row r="195" ht="14.25" customHeight="1">
      <c r="HD195" s="593"/>
      <c r="HE195" s="593"/>
      <c r="HF195" s="593"/>
      <c r="HG195" s="593"/>
      <c r="HH195" s="593"/>
      <c r="HI195" s="593"/>
      <c r="HJ195" s="593"/>
      <c r="HK195" s="593"/>
      <c r="HL195" s="593"/>
      <c r="HM195" s="593"/>
      <c r="HN195" s="593"/>
      <c r="HO195" s="593"/>
      <c r="HP195" s="593"/>
      <c r="HQ195" s="593"/>
      <c r="HR195" s="593"/>
      <c r="HS195" s="593"/>
      <c r="HT195" s="593"/>
      <c r="HU195" s="593"/>
      <c r="HV195" s="593"/>
      <c r="HW195" s="593"/>
      <c r="HX195" s="593"/>
      <c r="HY195" s="593"/>
      <c r="HZ195" s="593"/>
      <c r="IA195" s="593"/>
      <c r="IB195" s="593"/>
      <c r="IC195" s="593"/>
      <c r="ID195" s="593"/>
      <c r="IE195" s="593"/>
      <c r="IF195" s="593"/>
      <c r="IG195" s="593"/>
      <c r="IZ195" s="231"/>
      <c r="JA195" s="231"/>
    </row>
    <row r="196" ht="14.25" customHeight="1">
      <c r="HD196" s="593"/>
      <c r="HE196" s="593"/>
      <c r="HF196" s="593"/>
      <c r="HG196" s="593"/>
      <c r="HH196" s="593"/>
      <c r="HI196" s="593"/>
      <c r="HJ196" s="593"/>
      <c r="HK196" s="593"/>
      <c r="HL196" s="593"/>
      <c r="HM196" s="593"/>
      <c r="HN196" s="593"/>
      <c r="HO196" s="593"/>
      <c r="HP196" s="593"/>
      <c r="HQ196" s="593"/>
      <c r="HR196" s="593"/>
      <c r="HS196" s="593"/>
      <c r="HT196" s="593"/>
      <c r="HU196" s="593"/>
      <c r="HV196" s="593"/>
      <c r="HW196" s="593"/>
      <c r="HX196" s="593"/>
      <c r="HY196" s="593"/>
      <c r="HZ196" s="593"/>
      <c r="IA196" s="593"/>
      <c r="IB196" s="593"/>
      <c r="IC196" s="593"/>
      <c r="ID196" s="593"/>
      <c r="IE196" s="593"/>
      <c r="IF196" s="593"/>
      <c r="IG196" s="593"/>
      <c r="IZ196" s="231"/>
      <c r="JA196" s="231"/>
    </row>
    <row r="197" ht="14.25" customHeight="1">
      <c r="HD197" s="593"/>
      <c r="HE197" s="593"/>
      <c r="HF197" s="593"/>
      <c r="HG197" s="593"/>
      <c r="HH197" s="593"/>
      <c r="HI197" s="593"/>
      <c r="HJ197" s="593"/>
      <c r="HK197" s="593"/>
      <c r="HL197" s="593"/>
      <c r="HM197" s="593"/>
      <c r="HN197" s="593"/>
      <c r="HO197" s="593"/>
      <c r="HP197" s="593"/>
      <c r="HQ197" s="593"/>
      <c r="HR197" s="593"/>
      <c r="HS197" s="593"/>
      <c r="HT197" s="593"/>
      <c r="HU197" s="593"/>
      <c r="HV197" s="593"/>
      <c r="HW197" s="593"/>
      <c r="HX197" s="593"/>
      <c r="HY197" s="593"/>
      <c r="HZ197" s="593"/>
      <c r="IA197" s="593"/>
      <c r="IB197" s="593"/>
      <c r="IC197" s="593"/>
      <c r="ID197" s="593"/>
      <c r="IE197" s="593"/>
      <c r="IF197" s="593"/>
      <c r="IG197" s="593"/>
      <c r="IZ197" s="231"/>
      <c r="JA197" s="231"/>
    </row>
    <row r="198" ht="14.25" customHeight="1">
      <c r="HD198" s="593"/>
      <c r="HE198" s="593"/>
      <c r="HF198" s="593"/>
      <c r="HG198" s="593"/>
      <c r="HH198" s="593"/>
      <c r="HI198" s="593"/>
      <c r="HJ198" s="593"/>
      <c r="HK198" s="593"/>
      <c r="HL198" s="593"/>
      <c r="HM198" s="593"/>
      <c r="HN198" s="593"/>
      <c r="HO198" s="593"/>
      <c r="HP198" s="593"/>
      <c r="HQ198" s="593"/>
      <c r="HR198" s="593"/>
      <c r="HS198" s="593"/>
      <c r="HT198" s="593"/>
      <c r="HU198" s="593"/>
      <c r="HV198" s="593"/>
      <c r="HW198" s="593"/>
      <c r="HX198" s="593"/>
      <c r="HY198" s="593"/>
      <c r="HZ198" s="593"/>
      <c r="IA198" s="593"/>
      <c r="IB198" s="593"/>
      <c r="IC198" s="593"/>
      <c r="ID198" s="593"/>
      <c r="IE198" s="593"/>
      <c r="IF198" s="593"/>
      <c r="IG198" s="593"/>
      <c r="IZ198" s="231"/>
      <c r="JA198" s="231"/>
    </row>
    <row r="199" ht="14.25" customHeight="1">
      <c r="IZ199" s="231"/>
      <c r="JA199" s="231"/>
    </row>
    <row r="200" ht="14.25" customHeight="1">
      <c r="IZ200" s="231"/>
      <c r="JA200" s="231"/>
    </row>
    <row r="201" ht="14.25" customHeight="1">
      <c r="IZ201" s="231"/>
      <c r="JA201" s="231"/>
    </row>
    <row r="202" ht="14.25" customHeight="1">
      <c r="IZ202" s="231"/>
      <c r="JA202" s="231"/>
    </row>
    <row r="203" ht="14.25" customHeight="1">
      <c r="IZ203" s="231"/>
      <c r="JA203" s="231"/>
    </row>
    <row r="204" ht="14.25" customHeight="1">
      <c r="IZ204" s="231"/>
      <c r="JA204" s="231"/>
    </row>
    <row r="205" ht="14.25" customHeight="1">
      <c r="IZ205" s="231"/>
      <c r="JA205" s="231"/>
    </row>
    <row r="206" ht="14.25" customHeight="1">
      <c r="IZ206" s="231"/>
      <c r="JA206" s="231"/>
    </row>
    <row r="207" ht="14.25" customHeight="1">
      <c r="IZ207" s="231"/>
      <c r="JA207" s="231"/>
    </row>
    <row r="208" ht="14.25" customHeight="1">
      <c r="IZ208" s="231"/>
      <c r="JA208" s="231"/>
    </row>
    <row r="209" ht="14.25" customHeight="1">
      <c r="IZ209" s="231"/>
      <c r="JA209" s="231"/>
    </row>
    <row r="210" ht="14.25" customHeight="1">
      <c r="IZ210" s="231"/>
      <c r="JA210" s="231"/>
    </row>
    <row r="211" ht="14.25" customHeight="1">
      <c r="IZ211" s="231"/>
      <c r="JA211" s="231"/>
    </row>
    <row r="212" ht="14.25" customHeight="1">
      <c r="IZ212" s="231"/>
      <c r="JA212" s="231"/>
    </row>
    <row r="213" ht="14.25" customHeight="1">
      <c r="IZ213" s="231"/>
      <c r="JA213" s="231"/>
    </row>
    <row r="214" ht="14.25" customHeight="1">
      <c r="IZ214" s="231"/>
      <c r="JA214" s="231"/>
    </row>
    <row r="215" ht="14.25" customHeight="1">
      <c r="IZ215" s="231"/>
      <c r="JA215" s="231"/>
    </row>
    <row r="216" ht="14.25" customHeight="1">
      <c r="IZ216" s="231"/>
      <c r="JA216" s="231"/>
    </row>
    <row r="217" ht="14.25" customHeight="1">
      <c r="IZ217" s="231"/>
      <c r="JA217" s="231"/>
    </row>
    <row r="218" ht="14.25" customHeight="1">
      <c r="IZ218" s="231"/>
      <c r="JA218" s="231"/>
    </row>
    <row r="219" ht="14.25" customHeight="1">
      <c r="IZ219" s="231"/>
      <c r="JA219" s="231"/>
    </row>
    <row r="220" ht="14.25" customHeight="1">
      <c r="IZ220" s="231"/>
      <c r="JA220" s="231"/>
    </row>
    <row r="221" ht="14.25" customHeight="1">
      <c r="IZ221" s="231"/>
      <c r="JA221" s="231"/>
    </row>
    <row r="222" ht="14.25" customHeight="1">
      <c r="IZ222" s="231"/>
      <c r="JA222" s="231"/>
    </row>
    <row r="223" ht="14.25" customHeight="1">
      <c r="IZ223" s="231"/>
      <c r="JA223" s="231"/>
    </row>
    <row r="224" ht="14.25" customHeight="1">
      <c r="IZ224" s="231"/>
      <c r="JA224" s="231"/>
    </row>
    <row r="225" ht="14.25" customHeight="1">
      <c r="IZ225" s="231"/>
      <c r="JA225" s="231"/>
    </row>
    <row r="226" ht="14.25" customHeight="1">
      <c r="IZ226" s="231"/>
      <c r="JA226" s="231"/>
    </row>
    <row r="227" ht="14.25" customHeight="1">
      <c r="IZ227" s="231"/>
      <c r="JA227" s="231"/>
    </row>
    <row r="228" ht="14.25" customHeight="1">
      <c r="IZ228" s="231"/>
      <c r="JA228" s="231"/>
    </row>
    <row r="229" ht="14.25" customHeight="1">
      <c r="IZ229" s="231"/>
      <c r="JA229" s="231"/>
    </row>
    <row r="230" ht="14.25" customHeight="1">
      <c r="IZ230" s="231"/>
      <c r="JA230" s="231"/>
    </row>
    <row r="231" ht="14.25" customHeight="1">
      <c r="IZ231" s="231"/>
      <c r="JA231" s="231"/>
    </row>
    <row r="232" ht="14.25" customHeight="1">
      <c r="IZ232" s="231"/>
      <c r="JA232" s="231"/>
    </row>
    <row r="233" ht="14.25" customHeight="1">
      <c r="IZ233" s="231"/>
      <c r="JA233" s="231"/>
    </row>
    <row r="234" ht="14.25" customHeight="1">
      <c r="IZ234" s="231"/>
      <c r="JA234" s="231"/>
    </row>
    <row r="235" ht="14.25" customHeight="1">
      <c r="IZ235" s="231"/>
      <c r="JA235" s="231"/>
    </row>
    <row r="236" ht="14.25" customHeight="1">
      <c r="IZ236" s="231"/>
      <c r="JA236" s="231"/>
    </row>
    <row r="237" ht="14.25" customHeight="1">
      <c r="IZ237" s="231"/>
      <c r="JA237" s="231"/>
    </row>
    <row r="238" ht="14.25" customHeight="1">
      <c r="IZ238" s="231"/>
      <c r="JA238" s="231"/>
    </row>
    <row r="239" ht="14.25" customHeight="1">
      <c r="IZ239" s="231"/>
      <c r="JA239" s="231"/>
    </row>
    <row r="240" ht="14.25" customHeight="1">
      <c r="IZ240" s="231"/>
      <c r="JA240" s="231"/>
    </row>
    <row r="241" ht="14.25" customHeight="1">
      <c r="IZ241" s="231"/>
      <c r="JA241" s="231"/>
    </row>
    <row r="242" ht="14.25" customHeight="1">
      <c r="IZ242" s="231"/>
      <c r="JA242" s="231"/>
    </row>
    <row r="243" ht="14.25" customHeight="1">
      <c r="IZ243" s="231"/>
      <c r="JA243" s="231"/>
    </row>
    <row r="244" ht="14.25" customHeight="1">
      <c r="IZ244" s="231"/>
      <c r="JA244" s="231"/>
    </row>
    <row r="245" ht="14.25" customHeight="1">
      <c r="IZ245" s="231"/>
      <c r="JA245" s="231"/>
    </row>
    <row r="246" ht="15.75" customHeight="1">
      <c r="IZ246" s="231"/>
      <c r="JA246" s="231"/>
    </row>
    <row r="247" ht="15.75" customHeight="1">
      <c r="IZ247" s="231"/>
      <c r="JA247" s="231"/>
    </row>
    <row r="248" ht="15.75" customHeight="1">
      <c r="IZ248" s="231"/>
      <c r="JA248" s="231"/>
    </row>
    <row r="249" ht="15.75" customHeight="1">
      <c r="IZ249" s="231"/>
      <c r="JA249" s="231"/>
    </row>
    <row r="250" ht="15.75" customHeight="1">
      <c r="IZ250" s="231"/>
      <c r="JA250" s="231"/>
    </row>
    <row r="251" ht="15.75" customHeight="1">
      <c r="IZ251" s="231"/>
      <c r="JA251" s="231"/>
    </row>
    <row r="252" ht="15.75" customHeight="1">
      <c r="IZ252" s="231"/>
      <c r="JA252" s="231"/>
    </row>
    <row r="253" ht="15.75" customHeight="1">
      <c r="IZ253" s="231"/>
      <c r="JA253" s="231"/>
    </row>
    <row r="254" ht="15.75" customHeight="1">
      <c r="IZ254" s="231"/>
      <c r="JA254" s="231"/>
    </row>
    <row r="255" ht="15.75" customHeight="1">
      <c r="IZ255" s="231"/>
      <c r="JA255" s="231"/>
    </row>
    <row r="256" ht="15.75" customHeight="1">
      <c r="IZ256" s="231"/>
      <c r="JA256" s="231"/>
    </row>
    <row r="257" ht="15.75" customHeight="1">
      <c r="IZ257" s="231"/>
      <c r="JA257" s="231"/>
    </row>
    <row r="258" ht="15.75" customHeight="1">
      <c r="IZ258" s="231"/>
      <c r="JA258" s="231"/>
    </row>
    <row r="259" ht="15.75" customHeight="1">
      <c r="IZ259" s="231"/>
      <c r="JA259" s="231"/>
    </row>
    <row r="260" ht="15.75" customHeight="1">
      <c r="IZ260" s="231"/>
      <c r="JA260" s="231"/>
    </row>
    <row r="261" ht="15.75" customHeight="1">
      <c r="IZ261" s="231"/>
      <c r="JA261" s="231"/>
    </row>
    <row r="262" ht="15.75" customHeight="1">
      <c r="IZ262" s="231"/>
      <c r="JA262" s="231"/>
    </row>
    <row r="263" ht="15.75" customHeight="1">
      <c r="IZ263" s="231"/>
      <c r="JA263" s="231"/>
    </row>
    <row r="264" ht="15.75" customHeight="1">
      <c r="IZ264" s="231"/>
      <c r="JA264" s="231"/>
    </row>
    <row r="265" ht="15.75" customHeight="1">
      <c r="IZ265" s="231"/>
      <c r="JA265" s="231"/>
    </row>
    <row r="266" ht="15.75" customHeight="1">
      <c r="IZ266" s="231"/>
      <c r="JA266" s="231"/>
    </row>
    <row r="267" ht="15.75" customHeight="1">
      <c r="IZ267" s="231"/>
      <c r="JA267" s="231"/>
    </row>
    <row r="268" ht="15.75" customHeight="1">
      <c r="IZ268" s="231"/>
      <c r="JA268" s="231"/>
    </row>
    <row r="269" ht="15.75" customHeight="1">
      <c r="IZ269" s="231"/>
      <c r="JA269" s="231"/>
    </row>
    <row r="270" ht="15.75" customHeight="1">
      <c r="IZ270" s="231"/>
      <c r="JA270" s="231"/>
    </row>
    <row r="271" ht="15.75" customHeight="1">
      <c r="IZ271" s="231"/>
      <c r="JA271" s="231"/>
    </row>
    <row r="272" ht="15.75" customHeight="1">
      <c r="IZ272" s="231"/>
      <c r="JA272" s="231"/>
    </row>
    <row r="273" ht="15.75" customHeight="1">
      <c r="IZ273" s="231"/>
      <c r="JA273" s="231"/>
    </row>
    <row r="274" ht="15.75" customHeight="1">
      <c r="IZ274" s="231"/>
      <c r="JA274" s="231"/>
    </row>
    <row r="275" ht="15.75" customHeight="1">
      <c r="IZ275" s="231"/>
      <c r="JA275" s="231"/>
    </row>
    <row r="276" ht="15.75" customHeight="1">
      <c r="IZ276" s="231"/>
      <c r="JA276" s="231"/>
    </row>
    <row r="277" ht="15.75" customHeight="1">
      <c r="IZ277" s="231"/>
      <c r="JA277" s="231"/>
    </row>
    <row r="278" ht="15.75" customHeight="1">
      <c r="IZ278" s="231"/>
      <c r="JA278" s="231"/>
    </row>
    <row r="279" ht="15.75" customHeight="1">
      <c r="IZ279" s="231"/>
      <c r="JA279" s="231"/>
    </row>
    <row r="280" ht="15.75" customHeight="1">
      <c r="IZ280" s="231"/>
      <c r="JA280" s="231"/>
    </row>
    <row r="281" ht="15.75" customHeight="1">
      <c r="IZ281" s="231"/>
      <c r="JA281" s="231"/>
    </row>
    <row r="282" ht="15.75" customHeight="1">
      <c r="IZ282" s="231"/>
      <c r="JA282" s="231"/>
    </row>
    <row r="283" ht="15.75" customHeight="1">
      <c r="IZ283" s="231"/>
      <c r="JA283" s="231"/>
    </row>
    <row r="284" ht="15.75" customHeight="1">
      <c r="IZ284" s="231"/>
      <c r="JA284" s="231"/>
    </row>
    <row r="285" ht="15.75" customHeight="1">
      <c r="IZ285" s="231"/>
      <c r="JA285" s="231"/>
    </row>
    <row r="286" ht="15.75" customHeight="1">
      <c r="IZ286" s="231"/>
      <c r="JA286" s="231"/>
    </row>
    <row r="287" ht="15.75" customHeight="1">
      <c r="IZ287" s="231"/>
      <c r="JA287" s="231"/>
    </row>
    <row r="288" ht="15.75" customHeight="1">
      <c r="IZ288" s="231"/>
      <c r="JA288" s="231"/>
    </row>
    <row r="289" ht="15.75" customHeight="1">
      <c r="IZ289" s="231"/>
      <c r="JA289" s="231"/>
    </row>
    <row r="290" ht="15.75" customHeight="1">
      <c r="IZ290" s="231"/>
      <c r="JA290" s="231"/>
    </row>
    <row r="291" ht="15.75" customHeight="1">
      <c r="IZ291" s="231"/>
      <c r="JA291" s="231"/>
    </row>
    <row r="292" ht="15.75" customHeight="1">
      <c r="IZ292" s="231"/>
      <c r="JA292" s="231"/>
    </row>
    <row r="293" ht="15.75" customHeight="1">
      <c r="IZ293" s="231"/>
      <c r="JA293" s="231"/>
    </row>
    <row r="294" ht="15.75" customHeight="1">
      <c r="IZ294" s="231"/>
      <c r="JA294" s="231"/>
    </row>
    <row r="295" ht="15.75" customHeight="1">
      <c r="IZ295" s="231"/>
      <c r="JA295" s="231"/>
    </row>
    <row r="296" ht="15.75" customHeight="1">
      <c r="IZ296" s="231"/>
      <c r="JA296" s="231"/>
    </row>
    <row r="297" ht="15.75" customHeight="1">
      <c r="IZ297" s="231"/>
      <c r="JA297" s="231"/>
    </row>
    <row r="298" ht="15.75" customHeight="1">
      <c r="IZ298" s="231"/>
      <c r="JA298" s="231"/>
    </row>
    <row r="299" ht="15.75" customHeight="1">
      <c r="IZ299" s="231"/>
      <c r="JA299" s="231"/>
    </row>
    <row r="300" ht="15.75" customHeight="1">
      <c r="IZ300" s="231"/>
      <c r="JA300" s="231"/>
    </row>
    <row r="301" ht="15.75" customHeight="1">
      <c r="IZ301" s="231"/>
      <c r="JA301" s="231"/>
    </row>
    <row r="302" ht="15.75" customHeight="1">
      <c r="IZ302" s="231"/>
      <c r="JA302" s="231"/>
    </row>
    <row r="303" ht="15.75" customHeight="1">
      <c r="IZ303" s="231"/>
      <c r="JA303" s="231"/>
    </row>
    <row r="304" ht="15.75" customHeight="1">
      <c r="IZ304" s="231"/>
      <c r="JA304" s="231"/>
    </row>
    <row r="305" ht="15.75" customHeight="1">
      <c r="IZ305" s="231"/>
      <c r="JA305" s="231"/>
    </row>
    <row r="306" ht="15.75" customHeight="1">
      <c r="IZ306" s="231"/>
      <c r="JA306" s="231"/>
    </row>
    <row r="307" ht="15.75" customHeight="1">
      <c r="IZ307" s="231"/>
      <c r="JA307" s="231"/>
    </row>
    <row r="308" ht="15.75" customHeight="1">
      <c r="IZ308" s="231"/>
      <c r="JA308" s="231"/>
    </row>
    <row r="309" ht="15.75" customHeight="1">
      <c r="IZ309" s="231"/>
      <c r="JA309" s="231"/>
    </row>
    <row r="310" ht="15.75" customHeight="1">
      <c r="IZ310" s="231"/>
      <c r="JA310" s="231"/>
    </row>
    <row r="311" ht="15.75" customHeight="1">
      <c r="IZ311" s="231"/>
      <c r="JA311" s="231"/>
    </row>
    <row r="312" ht="15.75" customHeight="1">
      <c r="IZ312" s="231"/>
      <c r="JA312" s="231"/>
    </row>
    <row r="313" ht="15.75" customHeight="1">
      <c r="IZ313" s="231"/>
      <c r="JA313" s="231"/>
    </row>
    <row r="314" ht="15.75" customHeight="1">
      <c r="IZ314" s="231"/>
      <c r="JA314" s="231"/>
    </row>
    <row r="315" ht="15.75" customHeight="1">
      <c r="IZ315" s="231"/>
      <c r="JA315" s="231"/>
    </row>
    <row r="316" ht="15.75" customHeight="1">
      <c r="IZ316" s="231"/>
      <c r="JA316" s="231"/>
    </row>
    <row r="317" ht="15.75" customHeight="1">
      <c r="IZ317" s="231"/>
      <c r="JA317" s="231"/>
    </row>
    <row r="318" ht="15.75" customHeight="1">
      <c r="IZ318" s="231"/>
      <c r="JA318" s="231"/>
    </row>
    <row r="319" ht="15.75" customHeight="1">
      <c r="IZ319" s="231"/>
      <c r="JA319" s="231"/>
    </row>
    <row r="320" ht="15.75" customHeight="1">
      <c r="IZ320" s="231"/>
      <c r="JA320" s="231"/>
    </row>
    <row r="321" ht="15.75" customHeight="1">
      <c r="IZ321" s="231"/>
      <c r="JA321" s="231"/>
    </row>
    <row r="322" ht="15.75" customHeight="1">
      <c r="IZ322" s="231"/>
      <c r="JA322" s="231"/>
    </row>
    <row r="323" ht="15.75" customHeight="1">
      <c r="IZ323" s="231"/>
      <c r="JA323" s="231"/>
    </row>
    <row r="324" ht="15.75" customHeight="1">
      <c r="IZ324" s="231"/>
      <c r="JA324" s="231"/>
    </row>
    <row r="325" ht="15.75" customHeight="1">
      <c r="IZ325" s="231"/>
      <c r="JA325" s="231"/>
    </row>
    <row r="326" ht="15.75" customHeight="1">
      <c r="IZ326" s="231"/>
      <c r="JA326" s="231"/>
    </row>
    <row r="327" ht="15.75" customHeight="1">
      <c r="IZ327" s="231"/>
      <c r="JA327" s="231"/>
    </row>
    <row r="328" ht="15.75" customHeight="1">
      <c r="IZ328" s="231"/>
      <c r="JA328" s="231"/>
    </row>
    <row r="329" ht="15.75" customHeight="1">
      <c r="IZ329" s="231"/>
      <c r="JA329" s="231"/>
    </row>
    <row r="330" ht="15.75" customHeight="1">
      <c r="IZ330" s="231"/>
      <c r="JA330" s="231"/>
    </row>
    <row r="331" ht="15.75" customHeight="1">
      <c r="IZ331" s="231"/>
      <c r="JA331" s="231"/>
    </row>
    <row r="332" ht="15.75" customHeight="1">
      <c r="IZ332" s="231"/>
      <c r="JA332" s="231"/>
    </row>
    <row r="333" ht="15.75" customHeight="1">
      <c r="IZ333" s="231"/>
      <c r="JA333" s="231"/>
    </row>
    <row r="334" ht="15.75" customHeight="1">
      <c r="IZ334" s="231"/>
      <c r="JA334" s="231"/>
    </row>
    <row r="335" ht="15.75" customHeight="1">
      <c r="IZ335" s="231"/>
      <c r="JA335" s="231"/>
    </row>
    <row r="336" ht="15.75" customHeight="1">
      <c r="IZ336" s="231"/>
      <c r="JA336" s="231"/>
    </row>
    <row r="337" ht="15.75" customHeight="1">
      <c r="IZ337" s="231"/>
      <c r="JA337" s="231"/>
    </row>
    <row r="338" ht="15.75" customHeight="1">
      <c r="IZ338" s="231"/>
      <c r="JA338" s="231"/>
    </row>
    <row r="339" ht="15.75" customHeight="1">
      <c r="IZ339" s="231"/>
      <c r="JA339" s="231"/>
    </row>
    <row r="340" ht="15.75" customHeight="1">
      <c r="IZ340" s="231"/>
      <c r="JA340" s="231"/>
    </row>
    <row r="341" ht="15.75" customHeight="1">
      <c r="IZ341" s="231"/>
      <c r="JA341" s="231"/>
    </row>
    <row r="342" ht="15.75" customHeight="1">
      <c r="IZ342" s="231"/>
      <c r="JA342" s="231"/>
    </row>
    <row r="343" ht="15.75" customHeight="1">
      <c r="IZ343" s="231"/>
      <c r="JA343" s="231"/>
    </row>
    <row r="344" ht="15.75" customHeight="1">
      <c r="IZ344" s="231"/>
      <c r="JA344" s="231"/>
    </row>
    <row r="345" ht="15.75" customHeight="1">
      <c r="IZ345" s="231"/>
      <c r="JA345" s="231"/>
    </row>
    <row r="346" ht="15.75" customHeight="1">
      <c r="IZ346" s="231"/>
      <c r="JA346" s="231"/>
    </row>
    <row r="347" ht="15.75" customHeight="1">
      <c r="IZ347" s="231"/>
      <c r="JA347" s="231"/>
    </row>
    <row r="348" ht="15.75" customHeight="1">
      <c r="IZ348" s="231"/>
      <c r="JA348" s="231"/>
    </row>
    <row r="349" ht="15.75" customHeight="1">
      <c r="IZ349" s="231"/>
      <c r="JA349" s="231"/>
    </row>
    <row r="350" ht="15.75" customHeight="1">
      <c r="IZ350" s="231"/>
      <c r="JA350" s="231"/>
    </row>
    <row r="351" ht="15.75" customHeight="1">
      <c r="IZ351" s="231"/>
      <c r="JA351" s="231"/>
    </row>
    <row r="352" ht="15.75" customHeight="1">
      <c r="IZ352" s="231"/>
      <c r="JA352" s="231"/>
    </row>
    <row r="353" ht="15.75" customHeight="1">
      <c r="IZ353" s="231"/>
      <c r="JA353" s="231"/>
    </row>
    <row r="354" ht="15.75" customHeight="1">
      <c r="IZ354" s="231"/>
      <c r="JA354" s="231"/>
    </row>
    <row r="355" ht="15.75" customHeight="1">
      <c r="IZ355" s="231"/>
      <c r="JA355" s="231"/>
    </row>
    <row r="356" ht="15.75" customHeight="1">
      <c r="IZ356" s="231"/>
      <c r="JA356" s="231"/>
    </row>
    <row r="357" ht="15.75" customHeight="1">
      <c r="IZ357" s="231"/>
      <c r="JA357" s="231"/>
    </row>
    <row r="358" ht="15.75" customHeight="1">
      <c r="IZ358" s="231"/>
      <c r="JA358" s="231"/>
    </row>
    <row r="359" ht="15.75" customHeight="1">
      <c r="IZ359" s="231"/>
      <c r="JA359" s="231"/>
    </row>
    <row r="360" ht="15.75" customHeight="1">
      <c r="IZ360" s="231"/>
      <c r="JA360" s="231"/>
    </row>
    <row r="361" ht="15.75" customHeight="1">
      <c r="IZ361" s="231"/>
      <c r="JA361" s="231"/>
    </row>
    <row r="362" ht="15.75" customHeight="1">
      <c r="IZ362" s="231"/>
      <c r="JA362" s="231"/>
    </row>
    <row r="363" ht="15.75" customHeight="1">
      <c r="IZ363" s="231"/>
      <c r="JA363" s="231"/>
    </row>
    <row r="364" ht="15.75" customHeight="1">
      <c r="IZ364" s="231"/>
      <c r="JA364" s="231"/>
    </row>
    <row r="365" ht="15.75" customHeight="1">
      <c r="IZ365" s="231"/>
      <c r="JA365" s="231"/>
    </row>
    <row r="366" ht="15.75" customHeight="1">
      <c r="IZ366" s="231"/>
      <c r="JA366" s="231"/>
    </row>
    <row r="367" ht="15.75" customHeight="1">
      <c r="IZ367" s="231"/>
      <c r="JA367" s="231"/>
    </row>
    <row r="368" ht="15.75" customHeight="1">
      <c r="IZ368" s="231"/>
      <c r="JA368" s="231"/>
    </row>
    <row r="369" ht="15.75" customHeight="1">
      <c r="IZ369" s="231"/>
      <c r="JA369" s="231"/>
    </row>
    <row r="370" ht="15.75" customHeight="1">
      <c r="IZ370" s="231"/>
      <c r="JA370" s="231"/>
    </row>
    <row r="371" ht="15.75" customHeight="1">
      <c r="IZ371" s="231"/>
      <c r="JA371" s="231"/>
    </row>
    <row r="372" ht="15.75" customHeight="1">
      <c r="IZ372" s="231"/>
      <c r="JA372" s="231"/>
    </row>
    <row r="373" ht="15.75" customHeight="1">
      <c r="IZ373" s="231"/>
      <c r="JA373" s="231"/>
    </row>
    <row r="374" ht="15.75" customHeight="1">
      <c r="IZ374" s="231"/>
      <c r="JA374" s="231"/>
    </row>
    <row r="375" ht="15.75" customHeight="1">
      <c r="IZ375" s="231"/>
      <c r="JA375" s="231"/>
    </row>
    <row r="376" ht="15.75" customHeight="1">
      <c r="IZ376" s="231"/>
      <c r="JA376" s="231"/>
    </row>
    <row r="377" ht="15.75" customHeight="1">
      <c r="IZ377" s="231"/>
      <c r="JA377" s="231"/>
    </row>
    <row r="378" ht="15.75" customHeight="1">
      <c r="IZ378" s="231"/>
      <c r="JA378" s="231"/>
    </row>
    <row r="379" ht="15.75" customHeight="1">
      <c r="IZ379" s="231"/>
      <c r="JA379" s="231"/>
    </row>
    <row r="380" ht="15.75" customHeight="1">
      <c r="IZ380" s="231"/>
      <c r="JA380" s="231"/>
    </row>
    <row r="381" ht="15.75" customHeight="1">
      <c r="IZ381" s="231"/>
      <c r="JA381" s="231"/>
    </row>
    <row r="382" ht="15.75" customHeight="1">
      <c r="IZ382" s="231"/>
      <c r="JA382" s="231"/>
    </row>
    <row r="383" ht="15.75" customHeight="1">
      <c r="IZ383" s="231"/>
      <c r="JA383" s="231"/>
    </row>
    <row r="384" ht="15.75" customHeight="1">
      <c r="IZ384" s="231"/>
      <c r="JA384" s="231"/>
    </row>
    <row r="385" ht="15.75" customHeight="1">
      <c r="IZ385" s="231"/>
      <c r="JA385" s="231"/>
    </row>
    <row r="386" ht="15.75" customHeight="1">
      <c r="IZ386" s="231"/>
      <c r="JA386" s="231"/>
    </row>
    <row r="387" ht="15.75" customHeight="1">
      <c r="IZ387" s="231"/>
      <c r="JA387" s="231"/>
    </row>
    <row r="388" ht="15.75" customHeight="1">
      <c r="IZ388" s="231"/>
      <c r="JA388" s="231"/>
    </row>
    <row r="389" ht="15.75" customHeight="1">
      <c r="IZ389" s="231"/>
      <c r="JA389" s="231"/>
    </row>
    <row r="390" ht="15.75" customHeight="1">
      <c r="IZ390" s="231"/>
      <c r="JA390" s="231"/>
    </row>
    <row r="391" ht="15.75" customHeight="1">
      <c r="IZ391" s="231"/>
      <c r="JA391" s="231"/>
    </row>
    <row r="392" ht="15.75" customHeight="1">
      <c r="IZ392" s="231"/>
      <c r="JA392" s="231"/>
    </row>
    <row r="393" ht="15.75" customHeight="1">
      <c r="IZ393" s="231"/>
      <c r="JA393" s="231"/>
    </row>
    <row r="394" ht="15.75" customHeight="1">
      <c r="IZ394" s="231"/>
      <c r="JA394" s="231"/>
    </row>
    <row r="395" ht="15.75" customHeight="1">
      <c r="IZ395" s="231"/>
      <c r="JA395" s="231"/>
    </row>
    <row r="396" ht="15.75" customHeight="1">
      <c r="IZ396" s="231"/>
      <c r="JA396" s="231"/>
    </row>
    <row r="397" ht="15.75" customHeight="1">
      <c r="IZ397" s="231"/>
      <c r="JA397" s="231"/>
    </row>
    <row r="398" ht="15.75" customHeight="1">
      <c r="IZ398" s="231"/>
      <c r="JA398" s="231"/>
    </row>
    <row r="399" ht="15.75" customHeight="1">
      <c r="IZ399" s="231"/>
      <c r="JA399" s="231"/>
    </row>
    <row r="400" ht="15.75" customHeight="1">
      <c r="IZ400" s="231"/>
      <c r="JA400" s="231"/>
    </row>
    <row r="401" ht="15.75" customHeight="1">
      <c r="IZ401" s="231"/>
      <c r="JA401" s="231"/>
    </row>
    <row r="402" ht="15.75" customHeight="1">
      <c r="IZ402" s="231"/>
      <c r="JA402" s="231"/>
    </row>
    <row r="403" ht="15.75" customHeight="1">
      <c r="IZ403" s="231"/>
      <c r="JA403" s="231"/>
    </row>
    <row r="404" ht="15.75" customHeight="1">
      <c r="IZ404" s="231"/>
      <c r="JA404" s="231"/>
    </row>
    <row r="405" ht="15.75" customHeight="1">
      <c r="IZ405" s="231"/>
      <c r="JA405" s="231"/>
    </row>
    <row r="406" ht="15.75" customHeight="1">
      <c r="IZ406" s="231"/>
      <c r="JA406" s="231"/>
    </row>
    <row r="407" ht="15.75" customHeight="1">
      <c r="IZ407" s="231"/>
      <c r="JA407" s="231"/>
    </row>
    <row r="408" ht="15.75" customHeight="1">
      <c r="IZ408" s="231"/>
      <c r="JA408" s="231"/>
    </row>
    <row r="409" ht="15.75" customHeight="1">
      <c r="IZ409" s="231"/>
      <c r="JA409" s="231"/>
    </row>
    <row r="410" ht="15.75" customHeight="1">
      <c r="IZ410" s="231"/>
      <c r="JA410" s="231"/>
    </row>
    <row r="411" ht="15.75" customHeight="1">
      <c r="IZ411" s="231"/>
      <c r="JA411" s="231"/>
    </row>
    <row r="412" ht="15.75" customHeight="1">
      <c r="IZ412" s="231"/>
      <c r="JA412" s="231"/>
    </row>
    <row r="413" ht="15.75" customHeight="1">
      <c r="IZ413" s="231"/>
      <c r="JA413" s="231"/>
    </row>
    <row r="414" ht="15.75" customHeight="1">
      <c r="IZ414" s="231"/>
      <c r="JA414" s="231"/>
    </row>
    <row r="415" ht="15.75" customHeight="1">
      <c r="IZ415" s="231"/>
      <c r="JA415" s="231"/>
    </row>
    <row r="416" ht="15.75" customHeight="1">
      <c r="IZ416" s="231"/>
      <c r="JA416" s="231"/>
    </row>
    <row r="417" ht="15.75" customHeight="1">
      <c r="IZ417" s="231"/>
      <c r="JA417" s="231"/>
    </row>
    <row r="418" ht="15.75" customHeight="1">
      <c r="IZ418" s="231"/>
      <c r="JA418" s="231"/>
    </row>
    <row r="419" ht="15.75" customHeight="1">
      <c r="IZ419" s="231"/>
      <c r="JA419" s="231"/>
    </row>
    <row r="420" ht="15.75" customHeight="1">
      <c r="IZ420" s="231"/>
      <c r="JA420" s="231"/>
    </row>
    <row r="421" ht="15.75" customHeight="1">
      <c r="IZ421" s="231"/>
      <c r="JA421" s="231"/>
    </row>
    <row r="422" ht="15.75" customHeight="1">
      <c r="IZ422" s="231"/>
      <c r="JA422" s="231"/>
    </row>
    <row r="423" ht="15.75" customHeight="1">
      <c r="IZ423" s="231"/>
      <c r="JA423" s="231"/>
    </row>
    <row r="424" ht="15.75" customHeight="1">
      <c r="IZ424" s="231"/>
      <c r="JA424" s="231"/>
    </row>
    <row r="425" ht="15.75" customHeight="1">
      <c r="IZ425" s="231"/>
      <c r="JA425" s="231"/>
    </row>
    <row r="426" ht="15.75" customHeight="1">
      <c r="IZ426" s="231"/>
      <c r="JA426" s="231"/>
    </row>
    <row r="427" ht="15.75" customHeight="1">
      <c r="IZ427" s="231"/>
      <c r="JA427" s="231"/>
    </row>
    <row r="428" ht="15.75" customHeight="1">
      <c r="IZ428" s="231"/>
      <c r="JA428" s="231"/>
    </row>
    <row r="429" ht="15.75" customHeight="1">
      <c r="IZ429" s="231"/>
      <c r="JA429" s="231"/>
    </row>
    <row r="430" ht="15.75" customHeight="1">
      <c r="IZ430" s="231"/>
      <c r="JA430" s="231"/>
    </row>
    <row r="431" ht="15.75" customHeight="1">
      <c r="IZ431" s="231"/>
      <c r="JA431" s="231"/>
    </row>
    <row r="432" ht="15.75" customHeight="1">
      <c r="IZ432" s="231"/>
      <c r="JA432" s="231"/>
    </row>
    <row r="433" ht="15.75" customHeight="1">
      <c r="IZ433" s="231"/>
      <c r="JA433" s="231"/>
    </row>
    <row r="434" ht="15.75" customHeight="1">
      <c r="IZ434" s="231"/>
      <c r="JA434" s="231"/>
    </row>
    <row r="435" ht="15.75" customHeight="1">
      <c r="IZ435" s="231"/>
      <c r="JA435" s="231"/>
    </row>
    <row r="436" ht="15.75" customHeight="1">
      <c r="IZ436" s="231"/>
      <c r="JA436" s="231"/>
    </row>
    <row r="437" ht="15.75" customHeight="1">
      <c r="IZ437" s="231"/>
      <c r="JA437" s="231"/>
    </row>
    <row r="438" ht="15.75" customHeight="1">
      <c r="IZ438" s="231"/>
      <c r="JA438" s="231"/>
    </row>
    <row r="439" ht="15.75" customHeight="1">
      <c r="IZ439" s="231"/>
      <c r="JA439" s="231"/>
    </row>
    <row r="440" ht="15.75" customHeight="1">
      <c r="IZ440" s="231"/>
      <c r="JA440" s="231"/>
    </row>
    <row r="441" ht="15.75" customHeight="1">
      <c r="IZ441" s="231"/>
      <c r="JA441" s="231"/>
    </row>
    <row r="442" ht="15.75" customHeight="1">
      <c r="IZ442" s="231"/>
      <c r="JA442" s="231"/>
    </row>
    <row r="443" ht="15.75" customHeight="1">
      <c r="IZ443" s="231"/>
      <c r="JA443" s="231"/>
    </row>
    <row r="444" ht="15.75" customHeight="1">
      <c r="IZ444" s="231"/>
      <c r="JA444" s="231"/>
    </row>
    <row r="445" ht="15.75" customHeight="1">
      <c r="IZ445" s="231"/>
      <c r="JA445" s="231"/>
    </row>
    <row r="446" ht="15.75" customHeight="1">
      <c r="IZ446" s="231"/>
      <c r="JA446" s="231"/>
    </row>
    <row r="447" ht="15.75" customHeight="1">
      <c r="IZ447" s="231"/>
      <c r="JA447" s="231"/>
    </row>
    <row r="448" ht="15.75" customHeight="1">
      <c r="IZ448" s="231"/>
      <c r="JA448" s="231"/>
    </row>
    <row r="449" ht="15.75" customHeight="1">
      <c r="IZ449" s="231"/>
      <c r="JA449" s="231"/>
    </row>
    <row r="450" ht="15.75" customHeight="1">
      <c r="IZ450" s="231"/>
      <c r="JA450" s="231"/>
    </row>
    <row r="451" ht="15.75" customHeight="1">
      <c r="IZ451" s="231"/>
      <c r="JA451" s="231"/>
    </row>
    <row r="452" ht="15.75" customHeight="1">
      <c r="IZ452" s="231"/>
      <c r="JA452" s="231"/>
    </row>
    <row r="453" ht="15.75" customHeight="1">
      <c r="IZ453" s="231"/>
      <c r="JA453" s="231"/>
    </row>
    <row r="454" ht="15.75" customHeight="1">
      <c r="IZ454" s="231"/>
      <c r="JA454" s="231"/>
    </row>
    <row r="455" ht="15.75" customHeight="1">
      <c r="IZ455" s="231"/>
      <c r="JA455" s="231"/>
    </row>
    <row r="456" ht="15.75" customHeight="1">
      <c r="IZ456" s="231"/>
      <c r="JA456" s="231"/>
    </row>
    <row r="457" ht="15.75" customHeight="1">
      <c r="IZ457" s="231"/>
      <c r="JA457" s="231"/>
    </row>
    <row r="458" ht="15.75" customHeight="1">
      <c r="IZ458" s="231"/>
      <c r="JA458" s="231"/>
    </row>
    <row r="459" ht="15.75" customHeight="1">
      <c r="IZ459" s="231"/>
      <c r="JA459" s="231"/>
    </row>
    <row r="460" ht="15.75" customHeight="1">
      <c r="IZ460" s="231"/>
      <c r="JA460" s="231"/>
    </row>
    <row r="461" ht="15.75" customHeight="1">
      <c r="IZ461" s="231"/>
      <c r="JA461" s="231"/>
    </row>
    <row r="462" ht="15.75" customHeight="1">
      <c r="IZ462" s="231"/>
      <c r="JA462" s="231"/>
    </row>
    <row r="463" ht="15.75" customHeight="1">
      <c r="IZ463" s="231"/>
      <c r="JA463" s="231"/>
    </row>
    <row r="464" ht="15.75" customHeight="1">
      <c r="IZ464" s="231"/>
      <c r="JA464" s="231"/>
    </row>
    <row r="465" ht="15.75" customHeight="1">
      <c r="IZ465" s="231"/>
      <c r="JA465" s="231"/>
    </row>
    <row r="466" ht="15.75" customHeight="1">
      <c r="IZ466" s="231"/>
      <c r="JA466" s="231"/>
    </row>
    <row r="467" ht="15.75" customHeight="1">
      <c r="IZ467" s="231"/>
      <c r="JA467" s="231"/>
    </row>
    <row r="468" ht="15.75" customHeight="1">
      <c r="IZ468" s="231"/>
      <c r="JA468" s="231"/>
    </row>
    <row r="469" ht="15.75" customHeight="1">
      <c r="IZ469" s="231"/>
      <c r="JA469" s="231"/>
    </row>
    <row r="470" ht="15.75" customHeight="1">
      <c r="IZ470" s="231"/>
      <c r="JA470" s="231"/>
    </row>
    <row r="471" ht="15.75" customHeight="1">
      <c r="IZ471" s="231"/>
      <c r="JA471" s="231"/>
    </row>
    <row r="472" ht="15.75" customHeight="1">
      <c r="IZ472" s="231"/>
      <c r="JA472" s="231"/>
    </row>
    <row r="473" ht="15.75" customHeight="1">
      <c r="IZ473" s="231"/>
      <c r="JA473" s="231"/>
    </row>
    <row r="474" ht="15.75" customHeight="1">
      <c r="IZ474" s="231"/>
      <c r="JA474" s="231"/>
    </row>
    <row r="475" ht="15.75" customHeight="1">
      <c r="IZ475" s="231"/>
      <c r="JA475" s="231"/>
    </row>
    <row r="476" ht="15.75" customHeight="1">
      <c r="IZ476" s="231"/>
      <c r="JA476" s="231"/>
    </row>
    <row r="477" ht="15.75" customHeight="1">
      <c r="IZ477" s="231"/>
      <c r="JA477" s="231"/>
    </row>
    <row r="478" ht="15.75" customHeight="1">
      <c r="IZ478" s="231"/>
      <c r="JA478" s="231"/>
    </row>
    <row r="479" ht="15.75" customHeight="1">
      <c r="IZ479" s="231"/>
      <c r="JA479" s="231"/>
    </row>
    <row r="480" ht="15.75" customHeight="1">
      <c r="IZ480" s="231"/>
      <c r="JA480" s="231"/>
    </row>
    <row r="481" ht="15.75" customHeight="1">
      <c r="IZ481" s="231"/>
      <c r="JA481" s="231"/>
    </row>
    <row r="482" ht="15.75" customHeight="1">
      <c r="IZ482" s="231"/>
      <c r="JA482" s="231"/>
    </row>
    <row r="483" ht="15.75" customHeight="1">
      <c r="IZ483" s="231"/>
      <c r="JA483" s="231"/>
    </row>
    <row r="484" ht="15.75" customHeight="1">
      <c r="IZ484" s="231"/>
      <c r="JA484" s="231"/>
    </row>
    <row r="485" ht="15.75" customHeight="1">
      <c r="IZ485" s="231"/>
      <c r="JA485" s="231"/>
    </row>
    <row r="486" ht="15.75" customHeight="1">
      <c r="IZ486" s="231"/>
      <c r="JA486" s="231"/>
    </row>
    <row r="487" ht="15.75" customHeight="1">
      <c r="IZ487" s="231"/>
      <c r="JA487" s="231"/>
    </row>
    <row r="488" ht="15.75" customHeight="1">
      <c r="IZ488" s="231"/>
      <c r="JA488" s="231"/>
    </row>
    <row r="489" ht="15.75" customHeight="1">
      <c r="IZ489" s="231"/>
      <c r="JA489" s="231"/>
    </row>
    <row r="490" ht="15.75" customHeight="1">
      <c r="IZ490" s="231"/>
      <c r="JA490" s="231"/>
    </row>
    <row r="491" ht="15.75" customHeight="1">
      <c r="IZ491" s="231"/>
      <c r="JA491" s="231"/>
    </row>
    <row r="492" ht="15.75" customHeight="1">
      <c r="IZ492" s="231"/>
      <c r="JA492" s="231"/>
    </row>
    <row r="493" ht="15.75" customHeight="1">
      <c r="IZ493" s="231"/>
      <c r="JA493" s="231"/>
    </row>
    <row r="494" ht="15.75" customHeight="1">
      <c r="IZ494" s="231"/>
      <c r="JA494" s="231"/>
    </row>
    <row r="495" ht="15.75" customHeight="1">
      <c r="IZ495" s="231"/>
      <c r="JA495" s="231"/>
    </row>
    <row r="496" ht="15.75" customHeight="1">
      <c r="IZ496" s="231"/>
      <c r="JA496" s="231"/>
    </row>
    <row r="497" ht="15.75" customHeight="1">
      <c r="IZ497" s="231"/>
      <c r="JA497" s="231"/>
    </row>
    <row r="498" ht="15.75" customHeight="1">
      <c r="IZ498" s="231"/>
      <c r="JA498" s="231"/>
    </row>
    <row r="499" ht="15.75" customHeight="1">
      <c r="IZ499" s="231"/>
      <c r="JA499" s="231"/>
    </row>
    <row r="500" ht="15.75" customHeight="1">
      <c r="IZ500" s="231"/>
      <c r="JA500" s="231"/>
    </row>
    <row r="501" ht="15.75" customHeight="1">
      <c r="IZ501" s="231"/>
      <c r="JA501" s="231"/>
    </row>
    <row r="502" ht="15.75" customHeight="1">
      <c r="IZ502" s="231"/>
      <c r="JA502" s="231"/>
    </row>
    <row r="503" ht="15.75" customHeight="1">
      <c r="IZ503" s="231"/>
      <c r="JA503" s="231"/>
    </row>
    <row r="504" ht="15.75" customHeight="1">
      <c r="IZ504" s="231"/>
      <c r="JA504" s="231"/>
    </row>
    <row r="505" ht="15.75" customHeight="1">
      <c r="IZ505" s="231"/>
      <c r="JA505" s="231"/>
    </row>
    <row r="506" ht="15.75" customHeight="1">
      <c r="IZ506" s="231"/>
      <c r="JA506" s="231"/>
    </row>
    <row r="507" ht="15.75" customHeight="1">
      <c r="IZ507" s="231"/>
      <c r="JA507" s="231"/>
    </row>
    <row r="508" ht="15.75" customHeight="1">
      <c r="IZ508" s="231"/>
      <c r="JA508" s="231"/>
    </row>
    <row r="509" ht="15.75" customHeight="1">
      <c r="IZ509" s="231"/>
      <c r="JA509" s="231"/>
    </row>
    <row r="510" ht="15.75" customHeight="1">
      <c r="IZ510" s="231"/>
      <c r="JA510" s="231"/>
    </row>
    <row r="511" ht="15.75" customHeight="1">
      <c r="IZ511" s="231"/>
      <c r="JA511" s="231"/>
    </row>
    <row r="512" ht="15.75" customHeight="1">
      <c r="IZ512" s="231"/>
      <c r="JA512" s="231"/>
    </row>
    <row r="513" ht="15.75" customHeight="1">
      <c r="IZ513" s="231"/>
      <c r="JA513" s="231"/>
    </row>
    <row r="514" ht="15.75" customHeight="1">
      <c r="IZ514" s="231"/>
      <c r="JA514" s="231"/>
    </row>
    <row r="515" ht="15.75" customHeight="1">
      <c r="IZ515" s="231"/>
      <c r="JA515" s="231"/>
    </row>
    <row r="516" ht="15.75" customHeight="1">
      <c r="IZ516" s="231"/>
      <c r="JA516" s="231"/>
    </row>
    <row r="517" ht="15.75" customHeight="1">
      <c r="IZ517" s="231"/>
      <c r="JA517" s="231"/>
    </row>
    <row r="518" ht="15.75" customHeight="1">
      <c r="IZ518" s="231"/>
      <c r="JA518" s="231"/>
    </row>
    <row r="519" ht="15.75" customHeight="1">
      <c r="IZ519" s="231"/>
      <c r="JA519" s="231"/>
    </row>
    <row r="520" ht="15.75" customHeight="1">
      <c r="IZ520" s="231"/>
      <c r="JA520" s="231"/>
    </row>
    <row r="521" ht="15.75" customHeight="1">
      <c r="IZ521" s="231"/>
      <c r="JA521" s="231"/>
    </row>
    <row r="522" ht="15.75" customHeight="1">
      <c r="IZ522" s="231"/>
      <c r="JA522" s="231"/>
    </row>
    <row r="523" ht="15.75" customHeight="1">
      <c r="IZ523" s="231"/>
      <c r="JA523" s="231"/>
    </row>
    <row r="524" ht="15.75" customHeight="1">
      <c r="IZ524" s="231"/>
      <c r="JA524" s="231"/>
    </row>
    <row r="525" ht="15.75" customHeight="1">
      <c r="IZ525" s="231"/>
      <c r="JA525" s="231"/>
    </row>
    <row r="526" ht="15.75" customHeight="1">
      <c r="IZ526" s="231"/>
      <c r="JA526" s="231"/>
    </row>
    <row r="527" ht="15.75" customHeight="1">
      <c r="IZ527" s="231"/>
      <c r="JA527" s="231"/>
    </row>
    <row r="528" ht="15.75" customHeight="1">
      <c r="IZ528" s="231"/>
      <c r="JA528" s="231"/>
    </row>
    <row r="529" ht="15.75" customHeight="1">
      <c r="IZ529" s="231"/>
      <c r="JA529" s="231"/>
    </row>
    <row r="530" ht="15.75" customHeight="1">
      <c r="IZ530" s="231"/>
      <c r="JA530" s="231"/>
    </row>
    <row r="531" ht="15.75" customHeight="1">
      <c r="IZ531" s="231"/>
      <c r="JA531" s="231"/>
    </row>
    <row r="532" ht="15.75" customHeight="1">
      <c r="IZ532" s="231"/>
      <c r="JA532" s="231"/>
    </row>
    <row r="533" ht="15.75" customHeight="1">
      <c r="IZ533" s="231"/>
      <c r="JA533" s="231"/>
    </row>
    <row r="534" ht="15.75" customHeight="1">
      <c r="IZ534" s="231"/>
      <c r="JA534" s="231"/>
    </row>
    <row r="535" ht="15.75" customHeight="1">
      <c r="IZ535" s="231"/>
      <c r="JA535" s="231"/>
    </row>
    <row r="536" ht="15.75" customHeight="1">
      <c r="IZ536" s="231"/>
      <c r="JA536" s="231"/>
    </row>
    <row r="537" ht="15.75" customHeight="1">
      <c r="IZ537" s="231"/>
      <c r="JA537" s="231"/>
    </row>
    <row r="538" ht="15.75" customHeight="1">
      <c r="IZ538" s="231"/>
      <c r="JA538" s="231"/>
    </row>
    <row r="539" ht="15.75" customHeight="1">
      <c r="IZ539" s="231"/>
      <c r="JA539" s="231"/>
    </row>
    <row r="540" ht="15.75" customHeight="1">
      <c r="IZ540" s="231"/>
      <c r="JA540" s="231"/>
    </row>
    <row r="541" ht="15.75" customHeight="1">
      <c r="IZ541" s="231"/>
      <c r="JA541" s="231"/>
    </row>
    <row r="542" ht="15.75" customHeight="1">
      <c r="IZ542" s="231"/>
      <c r="JA542" s="231"/>
    </row>
    <row r="543" ht="15.75" customHeight="1">
      <c r="IZ543" s="231"/>
      <c r="JA543" s="231"/>
    </row>
    <row r="544" ht="15.75" customHeight="1">
      <c r="IZ544" s="231"/>
      <c r="JA544" s="231"/>
    </row>
    <row r="545" ht="15.75" customHeight="1">
      <c r="IZ545" s="231"/>
      <c r="JA545" s="231"/>
    </row>
    <row r="546" ht="15.75" customHeight="1">
      <c r="IZ546" s="231"/>
      <c r="JA546" s="231"/>
    </row>
    <row r="547" ht="15.75" customHeight="1">
      <c r="IZ547" s="231"/>
      <c r="JA547" s="231"/>
    </row>
    <row r="548" ht="15.75" customHeight="1">
      <c r="IZ548" s="231"/>
      <c r="JA548" s="231"/>
    </row>
    <row r="549" ht="15.75" customHeight="1">
      <c r="IZ549" s="231"/>
      <c r="JA549" s="231"/>
    </row>
    <row r="550" ht="15.75" customHeight="1">
      <c r="IZ550" s="231"/>
      <c r="JA550" s="231"/>
    </row>
    <row r="551" ht="15.75" customHeight="1">
      <c r="IZ551" s="231"/>
      <c r="JA551" s="231"/>
    </row>
    <row r="552" ht="15.75" customHeight="1">
      <c r="IZ552" s="231"/>
      <c r="JA552" s="231"/>
    </row>
    <row r="553" ht="15.75" customHeight="1">
      <c r="IZ553" s="231"/>
      <c r="JA553" s="231"/>
    </row>
    <row r="554" ht="15.75" customHeight="1">
      <c r="IZ554" s="231"/>
      <c r="JA554" s="231"/>
    </row>
    <row r="555" ht="15.75" customHeight="1">
      <c r="IZ555" s="231"/>
      <c r="JA555" s="231"/>
    </row>
    <row r="556" ht="15.75" customHeight="1">
      <c r="IZ556" s="231"/>
      <c r="JA556" s="231"/>
    </row>
    <row r="557" ht="15.75" customHeight="1">
      <c r="IZ557" s="231"/>
      <c r="JA557" s="231"/>
    </row>
    <row r="558" ht="15.75" customHeight="1">
      <c r="IZ558" s="231"/>
      <c r="JA558" s="231"/>
    </row>
    <row r="559" ht="15.75" customHeight="1">
      <c r="IZ559" s="231"/>
      <c r="JA559" s="231"/>
    </row>
    <row r="560" ht="15.75" customHeight="1">
      <c r="IZ560" s="231"/>
      <c r="JA560" s="231"/>
    </row>
    <row r="561" ht="15.75" customHeight="1">
      <c r="IZ561" s="231"/>
      <c r="JA561" s="231"/>
    </row>
    <row r="562" ht="15.75" customHeight="1">
      <c r="IZ562" s="231"/>
      <c r="JA562" s="231"/>
    </row>
    <row r="563" ht="15.75" customHeight="1">
      <c r="IZ563" s="231"/>
      <c r="JA563" s="231"/>
    </row>
    <row r="564" ht="15.75" customHeight="1">
      <c r="IZ564" s="231"/>
      <c r="JA564" s="231"/>
    </row>
    <row r="565" ht="15.75" customHeight="1">
      <c r="IZ565" s="231"/>
      <c r="JA565" s="231"/>
    </row>
    <row r="566" ht="15.75" customHeight="1">
      <c r="IZ566" s="231"/>
      <c r="JA566" s="231"/>
    </row>
    <row r="567" ht="15.75" customHeight="1">
      <c r="IZ567" s="231"/>
      <c r="JA567" s="231"/>
    </row>
    <row r="568" ht="15.75" customHeight="1">
      <c r="IZ568" s="231"/>
      <c r="JA568" s="231"/>
    </row>
    <row r="569" ht="15.75" customHeight="1">
      <c r="IZ569" s="231"/>
      <c r="JA569" s="231"/>
    </row>
    <row r="570" ht="15.75" customHeight="1">
      <c r="IZ570" s="231"/>
      <c r="JA570" s="231"/>
    </row>
    <row r="571" ht="15.75" customHeight="1">
      <c r="IZ571" s="231"/>
      <c r="JA571" s="231"/>
    </row>
    <row r="572" ht="15.75" customHeight="1">
      <c r="IZ572" s="231"/>
      <c r="JA572" s="231"/>
    </row>
    <row r="573" ht="15.75" customHeight="1">
      <c r="IZ573" s="231"/>
      <c r="JA573" s="231"/>
    </row>
    <row r="574" ht="15.75" customHeight="1">
      <c r="IZ574" s="231"/>
      <c r="JA574" s="231"/>
    </row>
    <row r="575" ht="15.75" customHeight="1">
      <c r="IZ575" s="231"/>
      <c r="JA575" s="231"/>
    </row>
    <row r="576" ht="15.75" customHeight="1">
      <c r="IZ576" s="231"/>
      <c r="JA576" s="231"/>
    </row>
    <row r="577" ht="15.75" customHeight="1">
      <c r="IZ577" s="231"/>
      <c r="JA577" s="231"/>
    </row>
    <row r="578" ht="15.75" customHeight="1">
      <c r="IZ578" s="231"/>
      <c r="JA578" s="231"/>
    </row>
    <row r="579" ht="15.75" customHeight="1">
      <c r="IZ579" s="231"/>
      <c r="JA579" s="231"/>
    </row>
    <row r="580" ht="15.75" customHeight="1">
      <c r="IZ580" s="231"/>
      <c r="JA580" s="231"/>
    </row>
    <row r="581" ht="15.75" customHeight="1">
      <c r="IZ581" s="231"/>
      <c r="JA581" s="231"/>
    </row>
    <row r="582" ht="15.75" customHeight="1">
      <c r="IZ582" s="231"/>
      <c r="JA582" s="231"/>
    </row>
    <row r="583" ht="15.75" customHeight="1">
      <c r="IZ583" s="231"/>
      <c r="JA583" s="231"/>
    </row>
    <row r="584" ht="15.75" customHeight="1">
      <c r="IZ584" s="231"/>
      <c r="JA584" s="231"/>
    </row>
    <row r="585" ht="15.75" customHeight="1">
      <c r="IZ585" s="231"/>
      <c r="JA585" s="231"/>
    </row>
    <row r="586" ht="15.75" customHeight="1">
      <c r="IZ586" s="231"/>
      <c r="JA586" s="231"/>
    </row>
    <row r="587" ht="15.75" customHeight="1">
      <c r="IZ587" s="231"/>
      <c r="JA587" s="231"/>
    </row>
    <row r="588" ht="15.75" customHeight="1">
      <c r="IZ588" s="231"/>
      <c r="JA588" s="231"/>
    </row>
    <row r="589" ht="15.75" customHeight="1">
      <c r="IZ589" s="231"/>
      <c r="JA589" s="231"/>
    </row>
    <row r="590" ht="15.75" customHeight="1">
      <c r="IZ590" s="231"/>
      <c r="JA590" s="231"/>
    </row>
    <row r="591" ht="15.75" customHeight="1">
      <c r="IZ591" s="231"/>
      <c r="JA591" s="231"/>
    </row>
    <row r="592" ht="15.75" customHeight="1">
      <c r="IZ592" s="231"/>
      <c r="JA592" s="231"/>
    </row>
    <row r="593" ht="15.75" customHeight="1">
      <c r="IZ593" s="231"/>
      <c r="JA593" s="231"/>
    </row>
    <row r="594" ht="15.75" customHeight="1">
      <c r="IZ594" s="231"/>
      <c r="JA594" s="231"/>
    </row>
    <row r="595" ht="15.75" customHeight="1">
      <c r="IZ595" s="231"/>
      <c r="JA595" s="231"/>
    </row>
    <row r="596" ht="15.75" customHeight="1">
      <c r="IZ596" s="231"/>
      <c r="JA596" s="231"/>
    </row>
    <row r="597" ht="15.75" customHeight="1">
      <c r="IZ597" s="231"/>
      <c r="JA597" s="231"/>
    </row>
    <row r="598" ht="15.75" customHeight="1">
      <c r="IZ598" s="231"/>
      <c r="JA598" s="231"/>
    </row>
    <row r="599" ht="15.75" customHeight="1">
      <c r="IZ599" s="231"/>
      <c r="JA599" s="231"/>
    </row>
    <row r="600" ht="15.75" customHeight="1">
      <c r="IZ600" s="231"/>
      <c r="JA600" s="231"/>
    </row>
    <row r="601" ht="15.75" customHeight="1">
      <c r="IZ601" s="231"/>
      <c r="JA601" s="231"/>
    </row>
    <row r="602" ht="15.75" customHeight="1">
      <c r="IZ602" s="231"/>
      <c r="JA602" s="231"/>
    </row>
    <row r="603" ht="15.75" customHeight="1">
      <c r="IZ603" s="231"/>
      <c r="JA603" s="231"/>
    </row>
    <row r="604" ht="15.75" customHeight="1">
      <c r="IZ604" s="231"/>
      <c r="JA604" s="231"/>
    </row>
    <row r="605" ht="15.75" customHeight="1">
      <c r="IZ605" s="231"/>
      <c r="JA605" s="231"/>
    </row>
    <row r="606" ht="15.75" customHeight="1">
      <c r="IZ606" s="231"/>
      <c r="JA606" s="231"/>
    </row>
    <row r="607" ht="15.75" customHeight="1">
      <c r="IZ607" s="231"/>
      <c r="JA607" s="231"/>
    </row>
    <row r="608" ht="15.75" customHeight="1">
      <c r="IZ608" s="231"/>
      <c r="JA608" s="231"/>
    </row>
    <row r="609" ht="15.75" customHeight="1">
      <c r="IZ609" s="231"/>
      <c r="JA609" s="231"/>
    </row>
    <row r="610" ht="15.75" customHeight="1">
      <c r="IZ610" s="231"/>
      <c r="JA610" s="231"/>
    </row>
    <row r="611" ht="15.75" customHeight="1">
      <c r="IZ611" s="231"/>
      <c r="JA611" s="231"/>
    </row>
    <row r="612" ht="15.75" customHeight="1">
      <c r="IZ612" s="231"/>
      <c r="JA612" s="231"/>
    </row>
    <row r="613" ht="15.75" customHeight="1">
      <c r="IZ613" s="231"/>
      <c r="JA613" s="231"/>
    </row>
    <row r="614" ht="15.75" customHeight="1">
      <c r="IZ614" s="231"/>
      <c r="JA614" s="231"/>
    </row>
    <row r="615" ht="15.75" customHeight="1">
      <c r="IZ615" s="231"/>
      <c r="JA615" s="231"/>
    </row>
    <row r="616" ht="15.75" customHeight="1">
      <c r="IZ616" s="231"/>
      <c r="JA616" s="231"/>
    </row>
    <row r="617" ht="15.75" customHeight="1">
      <c r="IZ617" s="231"/>
      <c r="JA617" s="231"/>
    </row>
    <row r="618" ht="15.75" customHeight="1">
      <c r="IZ618" s="231"/>
      <c r="JA618" s="231"/>
    </row>
    <row r="619" ht="15.75" customHeight="1">
      <c r="IZ619" s="231"/>
      <c r="JA619" s="231"/>
    </row>
    <row r="620" ht="15.75" customHeight="1">
      <c r="IZ620" s="231"/>
      <c r="JA620" s="231"/>
    </row>
    <row r="621" ht="15.75" customHeight="1">
      <c r="IZ621" s="231"/>
      <c r="JA621" s="231"/>
    </row>
    <row r="622" ht="15.75" customHeight="1">
      <c r="IZ622" s="231"/>
      <c r="JA622" s="231"/>
    </row>
    <row r="623" ht="15.75" customHeight="1">
      <c r="IZ623" s="231"/>
      <c r="JA623" s="231"/>
    </row>
    <row r="624" ht="15.75" customHeight="1">
      <c r="IZ624" s="231"/>
      <c r="JA624" s="231"/>
    </row>
    <row r="625" ht="15.75" customHeight="1">
      <c r="IZ625" s="231"/>
      <c r="JA625" s="231"/>
    </row>
    <row r="626" ht="15.75" customHeight="1">
      <c r="IZ626" s="231"/>
      <c r="JA626" s="231"/>
    </row>
    <row r="627" ht="15.75" customHeight="1">
      <c r="IZ627" s="231"/>
      <c r="JA627" s="231"/>
    </row>
    <row r="628" ht="15.75" customHeight="1">
      <c r="IZ628" s="231"/>
      <c r="JA628" s="231"/>
    </row>
    <row r="629" ht="15.75" customHeight="1">
      <c r="IZ629" s="231"/>
      <c r="JA629" s="231"/>
    </row>
    <row r="630" ht="15.75" customHeight="1">
      <c r="IZ630" s="231"/>
      <c r="JA630" s="231"/>
    </row>
    <row r="631" ht="15.75" customHeight="1">
      <c r="IZ631" s="231"/>
      <c r="JA631" s="231"/>
    </row>
    <row r="632" ht="15.75" customHeight="1">
      <c r="IZ632" s="231"/>
      <c r="JA632" s="231"/>
    </row>
    <row r="633" ht="15.75" customHeight="1">
      <c r="IZ633" s="231"/>
      <c r="JA633" s="231"/>
    </row>
    <row r="634" ht="15.75" customHeight="1">
      <c r="IZ634" s="231"/>
      <c r="JA634" s="231"/>
    </row>
    <row r="635" ht="15.75" customHeight="1">
      <c r="IZ635" s="231"/>
      <c r="JA635" s="231"/>
    </row>
    <row r="636" ht="15.75" customHeight="1">
      <c r="IZ636" s="231"/>
      <c r="JA636" s="231"/>
    </row>
    <row r="637" ht="15.75" customHeight="1">
      <c r="IZ637" s="231"/>
      <c r="JA637" s="231"/>
    </row>
    <row r="638" ht="15.75" customHeight="1">
      <c r="IZ638" s="231"/>
      <c r="JA638" s="231"/>
    </row>
    <row r="639" ht="15.75" customHeight="1">
      <c r="IZ639" s="231"/>
      <c r="JA639" s="231"/>
    </row>
    <row r="640" ht="15.75" customHeight="1">
      <c r="IZ640" s="231"/>
      <c r="JA640" s="231"/>
    </row>
    <row r="641" ht="15.75" customHeight="1">
      <c r="IZ641" s="231"/>
      <c r="JA641" s="231"/>
    </row>
    <row r="642" ht="15.75" customHeight="1">
      <c r="IZ642" s="231"/>
      <c r="JA642" s="231"/>
    </row>
    <row r="643" ht="15.75" customHeight="1">
      <c r="IZ643" s="231"/>
      <c r="JA643" s="231"/>
    </row>
    <row r="644" ht="15.75" customHeight="1">
      <c r="IZ644" s="231"/>
      <c r="JA644" s="231"/>
    </row>
    <row r="645" ht="15.75" customHeight="1">
      <c r="IZ645" s="231"/>
      <c r="JA645" s="231"/>
    </row>
    <row r="646" ht="15.75" customHeight="1">
      <c r="IZ646" s="231"/>
      <c r="JA646" s="231"/>
    </row>
    <row r="647" ht="15.75" customHeight="1">
      <c r="IZ647" s="231"/>
      <c r="JA647" s="231"/>
    </row>
    <row r="648" ht="15.75" customHeight="1">
      <c r="IZ648" s="231"/>
      <c r="JA648" s="231"/>
    </row>
    <row r="649" ht="15.75" customHeight="1">
      <c r="IZ649" s="231"/>
      <c r="JA649" s="231"/>
    </row>
    <row r="650" ht="15.75" customHeight="1">
      <c r="IZ650" s="231"/>
      <c r="JA650" s="231"/>
    </row>
    <row r="651" ht="15.75" customHeight="1">
      <c r="IZ651" s="231"/>
      <c r="JA651" s="231"/>
    </row>
    <row r="652" ht="15.75" customHeight="1">
      <c r="IZ652" s="231"/>
      <c r="JA652" s="231"/>
    </row>
    <row r="653" ht="15.75" customHeight="1">
      <c r="IZ653" s="231"/>
      <c r="JA653" s="231"/>
    </row>
    <row r="654" ht="15.75" customHeight="1">
      <c r="IZ654" s="231"/>
      <c r="JA654" s="231"/>
    </row>
    <row r="655" ht="15.75" customHeight="1">
      <c r="IZ655" s="231"/>
      <c r="JA655" s="231"/>
    </row>
    <row r="656" ht="15.75" customHeight="1">
      <c r="IZ656" s="231"/>
      <c r="JA656" s="231"/>
    </row>
    <row r="657" ht="15.75" customHeight="1">
      <c r="IZ657" s="231"/>
      <c r="JA657" s="231"/>
    </row>
    <row r="658" ht="15.75" customHeight="1">
      <c r="IZ658" s="231"/>
      <c r="JA658" s="231"/>
    </row>
    <row r="659" ht="15.75" customHeight="1">
      <c r="IZ659" s="231"/>
      <c r="JA659" s="231"/>
    </row>
    <row r="660" ht="15.75" customHeight="1">
      <c r="IZ660" s="231"/>
      <c r="JA660" s="231"/>
    </row>
    <row r="661" ht="15.75" customHeight="1">
      <c r="IZ661" s="231"/>
      <c r="JA661" s="231"/>
    </row>
    <row r="662" ht="15.75" customHeight="1">
      <c r="IZ662" s="231"/>
      <c r="JA662" s="231"/>
    </row>
    <row r="663" ht="15.75" customHeight="1">
      <c r="IZ663" s="231"/>
      <c r="JA663" s="231"/>
    </row>
    <row r="664" ht="15.75" customHeight="1">
      <c r="IZ664" s="231"/>
      <c r="JA664" s="231"/>
    </row>
    <row r="665" ht="15.75" customHeight="1">
      <c r="IZ665" s="231"/>
      <c r="JA665" s="231"/>
    </row>
    <row r="666" ht="15.75" customHeight="1">
      <c r="IZ666" s="231"/>
      <c r="JA666" s="231"/>
    </row>
    <row r="667" ht="15.75" customHeight="1">
      <c r="IZ667" s="231"/>
      <c r="JA667" s="231"/>
    </row>
    <row r="668" ht="15.75" customHeight="1">
      <c r="IZ668" s="231"/>
      <c r="JA668" s="231"/>
    </row>
    <row r="669" ht="15.75" customHeight="1">
      <c r="IZ669" s="231"/>
      <c r="JA669" s="231"/>
    </row>
    <row r="670" ht="15.75" customHeight="1">
      <c r="IZ670" s="231"/>
      <c r="JA670" s="231"/>
    </row>
    <row r="671" ht="15.75" customHeight="1">
      <c r="IZ671" s="231"/>
      <c r="JA671" s="231"/>
    </row>
    <row r="672" ht="15.75" customHeight="1">
      <c r="IZ672" s="231"/>
      <c r="JA672" s="231"/>
    </row>
    <row r="673" ht="15.75" customHeight="1">
      <c r="IZ673" s="231"/>
      <c r="JA673" s="231"/>
    </row>
    <row r="674" ht="15.75" customHeight="1">
      <c r="IZ674" s="231"/>
      <c r="JA674" s="231"/>
    </row>
    <row r="675" ht="15.75" customHeight="1">
      <c r="IZ675" s="231"/>
      <c r="JA675" s="231"/>
    </row>
    <row r="676" ht="15.75" customHeight="1">
      <c r="IZ676" s="231"/>
      <c r="JA676" s="231"/>
    </row>
    <row r="677" ht="15.75" customHeight="1">
      <c r="IZ677" s="231"/>
      <c r="JA677" s="231"/>
    </row>
    <row r="678" ht="15.75" customHeight="1">
      <c r="IZ678" s="231"/>
      <c r="JA678" s="231"/>
    </row>
    <row r="679" ht="15.75" customHeight="1">
      <c r="IZ679" s="231"/>
      <c r="JA679" s="231"/>
    </row>
    <row r="680" ht="15.75" customHeight="1">
      <c r="IZ680" s="231"/>
      <c r="JA680" s="231"/>
    </row>
    <row r="681" ht="15.75" customHeight="1">
      <c r="IZ681" s="231"/>
      <c r="JA681" s="231"/>
    </row>
    <row r="682" ht="15.75" customHeight="1">
      <c r="IZ682" s="231"/>
      <c r="JA682" s="231"/>
    </row>
    <row r="683" ht="15.75" customHeight="1">
      <c r="IZ683" s="231"/>
      <c r="JA683" s="231"/>
    </row>
    <row r="684" ht="15.75" customHeight="1">
      <c r="IZ684" s="231"/>
      <c r="JA684" s="231"/>
    </row>
    <row r="685" ht="15.75" customHeight="1">
      <c r="IZ685" s="231"/>
      <c r="JA685" s="231"/>
    </row>
    <row r="686" ht="15.75" customHeight="1">
      <c r="IZ686" s="231"/>
      <c r="JA686" s="231"/>
    </row>
    <row r="687" ht="15.75" customHeight="1">
      <c r="IZ687" s="231"/>
      <c r="JA687" s="231"/>
    </row>
    <row r="688" ht="15.75" customHeight="1">
      <c r="IZ688" s="231"/>
      <c r="JA688" s="231"/>
    </row>
    <row r="689" ht="15.75" customHeight="1">
      <c r="IZ689" s="231"/>
      <c r="JA689" s="231"/>
    </row>
    <row r="690" ht="15.75" customHeight="1">
      <c r="IZ690" s="231"/>
      <c r="JA690" s="231"/>
    </row>
    <row r="691" ht="15.75" customHeight="1">
      <c r="IZ691" s="231"/>
      <c r="JA691" s="231"/>
    </row>
    <row r="692" ht="15.75" customHeight="1">
      <c r="IZ692" s="231"/>
      <c r="JA692" s="231"/>
    </row>
    <row r="693" ht="15.75" customHeight="1">
      <c r="IZ693" s="231"/>
      <c r="JA693" s="231"/>
    </row>
    <row r="694" ht="15.75" customHeight="1">
      <c r="IZ694" s="231"/>
      <c r="JA694" s="231"/>
    </row>
    <row r="695" ht="15.75" customHeight="1">
      <c r="IZ695" s="231"/>
      <c r="JA695" s="231"/>
    </row>
    <row r="696" ht="15.75" customHeight="1">
      <c r="IZ696" s="231"/>
      <c r="JA696" s="231"/>
    </row>
    <row r="697" ht="15.75" customHeight="1">
      <c r="IZ697" s="231"/>
      <c r="JA697" s="231"/>
    </row>
    <row r="698" ht="15.75" customHeight="1">
      <c r="IZ698" s="231"/>
      <c r="JA698" s="231"/>
    </row>
    <row r="699" ht="15.75" customHeight="1">
      <c r="IZ699" s="231"/>
      <c r="JA699" s="231"/>
    </row>
    <row r="700" ht="15.75" customHeight="1">
      <c r="IZ700" s="231"/>
      <c r="JA700" s="231"/>
    </row>
    <row r="701" ht="15.75" customHeight="1">
      <c r="IZ701" s="231"/>
      <c r="JA701" s="231"/>
    </row>
    <row r="702" ht="15.75" customHeight="1">
      <c r="IZ702" s="231"/>
      <c r="JA702" s="231"/>
    </row>
    <row r="703" ht="15.75" customHeight="1">
      <c r="IZ703" s="231"/>
      <c r="JA703" s="231"/>
    </row>
    <row r="704" ht="15.75" customHeight="1">
      <c r="IZ704" s="231"/>
      <c r="JA704" s="231"/>
    </row>
    <row r="705" ht="15.75" customHeight="1">
      <c r="IZ705" s="231"/>
      <c r="JA705" s="231"/>
    </row>
    <row r="706" ht="15.75" customHeight="1">
      <c r="IZ706" s="231"/>
      <c r="JA706" s="231"/>
    </row>
    <row r="707" ht="15.75" customHeight="1">
      <c r="IZ707" s="231"/>
      <c r="JA707" s="231"/>
    </row>
    <row r="708" ht="15.75" customHeight="1">
      <c r="IZ708" s="231"/>
      <c r="JA708" s="231"/>
    </row>
    <row r="709" ht="15.75" customHeight="1">
      <c r="IZ709" s="231"/>
      <c r="JA709" s="231"/>
    </row>
    <row r="710" ht="15.75" customHeight="1">
      <c r="IZ710" s="231"/>
      <c r="JA710" s="231"/>
    </row>
    <row r="711" ht="15.75" customHeight="1">
      <c r="IZ711" s="231"/>
      <c r="JA711" s="231"/>
    </row>
    <row r="712" ht="15.75" customHeight="1">
      <c r="IZ712" s="231"/>
      <c r="JA712" s="231"/>
    </row>
    <row r="713" ht="15.75" customHeight="1">
      <c r="IZ713" s="231"/>
      <c r="JA713" s="231"/>
    </row>
    <row r="714" ht="15.75" customHeight="1">
      <c r="IZ714" s="231"/>
      <c r="JA714" s="231"/>
    </row>
    <row r="715" ht="15.75" customHeight="1">
      <c r="IZ715" s="231"/>
      <c r="JA715" s="231"/>
    </row>
    <row r="716" ht="15.75" customHeight="1">
      <c r="IZ716" s="231"/>
      <c r="JA716" s="231"/>
    </row>
    <row r="717" ht="15.75" customHeight="1">
      <c r="IZ717" s="231"/>
      <c r="JA717" s="231"/>
    </row>
    <row r="718" ht="15.75" customHeight="1">
      <c r="IZ718" s="231"/>
      <c r="JA718" s="231"/>
    </row>
    <row r="719" ht="15.75" customHeight="1">
      <c r="IZ719" s="231"/>
      <c r="JA719" s="231"/>
    </row>
    <row r="720" ht="15.75" customHeight="1">
      <c r="IZ720" s="231"/>
      <c r="JA720" s="231"/>
    </row>
    <row r="721" ht="15.75" customHeight="1">
      <c r="IZ721" s="231"/>
      <c r="JA721" s="231"/>
    </row>
    <row r="722" ht="15.75" customHeight="1">
      <c r="IZ722" s="231"/>
      <c r="JA722" s="231"/>
    </row>
    <row r="723" ht="15.75" customHeight="1">
      <c r="IZ723" s="231"/>
      <c r="JA723" s="231"/>
    </row>
    <row r="724" ht="15.75" customHeight="1">
      <c r="IZ724" s="231"/>
      <c r="JA724" s="231"/>
    </row>
    <row r="725" ht="15.75" customHeight="1">
      <c r="IZ725" s="231"/>
      <c r="JA725" s="231"/>
    </row>
    <row r="726" ht="15.75" customHeight="1">
      <c r="IZ726" s="231"/>
      <c r="JA726" s="231"/>
    </row>
    <row r="727" ht="15.75" customHeight="1">
      <c r="IZ727" s="231"/>
      <c r="JA727" s="231"/>
    </row>
    <row r="728" ht="15.75" customHeight="1">
      <c r="IZ728" s="231"/>
      <c r="JA728" s="231"/>
    </row>
    <row r="729" ht="15.75" customHeight="1">
      <c r="IZ729" s="231"/>
      <c r="JA729" s="231"/>
    </row>
    <row r="730" ht="15.75" customHeight="1">
      <c r="IZ730" s="231"/>
      <c r="JA730" s="231"/>
    </row>
    <row r="731" ht="15.75" customHeight="1">
      <c r="IZ731" s="231"/>
      <c r="JA731" s="231"/>
    </row>
    <row r="732" ht="15.75" customHeight="1">
      <c r="IZ732" s="231"/>
      <c r="JA732" s="231"/>
    </row>
    <row r="733" ht="15.75" customHeight="1">
      <c r="IZ733" s="231"/>
      <c r="JA733" s="231"/>
    </row>
    <row r="734" ht="15.75" customHeight="1">
      <c r="IZ734" s="231"/>
      <c r="JA734" s="231"/>
    </row>
    <row r="735" ht="15.75" customHeight="1">
      <c r="IZ735" s="231"/>
      <c r="JA735" s="231"/>
    </row>
    <row r="736" ht="15.75" customHeight="1">
      <c r="IZ736" s="231"/>
      <c r="JA736" s="231"/>
    </row>
    <row r="737" ht="15.75" customHeight="1">
      <c r="IZ737" s="231"/>
      <c r="JA737" s="231"/>
    </row>
    <row r="738" ht="15.75" customHeight="1">
      <c r="IZ738" s="231"/>
      <c r="JA738" s="231"/>
    </row>
    <row r="739" ht="15.75" customHeight="1">
      <c r="IZ739" s="231"/>
      <c r="JA739" s="231"/>
    </row>
    <row r="740" ht="15.75" customHeight="1">
      <c r="IZ740" s="231"/>
      <c r="JA740" s="231"/>
    </row>
    <row r="741" ht="15.75" customHeight="1">
      <c r="IZ741" s="231"/>
      <c r="JA741" s="231"/>
    </row>
    <row r="742" ht="15.75" customHeight="1">
      <c r="IZ742" s="231"/>
      <c r="JA742" s="231"/>
    </row>
    <row r="743" ht="15.75" customHeight="1">
      <c r="IZ743" s="231"/>
      <c r="JA743" s="231"/>
    </row>
    <row r="744" ht="15.75" customHeight="1">
      <c r="IZ744" s="231"/>
      <c r="JA744" s="231"/>
    </row>
    <row r="745" ht="15.75" customHeight="1">
      <c r="IZ745" s="231"/>
      <c r="JA745" s="231"/>
    </row>
    <row r="746" ht="15.75" customHeight="1">
      <c r="IZ746" s="231"/>
      <c r="JA746" s="231"/>
    </row>
    <row r="747" ht="15.75" customHeight="1">
      <c r="IZ747" s="231"/>
      <c r="JA747" s="231"/>
    </row>
    <row r="748" ht="15.75" customHeight="1">
      <c r="IZ748" s="231"/>
      <c r="JA748" s="231"/>
    </row>
    <row r="749" ht="15.75" customHeight="1">
      <c r="IZ749" s="231"/>
      <c r="JA749" s="231"/>
    </row>
    <row r="750" ht="15.75" customHeight="1">
      <c r="IZ750" s="231"/>
      <c r="JA750" s="231"/>
    </row>
    <row r="751" ht="15.75" customHeight="1">
      <c r="IZ751" s="231"/>
      <c r="JA751" s="231"/>
    </row>
    <row r="752" ht="15.75" customHeight="1">
      <c r="IZ752" s="231"/>
      <c r="JA752" s="231"/>
    </row>
    <row r="753" ht="15.75" customHeight="1">
      <c r="IZ753" s="231"/>
      <c r="JA753" s="231"/>
    </row>
    <row r="754" ht="15.75" customHeight="1">
      <c r="IZ754" s="231"/>
      <c r="JA754" s="231"/>
    </row>
    <row r="755" ht="15.75" customHeight="1">
      <c r="IZ755" s="231"/>
      <c r="JA755" s="231"/>
    </row>
    <row r="756" ht="15.75" customHeight="1">
      <c r="IZ756" s="231"/>
      <c r="JA756" s="231"/>
    </row>
    <row r="757" ht="15.75" customHeight="1">
      <c r="IZ757" s="231"/>
      <c r="JA757" s="231"/>
    </row>
    <row r="758" ht="15.75" customHeight="1">
      <c r="IZ758" s="231"/>
      <c r="JA758" s="231"/>
    </row>
    <row r="759" ht="15.75" customHeight="1">
      <c r="IZ759" s="231"/>
      <c r="JA759" s="231"/>
    </row>
    <row r="760" ht="15.75" customHeight="1">
      <c r="IZ760" s="231"/>
      <c r="JA760" s="231"/>
    </row>
    <row r="761" ht="15.75" customHeight="1">
      <c r="IZ761" s="231"/>
      <c r="JA761" s="231"/>
    </row>
    <row r="762" ht="15.75" customHeight="1">
      <c r="IZ762" s="231"/>
      <c r="JA762" s="231"/>
    </row>
    <row r="763" ht="15.75" customHeight="1">
      <c r="IZ763" s="231"/>
      <c r="JA763" s="231"/>
    </row>
    <row r="764" ht="15.75" customHeight="1">
      <c r="IZ764" s="231"/>
      <c r="JA764" s="231"/>
    </row>
    <row r="765" ht="15.75" customHeight="1">
      <c r="IZ765" s="231"/>
      <c r="JA765" s="231"/>
    </row>
    <row r="766" ht="15.75" customHeight="1">
      <c r="IZ766" s="231"/>
      <c r="JA766" s="231"/>
    </row>
    <row r="767" ht="15.75" customHeight="1">
      <c r="IZ767" s="231"/>
      <c r="JA767" s="231"/>
    </row>
    <row r="768" ht="15.75" customHeight="1">
      <c r="IZ768" s="231"/>
      <c r="JA768" s="231"/>
    </row>
    <row r="769" ht="15.75" customHeight="1">
      <c r="IZ769" s="231"/>
      <c r="JA769" s="231"/>
    </row>
    <row r="770" ht="15.75" customHeight="1">
      <c r="IZ770" s="231"/>
      <c r="JA770" s="231"/>
    </row>
    <row r="771" ht="15.75" customHeight="1">
      <c r="IZ771" s="231"/>
      <c r="JA771" s="231"/>
    </row>
    <row r="772" ht="15.75" customHeight="1">
      <c r="IZ772" s="231"/>
      <c r="JA772" s="231"/>
    </row>
    <row r="773" ht="15.75" customHeight="1">
      <c r="IZ773" s="231"/>
      <c r="JA773" s="231"/>
    </row>
    <row r="774" ht="15.75" customHeight="1">
      <c r="IZ774" s="231"/>
      <c r="JA774" s="231"/>
    </row>
    <row r="775" ht="15.75" customHeight="1">
      <c r="IZ775" s="231"/>
      <c r="JA775" s="231"/>
    </row>
    <row r="776" ht="15.75" customHeight="1">
      <c r="IZ776" s="231"/>
      <c r="JA776" s="231"/>
    </row>
    <row r="777" ht="15.75" customHeight="1">
      <c r="IZ777" s="231"/>
      <c r="JA777" s="231"/>
    </row>
    <row r="778" ht="15.75" customHeight="1">
      <c r="IZ778" s="231"/>
      <c r="JA778" s="231"/>
    </row>
    <row r="779" ht="15.75" customHeight="1">
      <c r="IZ779" s="231"/>
      <c r="JA779" s="231"/>
    </row>
    <row r="780" ht="15.75" customHeight="1">
      <c r="IZ780" s="231"/>
      <c r="JA780" s="231"/>
    </row>
    <row r="781" ht="15.75" customHeight="1">
      <c r="IZ781" s="231"/>
      <c r="JA781" s="231"/>
    </row>
    <row r="782" ht="15.75" customHeight="1">
      <c r="IZ782" s="231"/>
      <c r="JA782" s="231"/>
    </row>
    <row r="783" ht="15.75" customHeight="1">
      <c r="IZ783" s="231"/>
      <c r="JA783" s="231"/>
    </row>
    <row r="784" ht="15.75" customHeight="1">
      <c r="IZ784" s="231"/>
      <c r="JA784" s="231"/>
    </row>
    <row r="785" ht="15.75" customHeight="1">
      <c r="IZ785" s="231"/>
      <c r="JA785" s="231"/>
    </row>
    <row r="786" ht="15.75" customHeight="1">
      <c r="IZ786" s="231"/>
      <c r="JA786" s="231"/>
    </row>
    <row r="787" ht="15.75" customHeight="1">
      <c r="IZ787" s="231"/>
      <c r="JA787" s="231"/>
    </row>
    <row r="788" ht="15.75" customHeight="1">
      <c r="IZ788" s="231"/>
      <c r="JA788" s="231"/>
    </row>
    <row r="789" ht="15.75" customHeight="1">
      <c r="IZ789" s="231"/>
      <c r="JA789" s="231"/>
    </row>
    <row r="790" ht="15.75" customHeight="1">
      <c r="IZ790" s="231"/>
      <c r="JA790" s="231"/>
    </row>
    <row r="791" ht="15.75" customHeight="1">
      <c r="IZ791" s="231"/>
      <c r="JA791" s="231"/>
    </row>
    <row r="792" ht="15.75" customHeight="1">
      <c r="IZ792" s="231"/>
      <c r="JA792" s="231"/>
    </row>
    <row r="793" ht="15.75" customHeight="1">
      <c r="IZ793" s="231"/>
      <c r="JA793" s="231"/>
    </row>
    <row r="794" ht="15.75" customHeight="1">
      <c r="IZ794" s="231"/>
      <c r="JA794" s="231"/>
    </row>
    <row r="795" ht="15.75" customHeight="1">
      <c r="IZ795" s="231"/>
      <c r="JA795" s="231"/>
    </row>
    <row r="796" ht="15.75" customHeight="1">
      <c r="IZ796" s="231"/>
      <c r="JA796" s="231"/>
    </row>
    <row r="797" ht="15.75" customHeight="1">
      <c r="IZ797" s="231"/>
      <c r="JA797" s="231"/>
    </row>
    <row r="798" ht="15.75" customHeight="1">
      <c r="IZ798" s="231"/>
      <c r="JA798" s="231"/>
    </row>
    <row r="799" ht="15.75" customHeight="1">
      <c r="IZ799" s="231"/>
      <c r="JA799" s="231"/>
    </row>
    <row r="800" ht="15.75" customHeight="1">
      <c r="IZ800" s="231"/>
      <c r="JA800" s="231"/>
    </row>
    <row r="801" ht="15.75" customHeight="1">
      <c r="IZ801" s="231"/>
      <c r="JA801" s="231"/>
    </row>
    <row r="802" ht="15.75" customHeight="1">
      <c r="IZ802" s="231"/>
      <c r="JA802" s="231"/>
    </row>
    <row r="803" ht="15.75" customHeight="1">
      <c r="IZ803" s="231"/>
      <c r="JA803" s="231"/>
    </row>
    <row r="804" ht="15.75" customHeight="1">
      <c r="IZ804" s="231"/>
      <c r="JA804" s="231"/>
    </row>
    <row r="805" ht="15.75" customHeight="1">
      <c r="IZ805" s="231"/>
      <c r="JA805" s="231"/>
    </row>
    <row r="806" ht="15.75" customHeight="1">
      <c r="IZ806" s="231"/>
      <c r="JA806" s="231"/>
    </row>
    <row r="807" ht="15.75" customHeight="1">
      <c r="IZ807" s="231"/>
      <c r="JA807" s="231"/>
    </row>
    <row r="808" ht="15.75" customHeight="1">
      <c r="IZ808" s="231"/>
      <c r="JA808" s="231"/>
    </row>
    <row r="809" ht="15.75" customHeight="1">
      <c r="IZ809" s="231"/>
      <c r="JA809" s="231"/>
    </row>
    <row r="810" ht="15.75" customHeight="1">
      <c r="IZ810" s="231"/>
      <c r="JA810" s="231"/>
    </row>
    <row r="811" ht="15.75" customHeight="1">
      <c r="IZ811" s="231"/>
      <c r="JA811" s="231"/>
    </row>
    <row r="812" ht="15.75" customHeight="1">
      <c r="IZ812" s="231"/>
      <c r="JA812" s="231"/>
    </row>
    <row r="813" ht="15.75" customHeight="1">
      <c r="IZ813" s="231"/>
      <c r="JA813" s="231"/>
    </row>
    <row r="814" ht="15.75" customHeight="1">
      <c r="IZ814" s="231"/>
      <c r="JA814" s="231"/>
    </row>
    <row r="815" ht="15.75" customHeight="1">
      <c r="IZ815" s="231"/>
      <c r="JA815" s="231"/>
    </row>
    <row r="816" ht="15.75" customHeight="1">
      <c r="IZ816" s="231"/>
      <c r="JA816" s="231"/>
    </row>
    <row r="817" ht="15.75" customHeight="1">
      <c r="IZ817" s="231"/>
      <c r="JA817" s="231"/>
    </row>
    <row r="818" ht="15.75" customHeight="1">
      <c r="IZ818" s="231"/>
      <c r="JA818" s="231"/>
    </row>
    <row r="819" ht="15.75" customHeight="1">
      <c r="IZ819" s="231"/>
      <c r="JA819" s="231"/>
    </row>
    <row r="820" ht="15.75" customHeight="1">
      <c r="IZ820" s="231"/>
      <c r="JA820" s="231"/>
    </row>
    <row r="821" ht="15.75" customHeight="1">
      <c r="IZ821" s="231"/>
      <c r="JA821" s="231"/>
    </row>
    <row r="822" ht="15.75" customHeight="1">
      <c r="IZ822" s="231"/>
      <c r="JA822" s="231"/>
    </row>
    <row r="823" ht="15.75" customHeight="1">
      <c r="IZ823" s="231"/>
      <c r="JA823" s="231"/>
    </row>
    <row r="824" ht="15.75" customHeight="1">
      <c r="IZ824" s="231"/>
      <c r="JA824" s="231"/>
    </row>
    <row r="825" ht="15.75" customHeight="1">
      <c r="IZ825" s="231"/>
      <c r="JA825" s="231"/>
    </row>
    <row r="826" ht="15.75" customHeight="1">
      <c r="IZ826" s="231"/>
      <c r="JA826" s="231"/>
    </row>
    <row r="827" ht="15.75" customHeight="1">
      <c r="IZ827" s="231"/>
      <c r="JA827" s="231"/>
    </row>
    <row r="828" ht="15.75" customHeight="1">
      <c r="IZ828" s="231"/>
      <c r="JA828" s="231"/>
    </row>
    <row r="829" ht="15.75" customHeight="1">
      <c r="IZ829" s="231"/>
      <c r="JA829" s="231"/>
    </row>
    <row r="830" ht="15.75" customHeight="1">
      <c r="IZ830" s="231"/>
      <c r="JA830" s="231"/>
    </row>
    <row r="831" ht="15.75" customHeight="1">
      <c r="IZ831" s="231"/>
      <c r="JA831" s="231"/>
    </row>
    <row r="832" ht="15.75" customHeight="1">
      <c r="IZ832" s="231"/>
      <c r="JA832" s="231"/>
    </row>
    <row r="833" ht="15.75" customHeight="1">
      <c r="IZ833" s="231"/>
      <c r="JA833" s="231"/>
    </row>
    <row r="834" ht="15.75" customHeight="1">
      <c r="IZ834" s="231"/>
      <c r="JA834" s="231"/>
    </row>
    <row r="835" ht="15.75" customHeight="1">
      <c r="IZ835" s="231"/>
      <c r="JA835" s="231"/>
    </row>
    <row r="836" ht="15.75" customHeight="1">
      <c r="IZ836" s="231"/>
      <c r="JA836" s="231"/>
    </row>
    <row r="837" ht="15.75" customHeight="1">
      <c r="IZ837" s="231"/>
      <c r="JA837" s="231"/>
    </row>
    <row r="838" ht="15.75" customHeight="1">
      <c r="IZ838" s="231"/>
      <c r="JA838" s="231"/>
    </row>
    <row r="839" ht="15.75" customHeight="1">
      <c r="IZ839" s="231"/>
      <c r="JA839" s="231"/>
    </row>
    <row r="840" ht="15.75" customHeight="1">
      <c r="IZ840" s="231"/>
      <c r="JA840" s="231"/>
    </row>
    <row r="841" ht="15.75" customHeight="1">
      <c r="IZ841" s="231"/>
      <c r="JA841" s="231"/>
    </row>
    <row r="842" ht="15.75" customHeight="1">
      <c r="IZ842" s="231"/>
      <c r="JA842" s="231"/>
    </row>
    <row r="843" ht="15.75" customHeight="1">
      <c r="IZ843" s="231"/>
      <c r="JA843" s="231"/>
    </row>
    <row r="844" ht="15.75" customHeight="1">
      <c r="IZ844" s="231"/>
      <c r="JA844" s="231"/>
    </row>
    <row r="845" ht="15.75" customHeight="1">
      <c r="IZ845" s="231"/>
      <c r="JA845" s="231"/>
    </row>
    <row r="846" ht="15.75" customHeight="1">
      <c r="IZ846" s="231"/>
      <c r="JA846" s="231"/>
    </row>
    <row r="847" ht="15.75" customHeight="1">
      <c r="IZ847" s="231"/>
      <c r="JA847" s="231"/>
    </row>
    <row r="848" ht="15.75" customHeight="1">
      <c r="IZ848" s="231"/>
      <c r="JA848" s="231"/>
    </row>
    <row r="849" ht="15.75" customHeight="1">
      <c r="IZ849" s="231"/>
      <c r="JA849" s="231"/>
    </row>
    <row r="850" ht="15.75" customHeight="1">
      <c r="IZ850" s="231"/>
      <c r="JA850" s="231"/>
    </row>
    <row r="851" ht="15.75" customHeight="1">
      <c r="IZ851" s="231"/>
      <c r="JA851" s="231"/>
    </row>
    <row r="852" ht="15.75" customHeight="1">
      <c r="IZ852" s="231"/>
      <c r="JA852" s="231"/>
    </row>
    <row r="853" ht="15.75" customHeight="1">
      <c r="IZ853" s="231"/>
      <c r="JA853" s="231"/>
    </row>
    <row r="854" ht="15.75" customHeight="1">
      <c r="IZ854" s="231"/>
      <c r="JA854" s="231"/>
    </row>
    <row r="855" ht="15.75" customHeight="1">
      <c r="IZ855" s="231"/>
      <c r="JA855" s="231"/>
    </row>
    <row r="856" ht="15.75" customHeight="1">
      <c r="IZ856" s="231"/>
      <c r="JA856" s="231"/>
    </row>
    <row r="857" ht="15.75" customHeight="1">
      <c r="IZ857" s="231"/>
      <c r="JA857" s="231"/>
    </row>
    <row r="858" ht="15.75" customHeight="1">
      <c r="IZ858" s="231"/>
      <c r="JA858" s="231"/>
    </row>
    <row r="859" ht="15.75" customHeight="1">
      <c r="IZ859" s="231"/>
      <c r="JA859" s="231"/>
    </row>
    <row r="860" ht="15.75" customHeight="1">
      <c r="IZ860" s="231"/>
      <c r="JA860" s="231"/>
    </row>
    <row r="861" ht="15.75" customHeight="1">
      <c r="IZ861" s="231"/>
      <c r="JA861" s="231"/>
    </row>
    <row r="862" ht="15.75" customHeight="1">
      <c r="IZ862" s="231"/>
      <c r="JA862" s="231"/>
    </row>
    <row r="863" ht="15.75" customHeight="1">
      <c r="IZ863" s="231"/>
      <c r="JA863" s="231"/>
    </row>
    <row r="864" ht="15.75" customHeight="1">
      <c r="IZ864" s="231"/>
      <c r="JA864" s="231"/>
    </row>
    <row r="865" ht="15.75" customHeight="1">
      <c r="IZ865" s="231"/>
      <c r="JA865" s="231"/>
    </row>
    <row r="866" ht="15.75" customHeight="1">
      <c r="IZ866" s="231"/>
      <c r="JA866" s="231"/>
    </row>
    <row r="867" ht="15.75" customHeight="1">
      <c r="IZ867" s="231"/>
      <c r="JA867" s="231"/>
    </row>
    <row r="868" ht="15.75" customHeight="1">
      <c r="IZ868" s="231"/>
      <c r="JA868" s="231"/>
    </row>
    <row r="869" ht="15.75" customHeight="1">
      <c r="IZ869" s="231"/>
      <c r="JA869" s="231"/>
    </row>
    <row r="870" ht="15.75" customHeight="1">
      <c r="IZ870" s="231"/>
      <c r="JA870" s="231"/>
    </row>
    <row r="871" ht="15.75" customHeight="1">
      <c r="IZ871" s="231"/>
      <c r="JA871" s="231"/>
    </row>
    <row r="872" ht="15.75" customHeight="1">
      <c r="IZ872" s="231"/>
      <c r="JA872" s="231"/>
    </row>
    <row r="873" ht="15.75" customHeight="1">
      <c r="IZ873" s="231"/>
      <c r="JA873" s="231"/>
    </row>
    <row r="874" ht="15.75" customHeight="1">
      <c r="IZ874" s="231"/>
      <c r="JA874" s="231"/>
    </row>
    <row r="875" ht="15.75" customHeight="1">
      <c r="IZ875" s="231"/>
      <c r="JA875" s="231"/>
    </row>
    <row r="876" ht="15.75" customHeight="1">
      <c r="IZ876" s="231"/>
      <c r="JA876" s="231"/>
    </row>
    <row r="877" ht="15.75" customHeight="1">
      <c r="IZ877" s="231"/>
      <c r="JA877" s="231"/>
    </row>
    <row r="878" ht="15.75" customHeight="1">
      <c r="IZ878" s="231"/>
      <c r="JA878" s="231"/>
    </row>
    <row r="879" ht="15.75" customHeight="1">
      <c r="IZ879" s="231"/>
      <c r="JA879" s="231"/>
    </row>
    <row r="880" ht="15.75" customHeight="1">
      <c r="IZ880" s="231"/>
      <c r="JA880" s="231"/>
    </row>
    <row r="881" ht="15.75" customHeight="1">
      <c r="IZ881" s="231"/>
      <c r="JA881" s="231"/>
    </row>
    <row r="882" ht="15.75" customHeight="1">
      <c r="IZ882" s="231"/>
      <c r="JA882" s="231"/>
    </row>
    <row r="883" ht="15.75" customHeight="1">
      <c r="IZ883" s="231"/>
      <c r="JA883" s="231"/>
    </row>
    <row r="884" ht="15.75" customHeight="1">
      <c r="IZ884" s="231"/>
      <c r="JA884" s="231"/>
    </row>
    <row r="885" ht="15.75" customHeight="1">
      <c r="IZ885" s="231"/>
      <c r="JA885" s="231"/>
    </row>
    <row r="886" ht="15.75" customHeight="1">
      <c r="IZ886" s="231"/>
      <c r="JA886" s="231"/>
    </row>
    <row r="887" ht="15.75" customHeight="1">
      <c r="IZ887" s="231"/>
      <c r="JA887" s="231"/>
    </row>
    <row r="888" ht="15.75" customHeight="1">
      <c r="IZ888" s="231"/>
      <c r="JA888" s="231"/>
    </row>
    <row r="889" ht="15.75" customHeight="1">
      <c r="IZ889" s="231"/>
      <c r="JA889" s="231"/>
    </row>
    <row r="890" ht="15.75" customHeight="1">
      <c r="IZ890" s="231"/>
      <c r="JA890" s="231"/>
    </row>
    <row r="891" ht="15.75" customHeight="1">
      <c r="IZ891" s="231"/>
      <c r="JA891" s="231"/>
    </row>
    <row r="892" ht="15.75" customHeight="1">
      <c r="IZ892" s="231"/>
      <c r="JA892" s="231"/>
    </row>
    <row r="893" ht="15.75" customHeight="1">
      <c r="IZ893" s="231"/>
      <c r="JA893" s="231"/>
    </row>
    <row r="894" ht="15.75" customHeight="1">
      <c r="IZ894" s="231"/>
      <c r="JA894" s="231"/>
    </row>
    <row r="895" ht="15.75" customHeight="1">
      <c r="IZ895" s="231"/>
      <c r="JA895" s="231"/>
    </row>
    <row r="896" ht="15.75" customHeight="1">
      <c r="IZ896" s="231"/>
      <c r="JA896" s="231"/>
    </row>
    <row r="897" ht="15.75" customHeight="1">
      <c r="IZ897" s="231"/>
      <c r="JA897" s="231"/>
    </row>
    <row r="898" ht="15.75" customHeight="1">
      <c r="IZ898" s="231"/>
      <c r="JA898" s="231"/>
    </row>
    <row r="899" ht="15.75" customHeight="1">
      <c r="IZ899" s="231"/>
      <c r="JA899" s="231"/>
    </row>
    <row r="900" ht="15.75" customHeight="1">
      <c r="IZ900" s="231"/>
      <c r="JA900" s="231"/>
    </row>
    <row r="901" ht="15.75" customHeight="1">
      <c r="IZ901" s="231"/>
      <c r="JA901" s="231"/>
    </row>
    <row r="902" ht="15.75" customHeight="1">
      <c r="IZ902" s="231"/>
      <c r="JA902" s="231"/>
    </row>
    <row r="903" ht="15.75" customHeight="1">
      <c r="IZ903" s="231"/>
      <c r="JA903" s="231"/>
    </row>
    <row r="904" ht="15.75" customHeight="1">
      <c r="IZ904" s="231"/>
      <c r="JA904" s="231"/>
    </row>
    <row r="905" ht="15.75" customHeight="1">
      <c r="IZ905" s="231"/>
      <c r="JA905" s="231"/>
    </row>
    <row r="906" ht="15.75" customHeight="1">
      <c r="IZ906" s="231"/>
      <c r="JA906" s="231"/>
    </row>
    <row r="907" ht="15.75" customHeight="1">
      <c r="IZ907" s="231"/>
      <c r="JA907" s="231"/>
    </row>
    <row r="908" ht="15.75" customHeight="1">
      <c r="IZ908" s="231"/>
      <c r="JA908" s="231"/>
    </row>
    <row r="909" ht="15.75" customHeight="1">
      <c r="IZ909" s="231"/>
      <c r="JA909" s="231"/>
    </row>
    <row r="910" ht="15.75" customHeight="1">
      <c r="IZ910" s="231"/>
      <c r="JA910" s="231"/>
    </row>
    <row r="911" ht="15.75" customHeight="1">
      <c r="IZ911" s="231"/>
      <c r="JA911" s="231"/>
    </row>
    <row r="912" ht="15.75" customHeight="1">
      <c r="IZ912" s="231"/>
      <c r="JA912" s="231"/>
    </row>
    <row r="913" ht="15.75" customHeight="1">
      <c r="IZ913" s="231"/>
      <c r="JA913" s="231"/>
    </row>
    <row r="914" ht="15.75" customHeight="1">
      <c r="IZ914" s="231"/>
      <c r="JA914" s="231"/>
    </row>
    <row r="915" ht="15.75" customHeight="1">
      <c r="IZ915" s="231"/>
      <c r="JA915" s="231"/>
    </row>
    <row r="916" ht="15.75" customHeight="1">
      <c r="IZ916" s="231"/>
      <c r="JA916" s="231"/>
    </row>
    <row r="917" ht="15.75" customHeight="1">
      <c r="IZ917" s="231"/>
      <c r="JA917" s="231"/>
    </row>
    <row r="918" ht="15.75" customHeight="1">
      <c r="IZ918" s="231"/>
      <c r="JA918" s="231"/>
    </row>
    <row r="919" ht="15.75" customHeight="1">
      <c r="IZ919" s="231"/>
      <c r="JA919" s="231"/>
    </row>
    <row r="920" ht="15.75" customHeight="1">
      <c r="IZ920" s="231"/>
      <c r="JA920" s="231"/>
    </row>
    <row r="921" ht="15.75" customHeight="1">
      <c r="IZ921" s="231"/>
      <c r="JA921" s="231"/>
    </row>
    <row r="922" ht="15.75" customHeight="1">
      <c r="IZ922" s="231"/>
      <c r="JA922" s="231"/>
    </row>
    <row r="923" ht="15.75" customHeight="1">
      <c r="IZ923" s="231"/>
      <c r="JA923" s="231"/>
    </row>
    <row r="924" ht="15.75" customHeight="1">
      <c r="IZ924" s="231"/>
      <c r="JA924" s="231"/>
    </row>
    <row r="925" ht="15.75" customHeight="1">
      <c r="IZ925" s="231"/>
      <c r="JA925" s="231"/>
    </row>
    <row r="926" ht="15.75" customHeight="1">
      <c r="IZ926" s="231"/>
      <c r="JA926" s="231"/>
    </row>
    <row r="927" ht="15.75" customHeight="1">
      <c r="IZ927" s="231"/>
      <c r="JA927" s="231"/>
    </row>
    <row r="928" ht="15.75" customHeight="1">
      <c r="IZ928" s="231"/>
      <c r="JA928" s="231"/>
    </row>
    <row r="929" ht="15.75" customHeight="1">
      <c r="IZ929" s="231"/>
      <c r="JA929" s="231"/>
    </row>
    <row r="930" ht="15.75" customHeight="1">
      <c r="IZ930" s="231"/>
      <c r="JA930" s="231"/>
    </row>
    <row r="931" ht="15.75" customHeight="1">
      <c r="IZ931" s="231"/>
      <c r="JA931" s="231"/>
    </row>
    <row r="932" ht="15.75" customHeight="1">
      <c r="IZ932" s="231"/>
      <c r="JA932" s="231"/>
    </row>
    <row r="933" ht="15.75" customHeight="1">
      <c r="IZ933" s="231"/>
      <c r="JA933" s="231"/>
    </row>
    <row r="934" ht="15.75" customHeight="1">
      <c r="IZ934" s="231"/>
      <c r="JA934" s="231"/>
    </row>
    <row r="935" ht="15.75" customHeight="1">
      <c r="IZ935" s="231"/>
      <c r="JA935" s="231"/>
    </row>
    <row r="936" ht="15.75" customHeight="1">
      <c r="IZ936" s="231"/>
      <c r="JA936" s="231"/>
    </row>
    <row r="937" ht="15.75" customHeight="1">
      <c r="IZ937" s="231"/>
      <c r="JA937" s="231"/>
    </row>
    <row r="938" ht="15.75" customHeight="1">
      <c r="IZ938" s="231"/>
      <c r="JA938" s="231"/>
    </row>
    <row r="939" ht="15.75" customHeight="1">
      <c r="IZ939" s="231"/>
      <c r="JA939" s="231"/>
    </row>
    <row r="940" ht="15.75" customHeight="1">
      <c r="IZ940" s="231"/>
      <c r="JA940" s="231"/>
    </row>
    <row r="941" ht="15.75" customHeight="1">
      <c r="IZ941" s="231"/>
      <c r="JA941" s="231"/>
    </row>
    <row r="942" ht="15.75" customHeight="1">
      <c r="IZ942" s="231"/>
      <c r="JA942" s="231"/>
    </row>
    <row r="943" ht="15.75" customHeight="1">
      <c r="IZ943" s="231"/>
      <c r="JA943" s="231"/>
    </row>
    <row r="944" ht="15.75" customHeight="1">
      <c r="IZ944" s="231"/>
      <c r="JA944" s="231"/>
    </row>
    <row r="945" ht="15.75" customHeight="1">
      <c r="IZ945" s="231"/>
      <c r="JA945" s="231"/>
    </row>
    <row r="946" ht="15.75" customHeight="1">
      <c r="IZ946" s="231"/>
      <c r="JA946" s="231"/>
    </row>
    <row r="947" ht="15.75" customHeight="1">
      <c r="IZ947" s="231"/>
      <c r="JA947" s="231"/>
    </row>
    <row r="948" ht="15.75" customHeight="1">
      <c r="IZ948" s="231"/>
      <c r="JA948" s="231"/>
    </row>
    <row r="949" ht="15.75" customHeight="1">
      <c r="IZ949" s="231"/>
      <c r="JA949" s="231"/>
    </row>
    <row r="950" ht="15.75" customHeight="1">
      <c r="IZ950" s="231"/>
      <c r="JA950" s="231"/>
    </row>
    <row r="951" ht="15.75" customHeight="1">
      <c r="IZ951" s="231"/>
      <c r="JA951" s="231"/>
    </row>
    <row r="952" ht="15.75" customHeight="1">
      <c r="IZ952" s="231"/>
      <c r="JA952" s="231"/>
    </row>
    <row r="953" ht="15.75" customHeight="1">
      <c r="IZ953" s="231"/>
      <c r="JA953" s="231"/>
    </row>
    <row r="954" ht="15.75" customHeight="1">
      <c r="IZ954" s="231"/>
      <c r="JA954" s="231"/>
    </row>
    <row r="955" ht="15.75" customHeight="1">
      <c r="IZ955" s="231"/>
      <c r="JA955" s="231"/>
    </row>
    <row r="956" ht="15.75" customHeight="1">
      <c r="IZ956" s="231"/>
      <c r="JA956" s="231"/>
    </row>
    <row r="957" ht="15.75" customHeight="1">
      <c r="IZ957" s="231"/>
      <c r="JA957" s="231"/>
    </row>
    <row r="958" ht="15.75" customHeight="1">
      <c r="IZ958" s="231"/>
      <c r="JA958" s="231"/>
    </row>
    <row r="959" ht="15.75" customHeight="1">
      <c r="IZ959" s="231"/>
      <c r="JA959" s="231"/>
    </row>
    <row r="960" ht="15.75" customHeight="1">
      <c r="IZ960" s="231"/>
      <c r="JA960" s="231"/>
    </row>
    <row r="961" ht="15.75" customHeight="1">
      <c r="IZ961" s="231"/>
      <c r="JA961" s="231"/>
    </row>
    <row r="962" ht="15.75" customHeight="1">
      <c r="IZ962" s="231"/>
      <c r="JA962" s="231"/>
    </row>
    <row r="963" ht="15.75" customHeight="1">
      <c r="IZ963" s="231"/>
      <c r="JA963" s="231"/>
    </row>
    <row r="964" ht="15.75" customHeight="1">
      <c r="IZ964" s="231"/>
      <c r="JA964" s="231"/>
    </row>
    <row r="965" ht="15.75" customHeight="1">
      <c r="IZ965" s="231"/>
      <c r="JA965" s="231"/>
    </row>
    <row r="966" ht="15.75" customHeight="1">
      <c r="IZ966" s="231"/>
      <c r="JA966" s="231"/>
    </row>
    <row r="967" ht="15.75" customHeight="1">
      <c r="IZ967" s="231"/>
      <c r="JA967" s="231"/>
    </row>
    <row r="968" ht="15.75" customHeight="1">
      <c r="IZ968" s="231"/>
      <c r="JA968" s="231"/>
    </row>
    <row r="969" ht="15.75" customHeight="1">
      <c r="IZ969" s="231"/>
      <c r="JA969" s="231"/>
    </row>
    <row r="970" ht="15.75" customHeight="1">
      <c r="IZ970" s="231"/>
      <c r="JA970" s="231"/>
    </row>
    <row r="971" ht="15.75" customHeight="1">
      <c r="IZ971" s="231"/>
      <c r="JA971" s="231"/>
    </row>
    <row r="972" ht="15.75" customHeight="1">
      <c r="IZ972" s="231"/>
      <c r="JA972" s="231"/>
    </row>
    <row r="973" ht="15.75" customHeight="1">
      <c r="IZ973" s="231"/>
      <c r="JA973" s="231"/>
    </row>
    <row r="974" ht="15.75" customHeight="1">
      <c r="IZ974" s="231"/>
      <c r="JA974" s="231"/>
    </row>
    <row r="975" ht="15.75" customHeight="1">
      <c r="IZ975" s="231"/>
      <c r="JA975" s="231"/>
    </row>
    <row r="976" ht="15.75" customHeight="1">
      <c r="IZ976" s="231"/>
      <c r="JA976" s="231"/>
    </row>
    <row r="977" ht="15.75" customHeight="1">
      <c r="IZ977" s="231"/>
      <c r="JA977" s="231"/>
    </row>
    <row r="978" ht="15.75" customHeight="1">
      <c r="IZ978" s="231"/>
      <c r="JA978" s="231"/>
    </row>
    <row r="979" ht="15.75" customHeight="1">
      <c r="IZ979" s="231"/>
      <c r="JA979" s="231"/>
    </row>
    <row r="980" ht="15.75" customHeight="1">
      <c r="IZ980" s="231"/>
      <c r="JA980" s="231"/>
    </row>
    <row r="981" ht="15.75" customHeight="1">
      <c r="IZ981" s="231"/>
      <c r="JA981" s="231"/>
    </row>
    <row r="982" ht="15.75" customHeight="1">
      <c r="IZ982" s="231"/>
      <c r="JA982" s="231"/>
    </row>
    <row r="983" ht="15.75" customHeight="1">
      <c r="IZ983" s="231"/>
      <c r="JA983" s="231"/>
    </row>
    <row r="984" ht="15.75" customHeight="1">
      <c r="IZ984" s="231"/>
      <c r="JA984" s="231"/>
    </row>
    <row r="985" ht="15.75" customHeight="1">
      <c r="IZ985" s="231"/>
      <c r="JA985" s="231"/>
    </row>
    <row r="986" ht="15.75" customHeight="1">
      <c r="IZ986" s="231"/>
      <c r="JA986" s="231"/>
    </row>
    <row r="987" ht="15.75" customHeight="1">
      <c r="IZ987" s="231"/>
      <c r="JA987" s="231"/>
    </row>
    <row r="988" ht="15.75" customHeight="1">
      <c r="IZ988" s="231"/>
      <c r="JA988" s="231"/>
    </row>
    <row r="989" ht="15.75" customHeight="1">
      <c r="IZ989" s="231"/>
      <c r="JA989" s="231"/>
    </row>
    <row r="990" ht="15.75" customHeight="1">
      <c r="IZ990" s="231"/>
      <c r="JA990" s="231"/>
    </row>
    <row r="991" ht="15.75" customHeight="1">
      <c r="IZ991" s="231"/>
      <c r="JA991" s="231"/>
    </row>
    <row r="992" ht="15.75" customHeight="1">
      <c r="IZ992" s="231"/>
      <c r="JA992" s="231"/>
    </row>
    <row r="993" ht="15.75" customHeight="1">
      <c r="IZ993" s="231"/>
      <c r="JA993" s="231"/>
    </row>
    <row r="994" ht="15.75" customHeight="1">
      <c r="IZ994" s="231"/>
      <c r="JA994" s="231"/>
    </row>
    <row r="995" ht="15.75" customHeight="1">
      <c r="IZ995" s="231"/>
      <c r="JA995" s="231"/>
    </row>
    <row r="996" ht="15.75" customHeight="1">
      <c r="IZ996" s="231"/>
      <c r="JA996" s="231"/>
    </row>
    <row r="997" ht="15.75" customHeight="1">
      <c r="IZ997" s="231"/>
      <c r="JA997" s="231"/>
    </row>
    <row r="998" ht="15.75" customHeight="1">
      <c r="IZ998" s="231"/>
      <c r="JA998" s="231"/>
    </row>
    <row r="999" ht="15.75" customHeight="1">
      <c r="IZ999" s="231"/>
      <c r="JA999" s="231"/>
    </row>
    <row r="1000" ht="15.75" customHeight="1">
      <c r="IZ1000" s="231"/>
      <c r="JA1000" s="231"/>
    </row>
  </sheetData>
  <mergeCells count="139">
    <mergeCell ref="CD5:CD6"/>
    <mergeCell ref="CE5:CE6"/>
    <mergeCell ref="BH5:BH6"/>
    <mergeCell ref="BI5:BI6"/>
    <mergeCell ref="BJ5:BM5"/>
    <mergeCell ref="BN5:BQ5"/>
    <mergeCell ref="BR5:BU5"/>
    <mergeCell ref="BV5:BY5"/>
    <mergeCell ref="CC5:CC6"/>
    <mergeCell ref="GH5:GH6"/>
    <mergeCell ref="GI5:GI6"/>
    <mergeCell ref="GA5:GA6"/>
    <mergeCell ref="GB5:GB6"/>
    <mergeCell ref="GC5:GC6"/>
    <mergeCell ref="GD5:GD6"/>
    <mergeCell ref="GE5:GE6"/>
    <mergeCell ref="GF5:GF6"/>
    <mergeCell ref="GG5:GG6"/>
    <mergeCell ref="HE5:HE6"/>
    <mergeCell ref="HF5:HF6"/>
    <mergeCell ref="GJ5:GM5"/>
    <mergeCell ref="GN5:GQ5"/>
    <mergeCell ref="GR5:GU5"/>
    <mergeCell ref="GV5:GY5"/>
    <mergeCell ref="HB5:HB6"/>
    <mergeCell ref="HC5:HC6"/>
    <mergeCell ref="HD5:HD6"/>
    <mergeCell ref="HN5:HQ5"/>
    <mergeCell ref="HR5:HU5"/>
    <mergeCell ref="HG5:HG6"/>
    <mergeCell ref="HH5:HH6"/>
    <mergeCell ref="HI5:HI6"/>
    <mergeCell ref="HJ5:HJ6"/>
    <mergeCell ref="HK5:HK6"/>
    <mergeCell ref="HL5:HL6"/>
    <mergeCell ref="HM5:HM6"/>
    <mergeCell ref="P5:P6"/>
    <mergeCell ref="Q5:Q6"/>
    <mergeCell ref="S5:S6"/>
    <mergeCell ref="T5:T6"/>
    <mergeCell ref="U5:X5"/>
    <mergeCell ref="Y5:Y6"/>
    <mergeCell ref="Z5:Z6"/>
    <mergeCell ref="AA5:AA6"/>
    <mergeCell ref="AB5:AB6"/>
    <mergeCell ref="AC5:AC6"/>
    <mergeCell ref="AD5:AD6"/>
    <mergeCell ref="AE5:AH5"/>
    <mergeCell ref="BC5:BC6"/>
    <mergeCell ref="BD5:BD6"/>
    <mergeCell ref="BE5:BE6"/>
    <mergeCell ref="BF5:BF6"/>
    <mergeCell ref="BG5:BG6"/>
    <mergeCell ref="HV5:HY5"/>
    <mergeCell ref="HZ5:IC5"/>
    <mergeCell ref="IF5:IF6"/>
    <mergeCell ref="IG5:IG6"/>
    <mergeCell ref="IZ6:JC6"/>
    <mergeCell ref="JF6:JI6"/>
    <mergeCell ref="AV4:BE4"/>
    <mergeCell ref="BF4:CB4"/>
    <mergeCell ref="CZ4:DW4"/>
    <mergeCell ref="DX4:EX4"/>
    <mergeCell ref="EY4:FY4"/>
    <mergeCell ref="FZ4:HC4"/>
    <mergeCell ref="HD4:IG4"/>
    <mergeCell ref="G2:G6"/>
    <mergeCell ref="R5:R6"/>
    <mergeCell ref="H4:Q4"/>
    <mergeCell ref="R4:AA4"/>
    <mergeCell ref="H5:H7"/>
    <mergeCell ref="I5:I7"/>
    <mergeCell ref="J5:J7"/>
    <mergeCell ref="K5:N5"/>
    <mergeCell ref="O5:O6"/>
    <mergeCell ref="AB4:AK4"/>
    <mergeCell ref="AL4:AU4"/>
    <mergeCell ref="CF5:CF6"/>
    <mergeCell ref="CG5:CJ5"/>
    <mergeCell ref="CK5:CN5"/>
    <mergeCell ref="CO5:CR5"/>
    <mergeCell ref="CC1:CY1"/>
    <mergeCell ref="A2:A6"/>
    <mergeCell ref="B2:B6"/>
    <mergeCell ref="C2:C6"/>
    <mergeCell ref="D2:D6"/>
    <mergeCell ref="F2:F6"/>
    <mergeCell ref="CC4:CY4"/>
    <mergeCell ref="CS5:CV5"/>
    <mergeCell ref="AI5:AI6"/>
    <mergeCell ref="AJ5:AJ6"/>
    <mergeCell ref="AK5:AK6"/>
    <mergeCell ref="AL5:AL6"/>
    <mergeCell ref="AM5:AM6"/>
    <mergeCell ref="AN5:AN6"/>
    <mergeCell ref="AO5:AR5"/>
    <mergeCell ref="AS5:AS6"/>
    <mergeCell ref="AT5:AT6"/>
    <mergeCell ref="AU5:AU6"/>
    <mergeCell ref="AV5:AV6"/>
    <mergeCell ref="AW5:AW6"/>
    <mergeCell ref="AX5:AX6"/>
    <mergeCell ref="AY5:BB5"/>
    <mergeCell ref="DM5:DP5"/>
    <mergeCell ref="DQ5:DT5"/>
    <mergeCell ref="CZ5:CZ6"/>
    <mergeCell ref="DA5:DA6"/>
    <mergeCell ref="DB5:DB6"/>
    <mergeCell ref="DC5:DC6"/>
    <mergeCell ref="DD5:DD6"/>
    <mergeCell ref="DE5:DH5"/>
    <mergeCell ref="DI5:DL5"/>
    <mergeCell ref="EE5:EH5"/>
    <mergeCell ref="EI5:EL5"/>
    <mergeCell ref="DX5:DX6"/>
    <mergeCell ref="DY5:DY6"/>
    <mergeCell ref="DZ5:DZ6"/>
    <mergeCell ref="EA5:EA6"/>
    <mergeCell ref="EB5:EB6"/>
    <mergeCell ref="EC5:EC6"/>
    <mergeCell ref="ED5:ED6"/>
    <mergeCell ref="FB5:FB6"/>
    <mergeCell ref="FC5:FC6"/>
    <mergeCell ref="EM5:EP5"/>
    <mergeCell ref="EQ5:ET5"/>
    <mergeCell ref="EW5:EW6"/>
    <mergeCell ref="EX5:EX6"/>
    <mergeCell ref="EY5:EY6"/>
    <mergeCell ref="EZ5:EZ6"/>
    <mergeCell ref="FA5:FA6"/>
    <mergeCell ref="FY5:FY6"/>
    <mergeCell ref="FZ5:FZ6"/>
    <mergeCell ref="FD5:FD6"/>
    <mergeCell ref="FE5:FE6"/>
    <mergeCell ref="FF5:FI5"/>
    <mergeCell ref="FJ5:FM5"/>
    <mergeCell ref="FN5:FQ5"/>
    <mergeCell ref="FR5:FU5"/>
    <mergeCell ref="FX5:FX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7.0" ySplit="7.0" topLeftCell="H8" activePane="bottomRight" state="frozen"/>
      <selection activeCell="H1" sqref="H1" pane="topRight"/>
      <selection activeCell="A8" sqref="A8" pane="bottomLeft"/>
      <selection activeCell="H8" sqref="H8" pane="bottomRight"/>
    </sheetView>
  </sheetViews>
  <sheetFormatPr customHeight="1" defaultColWidth="14.43" defaultRowHeight="15.0"/>
  <cols>
    <col customWidth="1" min="1" max="1" width="8.57"/>
    <col customWidth="1" min="2" max="2" width="20.0"/>
    <col customWidth="1" hidden="1" min="3" max="3" width="20.86"/>
    <col customWidth="1" min="4" max="4" width="4.14"/>
    <col customWidth="1" min="5" max="5" width="3.14"/>
    <col customWidth="1" min="6" max="7" width="8.57"/>
    <col customWidth="1" min="8" max="8" width="13.0"/>
    <col customWidth="1" min="9" max="18" width="14.43"/>
    <col customWidth="1" min="19" max="28" width="8.71"/>
    <col hidden="1" min="170" max="171" width="14.43"/>
    <col hidden="1" min="199" max="200" width="14.43"/>
  </cols>
  <sheetData>
    <row r="1" ht="14.25" customHeight="1">
      <c r="A1" s="619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8" t="s">
        <v>1</v>
      </c>
      <c r="B2" s="8" t="s">
        <v>2</v>
      </c>
      <c r="C2" s="8" t="s">
        <v>3</v>
      </c>
      <c r="D2" s="541"/>
      <c r="E2" s="541"/>
      <c r="F2" s="9" t="s">
        <v>6</v>
      </c>
      <c r="G2" s="9" t="s">
        <v>7</v>
      </c>
      <c r="H2" s="542"/>
      <c r="I2" s="111"/>
      <c r="J2" s="111"/>
      <c r="K2" s="111"/>
      <c r="L2" s="111"/>
      <c r="M2" s="111"/>
      <c r="N2" s="111"/>
      <c r="O2" s="543"/>
      <c r="P2" s="111"/>
      <c r="Q2" s="111"/>
      <c r="R2" s="111"/>
      <c r="S2" s="6"/>
      <c r="T2" s="165"/>
      <c r="U2" s="165"/>
      <c r="V2" s="165"/>
      <c r="W2" s="236"/>
      <c r="X2" s="165"/>
      <c r="Y2" s="165"/>
      <c r="Z2" s="165"/>
      <c r="AA2" s="165"/>
      <c r="AB2" s="165"/>
      <c r="AC2" s="165"/>
      <c r="AD2" s="165"/>
      <c r="AE2" s="236"/>
      <c r="AF2" s="165"/>
      <c r="AG2" s="165"/>
      <c r="AH2" s="165"/>
      <c r="AI2" s="165"/>
      <c r="AJ2" s="165"/>
      <c r="AK2" s="165"/>
      <c r="AL2" s="165"/>
      <c r="AM2" s="236"/>
      <c r="AN2" s="165"/>
      <c r="AO2" s="165"/>
      <c r="AP2" s="165"/>
      <c r="AQ2" s="165"/>
      <c r="AR2" s="165"/>
      <c r="AS2" s="165"/>
      <c r="AT2" s="165"/>
      <c r="AU2" s="236"/>
    </row>
    <row r="3" ht="14.25" customHeight="1">
      <c r="A3" s="19"/>
      <c r="B3" s="19"/>
      <c r="C3" s="19"/>
      <c r="D3" s="544"/>
      <c r="E3" s="544"/>
      <c r="F3" s="19"/>
      <c r="G3" s="19"/>
      <c r="H3" s="542"/>
      <c r="I3" s="111"/>
      <c r="J3" s="111"/>
      <c r="K3" s="111"/>
      <c r="L3" s="111"/>
      <c r="M3" s="111"/>
      <c r="N3" s="111"/>
      <c r="O3" s="543"/>
      <c r="P3" s="111"/>
      <c r="Q3" s="111"/>
      <c r="R3" s="111"/>
      <c r="S3" s="6"/>
      <c r="T3" s="165"/>
      <c r="U3" s="165"/>
      <c r="V3" s="165"/>
      <c r="W3" s="236"/>
      <c r="X3" s="165"/>
      <c r="Y3" s="165"/>
      <c r="Z3" s="165"/>
      <c r="AA3" s="165"/>
      <c r="AB3" s="165"/>
      <c r="AC3" s="165"/>
      <c r="AD3" s="165"/>
      <c r="AE3" s="236"/>
      <c r="AF3" s="165"/>
      <c r="AG3" s="165"/>
      <c r="AH3" s="165"/>
      <c r="AI3" s="165"/>
      <c r="AJ3" s="165"/>
      <c r="AK3" s="165"/>
      <c r="AL3" s="165"/>
      <c r="AM3" s="236"/>
      <c r="AN3" s="165"/>
      <c r="AO3" s="165"/>
      <c r="AP3" s="165"/>
      <c r="AQ3" s="165"/>
      <c r="AR3" s="165"/>
      <c r="AS3" s="165"/>
      <c r="AT3" s="165"/>
      <c r="AU3" s="236"/>
    </row>
    <row r="4" ht="14.25" customHeight="1">
      <c r="A4" s="19"/>
      <c r="B4" s="19"/>
      <c r="C4" s="19"/>
      <c r="D4" s="544"/>
      <c r="E4" s="544"/>
      <c r="F4" s="19"/>
      <c r="G4" s="19"/>
      <c r="H4" s="28" t="s">
        <v>9</v>
      </c>
      <c r="I4" s="17"/>
      <c r="J4" s="17"/>
      <c r="K4" s="17"/>
      <c r="L4" s="17"/>
      <c r="M4" s="17"/>
      <c r="N4" s="17"/>
      <c r="O4" s="18"/>
      <c r="P4" s="48" t="s">
        <v>10</v>
      </c>
      <c r="Q4" s="17"/>
      <c r="R4" s="17"/>
      <c r="S4" s="17"/>
      <c r="T4" s="17"/>
      <c r="U4" s="17"/>
      <c r="V4" s="17"/>
      <c r="W4" s="18"/>
      <c r="X4" s="52" t="s">
        <v>11</v>
      </c>
      <c r="Y4" s="17"/>
      <c r="Z4" s="17"/>
      <c r="AA4" s="17"/>
      <c r="AB4" s="17"/>
      <c r="AC4" s="17"/>
      <c r="AD4" s="17"/>
      <c r="AE4" s="18"/>
      <c r="AF4" s="30" t="s">
        <v>12</v>
      </c>
      <c r="AG4" s="17"/>
      <c r="AH4" s="17"/>
      <c r="AI4" s="17"/>
      <c r="AJ4" s="17"/>
      <c r="AK4" s="17"/>
      <c r="AL4" s="17"/>
      <c r="AM4" s="18"/>
      <c r="AN4" s="31" t="s">
        <v>13</v>
      </c>
      <c r="AO4" s="17"/>
      <c r="AP4" s="17"/>
      <c r="AQ4" s="17"/>
      <c r="AR4" s="17"/>
      <c r="AS4" s="17"/>
      <c r="AT4" s="17"/>
      <c r="AU4" s="18"/>
      <c r="AV4" s="32" t="s">
        <v>14</v>
      </c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4"/>
      <c r="BQ4" s="35" t="s">
        <v>15</v>
      </c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4"/>
      <c r="CL4" s="36" t="s">
        <v>16</v>
      </c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4"/>
      <c r="DH4" s="37" t="s">
        <v>302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8"/>
      <c r="EI4" s="38" t="s">
        <v>17</v>
      </c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8"/>
      <c r="FJ4" s="620" t="s">
        <v>18</v>
      </c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8"/>
      <c r="GM4" s="40" t="s">
        <v>19</v>
      </c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8"/>
    </row>
    <row r="5" ht="14.25" customHeight="1">
      <c r="A5" s="19"/>
      <c r="B5" s="19"/>
      <c r="C5" s="19"/>
      <c r="D5" s="544"/>
      <c r="E5" s="544"/>
      <c r="F5" s="19"/>
      <c r="G5" s="19"/>
      <c r="H5" s="43" t="s">
        <v>23</v>
      </c>
      <c r="I5" s="28" t="s">
        <v>24</v>
      </c>
      <c r="J5" s="17"/>
      <c r="K5" s="17"/>
      <c r="L5" s="18"/>
      <c r="M5" s="44" t="s">
        <v>25</v>
      </c>
      <c r="N5" s="45" t="s">
        <v>26</v>
      </c>
      <c r="O5" s="46" t="s">
        <v>27</v>
      </c>
      <c r="P5" s="9" t="s">
        <v>23</v>
      </c>
      <c r="Q5" s="48" t="s">
        <v>24</v>
      </c>
      <c r="R5" s="17"/>
      <c r="S5" s="17"/>
      <c r="T5" s="18"/>
      <c r="U5" s="49" t="s">
        <v>25</v>
      </c>
      <c r="V5" s="50" t="s">
        <v>26</v>
      </c>
      <c r="W5" s="46" t="s">
        <v>27</v>
      </c>
      <c r="X5" s="621"/>
      <c r="Y5" s="52" t="s">
        <v>24</v>
      </c>
      <c r="Z5" s="17"/>
      <c r="AA5" s="17"/>
      <c r="AB5" s="18"/>
      <c r="AC5" s="53" t="s">
        <v>25</v>
      </c>
      <c r="AD5" s="54" t="s">
        <v>26</v>
      </c>
      <c r="AE5" s="46" t="s">
        <v>27</v>
      </c>
      <c r="AF5" s="622"/>
      <c r="AG5" s="30" t="s">
        <v>24</v>
      </c>
      <c r="AH5" s="17"/>
      <c r="AI5" s="17"/>
      <c r="AJ5" s="18"/>
      <c r="AK5" s="55" t="s">
        <v>25</v>
      </c>
      <c r="AL5" s="56" t="s">
        <v>26</v>
      </c>
      <c r="AM5" s="46" t="s">
        <v>27</v>
      </c>
      <c r="AN5" s="623"/>
      <c r="AO5" s="31" t="s">
        <v>24</v>
      </c>
      <c r="AP5" s="17"/>
      <c r="AQ5" s="17"/>
      <c r="AR5" s="18"/>
      <c r="AS5" s="57" t="s">
        <v>25</v>
      </c>
      <c r="AT5" s="58" t="s">
        <v>26</v>
      </c>
      <c r="AU5" s="46" t="s">
        <v>27</v>
      </c>
      <c r="AV5" s="60" t="s">
        <v>28</v>
      </c>
      <c r="AW5" s="553" t="s">
        <v>23</v>
      </c>
      <c r="AX5" s="62" t="s">
        <v>29</v>
      </c>
      <c r="AY5" s="63"/>
      <c r="AZ5" s="63"/>
      <c r="BA5" s="64"/>
      <c r="BB5" s="62" t="s">
        <v>30</v>
      </c>
      <c r="BC5" s="63"/>
      <c r="BD5" s="63"/>
      <c r="BE5" s="64"/>
      <c r="BF5" s="62" t="s">
        <v>31</v>
      </c>
      <c r="BG5" s="63"/>
      <c r="BH5" s="63"/>
      <c r="BI5" s="64"/>
      <c r="BJ5" s="62" t="s">
        <v>32</v>
      </c>
      <c r="BK5" s="63"/>
      <c r="BL5" s="63"/>
      <c r="BM5" s="64"/>
      <c r="BN5" s="65" t="s">
        <v>33</v>
      </c>
      <c r="BO5" s="65" t="s">
        <v>34</v>
      </c>
      <c r="BP5" s="66" t="s">
        <v>35</v>
      </c>
      <c r="BQ5" s="67" t="s">
        <v>36</v>
      </c>
      <c r="BR5" s="555" t="s">
        <v>23</v>
      </c>
      <c r="BS5" s="69" t="s">
        <v>29</v>
      </c>
      <c r="BT5" s="63"/>
      <c r="BU5" s="63"/>
      <c r="BV5" s="64"/>
      <c r="BW5" s="69" t="s">
        <v>30</v>
      </c>
      <c r="BX5" s="63"/>
      <c r="BY5" s="63"/>
      <c r="BZ5" s="64"/>
      <c r="CA5" s="69" t="s">
        <v>31</v>
      </c>
      <c r="CB5" s="63"/>
      <c r="CC5" s="63"/>
      <c r="CD5" s="64"/>
      <c r="CE5" s="69" t="s">
        <v>32</v>
      </c>
      <c r="CF5" s="63"/>
      <c r="CG5" s="63"/>
      <c r="CH5" s="64"/>
      <c r="CI5" s="70" t="s">
        <v>33</v>
      </c>
      <c r="CJ5" s="70" t="s">
        <v>34</v>
      </c>
      <c r="CK5" s="71" t="s">
        <v>35</v>
      </c>
      <c r="CL5" s="72" t="s">
        <v>37</v>
      </c>
      <c r="CM5" s="72" t="s">
        <v>303</v>
      </c>
      <c r="CN5" s="74" t="s">
        <v>23</v>
      </c>
      <c r="CO5" s="75" t="s">
        <v>29</v>
      </c>
      <c r="CP5" s="63"/>
      <c r="CQ5" s="63"/>
      <c r="CR5" s="64"/>
      <c r="CS5" s="75" t="s">
        <v>30</v>
      </c>
      <c r="CT5" s="63"/>
      <c r="CU5" s="63"/>
      <c r="CV5" s="64"/>
      <c r="CW5" s="75" t="s">
        <v>31</v>
      </c>
      <c r="CX5" s="63"/>
      <c r="CY5" s="63"/>
      <c r="CZ5" s="64"/>
      <c r="DA5" s="75" t="s">
        <v>32</v>
      </c>
      <c r="DB5" s="63"/>
      <c r="DC5" s="63"/>
      <c r="DD5" s="64"/>
      <c r="DE5" s="76" t="s">
        <v>33</v>
      </c>
      <c r="DF5" s="76" t="s">
        <v>34</v>
      </c>
      <c r="DG5" s="77" t="s">
        <v>35</v>
      </c>
      <c r="DH5" s="78" t="s">
        <v>304</v>
      </c>
      <c r="DI5" s="79" t="s">
        <v>305</v>
      </c>
      <c r="DJ5" s="79" t="s">
        <v>41</v>
      </c>
      <c r="DK5" s="79" t="s">
        <v>42</v>
      </c>
      <c r="DL5" s="80" t="s">
        <v>23</v>
      </c>
      <c r="DM5" s="81" t="s">
        <v>43</v>
      </c>
      <c r="DN5" s="81" t="s">
        <v>44</v>
      </c>
      <c r="DO5" s="82" t="s">
        <v>29</v>
      </c>
      <c r="DP5" s="17"/>
      <c r="DQ5" s="17"/>
      <c r="DR5" s="18"/>
      <c r="DS5" s="82" t="s">
        <v>30</v>
      </c>
      <c r="DT5" s="17"/>
      <c r="DU5" s="17"/>
      <c r="DV5" s="18"/>
      <c r="DW5" s="82" t="s">
        <v>31</v>
      </c>
      <c r="DX5" s="17"/>
      <c r="DY5" s="17"/>
      <c r="DZ5" s="18"/>
      <c r="EA5" s="82" t="s">
        <v>32</v>
      </c>
      <c r="EB5" s="17"/>
      <c r="EC5" s="17"/>
      <c r="ED5" s="18"/>
      <c r="EE5" s="83" t="s">
        <v>33</v>
      </c>
      <c r="EF5" s="83" t="s">
        <v>34</v>
      </c>
      <c r="EG5" s="84" t="s">
        <v>35</v>
      </c>
      <c r="EH5" s="85" t="s">
        <v>45</v>
      </c>
      <c r="EI5" s="86" t="s">
        <v>39</v>
      </c>
      <c r="EJ5" s="87" t="s">
        <v>46</v>
      </c>
      <c r="EK5" s="87" t="s">
        <v>47</v>
      </c>
      <c r="EL5" s="87" t="s">
        <v>48</v>
      </c>
      <c r="EM5" s="88" t="s">
        <v>23</v>
      </c>
      <c r="EN5" s="89" t="s">
        <v>43</v>
      </c>
      <c r="EO5" s="89" t="s">
        <v>44</v>
      </c>
      <c r="EP5" s="90" t="s">
        <v>29</v>
      </c>
      <c r="EQ5" s="17"/>
      <c r="ER5" s="17"/>
      <c r="ES5" s="18"/>
      <c r="ET5" s="90" t="s">
        <v>30</v>
      </c>
      <c r="EU5" s="17"/>
      <c r="EV5" s="17"/>
      <c r="EW5" s="18"/>
      <c r="EX5" s="90" t="s">
        <v>31</v>
      </c>
      <c r="EY5" s="17"/>
      <c r="EZ5" s="17"/>
      <c r="FA5" s="18"/>
      <c r="FB5" s="90" t="s">
        <v>32</v>
      </c>
      <c r="FC5" s="17"/>
      <c r="FD5" s="17"/>
      <c r="FE5" s="18"/>
      <c r="FF5" s="91" t="s">
        <v>33</v>
      </c>
      <c r="FG5" s="91" t="s">
        <v>34</v>
      </c>
      <c r="FH5" s="92" t="s">
        <v>35</v>
      </c>
      <c r="FI5" s="93" t="s">
        <v>45</v>
      </c>
      <c r="FJ5" s="94" t="s">
        <v>49</v>
      </c>
      <c r="FK5" s="95" t="s">
        <v>50</v>
      </c>
      <c r="FL5" s="95" t="s">
        <v>51</v>
      </c>
      <c r="FM5" s="95" t="s">
        <v>52</v>
      </c>
      <c r="FN5" s="100"/>
      <c r="FO5" s="100"/>
      <c r="FP5" s="98" t="s">
        <v>23</v>
      </c>
      <c r="FQ5" s="95" t="s">
        <v>43</v>
      </c>
      <c r="FR5" s="95" t="s">
        <v>44</v>
      </c>
      <c r="FS5" s="99" t="s">
        <v>29</v>
      </c>
      <c r="FT5" s="17"/>
      <c r="FU5" s="17"/>
      <c r="FV5" s="18"/>
      <c r="FW5" s="99" t="s">
        <v>30</v>
      </c>
      <c r="FX5" s="17"/>
      <c r="FY5" s="17"/>
      <c r="FZ5" s="18"/>
      <c r="GA5" s="99" t="s">
        <v>31</v>
      </c>
      <c r="GB5" s="17"/>
      <c r="GC5" s="17"/>
      <c r="GD5" s="18"/>
      <c r="GE5" s="99" t="s">
        <v>32</v>
      </c>
      <c r="GF5" s="17"/>
      <c r="GG5" s="17"/>
      <c r="GH5" s="18"/>
      <c r="GI5" s="100" t="s">
        <v>33</v>
      </c>
      <c r="GJ5" s="100" t="s">
        <v>34</v>
      </c>
      <c r="GK5" s="101" t="s">
        <v>35</v>
      </c>
      <c r="GL5" s="102" t="s">
        <v>45</v>
      </c>
      <c r="GM5" s="103" t="s">
        <v>55</v>
      </c>
      <c r="GN5" s="104" t="s">
        <v>56</v>
      </c>
      <c r="GO5" s="104" t="s">
        <v>57</v>
      </c>
      <c r="GP5" s="104" t="s">
        <v>58</v>
      </c>
      <c r="GQ5" s="108"/>
      <c r="GR5" s="108"/>
      <c r="GS5" s="106" t="s">
        <v>23</v>
      </c>
      <c r="GT5" s="104" t="s">
        <v>43</v>
      </c>
      <c r="GU5" s="104" t="s">
        <v>44</v>
      </c>
      <c r="GV5" s="107" t="s">
        <v>29</v>
      </c>
      <c r="GW5" s="17"/>
      <c r="GX5" s="17"/>
      <c r="GY5" s="18"/>
      <c r="GZ5" s="107" t="s">
        <v>30</v>
      </c>
      <c r="HA5" s="17"/>
      <c r="HB5" s="17"/>
      <c r="HC5" s="18"/>
      <c r="HD5" s="107" t="s">
        <v>31</v>
      </c>
      <c r="HE5" s="17"/>
      <c r="HF5" s="17"/>
      <c r="HG5" s="18"/>
      <c r="HH5" s="107" t="s">
        <v>32</v>
      </c>
      <c r="HI5" s="17"/>
      <c r="HJ5" s="17"/>
      <c r="HK5" s="18"/>
      <c r="HL5" s="108" t="s">
        <v>33</v>
      </c>
      <c r="HM5" s="108" t="s">
        <v>34</v>
      </c>
      <c r="HN5" s="109" t="s">
        <v>35</v>
      </c>
      <c r="HO5" s="110" t="s">
        <v>45</v>
      </c>
    </row>
    <row r="6" ht="36.0" customHeight="1">
      <c r="A6" s="115"/>
      <c r="B6" s="115"/>
      <c r="C6" s="115"/>
      <c r="D6" s="561"/>
      <c r="E6" s="561"/>
      <c r="F6" s="115"/>
      <c r="G6" s="115"/>
      <c r="H6" s="19"/>
      <c r="I6" s="116" t="s">
        <v>70</v>
      </c>
      <c r="J6" s="116" t="s">
        <v>71</v>
      </c>
      <c r="K6" s="116" t="s">
        <v>72</v>
      </c>
      <c r="L6" s="116" t="s">
        <v>73</v>
      </c>
      <c r="M6" s="115"/>
      <c r="N6" s="115"/>
      <c r="O6" s="115"/>
      <c r="P6" s="115"/>
      <c r="Q6" s="117" t="s">
        <v>70</v>
      </c>
      <c r="R6" s="117" t="s">
        <v>71</v>
      </c>
      <c r="S6" s="117" t="s">
        <v>72</v>
      </c>
      <c r="T6" s="117" t="s">
        <v>73</v>
      </c>
      <c r="U6" s="115"/>
      <c r="V6" s="115"/>
      <c r="W6" s="115"/>
      <c r="X6" s="624" t="s">
        <v>23</v>
      </c>
      <c r="Y6" s="119" t="s">
        <v>70</v>
      </c>
      <c r="Z6" s="119" t="s">
        <v>71</v>
      </c>
      <c r="AA6" s="119" t="s">
        <v>72</v>
      </c>
      <c r="AB6" s="119" t="s">
        <v>73</v>
      </c>
      <c r="AC6" s="115"/>
      <c r="AD6" s="115"/>
      <c r="AE6" s="115"/>
      <c r="AF6" s="625" t="s">
        <v>23</v>
      </c>
      <c r="AG6" s="120" t="s">
        <v>70</v>
      </c>
      <c r="AH6" s="120" t="s">
        <v>71</v>
      </c>
      <c r="AI6" s="120" t="s">
        <v>72</v>
      </c>
      <c r="AJ6" s="120" t="s">
        <v>73</v>
      </c>
      <c r="AK6" s="115"/>
      <c r="AL6" s="115"/>
      <c r="AM6" s="115"/>
      <c r="AN6" s="626" t="s">
        <v>23</v>
      </c>
      <c r="AO6" s="121" t="s">
        <v>70</v>
      </c>
      <c r="AP6" s="121" t="s">
        <v>71</v>
      </c>
      <c r="AQ6" s="121" t="s">
        <v>72</v>
      </c>
      <c r="AR6" s="121" t="s">
        <v>73</v>
      </c>
      <c r="AS6" s="115"/>
      <c r="AT6" s="115"/>
      <c r="AU6" s="115"/>
      <c r="AV6" s="115"/>
      <c r="AW6" s="562"/>
      <c r="AX6" s="124" t="s">
        <v>70</v>
      </c>
      <c r="AY6" s="125" t="s">
        <v>71</v>
      </c>
      <c r="AZ6" s="125" t="s">
        <v>72</v>
      </c>
      <c r="BA6" s="126" t="s">
        <v>73</v>
      </c>
      <c r="BB6" s="124" t="s">
        <v>70</v>
      </c>
      <c r="BC6" s="125" t="s">
        <v>71</v>
      </c>
      <c r="BD6" s="125" t="s">
        <v>72</v>
      </c>
      <c r="BE6" s="126" t="s">
        <v>73</v>
      </c>
      <c r="BF6" s="124" t="s">
        <v>70</v>
      </c>
      <c r="BG6" s="125" t="s">
        <v>71</v>
      </c>
      <c r="BH6" s="125" t="s">
        <v>72</v>
      </c>
      <c r="BI6" s="126" t="s">
        <v>73</v>
      </c>
      <c r="BJ6" s="124" t="s">
        <v>70</v>
      </c>
      <c r="BK6" s="125" t="s">
        <v>71</v>
      </c>
      <c r="BL6" s="125" t="s">
        <v>72</v>
      </c>
      <c r="BM6" s="126" t="s">
        <v>73</v>
      </c>
      <c r="BN6" s="126" t="s">
        <v>74</v>
      </c>
      <c r="BO6" s="127" t="s">
        <v>75</v>
      </c>
      <c r="BP6" s="127" t="s">
        <v>75</v>
      </c>
      <c r="BQ6" s="115"/>
      <c r="BR6" s="562"/>
      <c r="BS6" s="627" t="s">
        <v>70</v>
      </c>
      <c r="BT6" s="628" t="s">
        <v>71</v>
      </c>
      <c r="BU6" s="628" t="s">
        <v>72</v>
      </c>
      <c r="BV6" s="629" t="s">
        <v>73</v>
      </c>
      <c r="BW6" s="627" t="s">
        <v>70</v>
      </c>
      <c r="BX6" s="628" t="s">
        <v>71</v>
      </c>
      <c r="BY6" s="628" t="s">
        <v>72</v>
      </c>
      <c r="BZ6" s="629" t="s">
        <v>73</v>
      </c>
      <c r="CA6" s="627" t="s">
        <v>70</v>
      </c>
      <c r="CB6" s="628" t="s">
        <v>71</v>
      </c>
      <c r="CC6" s="628" t="s">
        <v>72</v>
      </c>
      <c r="CD6" s="629" t="s">
        <v>73</v>
      </c>
      <c r="CE6" s="627" t="s">
        <v>70</v>
      </c>
      <c r="CF6" s="628" t="s">
        <v>71</v>
      </c>
      <c r="CG6" s="628" t="s">
        <v>72</v>
      </c>
      <c r="CH6" s="629" t="s">
        <v>73</v>
      </c>
      <c r="CI6" s="629" t="s">
        <v>74</v>
      </c>
      <c r="CJ6" s="630" t="s">
        <v>75</v>
      </c>
      <c r="CK6" s="630" t="s">
        <v>75</v>
      </c>
      <c r="CL6" s="115"/>
      <c r="CM6" s="115"/>
      <c r="CN6" s="123"/>
      <c r="CO6" s="133" t="s">
        <v>70</v>
      </c>
      <c r="CP6" s="134" t="s">
        <v>71</v>
      </c>
      <c r="CQ6" s="134" t="s">
        <v>72</v>
      </c>
      <c r="CR6" s="135" t="s">
        <v>73</v>
      </c>
      <c r="CS6" s="133" t="s">
        <v>70</v>
      </c>
      <c r="CT6" s="134" t="s">
        <v>71</v>
      </c>
      <c r="CU6" s="134" t="s">
        <v>72</v>
      </c>
      <c r="CV6" s="135" t="s">
        <v>73</v>
      </c>
      <c r="CW6" s="133" t="s">
        <v>70</v>
      </c>
      <c r="CX6" s="134" t="s">
        <v>71</v>
      </c>
      <c r="CY6" s="134" t="s">
        <v>72</v>
      </c>
      <c r="CZ6" s="135" t="s">
        <v>73</v>
      </c>
      <c r="DA6" s="133" t="s">
        <v>70</v>
      </c>
      <c r="DB6" s="134" t="s">
        <v>71</v>
      </c>
      <c r="DC6" s="134" t="s">
        <v>72</v>
      </c>
      <c r="DD6" s="135" t="s">
        <v>73</v>
      </c>
      <c r="DE6" s="135" t="s">
        <v>74</v>
      </c>
      <c r="DF6" s="136" t="s">
        <v>75</v>
      </c>
      <c r="DG6" s="137" t="s">
        <v>75</v>
      </c>
      <c r="DH6" s="115"/>
      <c r="DI6" s="115"/>
      <c r="DJ6" s="115"/>
      <c r="DK6" s="115"/>
      <c r="DL6" s="115"/>
      <c r="DM6" s="115"/>
      <c r="DN6" s="115"/>
      <c r="DO6" s="138" t="s">
        <v>70</v>
      </c>
      <c r="DP6" s="139" t="s">
        <v>71</v>
      </c>
      <c r="DQ6" s="139" t="s">
        <v>72</v>
      </c>
      <c r="DR6" s="138" t="s">
        <v>73</v>
      </c>
      <c r="DS6" s="138" t="s">
        <v>70</v>
      </c>
      <c r="DT6" s="139" t="s">
        <v>71</v>
      </c>
      <c r="DU6" s="139" t="s">
        <v>72</v>
      </c>
      <c r="DV6" s="138" t="s">
        <v>73</v>
      </c>
      <c r="DW6" s="138" t="s">
        <v>70</v>
      </c>
      <c r="DX6" s="139" t="s">
        <v>71</v>
      </c>
      <c r="DY6" s="139" t="s">
        <v>72</v>
      </c>
      <c r="DZ6" s="138" t="s">
        <v>73</v>
      </c>
      <c r="EA6" s="138" t="s">
        <v>70</v>
      </c>
      <c r="EB6" s="139" t="s">
        <v>71</v>
      </c>
      <c r="EC6" s="139" t="s">
        <v>72</v>
      </c>
      <c r="ED6" s="138" t="s">
        <v>73</v>
      </c>
      <c r="EE6" s="138" t="s">
        <v>74</v>
      </c>
      <c r="EF6" s="138" t="s">
        <v>75</v>
      </c>
      <c r="EG6" s="115"/>
      <c r="EH6" s="115"/>
      <c r="EI6" s="115"/>
      <c r="EJ6" s="115"/>
      <c r="EK6" s="115"/>
      <c r="EL6" s="115"/>
      <c r="EM6" s="115"/>
      <c r="EN6" s="115"/>
      <c r="EO6" s="115"/>
      <c r="EP6" s="140" t="s">
        <v>70</v>
      </c>
      <c r="EQ6" s="141" t="s">
        <v>71</v>
      </c>
      <c r="ER6" s="141" t="s">
        <v>72</v>
      </c>
      <c r="ES6" s="140" t="s">
        <v>73</v>
      </c>
      <c r="ET6" s="140" t="s">
        <v>70</v>
      </c>
      <c r="EU6" s="141" t="s">
        <v>71</v>
      </c>
      <c r="EV6" s="141" t="s">
        <v>72</v>
      </c>
      <c r="EW6" s="140" t="s">
        <v>73</v>
      </c>
      <c r="EX6" s="140" t="s">
        <v>70</v>
      </c>
      <c r="EY6" s="141" t="s">
        <v>71</v>
      </c>
      <c r="EZ6" s="141" t="s">
        <v>72</v>
      </c>
      <c r="FA6" s="140" t="s">
        <v>73</v>
      </c>
      <c r="FB6" s="140" t="s">
        <v>70</v>
      </c>
      <c r="FC6" s="141" t="s">
        <v>71</v>
      </c>
      <c r="FD6" s="141" t="s">
        <v>72</v>
      </c>
      <c r="FE6" s="140" t="s">
        <v>73</v>
      </c>
      <c r="FF6" s="140" t="s">
        <v>74</v>
      </c>
      <c r="FG6" s="140" t="s">
        <v>75</v>
      </c>
      <c r="FH6" s="115"/>
      <c r="FI6" s="115"/>
      <c r="FJ6" s="115"/>
      <c r="FK6" s="115"/>
      <c r="FL6" s="115"/>
      <c r="FM6" s="115"/>
      <c r="FN6" s="631" t="s">
        <v>339</v>
      </c>
      <c r="FO6" s="631" t="s">
        <v>339</v>
      </c>
      <c r="FP6" s="115"/>
      <c r="FQ6" s="115"/>
      <c r="FR6" s="115"/>
      <c r="FS6" s="100" t="s">
        <v>70</v>
      </c>
      <c r="FT6" s="142" t="s">
        <v>71</v>
      </c>
      <c r="FU6" s="142" t="s">
        <v>72</v>
      </c>
      <c r="FV6" s="100" t="s">
        <v>73</v>
      </c>
      <c r="FW6" s="100" t="s">
        <v>70</v>
      </c>
      <c r="FX6" s="142" t="s">
        <v>71</v>
      </c>
      <c r="FY6" s="142" t="s">
        <v>72</v>
      </c>
      <c r="FZ6" s="100" t="s">
        <v>73</v>
      </c>
      <c r="GA6" s="100" t="s">
        <v>70</v>
      </c>
      <c r="GB6" s="142" t="s">
        <v>71</v>
      </c>
      <c r="GC6" s="142" t="s">
        <v>72</v>
      </c>
      <c r="GD6" s="100" t="s">
        <v>73</v>
      </c>
      <c r="GE6" s="100" t="s">
        <v>70</v>
      </c>
      <c r="GF6" s="142" t="s">
        <v>71</v>
      </c>
      <c r="GG6" s="142" t="s">
        <v>72</v>
      </c>
      <c r="GH6" s="100" t="s">
        <v>73</v>
      </c>
      <c r="GI6" s="100" t="s">
        <v>74</v>
      </c>
      <c r="GJ6" s="100" t="s">
        <v>75</v>
      </c>
      <c r="GK6" s="115"/>
      <c r="GL6" s="115"/>
      <c r="GM6" s="115"/>
      <c r="GN6" s="115"/>
      <c r="GO6" s="115"/>
      <c r="GP6" s="115"/>
      <c r="GQ6" s="632" t="s">
        <v>339</v>
      </c>
      <c r="GR6" s="632" t="s">
        <v>339</v>
      </c>
      <c r="GS6" s="115"/>
      <c r="GT6" s="115"/>
      <c r="GU6" s="115"/>
      <c r="GV6" s="108" t="s">
        <v>70</v>
      </c>
      <c r="GW6" s="143" t="s">
        <v>71</v>
      </c>
      <c r="GX6" s="143" t="s">
        <v>72</v>
      </c>
      <c r="GY6" s="108" t="s">
        <v>73</v>
      </c>
      <c r="GZ6" s="108" t="s">
        <v>70</v>
      </c>
      <c r="HA6" s="143" t="s">
        <v>71</v>
      </c>
      <c r="HB6" s="143" t="s">
        <v>72</v>
      </c>
      <c r="HC6" s="108" t="s">
        <v>73</v>
      </c>
      <c r="HD6" s="108" t="s">
        <v>70</v>
      </c>
      <c r="HE6" s="143" t="s">
        <v>71</v>
      </c>
      <c r="HF6" s="143" t="s">
        <v>72</v>
      </c>
      <c r="HG6" s="108" t="s">
        <v>73</v>
      </c>
      <c r="HH6" s="108" t="s">
        <v>70</v>
      </c>
      <c r="HI6" s="143" t="s">
        <v>71</v>
      </c>
      <c r="HJ6" s="143" t="s">
        <v>72</v>
      </c>
      <c r="HK6" s="108" t="s">
        <v>73</v>
      </c>
      <c r="HL6" s="108" t="s">
        <v>74</v>
      </c>
      <c r="HM6" s="108" t="s">
        <v>75</v>
      </c>
      <c r="HN6" s="115"/>
      <c r="HO6" s="115"/>
      <c r="HR6" s="112" t="s">
        <v>60</v>
      </c>
      <c r="HS6" s="112" t="s">
        <v>61</v>
      </c>
      <c r="HT6" s="112" t="s">
        <v>62</v>
      </c>
      <c r="HU6" s="112" t="s">
        <v>63</v>
      </c>
      <c r="HV6" s="112" t="s">
        <v>64</v>
      </c>
      <c r="HW6" s="112" t="s">
        <v>14</v>
      </c>
      <c r="HX6" s="112" t="s">
        <v>15</v>
      </c>
      <c r="HY6" s="112" t="s">
        <v>65</v>
      </c>
      <c r="HZ6" s="112" t="s">
        <v>66</v>
      </c>
      <c r="IA6" s="112" t="s">
        <v>67</v>
      </c>
      <c r="IB6" s="112" t="s">
        <v>68</v>
      </c>
      <c r="IC6" s="112" t="s">
        <v>69</v>
      </c>
    </row>
    <row r="7" ht="14.25" customHeight="1">
      <c r="A7" s="145">
        <v>1.0</v>
      </c>
      <c r="B7" s="145">
        <v>2.0</v>
      </c>
      <c r="C7" s="145"/>
      <c r="D7" s="145"/>
      <c r="E7" s="145"/>
      <c r="F7" s="145">
        <v>5.0</v>
      </c>
      <c r="G7" s="145">
        <v>6.0</v>
      </c>
      <c r="H7" s="115"/>
      <c r="I7" s="358"/>
      <c r="J7" s="358"/>
      <c r="K7" s="358"/>
      <c r="L7" s="358"/>
      <c r="M7" s="358"/>
      <c r="N7" s="358"/>
      <c r="O7" s="231"/>
      <c r="P7" s="358"/>
      <c r="Q7" s="358"/>
      <c r="R7" s="358"/>
      <c r="S7" s="165"/>
      <c r="T7" s="165"/>
      <c r="U7" s="165"/>
      <c r="V7" s="165"/>
      <c r="W7" s="236"/>
      <c r="X7" s="165"/>
      <c r="Y7" s="165"/>
      <c r="Z7" s="165"/>
      <c r="AA7" s="165"/>
      <c r="AB7" s="165"/>
      <c r="AC7" s="165"/>
      <c r="AD7" s="165"/>
      <c r="AE7" s="236"/>
      <c r="AF7" s="165"/>
      <c r="AG7" s="165"/>
      <c r="AH7" s="165"/>
      <c r="AI7" s="165"/>
      <c r="AJ7" s="165"/>
      <c r="AK7" s="165"/>
      <c r="AL7" s="165"/>
      <c r="AM7" s="236"/>
      <c r="AN7" s="165"/>
      <c r="AO7" s="165"/>
      <c r="AP7" s="165"/>
      <c r="AQ7" s="165"/>
      <c r="AR7" s="165"/>
      <c r="AS7" s="165"/>
      <c r="AT7" s="165"/>
      <c r="AU7" s="236"/>
      <c r="AV7" s="146">
        <v>47.0</v>
      </c>
      <c r="AW7" s="146">
        <v>48.0</v>
      </c>
      <c r="AX7" s="146">
        <v>49.0</v>
      </c>
      <c r="AY7" s="146">
        <v>50.0</v>
      </c>
      <c r="AZ7" s="146">
        <v>51.0</v>
      </c>
      <c r="BA7" s="146">
        <v>52.0</v>
      </c>
      <c r="BB7" s="146">
        <v>53.0</v>
      </c>
      <c r="BC7" s="146">
        <v>54.0</v>
      </c>
      <c r="BD7" s="146">
        <v>55.0</v>
      </c>
      <c r="BE7" s="146">
        <v>56.0</v>
      </c>
      <c r="BF7" s="146">
        <v>57.0</v>
      </c>
      <c r="BG7" s="146">
        <v>58.0</v>
      </c>
      <c r="BH7" s="146">
        <v>59.0</v>
      </c>
      <c r="BI7" s="146">
        <v>60.0</v>
      </c>
      <c r="BJ7" s="146">
        <v>61.0</v>
      </c>
      <c r="BK7" s="146">
        <v>62.0</v>
      </c>
      <c r="BL7" s="146">
        <v>63.0</v>
      </c>
      <c r="BM7" s="146">
        <v>64.0</v>
      </c>
      <c r="BN7" s="146">
        <v>65.0</v>
      </c>
      <c r="BO7" s="146">
        <v>66.0</v>
      </c>
      <c r="BP7" s="146">
        <v>67.0</v>
      </c>
      <c r="BQ7" s="147">
        <v>68.0</v>
      </c>
      <c r="BR7" s="147">
        <v>69.0</v>
      </c>
      <c r="BS7" s="147">
        <v>70.0</v>
      </c>
      <c r="BT7" s="147">
        <v>71.0</v>
      </c>
      <c r="BU7" s="147">
        <v>72.0</v>
      </c>
      <c r="BV7" s="147">
        <v>73.0</v>
      </c>
      <c r="BW7" s="147">
        <v>74.0</v>
      </c>
      <c r="BX7" s="147">
        <v>75.0</v>
      </c>
      <c r="BY7" s="147">
        <v>76.0</v>
      </c>
      <c r="BZ7" s="147">
        <v>77.0</v>
      </c>
      <c r="CA7" s="147">
        <v>78.0</v>
      </c>
      <c r="CB7" s="147">
        <v>79.0</v>
      </c>
      <c r="CC7" s="147">
        <v>80.0</v>
      </c>
      <c r="CD7" s="147">
        <v>81.0</v>
      </c>
      <c r="CE7" s="147">
        <v>82.0</v>
      </c>
      <c r="CF7" s="147">
        <v>83.0</v>
      </c>
      <c r="CG7" s="147">
        <v>84.0</v>
      </c>
      <c r="CH7" s="147">
        <v>85.0</v>
      </c>
      <c r="CI7" s="147">
        <v>86.0</v>
      </c>
      <c r="CJ7" s="147">
        <v>87.0</v>
      </c>
      <c r="CK7" s="147">
        <v>88.0</v>
      </c>
      <c r="CL7" s="147">
        <v>89.0</v>
      </c>
      <c r="CM7" s="147">
        <v>90.0</v>
      </c>
      <c r="CN7" s="147">
        <v>91.0</v>
      </c>
      <c r="CO7" s="147">
        <v>92.0</v>
      </c>
      <c r="CP7" s="147">
        <v>93.0</v>
      </c>
      <c r="CQ7" s="147">
        <v>94.0</v>
      </c>
      <c r="CR7" s="147">
        <v>95.0</v>
      </c>
      <c r="CS7" s="147">
        <v>96.0</v>
      </c>
      <c r="CT7" s="147">
        <v>97.0</v>
      </c>
      <c r="CU7" s="147">
        <v>98.0</v>
      </c>
      <c r="CV7" s="147">
        <v>99.0</v>
      </c>
      <c r="CW7" s="147">
        <v>100.0</v>
      </c>
      <c r="CX7" s="147">
        <v>101.0</v>
      </c>
      <c r="CY7" s="147">
        <v>102.0</v>
      </c>
      <c r="CZ7" s="147">
        <v>103.0</v>
      </c>
      <c r="DA7" s="147">
        <v>104.0</v>
      </c>
      <c r="DB7" s="147">
        <v>105.0</v>
      </c>
      <c r="DC7" s="147">
        <v>106.0</v>
      </c>
      <c r="DD7" s="147">
        <v>107.0</v>
      </c>
      <c r="DE7" s="147">
        <v>108.0</v>
      </c>
      <c r="DF7" s="147">
        <v>109.0</v>
      </c>
      <c r="DG7" s="147">
        <v>110.0</v>
      </c>
      <c r="DH7" s="148">
        <v>111.0</v>
      </c>
      <c r="DI7" s="148">
        <v>112.0</v>
      </c>
      <c r="DJ7" s="148">
        <v>113.0</v>
      </c>
      <c r="DK7" s="148">
        <v>114.0</v>
      </c>
      <c r="DL7" s="148">
        <v>115.0</v>
      </c>
      <c r="DM7" s="148">
        <v>116.0</v>
      </c>
      <c r="DN7" s="148"/>
      <c r="DO7" s="148">
        <v>117.0</v>
      </c>
      <c r="DP7" s="148">
        <v>118.0</v>
      </c>
      <c r="DQ7" s="148">
        <v>119.0</v>
      </c>
      <c r="DR7" s="148">
        <v>120.0</v>
      </c>
      <c r="DS7" s="148">
        <v>121.0</v>
      </c>
      <c r="DT7" s="148">
        <v>122.0</v>
      </c>
      <c r="DU7" s="148">
        <v>123.0</v>
      </c>
      <c r="DV7" s="148">
        <v>124.0</v>
      </c>
      <c r="DW7" s="148">
        <v>125.0</v>
      </c>
      <c r="DX7" s="148">
        <v>126.0</v>
      </c>
      <c r="DY7" s="148">
        <v>127.0</v>
      </c>
      <c r="DZ7" s="148">
        <v>128.0</v>
      </c>
      <c r="EA7" s="148">
        <v>129.0</v>
      </c>
      <c r="EB7" s="148">
        <v>130.0</v>
      </c>
      <c r="EC7" s="148">
        <v>131.0</v>
      </c>
      <c r="ED7" s="148">
        <v>132.0</v>
      </c>
      <c r="EE7" s="148">
        <v>133.0</v>
      </c>
      <c r="EF7" s="148">
        <v>134.0</v>
      </c>
      <c r="EG7" s="148">
        <v>135.0</v>
      </c>
      <c r="EH7" s="148">
        <v>136.0</v>
      </c>
      <c r="EI7" s="148">
        <v>137.0</v>
      </c>
      <c r="EJ7" s="148">
        <v>138.0</v>
      </c>
      <c r="EK7" s="148">
        <v>139.0</v>
      </c>
      <c r="EL7" s="148">
        <v>140.0</v>
      </c>
      <c r="EM7" s="148">
        <v>141.0</v>
      </c>
      <c r="EN7" s="148">
        <v>142.0</v>
      </c>
      <c r="EO7" s="148">
        <v>143.0</v>
      </c>
      <c r="EP7" s="148">
        <v>144.0</v>
      </c>
      <c r="EQ7" s="148">
        <v>145.0</v>
      </c>
      <c r="ER7" s="148">
        <v>146.0</v>
      </c>
      <c r="ES7" s="148">
        <v>147.0</v>
      </c>
      <c r="ET7" s="148">
        <v>148.0</v>
      </c>
      <c r="EU7" s="148">
        <v>149.0</v>
      </c>
      <c r="EV7" s="148">
        <v>150.0</v>
      </c>
      <c r="EW7" s="148">
        <v>151.0</v>
      </c>
      <c r="EX7" s="148">
        <v>152.0</v>
      </c>
      <c r="EY7" s="148">
        <v>153.0</v>
      </c>
      <c r="EZ7" s="148">
        <v>154.0</v>
      </c>
      <c r="FA7" s="148">
        <v>155.0</v>
      </c>
      <c r="FB7" s="148">
        <v>156.0</v>
      </c>
      <c r="FC7" s="148">
        <v>157.0</v>
      </c>
      <c r="FD7" s="148">
        <v>158.0</v>
      </c>
      <c r="FE7" s="148">
        <v>159.0</v>
      </c>
      <c r="FF7" s="148">
        <v>160.0</v>
      </c>
      <c r="FG7" s="148">
        <v>161.0</v>
      </c>
      <c r="FH7" s="148">
        <v>162.0</v>
      </c>
      <c r="FI7" s="148">
        <v>163.0</v>
      </c>
      <c r="FJ7" s="148">
        <v>164.0</v>
      </c>
      <c r="FK7" s="148">
        <v>165.0</v>
      </c>
      <c r="FL7" s="148">
        <v>166.0</v>
      </c>
      <c r="FM7" s="148">
        <v>167.0</v>
      </c>
      <c r="FN7" s="150"/>
      <c r="FO7" s="150"/>
      <c r="FP7" s="150">
        <v>168.0</v>
      </c>
      <c r="FQ7" s="150">
        <v>169.0</v>
      </c>
      <c r="FR7" s="150">
        <v>170.0</v>
      </c>
      <c r="FS7" s="148">
        <v>171.0</v>
      </c>
      <c r="FT7" s="148">
        <v>172.0</v>
      </c>
      <c r="FU7" s="148">
        <v>173.0</v>
      </c>
      <c r="FV7" s="148">
        <v>174.0</v>
      </c>
      <c r="FW7" s="148">
        <v>175.0</v>
      </c>
      <c r="FX7" s="148">
        <v>176.0</v>
      </c>
      <c r="FY7" s="148">
        <v>177.0</v>
      </c>
      <c r="FZ7" s="148">
        <v>178.0</v>
      </c>
      <c r="GA7" s="148">
        <v>179.0</v>
      </c>
      <c r="GB7" s="148">
        <v>180.0</v>
      </c>
      <c r="GC7" s="148">
        <v>181.0</v>
      </c>
      <c r="GD7" s="148">
        <v>182.0</v>
      </c>
      <c r="GE7" s="148">
        <v>183.0</v>
      </c>
      <c r="GF7" s="148">
        <v>184.0</v>
      </c>
      <c r="GG7" s="148">
        <v>185.0</v>
      </c>
      <c r="GH7" s="148">
        <v>186.0</v>
      </c>
      <c r="GI7" s="148">
        <v>187.0</v>
      </c>
      <c r="GJ7" s="148">
        <v>188.0</v>
      </c>
      <c r="GK7" s="150">
        <v>189.0</v>
      </c>
      <c r="GL7" s="150">
        <v>190.0</v>
      </c>
      <c r="GM7" s="148">
        <v>191.0</v>
      </c>
      <c r="GN7" s="148">
        <v>192.0</v>
      </c>
      <c r="GO7" s="148">
        <v>193.0</v>
      </c>
      <c r="GP7" s="148">
        <v>194.0</v>
      </c>
      <c r="GQ7" s="152"/>
      <c r="GR7" s="152"/>
      <c r="GS7" s="152">
        <v>197.0</v>
      </c>
      <c r="GT7" s="152">
        <v>198.0</v>
      </c>
      <c r="GU7" s="152">
        <v>199.0</v>
      </c>
      <c r="GV7" s="148">
        <v>200.0</v>
      </c>
      <c r="GW7" s="148">
        <v>201.0</v>
      </c>
      <c r="GX7" s="148">
        <v>202.0</v>
      </c>
      <c r="GY7" s="148">
        <v>203.0</v>
      </c>
      <c r="GZ7" s="148">
        <v>204.0</v>
      </c>
      <c r="HA7" s="148">
        <v>205.0</v>
      </c>
      <c r="HB7" s="148">
        <v>206.0</v>
      </c>
      <c r="HC7" s="148">
        <v>207.0</v>
      </c>
      <c r="HD7" s="148">
        <v>208.0</v>
      </c>
      <c r="HE7" s="148">
        <v>209.0</v>
      </c>
      <c r="HF7" s="148">
        <v>210.0</v>
      </c>
      <c r="HG7" s="148">
        <v>211.0</v>
      </c>
      <c r="HH7" s="148">
        <v>212.0</v>
      </c>
      <c r="HI7" s="148">
        <v>213.0</v>
      </c>
      <c r="HJ7" s="148">
        <v>214.0</v>
      </c>
      <c r="HK7" s="148">
        <v>215.0</v>
      </c>
      <c r="HL7" s="148">
        <v>216.0</v>
      </c>
      <c r="HM7" s="148">
        <v>217.0</v>
      </c>
      <c r="HN7" s="152">
        <v>218.0</v>
      </c>
      <c r="HO7" s="152">
        <v>219.0</v>
      </c>
    </row>
    <row r="8" ht="14.25" customHeight="1">
      <c r="A8" s="158">
        <v>1.0</v>
      </c>
      <c r="B8" s="633" t="s">
        <v>340</v>
      </c>
      <c r="C8" s="253">
        <v>3374130.0</v>
      </c>
      <c r="D8" s="253"/>
      <c r="E8" s="253"/>
      <c r="F8" s="259">
        <f>'PUSK ( RUMUS )'!F8+'PUSK ( RUMUS )'!F9</f>
        <v>62</v>
      </c>
      <c r="G8" s="259">
        <f>'PUSK ( RUMUS )'!G8+'PUSK ( RUMUS )'!G9</f>
        <v>2517</v>
      </c>
      <c r="H8" s="259">
        <f>'PUSK ( RUMUS )'!H8+'PUSK ( RUMUS )'!H9</f>
        <v>81</v>
      </c>
      <c r="I8" s="491">
        <f>'PUSK ( RUMUS )'!K8+'PUSK ( RUMUS )'!K9</f>
        <v>1</v>
      </c>
      <c r="J8" s="491">
        <f>'PUSK ( RUMUS )'!L8+'PUSK ( RUMUS )'!L9</f>
        <v>4</v>
      </c>
      <c r="K8" s="491">
        <f>'PUSK ( RUMUS )'!M8+'PUSK ( RUMUS )'!M9</f>
        <v>12</v>
      </c>
      <c r="L8" s="491">
        <f>'PUSK ( RUMUS )'!N8+'PUSK ( RUMUS )'!N9</f>
        <v>64</v>
      </c>
      <c r="M8" s="491">
        <f>'PUSK ( RUMUS )'!O8+'PUSK ( RUMUS )'!O9</f>
        <v>24</v>
      </c>
      <c r="N8" s="491">
        <f>'PUSK ( RUMUS )'!P8+'PUSK ( RUMUS )'!P9</f>
        <v>0</v>
      </c>
      <c r="O8" s="491">
        <f>'PUSK ( RUMUS )'!Q8+'PUSK ( RUMUS )'!Q9</f>
        <v>57</v>
      </c>
      <c r="P8" s="491">
        <f>'PUSK ( RUMUS )'!R8+'PUSK ( RUMUS )'!R9</f>
        <v>122</v>
      </c>
      <c r="Q8" s="491">
        <f>'PUSK ( RUMUS )'!U8+'PUSK ( RUMUS )'!U9</f>
        <v>6</v>
      </c>
      <c r="R8" s="491">
        <f>'PUSK ( RUMUS )'!V8+'PUSK ( RUMUS )'!V9</f>
        <v>8</v>
      </c>
      <c r="S8" s="491">
        <f>'PUSK ( RUMUS )'!W8+'PUSK ( RUMUS )'!W9</f>
        <v>31</v>
      </c>
      <c r="T8" s="491">
        <f>'PUSK ( RUMUS )'!X8+'PUSK ( RUMUS )'!X9</f>
        <v>77</v>
      </c>
      <c r="U8" s="491">
        <f>'PUSK ( RUMUS )'!Y8+'PUSK ( RUMUS )'!Y9</f>
        <v>40</v>
      </c>
      <c r="V8" s="491">
        <f>'PUSK ( RUMUS )'!Z8+'PUSK ( RUMUS )'!Z9</f>
        <v>20</v>
      </c>
      <c r="W8" s="491">
        <f>'PUSK ( RUMUS )'!AA8+'PUSK ( RUMUS )'!AA9</f>
        <v>62</v>
      </c>
      <c r="X8" s="491">
        <f>'PUSK ( RUMUS )'!AB8+'PUSK ( RUMUS )'!AB9</f>
        <v>117</v>
      </c>
      <c r="Y8" s="491">
        <f>'PUSK ( RUMUS )'!AE8+'PUSK ( RUMUS )'!AE9</f>
        <v>7</v>
      </c>
      <c r="Z8" s="491">
        <f>'PUSK ( RUMUS )'!AF8+'PUSK ( RUMUS )'!AF9</f>
        <v>9</v>
      </c>
      <c r="AA8" s="491">
        <f>'PUSK ( RUMUS )'!AG8+'PUSK ( RUMUS )'!AG9</f>
        <v>26</v>
      </c>
      <c r="AB8" s="491">
        <f>'PUSK ( RUMUS )'!AH8+'PUSK ( RUMUS )'!AH9</f>
        <v>75</v>
      </c>
      <c r="AC8" s="491">
        <f>'PUSK ( RUMUS )'!AI8+'PUSK ( RUMUS )'!AI9</f>
        <v>11</v>
      </c>
      <c r="AD8" s="491">
        <f>'PUSK ( RUMUS )'!AJ8+'PUSK ( RUMUS )'!AJ9</f>
        <v>10</v>
      </c>
      <c r="AE8" s="491">
        <f>'PUSK ( RUMUS )'!AK8+'PUSK ( RUMUS )'!AK9</f>
        <v>96</v>
      </c>
      <c r="AF8" s="491">
        <f>'PUSK ( RUMUS )'!AL8+'PUSK ( RUMUS )'!AL9</f>
        <v>116</v>
      </c>
      <c r="AG8" s="491">
        <f>'PUSK ( RUMUS )'!AO8+'PUSK ( RUMUS )'!AO9</f>
        <v>3</v>
      </c>
      <c r="AH8" s="491">
        <f>'PUSK ( RUMUS )'!AP8+'PUSK ( RUMUS )'!AP9</f>
        <v>12</v>
      </c>
      <c r="AI8" s="491">
        <f>'PUSK ( RUMUS )'!AQ8+'PUSK ( RUMUS )'!AQ9</f>
        <v>25</v>
      </c>
      <c r="AJ8" s="491">
        <f>'PUSK ( RUMUS )'!AR8+'PUSK ( RUMUS )'!AR9</f>
        <v>76</v>
      </c>
      <c r="AK8" s="491">
        <f>'PUSK ( RUMUS )'!AS8+'PUSK ( RUMUS )'!AS9</f>
        <v>11</v>
      </c>
      <c r="AL8" s="491">
        <f>'PUSK ( RUMUS )'!AT8+'PUSK ( RUMUS )'!AT9</f>
        <v>12</v>
      </c>
      <c r="AM8" s="491">
        <f>'PUSK ( RUMUS )'!AU8+'PUSK ( RUMUS )'!AU9</f>
        <v>93</v>
      </c>
      <c r="AN8" s="491">
        <f>'PUSK ( RUMUS )'!AV8+'PUSK ( RUMUS )'!AV9</f>
        <v>99</v>
      </c>
      <c r="AO8" s="491">
        <f>'PUSK ( RUMUS )'!AY8+'PUSK ( RUMUS )'!AY9</f>
        <v>4</v>
      </c>
      <c r="AP8" s="491">
        <f>'PUSK ( RUMUS )'!AZ8+'PUSK ( RUMUS )'!AZ9</f>
        <v>9</v>
      </c>
      <c r="AQ8" s="491">
        <f>'PUSK ( RUMUS )'!BA8+'PUSK ( RUMUS )'!BA9</f>
        <v>22</v>
      </c>
      <c r="AR8" s="491">
        <f>'PUSK ( RUMUS )'!BB8+'PUSK ( RUMUS )'!BB9</f>
        <v>64</v>
      </c>
      <c r="AS8" s="491">
        <f>'PUSK ( RUMUS )'!BC8+'PUSK ( RUMUS )'!BC9</f>
        <v>1</v>
      </c>
      <c r="AT8" s="491">
        <f>'PUSK ( RUMUS )'!BD8+'PUSK ( RUMUS )'!BD9</f>
        <v>18</v>
      </c>
      <c r="AU8" s="491">
        <f>'PUSK ( RUMUS )'!BE8+'PUSK ( RUMUS )'!BE9</f>
        <v>80</v>
      </c>
      <c r="AV8" s="491">
        <f>'PUSK ( RUMUS )'!BF8+'PUSK ( RUMUS )'!BF9</f>
        <v>2226</v>
      </c>
      <c r="AW8" s="491">
        <f>'PUSK ( RUMUS )'!BG8+'PUSK ( RUMUS )'!BG9</f>
        <v>100</v>
      </c>
      <c r="AX8" s="491">
        <f>'PUSK ( RUMUS )'!BJ8+'PUSK ( RUMUS )'!BJ9</f>
        <v>3</v>
      </c>
      <c r="AY8" s="491">
        <f>'PUSK ( RUMUS )'!BK8+'PUSK ( RUMUS )'!BK9</f>
        <v>6</v>
      </c>
      <c r="AZ8" s="491">
        <f>'PUSK ( RUMUS )'!BL8+'PUSK ( RUMUS )'!BL9</f>
        <v>23</v>
      </c>
      <c r="BA8" s="491">
        <f>'PUSK ( RUMUS )'!BM8+'PUSK ( RUMUS )'!BM9</f>
        <v>58</v>
      </c>
      <c r="BB8" s="491">
        <f>'PUSK ( RUMUS )'!BN8+'PUSK ( RUMUS )'!BN9</f>
        <v>1</v>
      </c>
      <c r="BC8" s="491">
        <f>'PUSK ( RUMUS )'!BO8+'PUSK ( RUMUS )'!BO9</f>
        <v>2</v>
      </c>
      <c r="BD8" s="491">
        <f>'PUSK ( RUMUS )'!BP8+'PUSK ( RUMUS )'!BP9</f>
        <v>6</v>
      </c>
      <c r="BE8" s="491">
        <f>'PUSK ( RUMUS )'!BQ8+'PUSK ( RUMUS )'!BQ9</f>
        <v>1</v>
      </c>
      <c r="BF8" s="491">
        <f>'PUSK ( RUMUS )'!BR8+'PUSK ( RUMUS )'!BR9</f>
        <v>1</v>
      </c>
      <c r="BG8" s="491">
        <f>'PUSK ( RUMUS )'!BS8+'PUSK ( RUMUS )'!BS9</f>
        <v>0</v>
      </c>
      <c r="BH8" s="491">
        <f>'PUSK ( RUMUS )'!BT8+'PUSK ( RUMUS )'!BT9</f>
        <v>1</v>
      </c>
      <c r="BI8" s="491">
        <f>'PUSK ( RUMUS )'!BU8+'PUSK ( RUMUS )'!BU9</f>
        <v>7</v>
      </c>
      <c r="BJ8" s="491">
        <f>'PUSK ( RUMUS )'!BV8+'PUSK ( RUMUS )'!BV9</f>
        <v>0</v>
      </c>
      <c r="BK8" s="491">
        <f>'PUSK ( RUMUS )'!BW8+'PUSK ( RUMUS )'!BW9</f>
        <v>0</v>
      </c>
      <c r="BL8" s="491">
        <f>'PUSK ( RUMUS )'!BX8+'PUSK ( RUMUS )'!BX9</f>
        <v>0</v>
      </c>
      <c r="BM8" s="491">
        <f>'PUSK ( RUMUS )'!BY8+'PUSK ( RUMUS )'!BY9</f>
        <v>0</v>
      </c>
      <c r="BN8" s="491">
        <f>'PUSK ( RUMUS )'!BZ8+'PUSK ( RUMUS )'!BZ9</f>
        <v>2</v>
      </c>
      <c r="BO8" s="491">
        <f>'PUSK ( RUMUS )'!CA8+'PUSK ( RUMUS )'!CA9</f>
        <v>0</v>
      </c>
      <c r="BP8" s="491">
        <f>'PUSK ( RUMUS )'!CB8+'PUSK ( RUMUS )'!CB9</f>
        <v>11</v>
      </c>
      <c r="BQ8" s="491">
        <f>'PUSK ( RUMUS )'!CC8+'PUSK ( RUMUS )'!CC9</f>
        <v>2188</v>
      </c>
      <c r="BR8" s="491">
        <f>'PUSK ( RUMUS )'!CD8+'PUSK ( RUMUS )'!CD9</f>
        <v>77</v>
      </c>
      <c r="BS8" s="491">
        <f>'PUSK ( RUMUS )'!CG8+'PUSK ( RUMUS )'!CG9</f>
        <v>3</v>
      </c>
      <c r="BT8" s="491">
        <f>'PUSK ( RUMUS )'!CH8+'PUSK ( RUMUS )'!CH9</f>
        <v>7</v>
      </c>
      <c r="BU8" s="491">
        <f>'PUSK ( RUMUS )'!CI8+'PUSK ( RUMUS )'!CI9</f>
        <v>16</v>
      </c>
      <c r="BV8" s="491">
        <f>'PUSK ( RUMUS )'!CJ8+'PUSK ( RUMUS )'!CJ9</f>
        <v>48</v>
      </c>
      <c r="BW8" s="491">
        <f>'PUSK ( RUMUS )'!CK8+'PUSK ( RUMUS )'!CK9</f>
        <v>2</v>
      </c>
      <c r="BX8" s="491">
        <f>'PUSK ( RUMUS )'!CL8+'PUSK ( RUMUS )'!CL9</f>
        <v>0</v>
      </c>
      <c r="BY8" s="491">
        <f>'PUSK ( RUMUS )'!CM8+'PUSK ( RUMUS )'!CM9</f>
        <v>1</v>
      </c>
      <c r="BZ8" s="491">
        <f>'PUSK ( RUMUS )'!CN8+'PUSK ( RUMUS )'!CN9</f>
        <v>0</v>
      </c>
      <c r="CA8" s="491">
        <f>'PUSK ( RUMUS )'!CO8+'PUSK ( RUMUS )'!CO9</f>
        <v>0</v>
      </c>
      <c r="CB8" s="491">
        <f>'PUSK ( RUMUS )'!CP8+'PUSK ( RUMUS )'!CP9</f>
        <v>2</v>
      </c>
      <c r="CC8" s="491">
        <f>'PUSK ( RUMUS )'!CQ8+'PUSK ( RUMUS )'!CQ9</f>
        <v>9</v>
      </c>
      <c r="CD8" s="491">
        <f>'PUSK ( RUMUS )'!CR8+'PUSK ( RUMUS )'!CR9</f>
        <v>13</v>
      </c>
      <c r="CE8" s="491">
        <f>'PUSK ( RUMUS )'!CS8+'PUSK ( RUMUS )'!CS9</f>
        <v>0</v>
      </c>
      <c r="CF8" s="491">
        <f>'PUSK ( RUMUS )'!CT8+'PUSK ( RUMUS )'!CT9</f>
        <v>0</v>
      </c>
      <c r="CG8" s="491">
        <f>'PUSK ( RUMUS )'!CU8+'PUSK ( RUMUS )'!CU9</f>
        <v>0</v>
      </c>
      <c r="CH8" s="491">
        <f>'PUSK ( RUMUS )'!CV8+'PUSK ( RUMUS )'!CV9</f>
        <v>0</v>
      </c>
      <c r="CI8" s="491">
        <f>'PUSK ( RUMUS )'!CW8+'PUSK ( RUMUS )'!CW9</f>
        <v>3</v>
      </c>
      <c r="CJ8" s="491">
        <f>'PUSK ( RUMUS )'!CX8+'PUSK ( RUMUS )'!CX9</f>
        <v>0</v>
      </c>
      <c r="CK8" s="491">
        <f>'PUSK ( RUMUS )'!CY8+'PUSK ( RUMUS )'!CY9</f>
        <v>27</v>
      </c>
      <c r="CL8" s="491">
        <f>'PUSK ( RUMUS )'!CZ8+'PUSK ( RUMUS )'!CZ9</f>
        <v>2152</v>
      </c>
      <c r="CM8" s="491">
        <f>'PUSK ( RUMUS )'!DA8+'PUSK ( RUMUS )'!DA9</f>
        <v>814</v>
      </c>
      <c r="CN8" s="491">
        <f>'PUSK ( RUMUS )'!DB8+'PUSK ( RUMUS )'!DB9</f>
        <v>94</v>
      </c>
      <c r="CO8" s="491">
        <f>'PUSK ( RUMUS )'!DE8+'PUSK ( RUMUS )'!DE9</f>
        <v>4</v>
      </c>
      <c r="CP8" s="491">
        <f>'PUSK ( RUMUS )'!DF8+'PUSK ( RUMUS )'!DF9</f>
        <v>5</v>
      </c>
      <c r="CQ8" s="491">
        <f>'PUSK ( RUMUS )'!DG8+'PUSK ( RUMUS )'!DG9</f>
        <v>13</v>
      </c>
      <c r="CR8" s="491">
        <f>'PUSK ( RUMUS )'!DH8+'PUSK ( RUMUS )'!DH9</f>
        <v>46</v>
      </c>
      <c r="CS8" s="491">
        <f>'PUSK ( RUMUS )'!DI8+'PUSK ( RUMUS )'!DI9</f>
        <v>1</v>
      </c>
      <c r="CT8" s="491">
        <f>'PUSK ( RUMUS )'!DJ8+'PUSK ( RUMUS )'!DJ9</f>
        <v>6</v>
      </c>
      <c r="CU8" s="491">
        <f>'PUSK ( RUMUS )'!DK8+'PUSK ( RUMUS )'!DK9</f>
        <v>6</v>
      </c>
      <c r="CV8" s="491">
        <f>'PUSK ( RUMUS )'!DL8+'PUSK ( RUMUS )'!DL9</f>
        <v>13</v>
      </c>
      <c r="CW8" s="491">
        <f>'PUSK ( RUMUS )'!DM8+'PUSK ( RUMUS )'!DM9</f>
        <v>0</v>
      </c>
      <c r="CX8" s="491">
        <f>'PUSK ( RUMUS )'!DN8+'PUSK ( RUMUS )'!DN9</f>
        <v>0</v>
      </c>
      <c r="CY8" s="491">
        <f>'PUSK ( RUMUS )'!DO8+'PUSK ( RUMUS )'!DO9</f>
        <v>4</v>
      </c>
      <c r="CZ8" s="491">
        <f>'PUSK ( RUMUS )'!DP8+'PUSK ( RUMUS )'!DP9</f>
        <v>5</v>
      </c>
      <c r="DA8" s="491">
        <f>'PUSK ( RUMUS )'!DQ8+'PUSK ( RUMUS )'!DQ9</f>
        <v>0</v>
      </c>
      <c r="DB8" s="491">
        <f>'PUSK ( RUMUS )'!DR8+'PUSK ( RUMUS )'!DR9</f>
        <v>0</v>
      </c>
      <c r="DC8" s="491">
        <f>'PUSK ( RUMUS )'!DS8+'PUSK ( RUMUS )'!DS9</f>
        <v>0</v>
      </c>
      <c r="DD8" s="491">
        <f>'PUSK ( RUMUS )'!DT8+'PUSK ( RUMUS )'!DT9</f>
        <v>0</v>
      </c>
      <c r="DE8" s="491">
        <f>'PUSK ( RUMUS )'!DU8+'PUSK ( RUMUS )'!DU9</f>
        <v>1</v>
      </c>
      <c r="DF8" s="491">
        <f>'PUSK ( RUMUS )'!DV8+'PUSK ( RUMUS )'!DV9</f>
        <v>0</v>
      </c>
      <c r="DG8" s="491">
        <f>'PUSK ( RUMUS )'!DW8+'PUSK ( RUMUS )'!DW9</f>
        <v>10</v>
      </c>
      <c r="DH8" s="491">
        <f>'PUSK ( RUMUS )'!DX8+'PUSK ( RUMUS )'!DX9</f>
        <v>1907</v>
      </c>
      <c r="DI8" s="491">
        <f>'PUSK ( RUMUS )'!DY8+'PUSK ( RUMUS )'!DY9</f>
        <v>704</v>
      </c>
      <c r="DJ8" s="491">
        <f>'PUSK ( RUMUS )'!DZ8+'PUSK ( RUMUS )'!DZ9</f>
        <v>1886</v>
      </c>
      <c r="DK8" s="491">
        <f>'PUSK ( RUMUS )'!EA8+'PUSK ( RUMUS )'!EA9</f>
        <v>689</v>
      </c>
      <c r="DL8" s="491">
        <f>'PUSK ( RUMUS )'!EB8+'PUSK ( RUMUS )'!EB9</f>
        <v>92</v>
      </c>
      <c r="DM8" s="491">
        <f>'PUSK ( RUMUS )'!EC8+'PUSK ( RUMUS )'!EC9</f>
        <v>28</v>
      </c>
      <c r="DN8" s="491">
        <f t="shared" ref="DN8:DN24" si="1">DL8-DM8</f>
        <v>64</v>
      </c>
      <c r="DO8" s="491">
        <f>'PUSK ( RUMUS )'!EE8+'PUSK ( RUMUS )'!EE9</f>
        <v>1</v>
      </c>
      <c r="DP8" s="491">
        <f>'PUSK ( RUMUS )'!EF8+'PUSK ( RUMUS )'!EF9</f>
        <v>0</v>
      </c>
      <c r="DQ8" s="491">
        <f>'PUSK ( RUMUS )'!EG8+'PUSK ( RUMUS )'!EG9</f>
        <v>9</v>
      </c>
      <c r="DR8" s="491">
        <f>'PUSK ( RUMUS )'!EH8+'PUSK ( RUMUS )'!EH9</f>
        <v>33</v>
      </c>
      <c r="DS8" s="491">
        <f>'PUSK ( RUMUS )'!EI8+'PUSK ( RUMUS )'!EI9</f>
        <v>2</v>
      </c>
      <c r="DT8" s="491">
        <f>'PUSK ( RUMUS )'!EJ8+'PUSK ( RUMUS )'!EJ9</f>
        <v>1</v>
      </c>
      <c r="DU8" s="491">
        <f>'PUSK ( RUMUS )'!EK8+'PUSK ( RUMUS )'!EK9</f>
        <v>15</v>
      </c>
      <c r="DV8" s="491">
        <f>'PUSK ( RUMUS )'!EL8+'PUSK ( RUMUS )'!EL9</f>
        <v>31</v>
      </c>
      <c r="DW8" s="491">
        <f>'PUSK ( RUMUS )'!EM8+'PUSK ( RUMUS )'!EM9</f>
        <v>4</v>
      </c>
      <c r="DX8" s="491">
        <f>'PUSK ( RUMUS )'!EN8+'PUSK ( RUMUS )'!EN9</f>
        <v>12</v>
      </c>
      <c r="DY8" s="491">
        <f>'PUSK ( RUMUS )'!EO8+'PUSK ( RUMUS )'!EO9</f>
        <v>9</v>
      </c>
      <c r="DZ8" s="491">
        <f>'PUSK ( RUMUS )'!EP8+'PUSK ( RUMUS )'!EP9</f>
        <v>27</v>
      </c>
      <c r="EA8" s="491">
        <f>'PUSK ( RUMUS )'!EQ8+'PUSK ( RUMUS )'!EQ9</f>
        <v>0</v>
      </c>
      <c r="EB8" s="491">
        <f>'PUSK ( RUMUS )'!ER8+'PUSK ( RUMUS )'!ER9</f>
        <v>0</v>
      </c>
      <c r="EC8" s="491">
        <f>'PUSK ( RUMUS )'!ES8+'PUSK ( RUMUS )'!ES9</f>
        <v>0</v>
      </c>
      <c r="ED8" s="491">
        <f>'PUSK ( RUMUS )'!ET8+'PUSK ( RUMUS )'!ET9</f>
        <v>1</v>
      </c>
      <c r="EE8" s="491">
        <f>'PUSK ( RUMUS )'!EU8+'PUSK ( RUMUS )'!EU9</f>
        <v>0</v>
      </c>
      <c r="EF8" s="491">
        <f>'PUSK ( RUMUS )'!EV8+'PUSK ( RUMUS )'!EV9</f>
        <v>0</v>
      </c>
      <c r="EG8" s="491">
        <f>'PUSK ( RUMUS )'!EW8+'PUSK ( RUMUS )'!EW9</f>
        <v>53</v>
      </c>
      <c r="EH8" s="491">
        <f>'PUSK ( RUMUS )'!EX8+'PUSK ( RUMUS )'!EX9</f>
        <v>25</v>
      </c>
      <c r="EI8" s="491">
        <f>'PUSK ( RUMUS )'!EY8+'PUSK ( RUMUS )'!EY9</f>
        <v>1891</v>
      </c>
      <c r="EJ8" s="491">
        <f>'PUSK ( RUMUS )'!EZ8+'PUSK ( RUMUS )'!EZ9</f>
        <v>696</v>
      </c>
      <c r="EK8" s="491">
        <f>'PUSK ( RUMUS )'!FA8+'PUSK ( RUMUS )'!FA9</f>
        <v>1866</v>
      </c>
      <c r="EL8" s="491">
        <f>'PUSK ( RUMUS )'!FB8+'PUSK ( RUMUS )'!FB9</f>
        <v>675</v>
      </c>
      <c r="EM8" s="491">
        <f>'PUSK ( RUMUS )'!FC8+'PUSK ( RUMUS )'!FC9</f>
        <v>69</v>
      </c>
      <c r="EN8" s="491">
        <f>'PUSK ( RUMUS )'!FD8+'PUSK ( RUMUS )'!FD9</f>
        <v>21</v>
      </c>
      <c r="EO8" s="491">
        <f t="shared" ref="EO8:EO24" si="2">EM8-EN8</f>
        <v>48</v>
      </c>
      <c r="EP8" s="491">
        <f>'PUSK ( RUMUS )'!FF8+'PUSK ( RUMUS )'!FF9</f>
        <v>1</v>
      </c>
      <c r="EQ8" s="491">
        <f>'PUSK ( RUMUS )'!FG8+'PUSK ( RUMUS )'!FG9</f>
        <v>0</v>
      </c>
      <c r="ER8" s="491">
        <f>'PUSK ( RUMUS )'!FH8+'PUSK ( RUMUS )'!FH9</f>
        <v>17</v>
      </c>
      <c r="ES8" s="491">
        <f>'PUSK ( RUMUS )'!FI8+'PUSK ( RUMUS )'!FI9</f>
        <v>46</v>
      </c>
      <c r="ET8" s="491">
        <f>'PUSK ( RUMUS )'!FJ8+'PUSK ( RUMUS )'!FJ9</f>
        <v>1</v>
      </c>
      <c r="EU8" s="491">
        <f>'PUSK ( RUMUS )'!FK8+'PUSK ( RUMUS )'!FK9</f>
        <v>0</v>
      </c>
      <c r="EV8" s="491">
        <f>'PUSK ( RUMUS )'!FL8+'PUSK ( RUMUS )'!FL9</f>
        <v>2</v>
      </c>
      <c r="EW8" s="491">
        <f>'PUSK ( RUMUS )'!FM8+'PUSK ( RUMUS )'!FM9</f>
        <v>2</v>
      </c>
      <c r="EX8" s="491">
        <f>'PUSK ( RUMUS )'!FN8+'PUSK ( RUMUS )'!FN9</f>
        <v>1</v>
      </c>
      <c r="EY8" s="491">
        <f>'PUSK ( RUMUS )'!FO8+'PUSK ( RUMUS )'!FO9</f>
        <v>1</v>
      </c>
      <c r="EZ8" s="491">
        <f>'PUSK ( RUMUS )'!FP8+'PUSK ( RUMUS )'!FP9</f>
        <v>3</v>
      </c>
      <c r="FA8" s="491">
        <f>'PUSK ( RUMUS )'!FQ8+'PUSK ( RUMUS )'!FQ9</f>
        <v>21</v>
      </c>
      <c r="FB8" s="491">
        <f>'PUSK ( RUMUS )'!FR8+'PUSK ( RUMUS )'!FR9</f>
        <v>0</v>
      </c>
      <c r="FC8" s="491">
        <f>'PUSK ( RUMUS )'!FS8+'PUSK ( RUMUS )'!FS9</f>
        <v>0</v>
      </c>
      <c r="FD8" s="491">
        <f>'PUSK ( RUMUS )'!FT8+'PUSK ( RUMUS )'!FT9</f>
        <v>0</v>
      </c>
      <c r="FE8" s="491">
        <f>'PUSK ( RUMUS )'!FU8+'PUSK ( RUMUS )'!FU9</f>
        <v>0</v>
      </c>
      <c r="FF8" s="491">
        <f>'PUSK ( RUMUS )'!FV8+'PUSK ( RUMUS )'!FV9</f>
        <v>2</v>
      </c>
      <c r="FG8" s="491">
        <f>'PUSK ( RUMUS )'!FW8+'PUSK ( RUMUS )'!FW9</f>
        <v>0</v>
      </c>
      <c r="FH8" s="491">
        <f>'PUSK ( RUMUS )'!FX8+'PUSK ( RUMUS )'!FX9</f>
        <v>28</v>
      </c>
      <c r="FI8" s="491">
        <f>'PUSK ( RUMUS )'!FY8+'PUSK ( RUMUS )'!FY9</f>
        <v>5</v>
      </c>
      <c r="FJ8" s="491">
        <f>'PUSK ( RUMUS )'!FZ8+'PUSK ( RUMUS )'!FZ9</f>
        <v>1874</v>
      </c>
      <c r="FK8" s="491">
        <f>'PUSK ( RUMUS )'!GA8+'PUSK ( RUMUS )'!GA9</f>
        <v>543</v>
      </c>
      <c r="FL8" s="491">
        <f>'PUSK ( RUMUS )'!GB8+'PUSK ( RUMUS )'!GB9</f>
        <v>1849</v>
      </c>
      <c r="FM8" s="491">
        <f>'PUSK ( RUMUS )'!GC8+'PUSK ( RUMUS )'!GC9</f>
        <v>536</v>
      </c>
      <c r="FN8" s="491"/>
      <c r="FO8" s="491"/>
      <c r="FP8" s="491">
        <f>'PUSK ( RUMUS )'!GG8+'PUSK ( RUMUS )'!GG9</f>
        <v>68</v>
      </c>
      <c r="FQ8" s="491">
        <f>'PUSK ( RUMUS )'!GH8+'PUSK ( RUMUS )'!GH9</f>
        <v>19</v>
      </c>
      <c r="FR8" s="491">
        <f t="shared" ref="FR8:FR24" si="3">FP8-FQ8</f>
        <v>49</v>
      </c>
      <c r="FS8" s="491">
        <f>'PUSK ( RUMUS )'!GJ8+'PUSK ( RUMUS )'!GJ9</f>
        <v>1</v>
      </c>
      <c r="FT8" s="491">
        <f>'PUSK ( RUMUS )'!GK8+'PUSK ( RUMUS )'!GK9</f>
        <v>0</v>
      </c>
      <c r="FU8" s="491">
        <f>'PUSK ( RUMUS )'!GL8+'PUSK ( RUMUS )'!GL9</f>
        <v>14</v>
      </c>
      <c r="FV8" s="491">
        <f>'PUSK ( RUMUS )'!GM8+'PUSK ( RUMUS )'!GM9</f>
        <v>44</v>
      </c>
      <c r="FW8" s="491">
        <f>'PUSK ( RUMUS )'!GN8+'PUSK ( RUMUS )'!GN9</f>
        <v>0</v>
      </c>
      <c r="FX8" s="491">
        <f>'PUSK ( RUMUS )'!GO8+'PUSK ( RUMUS )'!GO9</f>
        <v>1</v>
      </c>
      <c r="FY8" s="491">
        <f>'PUSK ( RUMUS )'!GP8+'PUSK ( RUMUS )'!GP9</f>
        <v>3</v>
      </c>
      <c r="FZ8" s="491">
        <f>'PUSK ( RUMUS )'!GQ8+'PUSK ( RUMUS )'!GQ9</f>
        <v>5</v>
      </c>
      <c r="GA8" s="491">
        <f>'PUSK ( RUMUS )'!GR8+'PUSK ( RUMUS )'!GR9</f>
        <v>0</v>
      </c>
      <c r="GB8" s="491">
        <f>'PUSK ( RUMUS )'!GS8+'PUSK ( RUMUS )'!GS9</f>
        <v>3</v>
      </c>
      <c r="GC8" s="491">
        <f>'PUSK ( RUMUS )'!GT8+'PUSK ( RUMUS )'!GT9</f>
        <v>2</v>
      </c>
      <c r="GD8" s="491">
        <f>'PUSK ( RUMUS )'!GU8+'PUSK ( RUMUS )'!GU9</f>
        <v>12</v>
      </c>
      <c r="GE8" s="491">
        <f>'PUSK ( RUMUS )'!GV8+'PUSK ( RUMUS )'!GV9</f>
        <v>0</v>
      </c>
      <c r="GF8" s="491">
        <f>'PUSK ( RUMUS )'!GW8+'PUSK ( RUMUS )'!GW9</f>
        <v>0</v>
      </c>
      <c r="GG8" s="491">
        <f>'PUSK ( RUMUS )'!GX8+'PUSK ( RUMUS )'!GX9</f>
        <v>0</v>
      </c>
      <c r="GH8" s="491">
        <f>'PUSK ( RUMUS )'!GY8+'PUSK ( RUMUS )'!GY9</f>
        <v>0</v>
      </c>
      <c r="GI8" s="491">
        <f>'PUSK ( RUMUS )'!GZ8+'PUSK ( RUMUS )'!GZ9</f>
        <v>0</v>
      </c>
      <c r="GJ8" s="491">
        <f>'PUSK ( RUMUS )'!HA8+'PUSK ( RUMUS )'!HA9</f>
        <v>0</v>
      </c>
      <c r="GK8" s="491">
        <f>'PUSK ( RUMUS )'!HB8+'PUSK ( RUMUS )'!HB9</f>
        <v>17</v>
      </c>
      <c r="GL8" s="491">
        <f>'PUSK ( RUMUS )'!HC8+'PUSK ( RUMUS )'!HC9</f>
        <v>5</v>
      </c>
      <c r="GM8" s="491">
        <f>'PUSK ( RUMUS )'!HD8+'PUSK ( RUMUS )'!HD9</f>
        <v>1965</v>
      </c>
      <c r="GN8" s="491">
        <f>'PUSK ( RUMUS )'!HE8+'PUSK ( RUMUS )'!HE9</f>
        <v>595</v>
      </c>
      <c r="GO8" s="491">
        <f>'PUSK ( RUMUS )'!HF8+'PUSK ( RUMUS )'!HF9</f>
        <v>1923</v>
      </c>
      <c r="GP8" s="491">
        <f>'PUSK ( RUMUS )'!HG8+'PUSK ( RUMUS )'!HG9</f>
        <v>578</v>
      </c>
      <c r="GQ8" s="491"/>
      <c r="GR8" s="491"/>
      <c r="GS8" s="491">
        <f>'PUSK ( RUMUS )'!HK8+'PUSK ( RUMUS )'!HK9</f>
        <v>73</v>
      </c>
      <c r="GT8" s="491">
        <f>'PUSK ( RUMUS )'!HL8+'PUSK ( RUMUS )'!HL9</f>
        <v>16</v>
      </c>
      <c r="GU8" s="491">
        <f t="shared" ref="GU8:GU24" si="4">GS8-GT8</f>
        <v>57</v>
      </c>
      <c r="GV8" s="491">
        <f>'PUSK ( RUMUS )'!HN8+'PUSK ( RUMUS )'!HN9</f>
        <v>0</v>
      </c>
      <c r="GW8" s="491">
        <f>'PUSK ( RUMUS )'!HO8+'PUSK ( RUMUS )'!HO9</f>
        <v>0</v>
      </c>
      <c r="GX8" s="491">
        <f>'PUSK ( RUMUS )'!HP8+'PUSK ( RUMUS )'!HP9</f>
        <v>12</v>
      </c>
      <c r="GY8" s="491">
        <f>'PUSK ( RUMUS )'!HQ8+'PUSK ( RUMUS )'!HQ9</f>
        <v>50</v>
      </c>
      <c r="GZ8" s="491">
        <f>'PUSK ( RUMUS )'!HR8+'PUSK ( RUMUS )'!HR9</f>
        <v>1</v>
      </c>
      <c r="HA8" s="491">
        <f>'PUSK ( RUMUS )'!HS8+'PUSK ( RUMUS )'!HS9</f>
        <v>0</v>
      </c>
      <c r="HB8" s="491">
        <f>'PUSK ( RUMUS )'!HT8+'PUSK ( RUMUS )'!HT9</f>
        <v>3</v>
      </c>
      <c r="HC8" s="491">
        <f>'PUSK ( RUMUS )'!HU8+'PUSK ( RUMUS )'!HU9</f>
        <v>7</v>
      </c>
      <c r="HD8" s="491">
        <f>'PUSK ( RUMUS )'!HV8+'PUSK ( RUMUS )'!HV9</f>
        <v>0</v>
      </c>
      <c r="HE8" s="491">
        <f>'PUSK ( RUMUS )'!HW8+'PUSK ( RUMUS )'!HW9</f>
        <v>1</v>
      </c>
      <c r="HF8" s="491">
        <f>'PUSK ( RUMUS )'!HX8+'PUSK ( RUMUS )'!HX9</f>
        <v>4</v>
      </c>
      <c r="HG8" s="491">
        <f>'PUSK ( RUMUS )'!HY8+'PUSK ( RUMUS )'!HY9</f>
        <v>3</v>
      </c>
      <c r="HH8" s="491">
        <f>'PUSK ( RUMUS )'!HZ8+'PUSK ( RUMUS )'!HZ9</f>
        <v>0</v>
      </c>
      <c r="HI8" s="491">
        <f>'PUSK ( RUMUS )'!IA8+'PUSK ( RUMUS )'!IA9</f>
        <v>0</v>
      </c>
      <c r="HJ8" s="491">
        <f>'PUSK ( RUMUS )'!IB8+'PUSK ( RUMUS )'!IB9</f>
        <v>0</v>
      </c>
      <c r="HK8" s="491">
        <f>'PUSK ( RUMUS )'!IC8+'PUSK ( RUMUS )'!IC9</f>
        <v>0</v>
      </c>
      <c r="HL8" s="491">
        <f>'PUSK ( RUMUS )'!ID8+'PUSK ( RUMUS )'!ID9</f>
        <v>1</v>
      </c>
      <c r="HM8" s="491">
        <f>'PUSK ( RUMUS )'!IE8+'PUSK ( RUMUS )'!IE9</f>
        <v>0</v>
      </c>
      <c r="HN8" s="491">
        <f>'PUSK ( RUMUS )'!IF8+'PUSK ( RUMUS )'!IF9</f>
        <v>0</v>
      </c>
      <c r="HO8" s="491">
        <f>'PUSK ( RUMUS )'!IG8+'PUSK ( RUMUS )'!IG9</f>
        <v>2</v>
      </c>
      <c r="HR8" s="198">
        <f t="shared" ref="HR8:HR24" si="5">H8</f>
        <v>81</v>
      </c>
      <c r="HS8" s="198">
        <f t="shared" ref="HS8:HS24" si="6">P8</f>
        <v>122</v>
      </c>
      <c r="HT8" s="198">
        <f t="shared" ref="HT8:HT24" si="7">X8</f>
        <v>117</v>
      </c>
      <c r="HU8" s="198">
        <f t="shared" ref="HU8:HU24" si="8">AF8</f>
        <v>116</v>
      </c>
      <c r="HV8" s="198">
        <f t="shared" ref="HV8:HV24" si="9">AN8</f>
        <v>99</v>
      </c>
      <c r="HW8" s="198">
        <f t="shared" ref="HW8:HW24" si="10">AW8</f>
        <v>100</v>
      </c>
      <c r="HX8" s="574">
        <f t="shared" ref="HX8:HX24" si="11">BR8</f>
        <v>77</v>
      </c>
      <c r="HY8" s="574">
        <f t="shared" ref="HY8:HY24" si="12">CN8</f>
        <v>94</v>
      </c>
      <c r="HZ8" s="634">
        <f t="shared" ref="HZ8:HZ24" si="13">DL8</f>
        <v>92</v>
      </c>
      <c r="IA8" s="611">
        <f t="shared" ref="IA8:IA23" si="14">EM8</f>
        <v>69</v>
      </c>
      <c r="IB8" s="611">
        <f t="shared" ref="IB8:IB23" si="15">FP8</f>
        <v>68</v>
      </c>
      <c r="IC8" s="611">
        <f t="shared" ref="IC8:IC23" si="16">GS8</f>
        <v>73</v>
      </c>
    </row>
    <row r="9" ht="14.25" customHeight="1">
      <c r="A9" s="158">
        <v>2.0</v>
      </c>
      <c r="B9" s="633" t="s">
        <v>341</v>
      </c>
      <c r="C9" s="253">
        <v>3374130.0</v>
      </c>
      <c r="D9" s="253"/>
      <c r="E9" s="253"/>
      <c r="F9" s="259">
        <f>'PUSK ( RUMUS )'!F10+'PUSK ( RUMUS )'!F11</f>
        <v>95</v>
      </c>
      <c r="G9" s="259">
        <f>'PUSK ( RUMUS )'!G10+'PUSK ( RUMUS )'!G11</f>
        <v>6879</v>
      </c>
      <c r="H9" s="259">
        <f>'PUSK ( RUMUS )'!H10+'PUSK ( RUMUS )'!H11</f>
        <v>274</v>
      </c>
      <c r="I9" s="491">
        <f>'PUSK ( RUMUS )'!K10+'PUSK ( RUMUS )'!K11</f>
        <v>0</v>
      </c>
      <c r="J9" s="491">
        <f>'PUSK ( RUMUS )'!L10+'PUSK ( RUMUS )'!L11</f>
        <v>5</v>
      </c>
      <c r="K9" s="491">
        <f>'PUSK ( RUMUS )'!M10+'PUSK ( RUMUS )'!M11</f>
        <v>32</v>
      </c>
      <c r="L9" s="491">
        <f>'PUSK ( RUMUS )'!N10+'PUSK ( RUMUS )'!N11</f>
        <v>237</v>
      </c>
      <c r="M9" s="491">
        <f>'PUSK ( RUMUS )'!O10+'PUSK ( RUMUS )'!O11</f>
        <v>10</v>
      </c>
      <c r="N9" s="491">
        <f>'PUSK ( RUMUS )'!P10+'PUSK ( RUMUS )'!P11</f>
        <v>2</v>
      </c>
      <c r="O9" s="491">
        <f>'PUSK ( RUMUS )'!Q10+'PUSK ( RUMUS )'!Q11</f>
        <v>262</v>
      </c>
      <c r="P9" s="491">
        <f>'PUSK ( RUMUS )'!R10+'PUSK ( RUMUS )'!R11</f>
        <v>288</v>
      </c>
      <c r="Q9" s="491">
        <f>'PUSK ( RUMUS )'!U10+'PUSK ( RUMUS )'!U11</f>
        <v>0</v>
      </c>
      <c r="R9" s="491">
        <f>'PUSK ( RUMUS )'!V10+'PUSK ( RUMUS )'!V11</f>
        <v>6</v>
      </c>
      <c r="S9" s="491">
        <f>'PUSK ( RUMUS )'!W10+'PUSK ( RUMUS )'!W11</f>
        <v>35</v>
      </c>
      <c r="T9" s="491">
        <f>'PUSK ( RUMUS )'!X10+'PUSK ( RUMUS )'!X11</f>
        <v>247</v>
      </c>
      <c r="U9" s="491">
        <f>'PUSK ( RUMUS )'!Y10+'PUSK ( RUMUS )'!Y11</f>
        <v>22</v>
      </c>
      <c r="V9" s="491">
        <f>'PUSK ( RUMUS )'!Z10+'PUSK ( RUMUS )'!Z11</f>
        <v>4</v>
      </c>
      <c r="W9" s="491">
        <f>'PUSK ( RUMUS )'!AA10+'PUSK ( RUMUS )'!AA11</f>
        <v>262</v>
      </c>
      <c r="X9" s="491">
        <f>'PUSK ( RUMUS )'!AB10+'PUSK ( RUMUS )'!AB11</f>
        <v>245</v>
      </c>
      <c r="Y9" s="491">
        <f>'PUSK ( RUMUS )'!AE10+'PUSK ( RUMUS )'!AE11</f>
        <v>0</v>
      </c>
      <c r="Z9" s="491">
        <f>'PUSK ( RUMUS )'!AF10+'PUSK ( RUMUS )'!AF11</f>
        <v>2</v>
      </c>
      <c r="AA9" s="491">
        <f>'PUSK ( RUMUS )'!AG10+'PUSK ( RUMUS )'!AG11</f>
        <v>23</v>
      </c>
      <c r="AB9" s="491">
        <f>'PUSK ( RUMUS )'!AH10+'PUSK ( RUMUS )'!AH11</f>
        <v>220</v>
      </c>
      <c r="AC9" s="491">
        <f>'PUSK ( RUMUS )'!AI10+'PUSK ( RUMUS )'!AI11</f>
        <v>2</v>
      </c>
      <c r="AD9" s="491">
        <f>'PUSK ( RUMUS )'!AJ10+'PUSK ( RUMUS )'!AJ11</f>
        <v>46</v>
      </c>
      <c r="AE9" s="491">
        <f>'PUSK ( RUMUS )'!AK10+'PUSK ( RUMUS )'!AK11</f>
        <v>197</v>
      </c>
      <c r="AF9" s="491">
        <f>'PUSK ( RUMUS )'!AL10+'PUSK ( RUMUS )'!AL11</f>
        <v>236</v>
      </c>
      <c r="AG9" s="491">
        <f>'PUSK ( RUMUS )'!AO10+'PUSK ( RUMUS )'!AO11</f>
        <v>0</v>
      </c>
      <c r="AH9" s="491">
        <f>'PUSK ( RUMUS )'!AP10+'PUSK ( RUMUS )'!AP11</f>
        <v>3</v>
      </c>
      <c r="AI9" s="491">
        <f>'PUSK ( RUMUS )'!AQ10+'PUSK ( RUMUS )'!AQ11</f>
        <v>30</v>
      </c>
      <c r="AJ9" s="491">
        <f>'PUSK ( RUMUS )'!AR10+'PUSK ( RUMUS )'!AR11</f>
        <v>202</v>
      </c>
      <c r="AK9" s="491">
        <f>'PUSK ( RUMUS )'!AS10+'PUSK ( RUMUS )'!AS11</f>
        <v>33</v>
      </c>
      <c r="AL9" s="491">
        <f>'PUSK ( RUMUS )'!AT10+'PUSK ( RUMUS )'!AT11</f>
        <v>49</v>
      </c>
      <c r="AM9" s="491">
        <f>'PUSK ( RUMUS )'!AU10+'PUSK ( RUMUS )'!AU11</f>
        <v>153</v>
      </c>
      <c r="AN9" s="491">
        <f>'PUSK ( RUMUS )'!AV10+'PUSK ( RUMUS )'!AV11</f>
        <v>207</v>
      </c>
      <c r="AO9" s="491">
        <f>'PUSK ( RUMUS )'!AY10+'PUSK ( RUMUS )'!AY11</f>
        <v>0</v>
      </c>
      <c r="AP9" s="491">
        <f>'PUSK ( RUMUS )'!AZ10+'PUSK ( RUMUS )'!AZ11</f>
        <v>2</v>
      </c>
      <c r="AQ9" s="491">
        <f>'PUSK ( RUMUS )'!BA10+'PUSK ( RUMUS )'!BA11</f>
        <v>20</v>
      </c>
      <c r="AR9" s="491">
        <f>'PUSK ( RUMUS )'!BB10+'PUSK ( RUMUS )'!BB11</f>
        <v>185</v>
      </c>
      <c r="AS9" s="491">
        <f>'PUSK ( RUMUS )'!BC10+'PUSK ( RUMUS )'!BC11</f>
        <v>0</v>
      </c>
      <c r="AT9" s="491">
        <f>'PUSK ( RUMUS )'!BD10+'PUSK ( RUMUS )'!BD11</f>
        <v>14</v>
      </c>
      <c r="AU9" s="491">
        <f>'PUSK ( RUMUS )'!BE10+'PUSK ( RUMUS )'!BE11</f>
        <v>193</v>
      </c>
      <c r="AV9" s="491">
        <f>'PUSK ( RUMUS )'!BF10+'PUSK ( RUMUS )'!BF11</f>
        <v>6433</v>
      </c>
      <c r="AW9" s="491">
        <f>'PUSK ( RUMUS )'!BG10+'PUSK ( RUMUS )'!BG11</f>
        <v>194</v>
      </c>
      <c r="AX9" s="491">
        <f>'PUSK ( RUMUS )'!BJ10+'PUSK ( RUMUS )'!BJ11</f>
        <v>0</v>
      </c>
      <c r="AY9" s="491">
        <f>'PUSK ( RUMUS )'!BK10+'PUSK ( RUMUS )'!BK11</f>
        <v>1</v>
      </c>
      <c r="AZ9" s="491">
        <f>'PUSK ( RUMUS )'!BL10+'PUSK ( RUMUS )'!BL11</f>
        <v>15</v>
      </c>
      <c r="BA9" s="491">
        <f>'PUSK ( RUMUS )'!BM10+'PUSK ( RUMUS )'!BM11</f>
        <v>175</v>
      </c>
      <c r="BB9" s="491">
        <f>'PUSK ( RUMUS )'!BN10+'PUSK ( RUMUS )'!BN11</f>
        <v>0</v>
      </c>
      <c r="BC9" s="491">
        <f>'PUSK ( RUMUS )'!BO10+'PUSK ( RUMUS )'!BO11</f>
        <v>0</v>
      </c>
      <c r="BD9" s="491">
        <f>'PUSK ( RUMUS )'!BP10+'PUSK ( RUMUS )'!BP11</f>
        <v>0</v>
      </c>
      <c r="BE9" s="491">
        <f>'PUSK ( RUMUS )'!BQ10+'PUSK ( RUMUS )'!BQ11</f>
        <v>3</v>
      </c>
      <c r="BF9" s="491">
        <f>'PUSK ( RUMUS )'!BR10+'PUSK ( RUMUS )'!BR11</f>
        <v>0</v>
      </c>
      <c r="BG9" s="491">
        <f>'PUSK ( RUMUS )'!BS10+'PUSK ( RUMUS )'!BS11</f>
        <v>1</v>
      </c>
      <c r="BH9" s="491">
        <f>'PUSK ( RUMUS )'!BT10+'PUSK ( RUMUS )'!BT11</f>
        <v>1</v>
      </c>
      <c r="BI9" s="491">
        <f>'PUSK ( RUMUS )'!BU10+'PUSK ( RUMUS )'!BU11</f>
        <v>12</v>
      </c>
      <c r="BJ9" s="491">
        <f>'PUSK ( RUMUS )'!BV10+'PUSK ( RUMUS )'!BV11</f>
        <v>0</v>
      </c>
      <c r="BK9" s="491">
        <f>'PUSK ( RUMUS )'!BW10+'PUSK ( RUMUS )'!BW11</f>
        <v>0</v>
      </c>
      <c r="BL9" s="491">
        <f>'PUSK ( RUMUS )'!BX10+'PUSK ( RUMUS )'!BX11</f>
        <v>0</v>
      </c>
      <c r="BM9" s="491">
        <f>'PUSK ( RUMUS )'!BY10+'PUSK ( RUMUS )'!BY11</f>
        <v>0</v>
      </c>
      <c r="BN9" s="491">
        <f>'PUSK ( RUMUS )'!BZ10+'PUSK ( RUMUS )'!BZ11</f>
        <v>1</v>
      </c>
      <c r="BO9" s="491">
        <f>'PUSK ( RUMUS )'!CA10+'PUSK ( RUMUS )'!CA11</f>
        <v>0</v>
      </c>
      <c r="BP9" s="491">
        <f>'PUSK ( RUMUS )'!CB10+'PUSK ( RUMUS )'!CB11</f>
        <v>15</v>
      </c>
      <c r="BQ9" s="491">
        <f>'PUSK ( RUMUS )'!CC10+'PUSK ( RUMUS )'!CC11</f>
        <v>6875</v>
      </c>
      <c r="BR9" s="491">
        <f>'PUSK ( RUMUS )'!CD10+'PUSK ( RUMUS )'!CD11</f>
        <v>206</v>
      </c>
      <c r="BS9" s="491">
        <f>'PUSK ( RUMUS )'!CG10+'PUSK ( RUMUS )'!CG11</f>
        <v>0</v>
      </c>
      <c r="BT9" s="491">
        <f>'PUSK ( RUMUS )'!CH10+'PUSK ( RUMUS )'!CH11</f>
        <v>1</v>
      </c>
      <c r="BU9" s="491">
        <f>'PUSK ( RUMUS )'!CI10+'PUSK ( RUMUS )'!CI11</f>
        <v>11</v>
      </c>
      <c r="BV9" s="491">
        <f>'PUSK ( RUMUS )'!CJ10+'PUSK ( RUMUS )'!CJ11</f>
        <v>173</v>
      </c>
      <c r="BW9" s="491">
        <f>'PUSK ( RUMUS )'!CK10+'PUSK ( RUMUS )'!CK11</f>
        <v>2</v>
      </c>
      <c r="BX9" s="491">
        <f>'PUSK ( RUMUS )'!CL10+'PUSK ( RUMUS )'!CL11</f>
        <v>3</v>
      </c>
      <c r="BY9" s="491">
        <f>'PUSK ( RUMUS )'!CM10+'PUSK ( RUMUS )'!CM11</f>
        <v>5</v>
      </c>
      <c r="BZ9" s="491">
        <f>'PUSK ( RUMUS )'!CN10+'PUSK ( RUMUS )'!CN11</f>
        <v>11</v>
      </c>
      <c r="CA9" s="491">
        <f>'PUSK ( RUMUS )'!CO10+'PUSK ( RUMUS )'!CO11</f>
        <v>0</v>
      </c>
      <c r="CB9" s="491">
        <f>'PUSK ( RUMUS )'!CP10+'PUSK ( RUMUS )'!CP11</f>
        <v>0</v>
      </c>
      <c r="CC9" s="491">
        <f>'PUSK ( RUMUS )'!CQ10+'PUSK ( RUMUS )'!CQ11</f>
        <v>0</v>
      </c>
      <c r="CD9" s="491">
        <f>'PUSK ( RUMUS )'!CR10+'PUSK ( RUMUS )'!CR11</f>
        <v>2</v>
      </c>
      <c r="CE9" s="491">
        <f>'PUSK ( RUMUS )'!CS10+'PUSK ( RUMUS )'!CS11</f>
        <v>0</v>
      </c>
      <c r="CF9" s="491">
        <f>'PUSK ( RUMUS )'!CT10+'PUSK ( RUMUS )'!CT11</f>
        <v>0</v>
      </c>
      <c r="CG9" s="491">
        <f>'PUSK ( RUMUS )'!CU10+'PUSK ( RUMUS )'!CU11</f>
        <v>0</v>
      </c>
      <c r="CH9" s="491">
        <f>'PUSK ( RUMUS )'!CV10+'PUSK ( RUMUS )'!CV11</f>
        <v>0</v>
      </c>
      <c r="CI9" s="491">
        <f>'PUSK ( RUMUS )'!CW10+'PUSK ( RUMUS )'!CW11</f>
        <v>5</v>
      </c>
      <c r="CJ9" s="491">
        <f>'PUSK ( RUMUS )'!CX10+'PUSK ( RUMUS )'!CX11</f>
        <v>0</v>
      </c>
      <c r="CK9" s="491">
        <f>'PUSK ( RUMUS )'!CY10+'PUSK ( RUMUS )'!CY11</f>
        <v>7</v>
      </c>
      <c r="CL9" s="491">
        <f>'PUSK ( RUMUS )'!CZ10+'PUSK ( RUMUS )'!CZ11</f>
        <v>6945</v>
      </c>
      <c r="CM9" s="491">
        <f>'PUSK ( RUMUS )'!DA10+'PUSK ( RUMUS )'!DA11</f>
        <v>2056</v>
      </c>
      <c r="CN9" s="491">
        <f>'PUSK ( RUMUS )'!DB10+'PUSK ( RUMUS )'!DB11</f>
        <v>236</v>
      </c>
      <c r="CO9" s="491">
        <f>'PUSK ( RUMUS )'!DE10+'PUSK ( RUMUS )'!DE11</f>
        <v>2</v>
      </c>
      <c r="CP9" s="491">
        <f>'PUSK ( RUMUS )'!DF10+'PUSK ( RUMUS )'!DF11</f>
        <v>3</v>
      </c>
      <c r="CQ9" s="491">
        <f>'PUSK ( RUMUS )'!DG10+'PUSK ( RUMUS )'!DG11</f>
        <v>16</v>
      </c>
      <c r="CR9" s="491">
        <f>'PUSK ( RUMUS )'!DH10+'PUSK ( RUMUS )'!DH11</f>
        <v>176</v>
      </c>
      <c r="CS9" s="491">
        <f>'PUSK ( RUMUS )'!DI10+'PUSK ( RUMUS )'!DI11</f>
        <v>0</v>
      </c>
      <c r="CT9" s="491">
        <f>'PUSK ( RUMUS )'!DJ10+'PUSK ( RUMUS )'!DJ11</f>
        <v>0</v>
      </c>
      <c r="CU9" s="491">
        <f>'PUSK ( RUMUS )'!DK10+'PUSK ( RUMUS )'!DK11</f>
        <v>6</v>
      </c>
      <c r="CV9" s="491">
        <f>'PUSK ( RUMUS )'!DL10+'PUSK ( RUMUS )'!DL11</f>
        <v>33</v>
      </c>
      <c r="CW9" s="491">
        <f>'PUSK ( RUMUS )'!DM10+'PUSK ( RUMUS )'!DM11</f>
        <v>0</v>
      </c>
      <c r="CX9" s="491">
        <f>'PUSK ( RUMUS )'!DN10+'PUSK ( RUMUS )'!DN11</f>
        <v>0</v>
      </c>
      <c r="CY9" s="491">
        <f>'PUSK ( RUMUS )'!DO10+'PUSK ( RUMUS )'!DO11</f>
        <v>0</v>
      </c>
      <c r="CZ9" s="491">
        <f>'PUSK ( RUMUS )'!DP10+'PUSK ( RUMUS )'!DP11</f>
        <v>1</v>
      </c>
      <c r="DA9" s="491">
        <f>'PUSK ( RUMUS )'!DQ10+'PUSK ( RUMUS )'!DQ11</f>
        <v>0</v>
      </c>
      <c r="DB9" s="491">
        <f>'PUSK ( RUMUS )'!DR10+'PUSK ( RUMUS )'!DR11</f>
        <v>0</v>
      </c>
      <c r="DC9" s="491">
        <f>'PUSK ( RUMUS )'!DS10+'PUSK ( RUMUS )'!DS11</f>
        <v>0</v>
      </c>
      <c r="DD9" s="491">
        <f>'PUSK ( RUMUS )'!DT10+'PUSK ( RUMUS )'!DT11</f>
        <v>3</v>
      </c>
      <c r="DE9" s="491">
        <f>'PUSK ( RUMUS )'!DU10+'PUSK ( RUMUS )'!DU11</f>
        <v>5</v>
      </c>
      <c r="DF9" s="491">
        <f>'PUSK ( RUMUS )'!DV10+'PUSK ( RUMUS )'!DV11</f>
        <v>0</v>
      </c>
      <c r="DG9" s="491">
        <f>'PUSK ( RUMUS )'!DW10+'PUSK ( RUMUS )'!DW11</f>
        <v>9</v>
      </c>
      <c r="DH9" s="491">
        <f>'PUSK ( RUMUS )'!DX10+'PUSK ( RUMUS )'!DX11</f>
        <v>6287</v>
      </c>
      <c r="DI9" s="491">
        <f>'PUSK ( RUMUS )'!DY10+'PUSK ( RUMUS )'!DY11</f>
        <v>1929</v>
      </c>
      <c r="DJ9" s="491">
        <f>'PUSK ( RUMUS )'!DZ10+'PUSK ( RUMUS )'!DZ11</f>
        <v>5983</v>
      </c>
      <c r="DK9" s="491">
        <f>'PUSK ( RUMUS )'!EA10+'PUSK ( RUMUS )'!EA11</f>
        <v>1767</v>
      </c>
      <c r="DL9" s="491">
        <f>'PUSK ( RUMUS )'!EB10+'PUSK ( RUMUS )'!EB11</f>
        <v>223</v>
      </c>
      <c r="DM9" s="491">
        <f>'PUSK ( RUMUS )'!EC10+'PUSK ( RUMUS )'!EC11</f>
        <v>24</v>
      </c>
      <c r="DN9" s="491">
        <f t="shared" si="1"/>
        <v>199</v>
      </c>
      <c r="DO9" s="491">
        <f>'PUSK ( RUMUS )'!EE10+'PUSK ( RUMUS )'!EE11</f>
        <v>1</v>
      </c>
      <c r="DP9" s="491">
        <f>'PUSK ( RUMUS )'!EF10+'PUSK ( RUMUS )'!EF11</f>
        <v>3</v>
      </c>
      <c r="DQ9" s="491">
        <f>'PUSK ( RUMUS )'!EG10+'PUSK ( RUMUS )'!EG11</f>
        <v>15</v>
      </c>
      <c r="DR9" s="491">
        <f>'PUSK ( RUMUS )'!EH10+'PUSK ( RUMUS )'!EH11</f>
        <v>194</v>
      </c>
      <c r="DS9" s="491">
        <f>'PUSK ( RUMUS )'!EI10+'PUSK ( RUMUS )'!EI11</f>
        <v>0</v>
      </c>
      <c r="DT9" s="491">
        <f>'PUSK ( RUMUS )'!EJ10+'PUSK ( RUMUS )'!EJ11</f>
        <v>1</v>
      </c>
      <c r="DU9" s="491">
        <f>'PUSK ( RUMUS )'!EK10+'PUSK ( RUMUS )'!EK11</f>
        <v>4</v>
      </c>
      <c r="DV9" s="491">
        <f>'PUSK ( RUMUS )'!EL10+'PUSK ( RUMUS )'!EL11</f>
        <v>5</v>
      </c>
      <c r="DW9" s="491">
        <f>'PUSK ( RUMUS )'!EM10+'PUSK ( RUMUS )'!EM11</f>
        <v>1</v>
      </c>
      <c r="DX9" s="491">
        <f>'PUSK ( RUMUS )'!EN10+'PUSK ( RUMUS )'!EN11</f>
        <v>1</v>
      </c>
      <c r="DY9" s="491">
        <f>'PUSK ( RUMUS )'!EO10+'PUSK ( RUMUS )'!EO11</f>
        <v>1</v>
      </c>
      <c r="DZ9" s="491">
        <f>'PUSK ( RUMUS )'!EP10+'PUSK ( RUMUS )'!EP11</f>
        <v>5</v>
      </c>
      <c r="EA9" s="491">
        <f>'PUSK ( RUMUS )'!EQ10+'PUSK ( RUMUS )'!EQ11</f>
        <v>0</v>
      </c>
      <c r="EB9" s="491">
        <f>'PUSK ( RUMUS )'!ER10+'PUSK ( RUMUS )'!ER11</f>
        <v>1</v>
      </c>
      <c r="EC9" s="491">
        <f>'PUSK ( RUMUS )'!ES10+'PUSK ( RUMUS )'!ES11</f>
        <v>0</v>
      </c>
      <c r="ED9" s="491">
        <f>'PUSK ( RUMUS )'!ET10+'PUSK ( RUMUS )'!ET11</f>
        <v>6</v>
      </c>
      <c r="EE9" s="491">
        <f>'PUSK ( RUMUS )'!EU10+'PUSK ( RUMUS )'!EU11</f>
        <v>5</v>
      </c>
      <c r="EF9" s="491">
        <f>'PUSK ( RUMUS )'!EV10+'PUSK ( RUMUS )'!EV11</f>
        <v>0</v>
      </c>
      <c r="EG9" s="491">
        <f>'PUSK ( RUMUS )'!EW10+'PUSK ( RUMUS )'!EW11</f>
        <v>20</v>
      </c>
      <c r="EH9" s="491">
        <f>'PUSK ( RUMUS )'!EX10+'PUSK ( RUMUS )'!EX11</f>
        <v>9</v>
      </c>
      <c r="EI9" s="491">
        <f>'PUSK ( RUMUS )'!EY10+'PUSK ( RUMUS )'!EY11</f>
        <v>6225</v>
      </c>
      <c r="EJ9" s="491">
        <f>'PUSK ( RUMUS )'!EZ10+'PUSK ( RUMUS )'!EZ11</f>
        <v>1869</v>
      </c>
      <c r="EK9" s="491">
        <f>'PUSK ( RUMUS )'!FA10+'PUSK ( RUMUS )'!FA11</f>
        <v>5684</v>
      </c>
      <c r="EL9" s="491">
        <f>'PUSK ( RUMUS )'!FB10+'PUSK ( RUMUS )'!FB11</f>
        <v>1715</v>
      </c>
      <c r="EM9" s="491">
        <f>'PUSK ( RUMUS )'!FC10+'PUSK ( RUMUS )'!FC11</f>
        <v>205</v>
      </c>
      <c r="EN9" s="491">
        <f>'PUSK ( RUMUS )'!FD10+'PUSK ( RUMUS )'!FD11</f>
        <v>22</v>
      </c>
      <c r="EO9" s="491">
        <f t="shared" si="2"/>
        <v>183</v>
      </c>
      <c r="EP9" s="491">
        <f>'PUSK ( RUMUS )'!FF10+'PUSK ( RUMUS )'!FF11</f>
        <v>0</v>
      </c>
      <c r="EQ9" s="491">
        <f>'PUSK ( RUMUS )'!FG10+'PUSK ( RUMUS )'!FG11</f>
        <v>1</v>
      </c>
      <c r="ER9" s="491">
        <f>'PUSK ( RUMUS )'!FH10+'PUSK ( RUMUS )'!FH11</f>
        <v>20</v>
      </c>
      <c r="ES9" s="491">
        <f>'PUSK ( RUMUS )'!FI10+'PUSK ( RUMUS )'!FI11</f>
        <v>178</v>
      </c>
      <c r="ET9" s="491">
        <f>'PUSK ( RUMUS )'!FJ10+'PUSK ( RUMUS )'!FJ11</f>
        <v>0</v>
      </c>
      <c r="EU9" s="491">
        <f>'PUSK ( RUMUS )'!FK10+'PUSK ( RUMUS )'!FK11</f>
        <v>0</v>
      </c>
      <c r="EV9" s="491">
        <f>'PUSK ( RUMUS )'!FL10+'PUSK ( RUMUS )'!FL11</f>
        <v>2</v>
      </c>
      <c r="EW9" s="491">
        <f>'PUSK ( RUMUS )'!FM10+'PUSK ( RUMUS )'!FM11</f>
        <v>4</v>
      </c>
      <c r="EX9" s="491">
        <f>'PUSK ( RUMUS )'!FN10+'PUSK ( RUMUS )'!FN11</f>
        <v>1</v>
      </c>
      <c r="EY9" s="491">
        <f>'PUSK ( RUMUS )'!FO10+'PUSK ( RUMUS )'!FO11</f>
        <v>0</v>
      </c>
      <c r="EZ9" s="491">
        <f>'PUSK ( RUMUS )'!FP10+'PUSK ( RUMUS )'!FP11</f>
        <v>0</v>
      </c>
      <c r="FA9" s="491">
        <f>'PUSK ( RUMUS )'!FQ10+'PUSK ( RUMUS )'!FQ11</f>
        <v>16</v>
      </c>
      <c r="FB9" s="491">
        <f>'PUSK ( RUMUS )'!FR10+'PUSK ( RUMUS )'!FR11</f>
        <v>0</v>
      </c>
      <c r="FC9" s="491">
        <f>'PUSK ( RUMUS )'!FS10+'PUSK ( RUMUS )'!FS11</f>
        <v>0</v>
      </c>
      <c r="FD9" s="491">
        <f>'PUSK ( RUMUS )'!FT10+'PUSK ( RUMUS )'!FT11</f>
        <v>0</v>
      </c>
      <c r="FE9" s="491">
        <f>'PUSK ( RUMUS )'!FU10+'PUSK ( RUMUS )'!FU11</f>
        <v>1</v>
      </c>
      <c r="FF9" s="491">
        <f>'PUSK ( RUMUS )'!FV10+'PUSK ( RUMUS )'!FV11</f>
        <v>5</v>
      </c>
      <c r="FG9" s="491">
        <f>'PUSK ( RUMUS )'!FW10+'PUSK ( RUMUS )'!FW11</f>
        <v>0</v>
      </c>
      <c r="FH9" s="491">
        <f>'PUSK ( RUMUS )'!FX10+'PUSK ( RUMUS )'!FX11</f>
        <v>23</v>
      </c>
      <c r="FI9" s="491">
        <f>'PUSK ( RUMUS )'!FY10+'PUSK ( RUMUS )'!FY11</f>
        <v>1</v>
      </c>
      <c r="FJ9" s="491">
        <f>'PUSK ( RUMUS )'!FZ10+'PUSK ( RUMUS )'!FZ11</f>
        <v>6213</v>
      </c>
      <c r="FK9" s="491">
        <f>'PUSK ( RUMUS )'!GA10+'PUSK ( RUMUS )'!GA11</f>
        <v>1904</v>
      </c>
      <c r="FL9" s="491">
        <f>'PUSK ( RUMUS )'!GB10+'PUSK ( RUMUS )'!GB11</f>
        <v>5835</v>
      </c>
      <c r="FM9" s="491">
        <f>'PUSK ( RUMUS )'!GC10+'PUSK ( RUMUS )'!GC11</f>
        <v>1658</v>
      </c>
      <c r="FN9" s="491"/>
      <c r="FO9" s="491"/>
      <c r="FP9" s="491">
        <f>'PUSK ( RUMUS )'!GG10+'PUSK ( RUMUS )'!GG11</f>
        <v>209</v>
      </c>
      <c r="FQ9" s="491">
        <f>'PUSK ( RUMUS )'!GH10+'PUSK ( RUMUS )'!GH11</f>
        <v>24</v>
      </c>
      <c r="FR9" s="491">
        <f t="shared" si="3"/>
        <v>185</v>
      </c>
      <c r="FS9" s="491">
        <f>'PUSK ( RUMUS )'!GJ10+'PUSK ( RUMUS )'!GJ11</f>
        <v>0</v>
      </c>
      <c r="FT9" s="491">
        <f>'PUSK ( RUMUS )'!GK10+'PUSK ( RUMUS )'!GK11</f>
        <v>0</v>
      </c>
      <c r="FU9" s="491">
        <f>'PUSK ( RUMUS )'!GL10+'PUSK ( RUMUS )'!GL11</f>
        <v>16</v>
      </c>
      <c r="FV9" s="491">
        <f>'PUSK ( RUMUS )'!GM10+'PUSK ( RUMUS )'!GM11</f>
        <v>174</v>
      </c>
      <c r="FW9" s="491">
        <f>'PUSK ( RUMUS )'!GN10+'PUSK ( RUMUS )'!GN11</f>
        <v>1</v>
      </c>
      <c r="FX9" s="491">
        <f>'PUSK ( RUMUS )'!GO10+'PUSK ( RUMUS )'!GO11</f>
        <v>4</v>
      </c>
      <c r="FY9" s="491">
        <f>'PUSK ( RUMUS )'!GP10+'PUSK ( RUMUS )'!GP11</f>
        <v>3</v>
      </c>
      <c r="FZ9" s="491">
        <f>'PUSK ( RUMUS )'!GQ10+'PUSK ( RUMUS )'!GQ11</f>
        <v>11</v>
      </c>
      <c r="GA9" s="491">
        <f>'PUSK ( RUMUS )'!GR10+'PUSK ( RUMUS )'!GR11</f>
        <v>0</v>
      </c>
      <c r="GB9" s="491">
        <f>'PUSK ( RUMUS )'!GS10+'PUSK ( RUMUS )'!GS11</f>
        <v>1</v>
      </c>
      <c r="GC9" s="491">
        <f>'PUSK ( RUMUS )'!GT10+'PUSK ( RUMUS )'!GT11</f>
        <v>2</v>
      </c>
      <c r="GD9" s="491">
        <f>'PUSK ( RUMUS )'!GU10+'PUSK ( RUMUS )'!GU11</f>
        <v>7</v>
      </c>
      <c r="GE9" s="491">
        <f>'PUSK ( RUMUS )'!GV10+'PUSK ( RUMUS )'!GV11</f>
        <v>0</v>
      </c>
      <c r="GF9" s="491">
        <f>'PUSK ( RUMUS )'!GW10+'PUSK ( RUMUS )'!GW11</f>
        <v>0</v>
      </c>
      <c r="GG9" s="491">
        <f>'PUSK ( RUMUS )'!GX10+'PUSK ( RUMUS )'!GX11</f>
        <v>0</v>
      </c>
      <c r="GH9" s="491">
        <f>'PUSK ( RUMUS )'!GY10+'PUSK ( RUMUS )'!GY11</f>
        <v>1</v>
      </c>
      <c r="GI9" s="491">
        <f>'PUSK ( RUMUS )'!GZ10+'PUSK ( RUMUS )'!GZ11</f>
        <v>5</v>
      </c>
      <c r="GJ9" s="491">
        <f>'PUSK ( RUMUS )'!HA10+'PUSK ( RUMUS )'!HA11</f>
        <v>0</v>
      </c>
      <c r="GK9" s="491">
        <f>'PUSK ( RUMUS )'!HB10+'PUSK ( RUMUS )'!HB11</f>
        <v>16</v>
      </c>
      <c r="GL9" s="491">
        <f>'PUSK ( RUMUS )'!HC10+'PUSK ( RUMUS )'!HC11</f>
        <v>3</v>
      </c>
      <c r="GM9" s="491">
        <f>'PUSK ( RUMUS )'!HD10+'PUSK ( RUMUS )'!HD11</f>
        <v>6165</v>
      </c>
      <c r="GN9" s="491">
        <f>'PUSK ( RUMUS )'!HE10+'PUSK ( RUMUS )'!HE11</f>
        <v>1888</v>
      </c>
      <c r="GO9" s="491">
        <f>'PUSK ( RUMUS )'!HF10+'PUSK ( RUMUS )'!HF11</f>
        <v>5654</v>
      </c>
      <c r="GP9" s="491">
        <f>'PUSK ( RUMUS )'!HG10+'PUSK ( RUMUS )'!HG11</f>
        <v>1465</v>
      </c>
      <c r="GQ9" s="491"/>
      <c r="GR9" s="491"/>
      <c r="GS9" s="491">
        <f>'PUSK ( RUMUS )'!HK10+'PUSK ( RUMUS )'!HK11</f>
        <v>206</v>
      </c>
      <c r="GT9" s="491">
        <f>'PUSK ( RUMUS )'!HL10+'PUSK ( RUMUS )'!HL11</f>
        <v>29</v>
      </c>
      <c r="GU9" s="491">
        <f t="shared" si="4"/>
        <v>177</v>
      </c>
      <c r="GV9" s="491">
        <f>'PUSK ( RUMUS )'!HN10+'PUSK ( RUMUS )'!HN11</f>
        <v>0</v>
      </c>
      <c r="GW9" s="491">
        <f>'PUSK ( RUMUS )'!HO10+'PUSK ( RUMUS )'!HO11</f>
        <v>2</v>
      </c>
      <c r="GX9" s="491">
        <f>'PUSK ( RUMUS )'!HP10+'PUSK ( RUMUS )'!HP11</f>
        <v>15</v>
      </c>
      <c r="GY9" s="491">
        <f>'PUSK ( RUMUS )'!HQ10+'PUSK ( RUMUS )'!HQ11</f>
        <v>166</v>
      </c>
      <c r="GZ9" s="491">
        <f>'PUSK ( RUMUS )'!HR10+'PUSK ( RUMUS )'!HR11</f>
        <v>0</v>
      </c>
      <c r="HA9" s="491">
        <f>'PUSK ( RUMUS )'!HS10+'PUSK ( RUMUS )'!HS11</f>
        <v>2</v>
      </c>
      <c r="HB9" s="491">
        <f>'PUSK ( RUMUS )'!HT10+'PUSK ( RUMUS )'!HT11</f>
        <v>10</v>
      </c>
      <c r="HC9" s="491">
        <f>'PUSK ( RUMUS )'!HU10+'PUSK ( RUMUS )'!HU11</f>
        <v>11</v>
      </c>
      <c r="HD9" s="491">
        <f>'PUSK ( RUMUS )'!HV10+'PUSK ( RUMUS )'!HV11</f>
        <v>0</v>
      </c>
      <c r="HE9" s="491">
        <f>'PUSK ( RUMUS )'!HW10+'PUSK ( RUMUS )'!HW11</f>
        <v>1</v>
      </c>
      <c r="HF9" s="491">
        <f>'PUSK ( RUMUS )'!HX10+'PUSK ( RUMUS )'!HX11</f>
        <v>2</v>
      </c>
      <c r="HG9" s="491">
        <f>'PUSK ( RUMUS )'!HY10+'PUSK ( RUMUS )'!HY11</f>
        <v>13</v>
      </c>
      <c r="HH9" s="491">
        <f>'PUSK ( RUMUS )'!HZ10+'PUSK ( RUMUS )'!HZ11</f>
        <v>0</v>
      </c>
      <c r="HI9" s="491">
        <f>'PUSK ( RUMUS )'!IA10+'PUSK ( RUMUS )'!IA11</f>
        <v>0</v>
      </c>
      <c r="HJ9" s="491">
        <f>'PUSK ( RUMUS )'!IB10+'PUSK ( RUMUS )'!IB11</f>
        <v>0</v>
      </c>
      <c r="HK9" s="491">
        <f>'PUSK ( RUMUS )'!IC10+'PUSK ( RUMUS )'!IC11</f>
        <v>1</v>
      </c>
      <c r="HL9" s="491">
        <f>'PUSK ( RUMUS )'!ID10+'PUSK ( RUMUS )'!ID11</f>
        <v>5</v>
      </c>
      <c r="HM9" s="491">
        <f>'PUSK ( RUMUS )'!IE10+'PUSK ( RUMUS )'!IE11</f>
        <v>0</v>
      </c>
      <c r="HN9" s="491">
        <f>'PUSK ( RUMUS )'!IF10+'PUSK ( RUMUS )'!IF11</f>
        <v>22</v>
      </c>
      <c r="HO9" s="491">
        <f>'PUSK ( RUMUS )'!IG10+'PUSK ( RUMUS )'!IG11</f>
        <v>3</v>
      </c>
      <c r="HR9" s="198">
        <f t="shared" si="5"/>
        <v>274</v>
      </c>
      <c r="HS9" s="198">
        <f t="shared" si="6"/>
        <v>288</v>
      </c>
      <c r="HT9" s="198">
        <f t="shared" si="7"/>
        <v>245</v>
      </c>
      <c r="HU9" s="198">
        <f t="shared" si="8"/>
        <v>236</v>
      </c>
      <c r="HV9" s="198">
        <f t="shared" si="9"/>
        <v>207</v>
      </c>
      <c r="HW9" s="198">
        <f t="shared" si="10"/>
        <v>194</v>
      </c>
      <c r="HX9" s="574">
        <f t="shared" si="11"/>
        <v>206</v>
      </c>
      <c r="HY9" s="574">
        <f t="shared" si="12"/>
        <v>236</v>
      </c>
      <c r="HZ9" s="634">
        <f t="shared" si="13"/>
        <v>223</v>
      </c>
      <c r="IA9" s="611">
        <f t="shared" si="14"/>
        <v>205</v>
      </c>
      <c r="IB9" s="611">
        <f t="shared" si="15"/>
        <v>209</v>
      </c>
      <c r="IC9" s="611">
        <f t="shared" si="16"/>
        <v>206</v>
      </c>
    </row>
    <row r="10" ht="14.25" customHeight="1">
      <c r="A10" s="158">
        <v>3.0</v>
      </c>
      <c r="B10" s="633" t="s">
        <v>342</v>
      </c>
      <c r="C10" s="253">
        <v>3374130.0</v>
      </c>
      <c r="D10" s="253"/>
      <c r="E10" s="253"/>
      <c r="F10" s="259">
        <f>'PUSK ( RUMUS )'!F12+'PUSK ( RUMUS )'!F13+'PUSK ( RUMUS )'!F14</f>
        <v>79</v>
      </c>
      <c r="G10" s="259">
        <f>'PUSK ( RUMUS )'!G12+'PUSK ( RUMUS )'!G13+'PUSK ( RUMUS )'!G14</f>
        <v>3372</v>
      </c>
      <c r="H10" s="259">
        <f>'PUSK ( RUMUS )'!H12+'PUSK ( RUMUS )'!H13+'PUSK ( RUMUS )'!H14</f>
        <v>112</v>
      </c>
      <c r="I10" s="491">
        <f>'PUSK ( RUMUS )'!K12+'PUSK ( RUMUS )'!K13+'PUSK ( RUMUS )'!K14</f>
        <v>1</v>
      </c>
      <c r="J10" s="491">
        <f>'PUSK ( RUMUS )'!L12+'PUSK ( RUMUS )'!L13+'PUSK ( RUMUS )'!L14</f>
        <v>5</v>
      </c>
      <c r="K10" s="491">
        <f>'PUSK ( RUMUS )'!M12+'PUSK ( RUMUS )'!M13+'PUSK ( RUMUS )'!M14</f>
        <v>22</v>
      </c>
      <c r="L10" s="491">
        <f>'PUSK ( RUMUS )'!N12+'PUSK ( RUMUS )'!N13+'PUSK ( RUMUS )'!N14</f>
        <v>84</v>
      </c>
      <c r="M10" s="491">
        <f>'PUSK ( RUMUS )'!O12+'PUSK ( RUMUS )'!O13+'PUSK ( RUMUS )'!O14</f>
        <v>7</v>
      </c>
      <c r="N10" s="491">
        <f>'PUSK ( RUMUS )'!P12+'PUSK ( RUMUS )'!P13+'PUSK ( RUMUS )'!P14</f>
        <v>0</v>
      </c>
      <c r="O10" s="491">
        <f>'PUSK ( RUMUS )'!Q12+'PUSK ( RUMUS )'!Q13+'PUSK ( RUMUS )'!Q14</f>
        <v>105</v>
      </c>
      <c r="P10" s="491">
        <f>'PUSK ( RUMUS )'!R12+'PUSK ( RUMUS )'!R13+'PUSK ( RUMUS )'!R14</f>
        <v>117</v>
      </c>
      <c r="Q10" s="491">
        <f>'PUSK ( RUMUS )'!U12+'PUSK ( RUMUS )'!U13+'PUSK ( RUMUS )'!U14</f>
        <v>2</v>
      </c>
      <c r="R10" s="491">
        <f>'PUSK ( RUMUS )'!V12+'PUSK ( RUMUS )'!V13+'PUSK ( RUMUS )'!V14</f>
        <v>4</v>
      </c>
      <c r="S10" s="491">
        <f>'PUSK ( RUMUS )'!W12+'PUSK ( RUMUS )'!W13+'PUSK ( RUMUS )'!W14</f>
        <v>21</v>
      </c>
      <c r="T10" s="491">
        <f>'PUSK ( RUMUS )'!X12+'PUSK ( RUMUS )'!X13+'PUSK ( RUMUS )'!X14</f>
        <v>90</v>
      </c>
      <c r="U10" s="491">
        <f>'PUSK ( RUMUS )'!Y12+'PUSK ( RUMUS )'!Y13+'PUSK ( RUMUS )'!Y14</f>
        <v>14</v>
      </c>
      <c r="V10" s="491">
        <f>'PUSK ( RUMUS )'!Z12+'PUSK ( RUMUS )'!Z13+'PUSK ( RUMUS )'!Z14</f>
        <v>1</v>
      </c>
      <c r="W10" s="491">
        <f>'PUSK ( RUMUS )'!AA12+'PUSK ( RUMUS )'!AA13+'PUSK ( RUMUS )'!AA14</f>
        <v>102</v>
      </c>
      <c r="X10" s="491">
        <f>'PUSK ( RUMUS )'!AB12+'PUSK ( RUMUS )'!AB13+'PUSK ( RUMUS )'!AB14</f>
        <v>122</v>
      </c>
      <c r="Y10" s="491">
        <f>'PUSK ( RUMUS )'!AE12+'PUSK ( RUMUS )'!AE13+'PUSK ( RUMUS )'!AE14</f>
        <v>2</v>
      </c>
      <c r="Z10" s="491">
        <f>'PUSK ( RUMUS )'!AF12+'PUSK ( RUMUS )'!AF13+'PUSK ( RUMUS )'!AF14</f>
        <v>8</v>
      </c>
      <c r="AA10" s="491">
        <f>'PUSK ( RUMUS )'!AG12+'PUSK ( RUMUS )'!AG13+'PUSK ( RUMUS )'!AG14</f>
        <v>22</v>
      </c>
      <c r="AB10" s="491">
        <f>'PUSK ( RUMUS )'!AH12+'PUSK ( RUMUS )'!AH13+'PUSK ( RUMUS )'!AH14</f>
        <v>90</v>
      </c>
      <c r="AC10" s="491">
        <f>'PUSK ( RUMUS )'!AI12+'PUSK ( RUMUS )'!AI13+'PUSK ( RUMUS )'!AI14</f>
        <v>11</v>
      </c>
      <c r="AD10" s="491">
        <f>'PUSK ( RUMUS )'!AJ12+'PUSK ( RUMUS )'!AJ13+'PUSK ( RUMUS )'!AJ14</f>
        <v>1</v>
      </c>
      <c r="AE10" s="491">
        <f>'PUSK ( RUMUS )'!AK12+'PUSK ( RUMUS )'!AK13+'PUSK ( RUMUS )'!AK14</f>
        <v>110</v>
      </c>
      <c r="AF10" s="491">
        <f>'PUSK ( RUMUS )'!AL12+'PUSK ( RUMUS )'!AL13+'PUSK ( RUMUS )'!AL14</f>
        <v>113</v>
      </c>
      <c r="AG10" s="491">
        <f>'PUSK ( RUMUS )'!AO12+'PUSK ( RUMUS )'!AO13+'PUSK ( RUMUS )'!AO14</f>
        <v>3</v>
      </c>
      <c r="AH10" s="491">
        <f>'PUSK ( RUMUS )'!AP12+'PUSK ( RUMUS )'!AP13+'PUSK ( RUMUS )'!AP14</f>
        <v>5</v>
      </c>
      <c r="AI10" s="491">
        <f>'PUSK ( RUMUS )'!AQ12+'PUSK ( RUMUS )'!AQ13+'PUSK ( RUMUS )'!AQ14</f>
        <v>21</v>
      </c>
      <c r="AJ10" s="491">
        <f>'PUSK ( RUMUS )'!AR12+'PUSK ( RUMUS )'!AR13+'PUSK ( RUMUS )'!AR14</f>
        <v>84</v>
      </c>
      <c r="AK10" s="491">
        <f>'PUSK ( RUMUS )'!AS12+'PUSK ( RUMUS )'!AS13+'PUSK ( RUMUS )'!AS14</f>
        <v>12</v>
      </c>
      <c r="AL10" s="491">
        <f>'PUSK ( RUMUS )'!AT12+'PUSK ( RUMUS )'!AT13+'PUSK ( RUMUS )'!AT14</f>
        <v>16</v>
      </c>
      <c r="AM10" s="491">
        <f>'PUSK ( RUMUS )'!AU12+'PUSK ( RUMUS )'!AU13+'PUSK ( RUMUS )'!AU14</f>
        <v>85</v>
      </c>
      <c r="AN10" s="491">
        <f>'PUSK ( RUMUS )'!AV12+'PUSK ( RUMUS )'!AV13+'PUSK ( RUMUS )'!AV14</f>
        <v>135</v>
      </c>
      <c r="AO10" s="491">
        <f>'PUSK ( RUMUS )'!AY12+'PUSK ( RUMUS )'!AY13+'PUSK ( RUMUS )'!AY14</f>
        <v>7</v>
      </c>
      <c r="AP10" s="491">
        <f>'PUSK ( RUMUS )'!AZ12+'PUSK ( RUMUS )'!AZ13+'PUSK ( RUMUS )'!AZ14</f>
        <v>12</v>
      </c>
      <c r="AQ10" s="491">
        <f>'PUSK ( RUMUS )'!BA12+'PUSK ( RUMUS )'!BA13+'PUSK ( RUMUS )'!BA14</f>
        <v>32</v>
      </c>
      <c r="AR10" s="491">
        <f>'PUSK ( RUMUS )'!BB12+'PUSK ( RUMUS )'!BB13+'PUSK ( RUMUS )'!BB14</f>
        <v>84</v>
      </c>
      <c r="AS10" s="491">
        <f>'PUSK ( RUMUS )'!BC12+'PUSK ( RUMUS )'!BC13+'PUSK ( RUMUS )'!BC14</f>
        <v>37</v>
      </c>
      <c r="AT10" s="491">
        <f>'PUSK ( RUMUS )'!BD12+'PUSK ( RUMUS )'!BD13+'PUSK ( RUMUS )'!BD14</f>
        <v>18</v>
      </c>
      <c r="AU10" s="491">
        <f>'PUSK ( RUMUS )'!BE12+'PUSK ( RUMUS )'!BE13+'PUSK ( RUMUS )'!BE14</f>
        <v>80</v>
      </c>
      <c r="AV10" s="491">
        <f>'PUSK ( RUMUS )'!BF12+'PUSK ( RUMUS )'!BF13+'PUSK ( RUMUS )'!BF14</f>
        <v>3526</v>
      </c>
      <c r="AW10" s="491">
        <f>'PUSK ( RUMUS )'!BG12+'PUSK ( RUMUS )'!BG13+'PUSK ( RUMUS )'!BG14</f>
        <v>114</v>
      </c>
      <c r="AX10" s="491">
        <f>'PUSK ( RUMUS )'!BJ12+'PUSK ( RUMUS )'!BJ13+'PUSK ( RUMUS )'!BJ14</f>
        <v>3</v>
      </c>
      <c r="AY10" s="491">
        <f>'PUSK ( RUMUS )'!BK12+'PUSK ( RUMUS )'!BK13+'PUSK ( RUMUS )'!BK14</f>
        <v>4</v>
      </c>
      <c r="AZ10" s="491">
        <f>'PUSK ( RUMUS )'!BL12+'PUSK ( RUMUS )'!BL13+'PUSK ( RUMUS )'!BL14</f>
        <v>28</v>
      </c>
      <c r="BA10" s="491">
        <f>'PUSK ( RUMUS )'!BM12+'PUSK ( RUMUS )'!BM13+'PUSK ( RUMUS )'!BM14</f>
        <v>67</v>
      </c>
      <c r="BB10" s="491">
        <f>'PUSK ( RUMUS )'!BN12+'PUSK ( RUMUS )'!BN13+'PUSK ( RUMUS )'!BN14</f>
        <v>1</v>
      </c>
      <c r="BC10" s="491">
        <f>'PUSK ( RUMUS )'!BO12+'PUSK ( RUMUS )'!BO13+'PUSK ( RUMUS )'!BO14</f>
        <v>0</v>
      </c>
      <c r="BD10" s="491">
        <f>'PUSK ( RUMUS )'!BP12+'PUSK ( RUMUS )'!BP13+'PUSK ( RUMUS )'!BP14</f>
        <v>6</v>
      </c>
      <c r="BE10" s="491">
        <f>'PUSK ( RUMUS )'!BQ12+'PUSK ( RUMUS )'!BQ13+'PUSK ( RUMUS )'!BQ14</f>
        <v>5</v>
      </c>
      <c r="BF10" s="491">
        <f>'PUSK ( RUMUS )'!BR12+'PUSK ( RUMUS )'!BR13+'PUSK ( RUMUS )'!BR14</f>
        <v>2</v>
      </c>
      <c r="BG10" s="491">
        <f>'PUSK ( RUMUS )'!BS12+'PUSK ( RUMUS )'!BS13+'PUSK ( RUMUS )'!BS14</f>
        <v>6</v>
      </c>
      <c r="BH10" s="491">
        <f>'PUSK ( RUMUS )'!BT12+'PUSK ( RUMUS )'!BT13+'PUSK ( RUMUS )'!BT14</f>
        <v>3</v>
      </c>
      <c r="BI10" s="491">
        <f>'PUSK ( RUMUS )'!BU12+'PUSK ( RUMUS )'!BU13+'PUSK ( RUMUS )'!BU14</f>
        <v>3</v>
      </c>
      <c r="BJ10" s="491">
        <f>'PUSK ( RUMUS )'!BV12+'PUSK ( RUMUS )'!BV13+'PUSK ( RUMUS )'!BV14</f>
        <v>0</v>
      </c>
      <c r="BK10" s="491">
        <f>'PUSK ( RUMUS )'!BW12+'PUSK ( RUMUS )'!BW13+'PUSK ( RUMUS )'!BW14</f>
        <v>0</v>
      </c>
      <c r="BL10" s="491">
        <f>'PUSK ( RUMUS )'!BX12+'PUSK ( RUMUS )'!BX13+'PUSK ( RUMUS )'!BX14</f>
        <v>0</v>
      </c>
      <c r="BM10" s="491">
        <f>'PUSK ( RUMUS )'!BY12+'PUSK ( RUMUS )'!BY13+'PUSK ( RUMUS )'!BY14</f>
        <v>0</v>
      </c>
      <c r="BN10" s="491">
        <f>'PUSK ( RUMUS )'!BZ12+'PUSK ( RUMUS )'!BZ13+'PUSK ( RUMUS )'!BZ14</f>
        <v>5</v>
      </c>
      <c r="BO10" s="491">
        <f>'PUSK ( RUMUS )'!CA12+'PUSK ( RUMUS )'!CA13+'PUSK ( RUMUS )'!CA14</f>
        <v>0</v>
      </c>
      <c r="BP10" s="491">
        <f>'PUSK ( RUMUS )'!CB12+'PUSK ( RUMUS )'!CB13+'PUSK ( RUMUS )'!CB14</f>
        <v>19</v>
      </c>
      <c r="BQ10" s="491">
        <f>'PUSK ( RUMUS )'!CC12+'PUSK ( RUMUS )'!CC13+'PUSK ( RUMUS )'!CC14</f>
        <v>3593</v>
      </c>
      <c r="BR10" s="491">
        <f>'PUSK ( RUMUS )'!CD12+'PUSK ( RUMUS )'!CD13+'PUSK ( RUMUS )'!CD14</f>
        <v>100</v>
      </c>
      <c r="BS10" s="491">
        <f>'PUSK ( RUMUS )'!CG12+'PUSK ( RUMUS )'!CG13+'PUSK ( RUMUS )'!CG14</f>
        <v>4</v>
      </c>
      <c r="BT10" s="491">
        <f>'PUSK ( RUMUS )'!CH12+'PUSK ( RUMUS )'!CH13+'PUSK ( RUMUS )'!CH14</f>
        <v>3</v>
      </c>
      <c r="BU10" s="491">
        <f>'PUSK ( RUMUS )'!CI12+'PUSK ( RUMUS )'!CI13+'PUSK ( RUMUS )'!CI14</f>
        <v>16</v>
      </c>
      <c r="BV10" s="491">
        <f>'PUSK ( RUMUS )'!CJ12+'PUSK ( RUMUS )'!CJ13+'PUSK ( RUMUS )'!CJ14</f>
        <v>68</v>
      </c>
      <c r="BW10" s="491">
        <f>'PUSK ( RUMUS )'!CK12+'PUSK ( RUMUS )'!CK13+'PUSK ( RUMUS )'!CK14</f>
        <v>1</v>
      </c>
      <c r="BX10" s="491">
        <f>'PUSK ( RUMUS )'!CL12+'PUSK ( RUMUS )'!CL13+'PUSK ( RUMUS )'!CL14</f>
        <v>2</v>
      </c>
      <c r="BY10" s="491">
        <f>'PUSK ( RUMUS )'!CM12+'PUSK ( RUMUS )'!CM13+'PUSK ( RUMUS )'!CM14</f>
        <v>0</v>
      </c>
      <c r="BZ10" s="491">
        <f>'PUSK ( RUMUS )'!CN12+'PUSK ( RUMUS )'!CN13+'PUSK ( RUMUS )'!CN14</f>
        <v>6</v>
      </c>
      <c r="CA10" s="491">
        <f>'PUSK ( RUMUS )'!CO12+'PUSK ( RUMUS )'!CO13+'PUSK ( RUMUS )'!CO14</f>
        <v>0</v>
      </c>
      <c r="CB10" s="491">
        <f>'PUSK ( RUMUS )'!CP12+'PUSK ( RUMUS )'!CP13+'PUSK ( RUMUS )'!CP14</f>
        <v>2</v>
      </c>
      <c r="CC10" s="491">
        <f>'PUSK ( RUMUS )'!CQ12+'PUSK ( RUMUS )'!CQ13+'PUSK ( RUMUS )'!CQ14</f>
        <v>10</v>
      </c>
      <c r="CD10" s="491">
        <f>'PUSK ( RUMUS )'!CR12+'PUSK ( RUMUS )'!CR13+'PUSK ( RUMUS )'!CR14</f>
        <v>10</v>
      </c>
      <c r="CE10" s="491">
        <f>'PUSK ( RUMUS )'!CS12+'PUSK ( RUMUS )'!CS13+'PUSK ( RUMUS )'!CS14</f>
        <v>0</v>
      </c>
      <c r="CF10" s="491">
        <f>'PUSK ( RUMUS )'!CT12+'PUSK ( RUMUS )'!CT13+'PUSK ( RUMUS )'!CT14</f>
        <v>0</v>
      </c>
      <c r="CG10" s="491">
        <f>'PUSK ( RUMUS )'!CU12+'PUSK ( RUMUS )'!CU13+'PUSK ( RUMUS )'!CU14</f>
        <v>0</v>
      </c>
      <c r="CH10" s="491">
        <f>'PUSK ( RUMUS )'!CV12+'PUSK ( RUMUS )'!CV13+'PUSK ( RUMUS )'!CV14</f>
        <v>0</v>
      </c>
      <c r="CI10" s="491">
        <f>'PUSK ( RUMUS )'!CW12+'PUSK ( RUMUS )'!CW13+'PUSK ( RUMUS )'!CW14</f>
        <v>7</v>
      </c>
      <c r="CJ10" s="491">
        <f>'PUSK ( RUMUS )'!CX12+'PUSK ( RUMUS )'!CX13+'PUSK ( RUMUS )'!CX14</f>
        <v>0</v>
      </c>
      <c r="CK10" s="491">
        <f>'PUSK ( RUMUS )'!CY12+'PUSK ( RUMUS )'!CY13+'PUSK ( RUMUS )'!CY14</f>
        <v>29</v>
      </c>
      <c r="CL10" s="491">
        <f>'PUSK ( RUMUS )'!CZ12+'PUSK ( RUMUS )'!CZ13+'PUSK ( RUMUS )'!CZ14</f>
        <v>3457</v>
      </c>
      <c r="CM10" s="491">
        <f>'PUSK ( RUMUS )'!DA12+'PUSK ( RUMUS )'!DA13+'PUSK ( RUMUS )'!DA14</f>
        <v>1085</v>
      </c>
      <c r="CN10" s="491">
        <f>'PUSK ( RUMUS )'!DB12+'PUSK ( RUMUS )'!DB13+'PUSK ( RUMUS )'!DB14</f>
        <v>118</v>
      </c>
      <c r="CO10" s="491">
        <f>'PUSK ( RUMUS )'!DE12+'PUSK ( RUMUS )'!DE13+'PUSK ( RUMUS )'!DE14</f>
        <v>5</v>
      </c>
      <c r="CP10" s="491">
        <f>'PUSK ( RUMUS )'!DF12+'PUSK ( RUMUS )'!DF13+'PUSK ( RUMUS )'!DF14</f>
        <v>2</v>
      </c>
      <c r="CQ10" s="491">
        <f>'PUSK ( RUMUS )'!DG12+'PUSK ( RUMUS )'!DG13+'PUSK ( RUMUS )'!DG14</f>
        <v>20</v>
      </c>
      <c r="CR10" s="491">
        <f>'PUSK ( RUMUS )'!DH12+'PUSK ( RUMUS )'!DH13+'PUSK ( RUMUS )'!DH14</f>
        <v>71</v>
      </c>
      <c r="CS10" s="491">
        <f>'PUSK ( RUMUS )'!DI12+'PUSK ( RUMUS )'!DI13+'PUSK ( RUMUS )'!DI14</f>
        <v>1</v>
      </c>
      <c r="CT10" s="491">
        <f>'PUSK ( RUMUS )'!DJ12+'PUSK ( RUMUS )'!DJ13+'PUSK ( RUMUS )'!DJ14</f>
        <v>3</v>
      </c>
      <c r="CU10" s="491">
        <f>'PUSK ( RUMUS )'!DK12+'PUSK ( RUMUS )'!DK13+'PUSK ( RUMUS )'!DK14</f>
        <v>7</v>
      </c>
      <c r="CV10" s="491">
        <f>'PUSK ( RUMUS )'!DL12+'PUSK ( RUMUS )'!DL13+'PUSK ( RUMUS )'!DL14</f>
        <v>9</v>
      </c>
      <c r="CW10" s="491">
        <f>'PUSK ( RUMUS )'!DM12+'PUSK ( RUMUS )'!DM13+'PUSK ( RUMUS )'!DM14</f>
        <v>0</v>
      </c>
      <c r="CX10" s="491">
        <f>'PUSK ( RUMUS )'!DN12+'PUSK ( RUMUS )'!DN13+'PUSK ( RUMUS )'!DN14</f>
        <v>0</v>
      </c>
      <c r="CY10" s="491">
        <f>'PUSK ( RUMUS )'!DO12+'PUSK ( RUMUS )'!DO13+'PUSK ( RUMUS )'!DO14</f>
        <v>0</v>
      </c>
      <c r="CZ10" s="491">
        <f>'PUSK ( RUMUS )'!DP12+'PUSK ( RUMUS )'!DP13+'PUSK ( RUMUS )'!DP14</f>
        <v>2</v>
      </c>
      <c r="DA10" s="491">
        <f>'PUSK ( RUMUS )'!DQ12+'PUSK ( RUMUS )'!DQ13+'PUSK ( RUMUS )'!DQ14</f>
        <v>0</v>
      </c>
      <c r="DB10" s="491">
        <f>'PUSK ( RUMUS )'!DR12+'PUSK ( RUMUS )'!DR13+'PUSK ( RUMUS )'!DR14</f>
        <v>0</v>
      </c>
      <c r="DC10" s="491">
        <f>'PUSK ( RUMUS )'!DS12+'PUSK ( RUMUS )'!DS13+'PUSK ( RUMUS )'!DS14</f>
        <v>0</v>
      </c>
      <c r="DD10" s="491">
        <f>'PUSK ( RUMUS )'!DT12+'PUSK ( RUMUS )'!DT13+'PUSK ( RUMUS )'!DT14</f>
        <v>1</v>
      </c>
      <c r="DE10" s="491">
        <f>'PUSK ( RUMUS )'!DU12+'PUSK ( RUMUS )'!DU13+'PUSK ( RUMUS )'!DU14</f>
        <v>0</v>
      </c>
      <c r="DF10" s="491">
        <f>'PUSK ( RUMUS )'!DV12+'PUSK ( RUMUS )'!DV13+'PUSK ( RUMUS )'!DV14</f>
        <v>0</v>
      </c>
      <c r="DG10" s="491">
        <f>'PUSK ( RUMUS )'!DW12+'PUSK ( RUMUS )'!DW13+'PUSK ( RUMUS )'!DW14</f>
        <v>3</v>
      </c>
      <c r="DH10" s="491">
        <f>'PUSK ( RUMUS )'!DX12+'PUSK ( RUMUS )'!DX13+'PUSK ( RUMUS )'!DX14</f>
        <v>3054</v>
      </c>
      <c r="DI10" s="491">
        <f>'PUSK ( RUMUS )'!DY12+'PUSK ( RUMUS )'!DY13+'PUSK ( RUMUS )'!DY14</f>
        <v>990</v>
      </c>
      <c r="DJ10" s="491">
        <f>'PUSK ( RUMUS )'!DZ12+'PUSK ( RUMUS )'!DZ13+'PUSK ( RUMUS )'!DZ14</f>
        <v>2942</v>
      </c>
      <c r="DK10" s="491">
        <f>'PUSK ( RUMUS )'!EA12+'PUSK ( RUMUS )'!EA13+'PUSK ( RUMUS )'!EA14</f>
        <v>943</v>
      </c>
      <c r="DL10" s="491">
        <f>'PUSK ( RUMUS )'!EB12+'PUSK ( RUMUS )'!EB13+'PUSK ( RUMUS )'!EB14</f>
        <v>118</v>
      </c>
      <c r="DM10" s="491">
        <f>'PUSK ( RUMUS )'!EC12+'PUSK ( RUMUS )'!EC13+'PUSK ( RUMUS )'!EC14</f>
        <v>35</v>
      </c>
      <c r="DN10" s="491">
        <f t="shared" si="1"/>
        <v>83</v>
      </c>
      <c r="DO10" s="491">
        <f>'PUSK ( RUMUS )'!EE12+'PUSK ( RUMUS )'!EE13+'PUSK ( RUMUS )'!EE14</f>
        <v>4</v>
      </c>
      <c r="DP10" s="491">
        <f>'PUSK ( RUMUS )'!EF12+'PUSK ( RUMUS )'!EF13+'PUSK ( RUMUS )'!EF14</f>
        <v>3</v>
      </c>
      <c r="DQ10" s="491">
        <f>'PUSK ( RUMUS )'!EG12+'PUSK ( RUMUS )'!EG13+'PUSK ( RUMUS )'!EG14</f>
        <v>25</v>
      </c>
      <c r="DR10" s="491">
        <f>'PUSK ( RUMUS )'!EH12+'PUSK ( RUMUS )'!EH13+'PUSK ( RUMUS )'!EH14</f>
        <v>81</v>
      </c>
      <c r="DS10" s="491">
        <f>'PUSK ( RUMUS )'!EI12+'PUSK ( RUMUS )'!EI13+'PUSK ( RUMUS )'!EI14</f>
        <v>1</v>
      </c>
      <c r="DT10" s="491">
        <f>'PUSK ( RUMUS )'!EJ12+'PUSK ( RUMUS )'!EJ13+'PUSK ( RUMUS )'!EJ14</f>
        <v>1</v>
      </c>
      <c r="DU10" s="491">
        <f>'PUSK ( RUMUS )'!EK12+'PUSK ( RUMUS )'!EK13+'PUSK ( RUMUS )'!EK14</f>
        <v>1</v>
      </c>
      <c r="DV10" s="491">
        <f>'PUSK ( RUMUS )'!EL12+'PUSK ( RUMUS )'!EL13+'PUSK ( RUMUS )'!EL14</f>
        <v>2</v>
      </c>
      <c r="DW10" s="491">
        <f>'PUSK ( RUMUS )'!EM12+'PUSK ( RUMUS )'!EM13+'PUSK ( RUMUS )'!EM14</f>
        <v>2</v>
      </c>
      <c r="DX10" s="491">
        <f>'PUSK ( RUMUS )'!EN12+'PUSK ( RUMUS )'!EN13+'PUSK ( RUMUS )'!EN14</f>
        <v>1</v>
      </c>
      <c r="DY10" s="491">
        <f>'PUSK ( RUMUS )'!EO12+'PUSK ( RUMUS )'!EO13+'PUSK ( RUMUS )'!EO14</f>
        <v>3</v>
      </c>
      <c r="DZ10" s="491">
        <f>'PUSK ( RUMUS )'!EP12+'PUSK ( RUMUS )'!EP13+'PUSK ( RUMUS )'!EP14</f>
        <v>1</v>
      </c>
      <c r="EA10" s="491">
        <f>'PUSK ( RUMUS )'!EQ12+'PUSK ( RUMUS )'!EQ13+'PUSK ( RUMUS )'!EQ14</f>
        <v>0</v>
      </c>
      <c r="EB10" s="491">
        <f>'PUSK ( RUMUS )'!ER12+'PUSK ( RUMUS )'!ER13+'PUSK ( RUMUS )'!ER14</f>
        <v>0</v>
      </c>
      <c r="EC10" s="491">
        <f>'PUSK ( RUMUS )'!ES12+'PUSK ( RUMUS )'!ES13+'PUSK ( RUMUS )'!ES14</f>
        <v>1</v>
      </c>
      <c r="ED10" s="491">
        <f>'PUSK ( RUMUS )'!ET12+'PUSK ( RUMUS )'!ET13+'PUSK ( RUMUS )'!ET14</f>
        <v>3</v>
      </c>
      <c r="EE10" s="491">
        <f>'PUSK ( RUMUS )'!EU12+'PUSK ( RUMUS )'!EU13+'PUSK ( RUMUS )'!EU14</f>
        <v>0</v>
      </c>
      <c r="EF10" s="491">
        <f>'PUSK ( RUMUS )'!EV12+'PUSK ( RUMUS )'!EV13+'PUSK ( RUMUS )'!EV14</f>
        <v>0</v>
      </c>
      <c r="EG10" s="491">
        <f>'PUSK ( RUMUS )'!EW12+'PUSK ( RUMUS )'!EW13+'PUSK ( RUMUS )'!EW14</f>
        <v>11</v>
      </c>
      <c r="EH10" s="491">
        <f>'PUSK ( RUMUS )'!EX12+'PUSK ( RUMUS )'!EX13+'PUSK ( RUMUS )'!EX14</f>
        <v>7</v>
      </c>
      <c r="EI10" s="491">
        <f>'PUSK ( RUMUS )'!EY12+'PUSK ( RUMUS )'!EY13+'PUSK ( RUMUS )'!EY14</f>
        <v>2994</v>
      </c>
      <c r="EJ10" s="491">
        <f>'PUSK ( RUMUS )'!EZ12+'PUSK ( RUMUS )'!EZ13+'PUSK ( RUMUS )'!EZ14</f>
        <v>973</v>
      </c>
      <c r="EK10" s="491">
        <f>'PUSK ( RUMUS )'!FA12+'PUSK ( RUMUS )'!FA13+'PUSK ( RUMUS )'!FA14</f>
        <v>2918</v>
      </c>
      <c r="EL10" s="491">
        <f>'PUSK ( RUMUS )'!FB12+'PUSK ( RUMUS )'!FB13+'PUSK ( RUMUS )'!FB14</f>
        <v>955</v>
      </c>
      <c r="EM10" s="491">
        <f>'PUSK ( RUMUS )'!FC12+'PUSK ( RUMUS )'!FC13+'PUSK ( RUMUS )'!FC14</f>
        <v>119</v>
      </c>
      <c r="EN10" s="491">
        <f>'PUSK ( RUMUS )'!FD12+'PUSK ( RUMUS )'!FD13+'PUSK ( RUMUS )'!FD14</f>
        <v>34</v>
      </c>
      <c r="EO10" s="491">
        <f t="shared" si="2"/>
        <v>85</v>
      </c>
      <c r="EP10" s="491">
        <f>'PUSK ( RUMUS )'!FF12+'PUSK ( RUMUS )'!FF13+'PUSK ( RUMUS )'!FF14</f>
        <v>4</v>
      </c>
      <c r="EQ10" s="491">
        <f>'PUSK ( RUMUS )'!FG12+'PUSK ( RUMUS )'!FG13+'PUSK ( RUMUS )'!FG14</f>
        <v>5</v>
      </c>
      <c r="ER10" s="491">
        <f>'PUSK ( RUMUS )'!FH12+'PUSK ( RUMUS )'!FH13+'PUSK ( RUMUS )'!FH14</f>
        <v>21</v>
      </c>
      <c r="ES10" s="491">
        <f>'PUSK ( RUMUS )'!FI12+'PUSK ( RUMUS )'!FI13+'PUSK ( RUMUS )'!FI14</f>
        <v>78</v>
      </c>
      <c r="ET10" s="491">
        <f>'PUSK ( RUMUS )'!FJ12+'PUSK ( RUMUS )'!FJ13+'PUSK ( RUMUS )'!FJ14</f>
        <v>0</v>
      </c>
      <c r="EU10" s="491">
        <f>'PUSK ( RUMUS )'!FK12+'PUSK ( RUMUS )'!FK13+'PUSK ( RUMUS )'!FK14</f>
        <v>0</v>
      </c>
      <c r="EV10" s="491">
        <f>'PUSK ( RUMUS )'!FL12+'PUSK ( RUMUS )'!FL13+'PUSK ( RUMUS )'!FL14</f>
        <v>4</v>
      </c>
      <c r="EW10" s="491">
        <f>'PUSK ( RUMUS )'!FM12+'PUSK ( RUMUS )'!FM13+'PUSK ( RUMUS )'!FM14</f>
        <v>7</v>
      </c>
      <c r="EX10" s="491">
        <f>'PUSK ( RUMUS )'!FN12+'PUSK ( RUMUS )'!FN13+'PUSK ( RUMUS )'!FN14</f>
        <v>0</v>
      </c>
      <c r="EY10" s="491">
        <f>'PUSK ( RUMUS )'!FO12+'PUSK ( RUMUS )'!FO13+'PUSK ( RUMUS )'!FO14</f>
        <v>0</v>
      </c>
      <c r="EZ10" s="491">
        <f>'PUSK ( RUMUS )'!FP12+'PUSK ( RUMUS )'!FP13+'PUSK ( RUMUS )'!FP14</f>
        <v>0</v>
      </c>
      <c r="FA10" s="491">
        <f>'PUSK ( RUMUS )'!FQ12+'PUSK ( RUMUS )'!FQ13+'PUSK ( RUMUS )'!FQ14</f>
        <v>8</v>
      </c>
      <c r="FB10" s="491">
        <f>'PUSK ( RUMUS )'!FR12+'PUSK ( RUMUS )'!FR13+'PUSK ( RUMUS )'!FR14</f>
        <v>0</v>
      </c>
      <c r="FC10" s="491">
        <f>'PUSK ( RUMUS )'!FS12+'PUSK ( RUMUS )'!FS13+'PUSK ( RUMUS )'!FS14</f>
        <v>0</v>
      </c>
      <c r="FD10" s="491">
        <f>'PUSK ( RUMUS )'!FT12+'PUSK ( RUMUS )'!FT13+'PUSK ( RUMUS )'!FT14</f>
        <v>0</v>
      </c>
      <c r="FE10" s="491">
        <f>'PUSK ( RUMUS )'!FU12+'PUSK ( RUMUS )'!FU13+'PUSK ( RUMUS )'!FU14</f>
        <v>1</v>
      </c>
      <c r="FF10" s="491">
        <f>'PUSK ( RUMUS )'!FV12+'PUSK ( RUMUS )'!FV13+'PUSK ( RUMUS )'!FV14</f>
        <v>0</v>
      </c>
      <c r="FG10" s="491">
        <f>'PUSK ( RUMUS )'!FW12+'PUSK ( RUMUS )'!FW13+'PUSK ( RUMUS )'!FW14</f>
        <v>0</v>
      </c>
      <c r="FH10" s="491">
        <f>'PUSK ( RUMUS )'!FX12+'PUSK ( RUMUS )'!FX13+'PUSK ( RUMUS )'!FX14</f>
        <v>9</v>
      </c>
      <c r="FI10" s="491">
        <f>'PUSK ( RUMUS )'!FY12+'PUSK ( RUMUS )'!FY13+'PUSK ( RUMUS )'!FY14</f>
        <v>0</v>
      </c>
      <c r="FJ10" s="491">
        <f>'PUSK ( RUMUS )'!FZ12+'PUSK ( RUMUS )'!FZ13+'PUSK ( RUMUS )'!FZ14</f>
        <v>2996</v>
      </c>
      <c r="FK10" s="491">
        <f>'PUSK ( RUMUS )'!GA12+'PUSK ( RUMUS )'!GA13+'PUSK ( RUMUS )'!GA14</f>
        <v>1011</v>
      </c>
      <c r="FL10" s="491">
        <f>'PUSK ( RUMUS )'!GB12+'PUSK ( RUMUS )'!GB13+'PUSK ( RUMUS )'!GB14</f>
        <v>2816</v>
      </c>
      <c r="FM10" s="491">
        <f>'PUSK ( RUMUS )'!GC12+'PUSK ( RUMUS )'!GC13+'PUSK ( RUMUS )'!GC14</f>
        <v>940</v>
      </c>
      <c r="FN10" s="491"/>
      <c r="FO10" s="491"/>
      <c r="FP10" s="491">
        <f>'PUSK ( RUMUS )'!GG12+'PUSK ( RUMUS )'!GG13+'PUSK ( RUMUS )'!GG14</f>
        <v>109</v>
      </c>
      <c r="FQ10" s="491">
        <f>'PUSK ( RUMUS )'!GH12+'PUSK ( RUMUS )'!GH13+'PUSK ( RUMUS )'!GH14</f>
        <v>31</v>
      </c>
      <c r="FR10" s="491">
        <f t="shared" si="3"/>
        <v>78</v>
      </c>
      <c r="FS10" s="491">
        <f>'PUSK ( RUMUS )'!GJ12+'PUSK ( RUMUS )'!GJ13+'PUSK ( RUMUS )'!GJ14</f>
        <v>1</v>
      </c>
      <c r="FT10" s="491">
        <f>'PUSK ( RUMUS )'!GK12+'PUSK ( RUMUS )'!GK13+'PUSK ( RUMUS )'!GK14</f>
        <v>3</v>
      </c>
      <c r="FU10" s="491">
        <f>'PUSK ( RUMUS )'!GL12+'PUSK ( RUMUS )'!GL13+'PUSK ( RUMUS )'!GL14</f>
        <v>21</v>
      </c>
      <c r="FV10" s="491">
        <f>'PUSK ( RUMUS )'!GM12+'PUSK ( RUMUS )'!GM13+'PUSK ( RUMUS )'!GM14</f>
        <v>75</v>
      </c>
      <c r="FW10" s="491">
        <f>'PUSK ( RUMUS )'!GN12+'PUSK ( RUMUS )'!GN13+'PUSK ( RUMUS )'!GN14</f>
        <v>5</v>
      </c>
      <c r="FX10" s="491">
        <f>'PUSK ( RUMUS )'!GO12+'PUSK ( RUMUS )'!GO13+'PUSK ( RUMUS )'!GO14</f>
        <v>0</v>
      </c>
      <c r="FY10" s="491">
        <f>'PUSK ( RUMUS )'!GP12+'PUSK ( RUMUS )'!GP13+'PUSK ( RUMUS )'!GP14</f>
        <v>1</v>
      </c>
      <c r="FZ10" s="491">
        <f>'PUSK ( RUMUS )'!GQ12+'PUSK ( RUMUS )'!GQ13+'PUSK ( RUMUS )'!GQ14</f>
        <v>3</v>
      </c>
      <c r="GA10" s="491">
        <f>'PUSK ( RUMUS )'!GR12+'PUSK ( RUMUS )'!GR13+'PUSK ( RUMUS )'!GR14</f>
        <v>0</v>
      </c>
      <c r="GB10" s="491">
        <f>'PUSK ( RUMUS )'!GS12+'PUSK ( RUMUS )'!GS13+'PUSK ( RUMUS )'!GS14</f>
        <v>0</v>
      </c>
      <c r="GC10" s="491">
        <f>'PUSK ( RUMUS )'!GT12+'PUSK ( RUMUS )'!GT13+'PUSK ( RUMUS )'!GT14</f>
        <v>1</v>
      </c>
      <c r="GD10" s="491">
        <f>'PUSK ( RUMUS )'!GU12+'PUSK ( RUMUS )'!GU13+'PUSK ( RUMUS )'!GU14</f>
        <v>7</v>
      </c>
      <c r="GE10" s="491">
        <f>'PUSK ( RUMUS )'!GV12+'PUSK ( RUMUS )'!GV13+'PUSK ( RUMUS )'!GV14</f>
        <v>0</v>
      </c>
      <c r="GF10" s="491">
        <f>'PUSK ( RUMUS )'!GW12+'PUSK ( RUMUS )'!GW13+'PUSK ( RUMUS )'!GW14</f>
        <v>1</v>
      </c>
      <c r="GG10" s="491">
        <f>'PUSK ( RUMUS )'!GX12+'PUSK ( RUMUS )'!GX13+'PUSK ( RUMUS )'!GX14</f>
        <v>4</v>
      </c>
      <c r="GH10" s="491">
        <f>'PUSK ( RUMUS )'!GY12+'PUSK ( RUMUS )'!GY13+'PUSK ( RUMUS )'!GY14</f>
        <v>4</v>
      </c>
      <c r="GI10" s="491">
        <f>'PUSK ( RUMUS )'!GZ12+'PUSK ( RUMUS )'!GZ13+'PUSK ( RUMUS )'!GZ14</f>
        <v>1</v>
      </c>
      <c r="GJ10" s="491">
        <f>'PUSK ( RUMUS )'!HA12+'PUSK ( RUMUS )'!HA13+'PUSK ( RUMUS )'!HA14</f>
        <v>0</v>
      </c>
      <c r="GK10" s="491">
        <f>'PUSK ( RUMUS )'!HB12+'PUSK ( RUMUS )'!HB13+'PUSK ( RUMUS )'!HB14</f>
        <v>18</v>
      </c>
      <c r="GL10" s="491">
        <f>'PUSK ( RUMUS )'!HC12+'PUSK ( RUMUS )'!HC13+'PUSK ( RUMUS )'!HC14</f>
        <v>6</v>
      </c>
      <c r="GM10" s="491">
        <f>'PUSK ( RUMUS )'!HD12+'PUSK ( RUMUS )'!HD13+'PUSK ( RUMUS )'!HD14</f>
        <v>2961</v>
      </c>
      <c r="GN10" s="491">
        <f>'PUSK ( RUMUS )'!HE12+'PUSK ( RUMUS )'!HE13+'PUSK ( RUMUS )'!HE14</f>
        <v>982</v>
      </c>
      <c r="GO10" s="491">
        <f>'PUSK ( RUMUS )'!HF12+'PUSK ( RUMUS )'!HF13+'PUSK ( RUMUS )'!HF14</f>
        <v>2793</v>
      </c>
      <c r="GP10" s="491">
        <f>'PUSK ( RUMUS )'!HG12+'PUSK ( RUMUS )'!HG13+'PUSK ( RUMUS )'!HG14</f>
        <v>918</v>
      </c>
      <c r="GQ10" s="491"/>
      <c r="GR10" s="491"/>
      <c r="GS10" s="491">
        <f>'PUSK ( RUMUS )'!HK12+'PUSK ( RUMUS )'!HK13+'PUSK ( RUMUS )'!HK14</f>
        <v>93</v>
      </c>
      <c r="GT10" s="491">
        <f>'PUSK ( RUMUS )'!HL12+'PUSK ( RUMUS )'!HL13+'PUSK ( RUMUS )'!HL14</f>
        <v>25</v>
      </c>
      <c r="GU10" s="491">
        <f t="shared" si="4"/>
        <v>68</v>
      </c>
      <c r="GV10" s="491">
        <f>'PUSK ( RUMUS )'!HN12+'PUSK ( RUMUS )'!HN13+'PUSK ( RUMUS )'!HN14</f>
        <v>2</v>
      </c>
      <c r="GW10" s="491">
        <f>'PUSK ( RUMUS )'!HO12+'PUSK ( RUMUS )'!HO13+'PUSK ( RUMUS )'!HO14</f>
        <v>3</v>
      </c>
      <c r="GX10" s="491">
        <f>'PUSK ( RUMUS )'!HP12+'PUSK ( RUMUS )'!HP13+'PUSK ( RUMUS )'!HP14</f>
        <v>18</v>
      </c>
      <c r="GY10" s="491">
        <f>'PUSK ( RUMUS )'!HQ12+'PUSK ( RUMUS )'!HQ13+'PUSK ( RUMUS )'!HQ14</f>
        <v>66</v>
      </c>
      <c r="GZ10" s="491">
        <f>'PUSK ( RUMUS )'!HR12+'PUSK ( RUMUS )'!HR13+'PUSK ( RUMUS )'!HR14</f>
        <v>1</v>
      </c>
      <c r="HA10" s="491">
        <f>'PUSK ( RUMUS )'!HS12+'PUSK ( RUMUS )'!HS13+'PUSK ( RUMUS )'!HS14</f>
        <v>0</v>
      </c>
      <c r="HB10" s="491">
        <f>'PUSK ( RUMUS )'!HT12+'PUSK ( RUMUS )'!HT13+'PUSK ( RUMUS )'!HT14</f>
        <v>1</v>
      </c>
      <c r="HC10" s="491">
        <f>'PUSK ( RUMUS )'!HU12+'PUSK ( RUMUS )'!HU13+'PUSK ( RUMUS )'!HU14</f>
        <v>2</v>
      </c>
      <c r="HD10" s="491">
        <f>'PUSK ( RUMUS )'!HV12+'PUSK ( RUMUS )'!HV13+'PUSK ( RUMUS )'!HV14</f>
        <v>2</v>
      </c>
      <c r="HE10" s="491">
        <f>'PUSK ( RUMUS )'!HW12+'PUSK ( RUMUS )'!HW13+'PUSK ( RUMUS )'!HW14</f>
        <v>1</v>
      </c>
      <c r="HF10" s="491">
        <f>'PUSK ( RUMUS )'!HX12+'PUSK ( RUMUS )'!HX13+'PUSK ( RUMUS )'!HX14</f>
        <v>3</v>
      </c>
      <c r="HG10" s="491">
        <f>'PUSK ( RUMUS )'!HY12+'PUSK ( RUMUS )'!HY13+'PUSK ( RUMUS )'!HY14</f>
        <v>13</v>
      </c>
      <c r="HH10" s="491">
        <f>'PUSK ( RUMUS )'!HZ12+'PUSK ( RUMUS )'!HZ13+'PUSK ( RUMUS )'!HZ14</f>
        <v>0</v>
      </c>
      <c r="HI10" s="491">
        <f>'PUSK ( RUMUS )'!IA12+'PUSK ( RUMUS )'!IA13+'PUSK ( RUMUS )'!IA14</f>
        <v>0</v>
      </c>
      <c r="HJ10" s="491">
        <f>'PUSK ( RUMUS )'!IB12+'PUSK ( RUMUS )'!IB13+'PUSK ( RUMUS )'!IB14</f>
        <v>0</v>
      </c>
      <c r="HK10" s="491">
        <f>'PUSK ( RUMUS )'!IC12+'PUSK ( RUMUS )'!IC13+'PUSK ( RUMUS )'!IC14</f>
        <v>1</v>
      </c>
      <c r="HL10" s="491">
        <f>'PUSK ( RUMUS )'!ID12+'PUSK ( RUMUS )'!ID13+'PUSK ( RUMUS )'!ID14</f>
        <v>1</v>
      </c>
      <c r="HM10" s="491">
        <f>'PUSK ( RUMUS )'!IE12+'PUSK ( RUMUS )'!IE13+'PUSK ( RUMUS )'!IE14</f>
        <v>0</v>
      </c>
      <c r="HN10" s="491">
        <f>'PUSK ( RUMUS )'!IF12+'PUSK ( RUMUS )'!IF13+'PUSK ( RUMUS )'!IF14</f>
        <v>21</v>
      </c>
      <c r="HO10" s="491">
        <f>'PUSK ( RUMUS )'!IG12+'PUSK ( RUMUS )'!IG13+'PUSK ( RUMUS )'!IG14</f>
        <v>6</v>
      </c>
      <c r="HR10" s="198">
        <f t="shared" si="5"/>
        <v>112</v>
      </c>
      <c r="HS10" s="198">
        <f t="shared" si="6"/>
        <v>117</v>
      </c>
      <c r="HT10" s="198">
        <f t="shared" si="7"/>
        <v>122</v>
      </c>
      <c r="HU10" s="198">
        <f t="shared" si="8"/>
        <v>113</v>
      </c>
      <c r="HV10" s="198">
        <f t="shared" si="9"/>
        <v>135</v>
      </c>
      <c r="HW10" s="198">
        <f t="shared" si="10"/>
        <v>114</v>
      </c>
      <c r="HX10" s="574">
        <f t="shared" si="11"/>
        <v>100</v>
      </c>
      <c r="HY10" s="574">
        <f t="shared" si="12"/>
        <v>118</v>
      </c>
      <c r="HZ10" s="634">
        <f t="shared" si="13"/>
        <v>118</v>
      </c>
      <c r="IA10" s="611">
        <f t="shared" si="14"/>
        <v>119</v>
      </c>
      <c r="IB10" s="611">
        <f t="shared" si="15"/>
        <v>109</v>
      </c>
      <c r="IC10" s="611">
        <f t="shared" si="16"/>
        <v>93</v>
      </c>
    </row>
    <row r="11" ht="14.25" customHeight="1">
      <c r="A11" s="158">
        <v>4.0</v>
      </c>
      <c r="B11" s="633" t="s">
        <v>343</v>
      </c>
      <c r="C11" s="253">
        <v>3374130.0</v>
      </c>
      <c r="D11" s="253"/>
      <c r="E11" s="253"/>
      <c r="F11" s="252">
        <f>'PUSK ( RUMUS )'!F15+'PUSK ( RUMUS )'!F16</f>
        <v>66</v>
      </c>
      <c r="G11" s="252">
        <f>'PUSK ( RUMUS )'!G15+'PUSK ( RUMUS )'!G16</f>
        <v>2639</v>
      </c>
      <c r="H11" s="252">
        <f>'PUSK ( RUMUS )'!H15+'PUSK ( RUMUS )'!H16</f>
        <v>146</v>
      </c>
      <c r="I11" s="248">
        <f>'PUSK ( RUMUS )'!K15+'PUSK ( RUMUS )'!K16</f>
        <v>5</v>
      </c>
      <c r="J11" s="248">
        <f>'PUSK ( RUMUS )'!L15+'PUSK ( RUMUS )'!L16</f>
        <v>8</v>
      </c>
      <c r="K11" s="248">
        <f>'PUSK ( RUMUS )'!M15+'PUSK ( RUMUS )'!M16</f>
        <v>32</v>
      </c>
      <c r="L11" s="248">
        <f>'PUSK ( RUMUS )'!N15+'PUSK ( RUMUS )'!N16</f>
        <v>101</v>
      </c>
      <c r="M11" s="248">
        <f>'PUSK ( RUMUS )'!O15+'PUSK ( RUMUS )'!O16</f>
        <v>19</v>
      </c>
      <c r="N11" s="248">
        <f>'PUSK ( RUMUS )'!P15+'PUSK ( RUMUS )'!P16</f>
        <v>0</v>
      </c>
      <c r="O11" s="248">
        <f>'PUSK ( RUMUS )'!Q15+'PUSK ( RUMUS )'!Q16</f>
        <v>127</v>
      </c>
      <c r="P11" s="248">
        <f>'PUSK ( RUMUS )'!R15+'PUSK ( RUMUS )'!R16</f>
        <v>156</v>
      </c>
      <c r="Q11" s="248">
        <f>'PUSK ( RUMUS )'!U15+'PUSK ( RUMUS )'!U16</f>
        <v>5</v>
      </c>
      <c r="R11" s="248">
        <f>'PUSK ( RUMUS )'!V15+'PUSK ( RUMUS )'!V16</f>
        <v>0</v>
      </c>
      <c r="S11" s="248">
        <f>'PUSK ( RUMUS )'!W15+'PUSK ( RUMUS )'!W16</f>
        <v>41</v>
      </c>
      <c r="T11" s="248">
        <f>'PUSK ( RUMUS )'!X15+'PUSK ( RUMUS )'!X16</f>
        <v>110</v>
      </c>
      <c r="U11" s="248">
        <f>'PUSK ( RUMUS )'!Y15+'PUSK ( RUMUS )'!Y16</f>
        <v>25</v>
      </c>
      <c r="V11" s="248">
        <f>'PUSK ( RUMUS )'!Z15+'PUSK ( RUMUS )'!Z16</f>
        <v>27</v>
      </c>
      <c r="W11" s="248">
        <f>'PUSK ( RUMUS )'!AA15+'PUSK ( RUMUS )'!AA16</f>
        <v>99</v>
      </c>
      <c r="X11" s="248">
        <f>'PUSK ( RUMUS )'!AB15+'PUSK ( RUMUS )'!AB16</f>
        <v>137</v>
      </c>
      <c r="Y11" s="248">
        <f>'PUSK ( RUMUS )'!AE15+'PUSK ( RUMUS )'!AE16</f>
        <v>4</v>
      </c>
      <c r="Z11" s="248">
        <f>'PUSK ( RUMUS )'!AF15+'PUSK ( RUMUS )'!AF16</f>
        <v>2</v>
      </c>
      <c r="AA11" s="248">
        <f>'PUSK ( RUMUS )'!AG15+'PUSK ( RUMUS )'!AG16</f>
        <v>33</v>
      </c>
      <c r="AB11" s="248">
        <f>'PUSK ( RUMUS )'!AH15+'PUSK ( RUMUS )'!AH16</f>
        <v>98</v>
      </c>
      <c r="AC11" s="248">
        <f>'PUSK ( RUMUS )'!AI15+'PUSK ( RUMUS )'!AI16</f>
        <v>7</v>
      </c>
      <c r="AD11" s="248">
        <f>'PUSK ( RUMUS )'!AJ15+'PUSK ( RUMUS )'!AJ16</f>
        <v>39</v>
      </c>
      <c r="AE11" s="248">
        <f>'PUSK ( RUMUS )'!AK15+'PUSK ( RUMUS )'!AK16</f>
        <v>80</v>
      </c>
      <c r="AF11" s="248">
        <f>'PUSK ( RUMUS )'!AL15+'PUSK ( RUMUS )'!AL16</f>
        <v>126</v>
      </c>
      <c r="AG11" s="248">
        <f>'PUSK ( RUMUS )'!AO15+'PUSK ( RUMUS )'!AO16</f>
        <v>3</v>
      </c>
      <c r="AH11" s="248">
        <f>'PUSK ( RUMUS )'!AP15+'PUSK ( RUMUS )'!AP16</f>
        <v>4</v>
      </c>
      <c r="AI11" s="248">
        <f>'PUSK ( RUMUS )'!AQ15+'PUSK ( RUMUS )'!AQ16</f>
        <v>27</v>
      </c>
      <c r="AJ11" s="248">
        <f>'PUSK ( RUMUS )'!AR15+'PUSK ( RUMUS )'!AR16</f>
        <v>92</v>
      </c>
      <c r="AK11" s="248">
        <f>'PUSK ( RUMUS )'!AS15+'PUSK ( RUMUS )'!AS16</f>
        <v>9</v>
      </c>
      <c r="AL11" s="248">
        <f>'PUSK ( RUMUS )'!AT15+'PUSK ( RUMUS )'!AT16</f>
        <v>36</v>
      </c>
      <c r="AM11" s="248">
        <f>'PUSK ( RUMUS )'!AU15+'PUSK ( RUMUS )'!AU16</f>
        <v>81</v>
      </c>
      <c r="AN11" s="248">
        <f>'PUSK ( RUMUS )'!AV15+'PUSK ( RUMUS )'!AV16</f>
        <v>128</v>
      </c>
      <c r="AO11" s="248">
        <f>'PUSK ( RUMUS )'!AY15+'PUSK ( RUMUS )'!AY16</f>
        <v>5</v>
      </c>
      <c r="AP11" s="248">
        <f>'PUSK ( RUMUS )'!AZ15+'PUSK ( RUMUS )'!AZ16</f>
        <v>3</v>
      </c>
      <c r="AQ11" s="248">
        <f>'PUSK ( RUMUS )'!BA15+'PUSK ( RUMUS )'!BA16</f>
        <v>30</v>
      </c>
      <c r="AR11" s="248">
        <f>'PUSK ( RUMUS )'!BB15+'PUSK ( RUMUS )'!BB16</f>
        <v>90</v>
      </c>
      <c r="AS11" s="248">
        <f>'PUSK ( RUMUS )'!BC15+'PUSK ( RUMUS )'!BC16</f>
        <v>10</v>
      </c>
      <c r="AT11" s="248">
        <f>'PUSK ( RUMUS )'!BD15+'PUSK ( RUMUS )'!BD16</f>
        <v>34</v>
      </c>
      <c r="AU11" s="248">
        <f>'PUSK ( RUMUS )'!BE15+'PUSK ( RUMUS )'!BE16</f>
        <v>84</v>
      </c>
      <c r="AV11" s="248">
        <f>'PUSK ( RUMUS )'!BF15+'PUSK ( RUMUS )'!BF16</f>
        <v>2628</v>
      </c>
      <c r="AW11" s="248">
        <f>'PUSK ( RUMUS )'!BG15+'PUSK ( RUMUS )'!BG16</f>
        <v>110</v>
      </c>
      <c r="AX11" s="248">
        <f>'PUSK ( RUMUS )'!BJ15+'PUSK ( RUMUS )'!BJ16</f>
        <v>0</v>
      </c>
      <c r="AY11" s="248">
        <f>'PUSK ( RUMUS )'!BK15+'PUSK ( RUMUS )'!BK16</f>
        <v>2</v>
      </c>
      <c r="AZ11" s="248">
        <f>'PUSK ( RUMUS )'!BL15+'PUSK ( RUMUS )'!BL16</f>
        <v>28</v>
      </c>
      <c r="BA11" s="248">
        <f>'PUSK ( RUMUS )'!BM15+'PUSK ( RUMUS )'!BM16</f>
        <v>79</v>
      </c>
      <c r="BB11" s="248">
        <f>'PUSK ( RUMUS )'!BN15+'PUSK ( RUMUS )'!BN16</f>
        <v>0</v>
      </c>
      <c r="BC11" s="248">
        <f>'PUSK ( RUMUS )'!BO15+'PUSK ( RUMUS )'!BO16</f>
        <v>0</v>
      </c>
      <c r="BD11" s="248">
        <f>'PUSK ( RUMUS )'!BP15+'PUSK ( RUMUS )'!BP16</f>
        <v>1</v>
      </c>
      <c r="BE11" s="248">
        <f>'PUSK ( RUMUS )'!BQ15+'PUSK ( RUMUS )'!BQ16</f>
        <v>0</v>
      </c>
      <c r="BF11" s="248">
        <f>'PUSK ( RUMUS )'!BR15+'PUSK ( RUMUS )'!BR16</f>
        <v>1</v>
      </c>
      <c r="BG11" s="248">
        <f>'PUSK ( RUMUS )'!BS15+'PUSK ( RUMUS )'!BS16</f>
        <v>0</v>
      </c>
      <c r="BH11" s="248">
        <f>'PUSK ( RUMUS )'!BT15+'PUSK ( RUMUS )'!BT16</f>
        <v>2</v>
      </c>
      <c r="BI11" s="248">
        <f>'PUSK ( RUMUS )'!BU15+'PUSK ( RUMUS )'!BU16</f>
        <v>17</v>
      </c>
      <c r="BJ11" s="248">
        <f>'PUSK ( RUMUS )'!BV15+'PUSK ( RUMUS )'!BV16</f>
        <v>0</v>
      </c>
      <c r="BK11" s="248">
        <f>'PUSK ( RUMUS )'!BW15+'PUSK ( RUMUS )'!BW16</f>
        <v>0</v>
      </c>
      <c r="BL11" s="248">
        <f>'PUSK ( RUMUS )'!BX15+'PUSK ( RUMUS )'!BX16</f>
        <v>0</v>
      </c>
      <c r="BM11" s="248">
        <f>'PUSK ( RUMUS )'!BY15+'PUSK ( RUMUS )'!BY16</f>
        <v>0</v>
      </c>
      <c r="BN11" s="248">
        <f>'PUSK ( RUMUS )'!BZ15+'PUSK ( RUMUS )'!BZ16</f>
        <v>1</v>
      </c>
      <c r="BO11" s="248">
        <f>'PUSK ( RUMUS )'!CA15+'PUSK ( RUMUS )'!CA16</f>
        <v>0</v>
      </c>
      <c r="BP11" s="248">
        <f>'PUSK ( RUMUS )'!CB15+'PUSK ( RUMUS )'!CB16</f>
        <v>21</v>
      </c>
      <c r="BQ11" s="248">
        <f>'PUSK ( RUMUS )'!CC15+'PUSK ( RUMUS )'!CC16</f>
        <v>2508</v>
      </c>
      <c r="BR11" s="248">
        <f>'PUSK ( RUMUS )'!CD15+'PUSK ( RUMUS )'!CD16</f>
        <v>98</v>
      </c>
      <c r="BS11" s="248">
        <f>'PUSK ( RUMUS )'!CG15+'PUSK ( RUMUS )'!CG16</f>
        <v>0</v>
      </c>
      <c r="BT11" s="248">
        <f>'PUSK ( RUMUS )'!CH15+'PUSK ( RUMUS )'!CH16</f>
        <v>1</v>
      </c>
      <c r="BU11" s="248">
        <f>'PUSK ( RUMUS )'!CI15+'PUSK ( RUMUS )'!CI16</f>
        <v>20</v>
      </c>
      <c r="BV11" s="248">
        <f>'PUSK ( RUMUS )'!CJ15+'PUSK ( RUMUS )'!CJ16</f>
        <v>76</v>
      </c>
      <c r="BW11" s="248">
        <f>'PUSK ( RUMUS )'!CK15+'PUSK ( RUMUS )'!CK16</f>
        <v>0</v>
      </c>
      <c r="BX11" s="248">
        <f>'PUSK ( RUMUS )'!CL15+'PUSK ( RUMUS )'!CL16</f>
        <v>0</v>
      </c>
      <c r="BY11" s="248">
        <f>'PUSK ( RUMUS )'!CM15+'PUSK ( RUMUS )'!CM16</f>
        <v>0</v>
      </c>
      <c r="BZ11" s="248">
        <f>'PUSK ( RUMUS )'!CN15+'PUSK ( RUMUS )'!CN16</f>
        <v>1</v>
      </c>
      <c r="CA11" s="248">
        <f>'PUSK ( RUMUS )'!CO15+'PUSK ( RUMUS )'!CO16</f>
        <v>0</v>
      </c>
      <c r="CB11" s="248">
        <f>'PUSK ( RUMUS )'!CP15+'PUSK ( RUMUS )'!CP16</f>
        <v>0</v>
      </c>
      <c r="CC11" s="248">
        <f>'PUSK ( RUMUS )'!CQ15+'PUSK ( RUMUS )'!CQ16</f>
        <v>6</v>
      </c>
      <c r="CD11" s="248">
        <f>'PUSK ( RUMUS )'!CR15+'PUSK ( RUMUS )'!CR16</f>
        <v>6</v>
      </c>
      <c r="CE11" s="248">
        <f>'PUSK ( RUMUS )'!CS15+'PUSK ( RUMUS )'!CS16</f>
        <v>0</v>
      </c>
      <c r="CF11" s="248">
        <f>'PUSK ( RUMUS )'!CT15+'PUSK ( RUMUS )'!CT16</f>
        <v>0</v>
      </c>
      <c r="CG11" s="248">
        <f>'PUSK ( RUMUS )'!CU15+'PUSK ( RUMUS )'!CU16</f>
        <v>0</v>
      </c>
      <c r="CH11" s="248">
        <f>'PUSK ( RUMUS )'!CV15+'PUSK ( RUMUS )'!CV16</f>
        <v>0</v>
      </c>
      <c r="CI11" s="248">
        <f>'PUSK ( RUMUS )'!CW15+'PUSK ( RUMUS )'!CW16</f>
        <v>2</v>
      </c>
      <c r="CJ11" s="248">
        <f>'PUSK ( RUMUS )'!CX15+'PUSK ( RUMUS )'!CX16</f>
        <v>0</v>
      </c>
      <c r="CK11" s="248">
        <f>'PUSK ( RUMUS )'!CY15+'PUSK ( RUMUS )'!CY16</f>
        <v>14</v>
      </c>
      <c r="CL11" s="248">
        <f>'PUSK ( RUMUS )'!CZ15+'PUSK ( RUMUS )'!CZ16</f>
        <v>2526</v>
      </c>
      <c r="CM11" s="248">
        <f>'PUSK ( RUMUS )'!DA15+'PUSK ( RUMUS )'!DA16</f>
        <v>925</v>
      </c>
      <c r="CN11" s="248">
        <f>'PUSK ( RUMUS )'!DB15+'PUSK ( RUMUS )'!DB16</f>
        <v>95</v>
      </c>
      <c r="CO11" s="248">
        <f>'PUSK ( RUMUS )'!DE15+'PUSK ( RUMUS )'!DE16</f>
        <v>0</v>
      </c>
      <c r="CP11" s="248">
        <f>'PUSK ( RUMUS )'!DF15+'PUSK ( RUMUS )'!DF16</f>
        <v>0</v>
      </c>
      <c r="CQ11" s="248">
        <f>'PUSK ( RUMUS )'!DG15+'PUSK ( RUMUS )'!DG16</f>
        <v>18</v>
      </c>
      <c r="CR11" s="248">
        <f>'PUSK ( RUMUS )'!DH15+'PUSK ( RUMUS )'!DH16</f>
        <v>68</v>
      </c>
      <c r="CS11" s="248">
        <f>'PUSK ( RUMUS )'!DI15+'PUSK ( RUMUS )'!DI16</f>
        <v>0</v>
      </c>
      <c r="CT11" s="248">
        <f>'PUSK ( RUMUS )'!DJ15+'PUSK ( RUMUS )'!DJ16</f>
        <v>0</v>
      </c>
      <c r="CU11" s="248">
        <f>'PUSK ( RUMUS )'!DK15+'PUSK ( RUMUS )'!DK16</f>
        <v>3</v>
      </c>
      <c r="CV11" s="248">
        <f>'PUSK ( RUMUS )'!DL15+'PUSK ( RUMUS )'!DL16</f>
        <v>6</v>
      </c>
      <c r="CW11" s="248">
        <f>'PUSK ( RUMUS )'!DM15+'PUSK ( RUMUS )'!DM16</f>
        <v>0</v>
      </c>
      <c r="CX11" s="248">
        <f>'PUSK ( RUMUS )'!DN15+'PUSK ( RUMUS )'!DN16</f>
        <v>1</v>
      </c>
      <c r="CY11" s="248">
        <f>'PUSK ( RUMUS )'!DO15+'PUSK ( RUMUS )'!DO16</f>
        <v>6</v>
      </c>
      <c r="CZ11" s="248">
        <f>'PUSK ( RUMUS )'!DP15+'PUSK ( RUMUS )'!DP16</f>
        <v>10</v>
      </c>
      <c r="DA11" s="248">
        <f>'PUSK ( RUMUS )'!DQ15+'PUSK ( RUMUS )'!DQ16</f>
        <v>0</v>
      </c>
      <c r="DB11" s="248">
        <f>'PUSK ( RUMUS )'!DR15+'PUSK ( RUMUS )'!DR16</f>
        <v>0</v>
      </c>
      <c r="DC11" s="248">
        <f>'PUSK ( RUMUS )'!DS15+'PUSK ( RUMUS )'!DS16</f>
        <v>0</v>
      </c>
      <c r="DD11" s="248">
        <f>'PUSK ( RUMUS )'!DT15+'PUSK ( RUMUS )'!DT16</f>
        <v>0</v>
      </c>
      <c r="DE11" s="248">
        <f>'PUSK ( RUMUS )'!DU15+'PUSK ( RUMUS )'!DU16</f>
        <v>0</v>
      </c>
      <c r="DF11" s="248">
        <f>'PUSK ( RUMUS )'!DV15+'PUSK ( RUMUS )'!DV16</f>
        <v>0</v>
      </c>
      <c r="DG11" s="248">
        <f>'PUSK ( RUMUS )'!DW15+'PUSK ( RUMUS )'!DW16</f>
        <v>17</v>
      </c>
      <c r="DH11" s="248">
        <f>'PUSK ( RUMUS )'!DX15+'PUSK ( RUMUS )'!DX16</f>
        <v>2492</v>
      </c>
      <c r="DI11" s="248">
        <f>'PUSK ( RUMUS )'!DY15+'PUSK ( RUMUS )'!DY16</f>
        <v>896</v>
      </c>
      <c r="DJ11" s="248">
        <f>'PUSK ( RUMUS )'!DZ15+'PUSK ( RUMUS )'!DZ16</f>
        <v>2413</v>
      </c>
      <c r="DK11" s="248">
        <f>'PUSK ( RUMUS )'!EA15+'PUSK ( RUMUS )'!EA16</f>
        <v>844</v>
      </c>
      <c r="DL11" s="248">
        <f>'PUSK ( RUMUS )'!EB15+'PUSK ( RUMUS )'!EB16</f>
        <v>93</v>
      </c>
      <c r="DM11" s="248">
        <f>'PUSK ( RUMUS )'!EC15+'PUSK ( RUMUS )'!EC16</f>
        <v>16</v>
      </c>
      <c r="DN11" s="491">
        <f t="shared" si="1"/>
        <v>77</v>
      </c>
      <c r="DO11" s="248">
        <f>'PUSK ( RUMUS )'!EE15+'PUSK ( RUMUS )'!EE16</f>
        <v>0</v>
      </c>
      <c r="DP11" s="248">
        <f>'PUSK ( RUMUS )'!EF15+'PUSK ( RUMUS )'!EF16</f>
        <v>0</v>
      </c>
      <c r="DQ11" s="248">
        <f>'PUSK ( RUMUS )'!EG15+'PUSK ( RUMUS )'!EG16</f>
        <v>14</v>
      </c>
      <c r="DR11" s="248">
        <f>'PUSK ( RUMUS )'!EH15+'PUSK ( RUMUS )'!EH16</f>
        <v>74</v>
      </c>
      <c r="DS11" s="248">
        <f>'PUSK ( RUMUS )'!EI15+'PUSK ( RUMUS )'!EI16</f>
        <v>0</v>
      </c>
      <c r="DT11" s="248">
        <f>'PUSK ( RUMUS )'!EJ15+'PUSK ( RUMUS )'!EJ16</f>
        <v>0</v>
      </c>
      <c r="DU11" s="248">
        <f>'PUSK ( RUMUS )'!EK15+'PUSK ( RUMUS )'!EK16</f>
        <v>2</v>
      </c>
      <c r="DV11" s="248">
        <f>'PUSK ( RUMUS )'!EL15+'PUSK ( RUMUS )'!EL16</f>
        <v>3</v>
      </c>
      <c r="DW11" s="248">
        <f>'PUSK ( RUMUS )'!EM15+'PUSK ( RUMUS )'!EM16</f>
        <v>0</v>
      </c>
      <c r="DX11" s="248">
        <f>'PUSK ( RUMUS )'!EN15+'PUSK ( RUMUS )'!EN16</f>
        <v>0</v>
      </c>
      <c r="DY11" s="248">
        <f>'PUSK ( RUMUS )'!EO15+'PUSK ( RUMUS )'!EO16</f>
        <v>2</v>
      </c>
      <c r="DZ11" s="248">
        <f>'PUSK ( RUMUS )'!EP15+'PUSK ( RUMUS )'!EP16</f>
        <v>2</v>
      </c>
      <c r="EA11" s="248">
        <f>'PUSK ( RUMUS )'!EQ15+'PUSK ( RUMUS )'!EQ16</f>
        <v>0</v>
      </c>
      <c r="EB11" s="248">
        <f>'PUSK ( RUMUS )'!ER15+'PUSK ( RUMUS )'!ER16</f>
        <v>0</v>
      </c>
      <c r="EC11" s="248">
        <f>'PUSK ( RUMUS )'!ES15+'PUSK ( RUMUS )'!ES16</f>
        <v>1</v>
      </c>
      <c r="ED11" s="248">
        <f>'PUSK ( RUMUS )'!ET15+'PUSK ( RUMUS )'!ET16</f>
        <v>1</v>
      </c>
      <c r="EE11" s="248">
        <f>'PUSK ( RUMUS )'!EU15+'PUSK ( RUMUS )'!EU16</f>
        <v>0</v>
      </c>
      <c r="EF11" s="248">
        <f>'PUSK ( RUMUS )'!EV15+'PUSK ( RUMUS )'!EV16</f>
        <v>0</v>
      </c>
      <c r="EG11" s="248">
        <f>'PUSK ( RUMUS )'!EW15+'PUSK ( RUMUS )'!EW16</f>
        <v>6</v>
      </c>
      <c r="EH11" s="248">
        <f>'PUSK ( RUMUS )'!EX15+'PUSK ( RUMUS )'!EX16</f>
        <v>3</v>
      </c>
      <c r="EI11" s="248">
        <f>'PUSK ( RUMUS )'!EY15+'PUSK ( RUMUS )'!EY16</f>
        <v>2505</v>
      </c>
      <c r="EJ11" s="248">
        <f>'PUSK ( RUMUS )'!EZ15+'PUSK ( RUMUS )'!EZ16</f>
        <v>826</v>
      </c>
      <c r="EK11" s="248">
        <f>'PUSK ( RUMUS )'!FA15+'PUSK ( RUMUS )'!FA16</f>
        <v>2504</v>
      </c>
      <c r="EL11" s="248">
        <f>'PUSK ( RUMUS )'!FB15+'PUSK ( RUMUS )'!FB16</f>
        <v>826</v>
      </c>
      <c r="EM11" s="248">
        <f>'PUSK ( RUMUS )'!FC15+'PUSK ( RUMUS )'!FC16</f>
        <v>89</v>
      </c>
      <c r="EN11" s="248">
        <f>'PUSK ( RUMUS )'!FD15+'PUSK ( RUMUS )'!FD16</f>
        <v>17</v>
      </c>
      <c r="EO11" s="491">
        <f t="shared" si="2"/>
        <v>72</v>
      </c>
      <c r="EP11" s="248">
        <f>'PUSK ( RUMUS )'!FF15+'PUSK ( RUMUS )'!FF16</f>
        <v>0</v>
      </c>
      <c r="EQ11" s="248">
        <f>'PUSK ( RUMUS )'!FG15+'PUSK ( RUMUS )'!FG16</f>
        <v>0</v>
      </c>
      <c r="ER11" s="248">
        <f>'PUSK ( RUMUS )'!FH15+'PUSK ( RUMUS )'!FH16</f>
        <v>13</v>
      </c>
      <c r="ES11" s="248">
        <f>'PUSK ( RUMUS )'!FI15+'PUSK ( RUMUS )'!FI16</f>
        <v>72</v>
      </c>
      <c r="ET11" s="248">
        <f>'PUSK ( RUMUS )'!FJ15+'PUSK ( RUMUS )'!FJ16</f>
        <v>2</v>
      </c>
      <c r="EU11" s="248">
        <f>'PUSK ( RUMUS )'!FK15+'PUSK ( RUMUS )'!FK16</f>
        <v>0</v>
      </c>
      <c r="EV11" s="248">
        <f>'PUSK ( RUMUS )'!FL15+'PUSK ( RUMUS )'!FL16</f>
        <v>2</v>
      </c>
      <c r="EW11" s="248">
        <f>'PUSK ( RUMUS )'!FM15+'PUSK ( RUMUS )'!FM16</f>
        <v>0</v>
      </c>
      <c r="EX11" s="248">
        <f>'PUSK ( RUMUS )'!FN15+'PUSK ( RUMUS )'!FN16</f>
        <v>0</v>
      </c>
      <c r="EY11" s="248">
        <f>'PUSK ( RUMUS )'!FO15+'PUSK ( RUMUS )'!FO16</f>
        <v>0</v>
      </c>
      <c r="EZ11" s="248">
        <f>'PUSK ( RUMUS )'!FP15+'PUSK ( RUMUS )'!FP16</f>
        <v>2</v>
      </c>
      <c r="FA11" s="248">
        <f>'PUSK ( RUMUS )'!FQ15+'PUSK ( RUMUS )'!FQ16</f>
        <v>6</v>
      </c>
      <c r="FB11" s="248">
        <f>'PUSK ( RUMUS )'!FR15+'PUSK ( RUMUS )'!FR16</f>
        <v>0</v>
      </c>
      <c r="FC11" s="248">
        <f>'PUSK ( RUMUS )'!FS15+'PUSK ( RUMUS )'!FS16</f>
        <v>0</v>
      </c>
      <c r="FD11" s="248">
        <f>'PUSK ( RUMUS )'!FT15+'PUSK ( RUMUS )'!FT16</f>
        <v>0</v>
      </c>
      <c r="FE11" s="248">
        <f>'PUSK ( RUMUS )'!FU15+'PUSK ( RUMUS )'!FU16</f>
        <v>0</v>
      </c>
      <c r="FF11" s="248">
        <f>'PUSK ( RUMUS )'!FV15+'PUSK ( RUMUS )'!FV16</f>
        <v>0</v>
      </c>
      <c r="FG11" s="248">
        <f>'PUSK ( RUMUS )'!FW15+'PUSK ( RUMUS )'!FW16</f>
        <v>0</v>
      </c>
      <c r="FH11" s="248">
        <f>'PUSK ( RUMUS )'!FX15+'PUSK ( RUMUS )'!FX16</f>
        <v>8</v>
      </c>
      <c r="FI11" s="248">
        <f>'PUSK ( RUMUS )'!FY15+'PUSK ( RUMUS )'!FY16</f>
        <v>2</v>
      </c>
      <c r="FJ11" s="248">
        <f>'PUSK ( RUMUS )'!FZ15+'PUSK ( RUMUS )'!FZ16</f>
        <v>2458</v>
      </c>
      <c r="FK11" s="248">
        <f>'PUSK ( RUMUS )'!GA15+'PUSK ( RUMUS )'!GA16</f>
        <v>592</v>
      </c>
      <c r="FL11" s="248">
        <f>'PUSK ( RUMUS )'!GB15+'PUSK ( RUMUS )'!GB16</f>
        <v>2438</v>
      </c>
      <c r="FM11" s="248">
        <f>'PUSK ( RUMUS )'!GC15+'PUSK ( RUMUS )'!GC16</f>
        <v>578</v>
      </c>
      <c r="FN11" s="248"/>
      <c r="FO11" s="248"/>
      <c r="FP11" s="248">
        <f>'PUSK ( RUMUS )'!GG15+'PUSK ( RUMUS )'!GG16</f>
        <v>93</v>
      </c>
      <c r="FQ11" s="248">
        <f>'PUSK ( RUMUS )'!GH15+'PUSK ( RUMUS )'!GH16</f>
        <v>18</v>
      </c>
      <c r="FR11" s="491">
        <f t="shared" si="3"/>
        <v>75</v>
      </c>
      <c r="FS11" s="248">
        <f>'PUSK ( RUMUS )'!GJ15+'PUSK ( RUMUS )'!GJ16</f>
        <v>2</v>
      </c>
      <c r="FT11" s="248">
        <f>'PUSK ( RUMUS )'!GK15+'PUSK ( RUMUS )'!GK16</f>
        <v>0</v>
      </c>
      <c r="FU11" s="248">
        <f>'PUSK ( RUMUS )'!GL15+'PUSK ( RUMUS )'!GL16</f>
        <v>14</v>
      </c>
      <c r="FV11" s="248">
        <f>'PUSK ( RUMUS )'!GM15+'PUSK ( RUMUS )'!GM16</f>
        <v>71</v>
      </c>
      <c r="FW11" s="248">
        <f>'PUSK ( RUMUS )'!GN15+'PUSK ( RUMUS )'!GN16</f>
        <v>1</v>
      </c>
      <c r="FX11" s="248">
        <f>'PUSK ( RUMUS )'!GO15+'PUSK ( RUMUS )'!GO16</f>
        <v>1</v>
      </c>
      <c r="FY11" s="248">
        <f>'PUSK ( RUMUS )'!GP15+'PUSK ( RUMUS )'!GP16</f>
        <v>0</v>
      </c>
      <c r="FZ11" s="248">
        <f>'PUSK ( RUMUS )'!GQ15+'PUSK ( RUMUS )'!GQ16</f>
        <v>4</v>
      </c>
      <c r="GA11" s="248">
        <f>'PUSK ( RUMUS )'!GR15+'PUSK ( RUMUS )'!GR16</f>
        <v>0</v>
      </c>
      <c r="GB11" s="248">
        <f>'PUSK ( RUMUS )'!GS15+'PUSK ( RUMUS )'!GS16</f>
        <v>0</v>
      </c>
      <c r="GC11" s="248">
        <f>'PUSK ( RUMUS )'!GT15+'PUSK ( RUMUS )'!GT16</f>
        <v>0</v>
      </c>
      <c r="GD11" s="248">
        <f>'PUSK ( RUMUS )'!GU15+'PUSK ( RUMUS )'!GU16</f>
        <v>1</v>
      </c>
      <c r="GE11" s="248">
        <f>'PUSK ( RUMUS )'!GV15+'PUSK ( RUMUS )'!GV16</f>
        <v>0</v>
      </c>
      <c r="GF11" s="248">
        <f>'PUSK ( RUMUS )'!GW15+'PUSK ( RUMUS )'!GW16</f>
        <v>0</v>
      </c>
      <c r="GG11" s="248">
        <f>'PUSK ( RUMUS )'!GX15+'PUSK ( RUMUS )'!GX16</f>
        <v>0</v>
      </c>
      <c r="GH11" s="248">
        <f>'PUSK ( RUMUS )'!GY15+'PUSK ( RUMUS )'!GY16</f>
        <v>2</v>
      </c>
      <c r="GI11" s="248">
        <f>'PUSK ( RUMUS )'!GZ15+'PUSK ( RUMUS )'!GZ16</f>
        <v>0</v>
      </c>
      <c r="GJ11" s="248">
        <f>'PUSK ( RUMUS )'!HA15+'PUSK ( RUMUS )'!HA16</f>
        <v>0</v>
      </c>
      <c r="GK11" s="248">
        <f>'PUSK ( RUMUS )'!HB15+'PUSK ( RUMUS )'!HB16</f>
        <v>3</v>
      </c>
      <c r="GL11" s="248">
        <f>'PUSK ( RUMUS )'!HC15+'PUSK ( RUMUS )'!HC16</f>
        <v>0</v>
      </c>
      <c r="GM11" s="248">
        <f>'PUSK ( RUMUS )'!HD15+'PUSK ( RUMUS )'!HD16</f>
        <v>2465</v>
      </c>
      <c r="GN11" s="248">
        <f>'PUSK ( RUMUS )'!HE15+'PUSK ( RUMUS )'!HE16</f>
        <v>769</v>
      </c>
      <c r="GO11" s="248">
        <f>'PUSK ( RUMUS )'!HF15+'PUSK ( RUMUS )'!HF16</f>
        <v>2416</v>
      </c>
      <c r="GP11" s="248">
        <f>'PUSK ( RUMUS )'!HG15+'PUSK ( RUMUS )'!HG16</f>
        <v>759</v>
      </c>
      <c r="GQ11" s="248"/>
      <c r="GR11" s="248"/>
      <c r="GS11" s="248">
        <f>'PUSK ( RUMUS )'!HK15+'PUSK ( RUMUS )'!HK16</f>
        <v>93</v>
      </c>
      <c r="GT11" s="248">
        <f>'PUSK ( RUMUS )'!HL15+'PUSK ( RUMUS )'!HL16</f>
        <v>18</v>
      </c>
      <c r="GU11" s="491">
        <f t="shared" si="4"/>
        <v>75</v>
      </c>
      <c r="GV11" s="248">
        <f>'PUSK ( RUMUS )'!HN15+'PUSK ( RUMUS )'!HN16</f>
        <v>3</v>
      </c>
      <c r="GW11" s="248">
        <f>'PUSK ( RUMUS )'!HO15+'PUSK ( RUMUS )'!HO16</f>
        <v>1</v>
      </c>
      <c r="GX11" s="248">
        <f>'PUSK ( RUMUS )'!HP15+'PUSK ( RUMUS )'!HP16</f>
        <v>10</v>
      </c>
      <c r="GY11" s="248">
        <f>'PUSK ( RUMUS )'!HQ15+'PUSK ( RUMUS )'!HQ16</f>
        <v>72</v>
      </c>
      <c r="GZ11" s="248">
        <f>'PUSK ( RUMUS )'!HR15+'PUSK ( RUMUS )'!HR16</f>
        <v>3</v>
      </c>
      <c r="HA11" s="248">
        <f>'PUSK ( RUMUS )'!HS15+'PUSK ( RUMUS )'!HS16</f>
        <v>1</v>
      </c>
      <c r="HB11" s="248">
        <f>'PUSK ( RUMUS )'!HT15+'PUSK ( RUMUS )'!HT16</f>
        <v>0</v>
      </c>
      <c r="HC11" s="248">
        <f>'PUSK ( RUMUS )'!HU15+'PUSK ( RUMUS )'!HU16</f>
        <v>3</v>
      </c>
      <c r="HD11" s="248">
        <f>'PUSK ( RUMUS )'!HV15+'PUSK ( RUMUS )'!HV16</f>
        <v>0</v>
      </c>
      <c r="HE11" s="248">
        <f>'PUSK ( RUMUS )'!HW15+'PUSK ( RUMUS )'!HW16</f>
        <v>0</v>
      </c>
      <c r="HF11" s="248">
        <f>'PUSK ( RUMUS )'!HX15+'PUSK ( RUMUS )'!HX16</f>
        <v>2</v>
      </c>
      <c r="HG11" s="248">
        <f>'PUSK ( RUMUS )'!HY15+'PUSK ( RUMUS )'!HY16</f>
        <v>4</v>
      </c>
      <c r="HH11" s="248">
        <f>'PUSK ( RUMUS )'!HZ15+'PUSK ( RUMUS )'!HZ16</f>
        <v>0</v>
      </c>
      <c r="HI11" s="248">
        <f>'PUSK ( RUMUS )'!IA15+'PUSK ( RUMUS )'!IA16</f>
        <v>0</v>
      </c>
      <c r="HJ11" s="248">
        <f>'PUSK ( RUMUS )'!IB15+'PUSK ( RUMUS )'!IB16</f>
        <v>0</v>
      </c>
      <c r="HK11" s="248">
        <f>'PUSK ( RUMUS )'!IC15+'PUSK ( RUMUS )'!IC16</f>
        <v>0</v>
      </c>
      <c r="HL11" s="248">
        <f>'PUSK ( RUMUS )'!ID15+'PUSK ( RUMUS )'!ID16</f>
        <v>1</v>
      </c>
      <c r="HM11" s="248">
        <f>'PUSK ( RUMUS )'!IE15+'PUSK ( RUMUS )'!IE16</f>
        <v>0</v>
      </c>
      <c r="HN11" s="248">
        <f>'PUSK ( RUMUS )'!IF15+'PUSK ( RUMUS )'!IF16</f>
        <v>7</v>
      </c>
      <c r="HO11" s="248">
        <f>'PUSK ( RUMUS )'!IG15+'PUSK ( RUMUS )'!IG16</f>
        <v>2</v>
      </c>
      <c r="HR11" s="198">
        <f t="shared" si="5"/>
        <v>146</v>
      </c>
      <c r="HS11" s="198">
        <f t="shared" si="6"/>
        <v>156</v>
      </c>
      <c r="HT11" s="198">
        <f t="shared" si="7"/>
        <v>137</v>
      </c>
      <c r="HU11" s="198">
        <f t="shared" si="8"/>
        <v>126</v>
      </c>
      <c r="HV11" s="198">
        <f t="shared" si="9"/>
        <v>128</v>
      </c>
      <c r="HW11" s="198">
        <f t="shared" si="10"/>
        <v>110</v>
      </c>
      <c r="HX11" s="574">
        <f t="shared" si="11"/>
        <v>98</v>
      </c>
      <c r="HY11" s="574">
        <f t="shared" si="12"/>
        <v>95</v>
      </c>
      <c r="HZ11" s="634">
        <f t="shared" si="13"/>
        <v>93</v>
      </c>
      <c r="IA11" s="611">
        <f t="shared" si="14"/>
        <v>89</v>
      </c>
      <c r="IB11" s="611">
        <f t="shared" si="15"/>
        <v>93</v>
      </c>
      <c r="IC11" s="611">
        <f t="shared" si="16"/>
        <v>93</v>
      </c>
    </row>
    <row r="12" ht="14.25" customHeight="1">
      <c r="A12" s="158">
        <v>5.0</v>
      </c>
      <c r="B12" s="633" t="s">
        <v>344</v>
      </c>
      <c r="C12" s="253">
        <v>3374130.0</v>
      </c>
      <c r="D12" s="253"/>
      <c r="E12" s="253"/>
      <c r="F12" s="259">
        <f>'PUSK ( RUMUS )'!F17+'PUSK ( RUMUS )'!F18+'PUSK ( RUMUS )'!F19+'PUSK ( RUMUS )'!F20+'PUSK ( RUMUS )'!F21</f>
        <v>119</v>
      </c>
      <c r="G12" s="259">
        <f>'PUSK ( RUMUS )'!G17+'PUSK ( RUMUS )'!G18+'PUSK ( RUMUS )'!G19+'PUSK ( RUMUS )'!G20+'PUSK ( RUMUS )'!G21</f>
        <v>7627</v>
      </c>
      <c r="H12" s="605">
        <f>'PUSK ( RUMUS )'!H17+'PUSK ( RUMUS )'!H18+'PUSK ( RUMUS )'!H19+'PUSK ( RUMUS )'!H20+'PUSK ( RUMUS )'!H21</f>
        <v>228</v>
      </c>
      <c r="I12" s="491">
        <f>'PUSK ( RUMUS )'!K17+'PUSK ( RUMUS )'!K18+'PUSK ( RUMUS )'!K19+'PUSK ( RUMUS )'!K20+'PUSK ( RUMUS )'!K21</f>
        <v>28</v>
      </c>
      <c r="J12" s="491">
        <f>'PUSK ( RUMUS )'!L17+'PUSK ( RUMUS )'!L18+'PUSK ( RUMUS )'!L19+'PUSK ( RUMUS )'!L20+'PUSK ( RUMUS )'!L21</f>
        <v>22</v>
      </c>
      <c r="K12" s="491">
        <f>'PUSK ( RUMUS )'!M17+'PUSK ( RUMUS )'!M18+'PUSK ( RUMUS )'!M19+'PUSK ( RUMUS )'!M20+'PUSK ( RUMUS )'!M21</f>
        <v>59</v>
      </c>
      <c r="L12" s="491">
        <f>'PUSK ( RUMUS )'!N17+'PUSK ( RUMUS )'!N18+'PUSK ( RUMUS )'!N19+'PUSK ( RUMUS )'!N20+'PUSK ( RUMUS )'!N21</f>
        <v>119</v>
      </c>
      <c r="M12" s="491">
        <f>'PUSK ( RUMUS )'!O17+'PUSK ( RUMUS )'!O18+'PUSK ( RUMUS )'!O19+'PUSK ( RUMUS )'!O20+'PUSK ( RUMUS )'!O21</f>
        <v>9</v>
      </c>
      <c r="N12" s="491">
        <f>'PUSK ( RUMUS )'!P17+'PUSK ( RUMUS )'!P18+'PUSK ( RUMUS )'!P19+'PUSK ( RUMUS )'!P20+'PUSK ( RUMUS )'!P21</f>
        <v>1</v>
      </c>
      <c r="O12" s="491">
        <f>'PUSK ( RUMUS )'!Q17+'PUSK ( RUMUS )'!Q18+'PUSK ( RUMUS )'!Q19+'PUSK ( RUMUS )'!Q20+'PUSK ( RUMUS )'!Q21</f>
        <v>220</v>
      </c>
      <c r="P12" s="491">
        <f>'PUSK ( RUMUS )'!R17+'PUSK ( RUMUS )'!R18+'PUSK ( RUMUS )'!R19+'PUSK ( RUMUS )'!R20+'PUSK ( RUMUS )'!R21</f>
        <v>182</v>
      </c>
      <c r="Q12" s="491">
        <f>'PUSK ( RUMUS )'!U17+'PUSK ( RUMUS )'!U18+'PUSK ( RUMUS )'!U19+'PUSK ( RUMUS )'!U20+'PUSK ( RUMUS )'!U21</f>
        <v>8</v>
      </c>
      <c r="R12" s="491">
        <f>'PUSK ( RUMUS )'!V17+'PUSK ( RUMUS )'!V18+'PUSK ( RUMUS )'!V19+'PUSK ( RUMUS )'!V20+'PUSK ( RUMUS )'!V21</f>
        <v>9</v>
      </c>
      <c r="S12" s="491">
        <f>'PUSK ( RUMUS )'!W17+'PUSK ( RUMUS )'!W18+'PUSK ( RUMUS )'!W19+'PUSK ( RUMUS )'!W20+'PUSK ( RUMUS )'!W21</f>
        <v>52</v>
      </c>
      <c r="T12" s="491">
        <f>'PUSK ( RUMUS )'!X17+'PUSK ( RUMUS )'!X18+'PUSK ( RUMUS )'!X19+'PUSK ( RUMUS )'!X20+'PUSK ( RUMUS )'!X21</f>
        <v>113</v>
      </c>
      <c r="U12" s="491">
        <f>'PUSK ( RUMUS )'!Y17+'PUSK ( RUMUS )'!Y18+'PUSK ( RUMUS )'!Y19+'PUSK ( RUMUS )'!Y20+'PUSK ( RUMUS )'!Y21</f>
        <v>35</v>
      </c>
      <c r="V12" s="491">
        <f>'PUSK ( RUMUS )'!Z17+'PUSK ( RUMUS )'!Z18+'PUSK ( RUMUS )'!Z19+'PUSK ( RUMUS )'!Z20+'PUSK ( RUMUS )'!Z21</f>
        <v>71</v>
      </c>
      <c r="W12" s="491">
        <f>'PUSK ( RUMUS )'!AA17+'PUSK ( RUMUS )'!AA18+'PUSK ( RUMUS )'!AA19+'PUSK ( RUMUS )'!AA20+'PUSK ( RUMUS )'!AA21</f>
        <v>76</v>
      </c>
      <c r="X12" s="491">
        <f>'PUSK ( RUMUS )'!AB17+'PUSK ( RUMUS )'!AB18+'PUSK ( RUMUS )'!AB19+'PUSK ( RUMUS )'!AB20+'PUSK ( RUMUS )'!AB21</f>
        <v>190</v>
      </c>
      <c r="Y12" s="491">
        <f>'PUSK ( RUMUS )'!AE17+'PUSK ( RUMUS )'!AE18+'PUSK ( RUMUS )'!AE19+'PUSK ( RUMUS )'!AE20+'PUSK ( RUMUS )'!AE21</f>
        <v>12</v>
      </c>
      <c r="Z12" s="491">
        <f>'PUSK ( RUMUS )'!AF17+'PUSK ( RUMUS )'!AF18+'PUSK ( RUMUS )'!AF19+'PUSK ( RUMUS )'!AF20+'PUSK ( RUMUS )'!AF21</f>
        <v>16</v>
      </c>
      <c r="AA12" s="491">
        <f>'PUSK ( RUMUS )'!AG17+'PUSK ( RUMUS )'!AG18+'PUSK ( RUMUS )'!AG19+'PUSK ( RUMUS )'!AG20+'PUSK ( RUMUS )'!AG21</f>
        <v>51</v>
      </c>
      <c r="AB12" s="491">
        <f>'PUSK ( RUMUS )'!AH17+'PUSK ( RUMUS )'!AH18+'PUSK ( RUMUS )'!AH19+'PUSK ( RUMUS )'!AH20+'PUSK ( RUMUS )'!AH21</f>
        <v>111</v>
      </c>
      <c r="AC12" s="491">
        <f>'PUSK ( RUMUS )'!AI17+'PUSK ( RUMUS )'!AI18+'PUSK ( RUMUS )'!AI19+'PUSK ( RUMUS )'!AI20+'PUSK ( RUMUS )'!AI21</f>
        <v>49</v>
      </c>
      <c r="AD12" s="491">
        <f>'PUSK ( RUMUS )'!AJ17+'PUSK ( RUMUS )'!AJ18+'PUSK ( RUMUS )'!AJ19+'PUSK ( RUMUS )'!AJ20+'PUSK ( RUMUS )'!AJ21</f>
        <v>54</v>
      </c>
      <c r="AE12" s="491">
        <f>'PUSK ( RUMUS )'!AK17+'PUSK ( RUMUS )'!AK18+'PUSK ( RUMUS )'!AK19+'PUSK ( RUMUS )'!AK20+'PUSK ( RUMUS )'!AK21</f>
        <v>87</v>
      </c>
      <c r="AF12" s="491">
        <f>'PUSK ( RUMUS )'!AL17+'PUSK ( RUMUS )'!AL18+'PUSK ( RUMUS )'!AL19+'PUSK ( RUMUS )'!AL20+'PUSK ( RUMUS )'!AL21</f>
        <v>158</v>
      </c>
      <c r="AG12" s="491">
        <f>'PUSK ( RUMUS )'!AO17+'PUSK ( RUMUS )'!AO18+'PUSK ( RUMUS )'!AO19+'PUSK ( RUMUS )'!AO20+'PUSK ( RUMUS )'!AO21</f>
        <v>6</v>
      </c>
      <c r="AH12" s="491">
        <f>'PUSK ( RUMUS )'!AP17+'PUSK ( RUMUS )'!AP18+'PUSK ( RUMUS )'!AP19+'PUSK ( RUMUS )'!AP20+'PUSK ( RUMUS )'!AP21</f>
        <v>10</v>
      </c>
      <c r="AI12" s="491">
        <f>'PUSK ( RUMUS )'!AQ17+'PUSK ( RUMUS )'!AQ18+'PUSK ( RUMUS )'!AQ19+'PUSK ( RUMUS )'!AQ20+'PUSK ( RUMUS )'!AQ21</f>
        <v>35</v>
      </c>
      <c r="AJ12" s="491">
        <f>'PUSK ( RUMUS )'!AR17+'PUSK ( RUMUS )'!AR18+'PUSK ( RUMUS )'!AR19+'PUSK ( RUMUS )'!AR20+'PUSK ( RUMUS )'!AR21</f>
        <v>107</v>
      </c>
      <c r="AK12" s="491">
        <f>'PUSK ( RUMUS )'!AS17+'PUSK ( RUMUS )'!AS18+'PUSK ( RUMUS )'!AS19+'PUSK ( RUMUS )'!AS20+'PUSK ( RUMUS )'!AS21</f>
        <v>23</v>
      </c>
      <c r="AL12" s="491">
        <f>'PUSK ( RUMUS )'!AT17+'PUSK ( RUMUS )'!AT18+'PUSK ( RUMUS )'!AT19+'PUSK ( RUMUS )'!AT20+'PUSK ( RUMUS )'!AT21</f>
        <v>62</v>
      </c>
      <c r="AM12" s="491">
        <f>'PUSK ( RUMUS )'!AU17+'PUSK ( RUMUS )'!AU18+'PUSK ( RUMUS )'!AU19+'PUSK ( RUMUS )'!AU20+'PUSK ( RUMUS )'!AU21</f>
        <v>75</v>
      </c>
      <c r="AN12" s="491">
        <f>'PUSK ( RUMUS )'!AV17+'PUSK ( RUMUS )'!AV18+'PUSK ( RUMUS )'!AV19+'PUSK ( RUMUS )'!AV20+'PUSK ( RUMUS )'!AV21</f>
        <v>139</v>
      </c>
      <c r="AO12" s="491">
        <f>'PUSK ( RUMUS )'!AY17+'PUSK ( RUMUS )'!AY18+'PUSK ( RUMUS )'!AY19+'PUSK ( RUMUS )'!AY20+'PUSK ( RUMUS )'!AY21</f>
        <v>5</v>
      </c>
      <c r="AP12" s="491">
        <f>'PUSK ( RUMUS )'!AZ17+'PUSK ( RUMUS )'!AZ18+'PUSK ( RUMUS )'!AZ19+'PUSK ( RUMUS )'!AZ20+'PUSK ( RUMUS )'!AZ21</f>
        <v>11</v>
      </c>
      <c r="AQ12" s="491">
        <f>'PUSK ( RUMUS )'!BA17+'PUSK ( RUMUS )'!BA18+'PUSK ( RUMUS )'!BA19+'PUSK ( RUMUS )'!BA20+'PUSK ( RUMUS )'!BA21</f>
        <v>30</v>
      </c>
      <c r="AR12" s="491">
        <f>'PUSK ( RUMUS )'!BB17+'PUSK ( RUMUS )'!BB18+'PUSK ( RUMUS )'!BB19+'PUSK ( RUMUS )'!BB20+'PUSK ( RUMUS )'!BB21</f>
        <v>93</v>
      </c>
      <c r="AS12" s="491">
        <f>'PUSK ( RUMUS )'!BC17+'PUSK ( RUMUS )'!BC18+'PUSK ( RUMUS )'!BC19+'PUSK ( RUMUS )'!BC20+'PUSK ( RUMUS )'!BC21</f>
        <v>16</v>
      </c>
      <c r="AT12" s="491">
        <f>'PUSK ( RUMUS )'!BD17+'PUSK ( RUMUS )'!BD18+'PUSK ( RUMUS )'!BD19+'PUSK ( RUMUS )'!BD20+'PUSK ( RUMUS )'!BD21</f>
        <v>23</v>
      </c>
      <c r="AU12" s="491">
        <f>'PUSK ( RUMUS )'!BE17+'PUSK ( RUMUS )'!BE18+'PUSK ( RUMUS )'!BE19+'PUSK ( RUMUS )'!BE20+'PUSK ( RUMUS )'!BE21</f>
        <v>102</v>
      </c>
      <c r="AV12" s="491">
        <f>'PUSK ( RUMUS )'!BF17+'PUSK ( RUMUS )'!BF18+'PUSK ( RUMUS )'!BF19+'PUSK ( RUMUS )'!BF20+'PUSK ( RUMUS )'!BF21</f>
        <v>7643</v>
      </c>
      <c r="AW12" s="491">
        <f>'PUSK ( RUMUS )'!BG17+'PUSK ( RUMUS )'!BG18+'PUSK ( RUMUS )'!BG19+'PUSK ( RUMUS )'!BG20+'PUSK ( RUMUS )'!BG21</f>
        <v>123</v>
      </c>
      <c r="AX12" s="491">
        <f>'PUSK ( RUMUS )'!BJ17+'PUSK ( RUMUS )'!BJ18+'PUSK ( RUMUS )'!BJ19+'PUSK ( RUMUS )'!BJ20+'PUSK ( RUMUS )'!BJ21</f>
        <v>4</v>
      </c>
      <c r="AY12" s="491">
        <f>'PUSK ( RUMUS )'!BK17+'PUSK ( RUMUS )'!BK18+'PUSK ( RUMUS )'!BK19+'PUSK ( RUMUS )'!BK20+'PUSK ( RUMUS )'!BK21</f>
        <v>12</v>
      </c>
      <c r="AZ12" s="491">
        <f>'PUSK ( RUMUS )'!BL17+'PUSK ( RUMUS )'!BL18+'PUSK ( RUMUS )'!BL19+'PUSK ( RUMUS )'!BL20+'PUSK ( RUMUS )'!BL21</f>
        <v>18</v>
      </c>
      <c r="BA12" s="491">
        <f>'PUSK ( RUMUS )'!BM17+'PUSK ( RUMUS )'!BM18+'PUSK ( RUMUS )'!BM19+'PUSK ( RUMUS )'!BM20+'PUSK ( RUMUS )'!BM21</f>
        <v>68</v>
      </c>
      <c r="BB12" s="491">
        <f>'PUSK ( RUMUS )'!BN17+'PUSK ( RUMUS )'!BN18+'PUSK ( RUMUS )'!BN19+'PUSK ( RUMUS )'!BN20+'PUSK ( RUMUS )'!BN21</f>
        <v>1</v>
      </c>
      <c r="BC12" s="491">
        <f>'PUSK ( RUMUS )'!BO17+'PUSK ( RUMUS )'!BO18+'PUSK ( RUMUS )'!BO19+'PUSK ( RUMUS )'!BO20+'PUSK ( RUMUS )'!BO21</f>
        <v>2</v>
      </c>
      <c r="BD12" s="491">
        <f>'PUSK ( RUMUS )'!BP17+'PUSK ( RUMUS )'!BP18+'PUSK ( RUMUS )'!BP19+'PUSK ( RUMUS )'!BP20+'PUSK ( RUMUS )'!BP21</f>
        <v>9</v>
      </c>
      <c r="BE12" s="491">
        <f>'PUSK ( RUMUS )'!BQ17+'PUSK ( RUMUS )'!BQ18+'PUSK ( RUMUS )'!BQ19+'PUSK ( RUMUS )'!BQ20+'PUSK ( RUMUS )'!BQ21</f>
        <v>9</v>
      </c>
      <c r="BF12" s="491">
        <f>'PUSK ( RUMUS )'!BR17+'PUSK ( RUMUS )'!BR18+'PUSK ( RUMUS )'!BR19+'PUSK ( RUMUS )'!BR20+'PUSK ( RUMUS )'!BR21</f>
        <v>0</v>
      </c>
      <c r="BG12" s="491">
        <f>'PUSK ( RUMUS )'!BS17+'PUSK ( RUMUS )'!BS18+'PUSK ( RUMUS )'!BS19+'PUSK ( RUMUS )'!BS20+'PUSK ( RUMUS )'!BS21</f>
        <v>2</v>
      </c>
      <c r="BH12" s="491">
        <f>'PUSK ( RUMUS )'!BT17+'PUSK ( RUMUS )'!BT18+'PUSK ( RUMUS )'!BT19+'PUSK ( RUMUS )'!BT20+'PUSK ( RUMUS )'!BT21</f>
        <v>7</v>
      </c>
      <c r="BI12" s="491">
        <f>'PUSK ( RUMUS )'!BU17+'PUSK ( RUMUS )'!BU18+'PUSK ( RUMUS )'!BU19+'PUSK ( RUMUS )'!BU20+'PUSK ( RUMUS )'!BU21</f>
        <v>16</v>
      </c>
      <c r="BJ12" s="491">
        <f>'PUSK ( RUMUS )'!BV17+'PUSK ( RUMUS )'!BV18+'PUSK ( RUMUS )'!BV19+'PUSK ( RUMUS )'!BV20+'PUSK ( RUMUS )'!BV21</f>
        <v>0</v>
      </c>
      <c r="BK12" s="491">
        <f>'PUSK ( RUMUS )'!BW17+'PUSK ( RUMUS )'!BW18+'PUSK ( RUMUS )'!BW19+'PUSK ( RUMUS )'!BW20+'PUSK ( RUMUS )'!BW21</f>
        <v>0</v>
      </c>
      <c r="BL12" s="491">
        <f>'PUSK ( RUMUS )'!BX17+'PUSK ( RUMUS )'!BX18+'PUSK ( RUMUS )'!BX19+'PUSK ( RUMUS )'!BX20+'PUSK ( RUMUS )'!BX21</f>
        <v>3</v>
      </c>
      <c r="BM12" s="491">
        <f>'PUSK ( RUMUS )'!BY17+'PUSK ( RUMUS )'!BY18+'PUSK ( RUMUS )'!BY19+'PUSK ( RUMUS )'!BY20+'PUSK ( RUMUS )'!BY21</f>
        <v>7</v>
      </c>
      <c r="BN12" s="491">
        <f>'PUSK ( RUMUS )'!BZ17+'PUSK ( RUMUS )'!BZ18+'PUSK ( RUMUS )'!BZ19+'PUSK ( RUMUS )'!BZ20+'PUSK ( RUMUS )'!BZ21</f>
        <v>3</v>
      </c>
      <c r="BO12" s="491">
        <f>'PUSK ( RUMUS )'!CA17+'PUSK ( RUMUS )'!CA18+'PUSK ( RUMUS )'!CA19+'PUSK ( RUMUS )'!CA20+'PUSK ( RUMUS )'!CA21</f>
        <v>0</v>
      </c>
      <c r="BP12" s="491">
        <f>'PUSK ( RUMUS )'!CB17+'PUSK ( RUMUS )'!CB18+'PUSK ( RUMUS )'!CB19+'PUSK ( RUMUS )'!CB20+'PUSK ( RUMUS )'!CB21</f>
        <v>38</v>
      </c>
      <c r="BQ12" s="491">
        <f>'PUSK ( RUMUS )'!CC17+'PUSK ( RUMUS )'!CC18+'PUSK ( RUMUS )'!CC19+'PUSK ( RUMUS )'!CC20+'PUSK ( RUMUS )'!CC21</f>
        <v>7725</v>
      </c>
      <c r="BR12" s="491">
        <f>'PUSK ( RUMUS )'!CD17+'PUSK ( RUMUS )'!CD18+'PUSK ( RUMUS )'!CD19+'PUSK ( RUMUS )'!CD20+'PUSK ( RUMUS )'!CD21</f>
        <v>123</v>
      </c>
      <c r="BS12" s="491">
        <f>'PUSK ( RUMUS )'!CG17+'PUSK ( RUMUS )'!CG18+'PUSK ( RUMUS )'!CG19+'PUSK ( RUMUS )'!CG20+'PUSK ( RUMUS )'!CG21</f>
        <v>2</v>
      </c>
      <c r="BT12" s="491">
        <f>'PUSK ( RUMUS )'!CH17+'PUSK ( RUMUS )'!CH18+'PUSK ( RUMUS )'!CH19+'PUSK ( RUMUS )'!CH20+'PUSK ( RUMUS )'!CH21</f>
        <v>11</v>
      </c>
      <c r="BU12" s="491">
        <f>'PUSK ( RUMUS )'!CI17+'PUSK ( RUMUS )'!CI18+'PUSK ( RUMUS )'!CI19+'PUSK ( RUMUS )'!CI20+'PUSK ( RUMUS )'!CI21</f>
        <v>23</v>
      </c>
      <c r="BV12" s="491">
        <f>'PUSK ( RUMUS )'!CJ17+'PUSK ( RUMUS )'!CJ18+'PUSK ( RUMUS )'!CJ19+'PUSK ( RUMUS )'!CJ20+'PUSK ( RUMUS )'!CJ21</f>
        <v>76</v>
      </c>
      <c r="BW12" s="491">
        <f>'PUSK ( RUMUS )'!CK17+'PUSK ( RUMUS )'!CK18+'PUSK ( RUMUS )'!CK19+'PUSK ( RUMUS )'!CK20+'PUSK ( RUMUS )'!CK21</f>
        <v>1</v>
      </c>
      <c r="BX12" s="491">
        <f>'PUSK ( RUMUS )'!CL17+'PUSK ( RUMUS )'!CL18+'PUSK ( RUMUS )'!CL19+'PUSK ( RUMUS )'!CL20+'PUSK ( RUMUS )'!CL21</f>
        <v>1</v>
      </c>
      <c r="BY12" s="491">
        <f>'PUSK ( RUMUS )'!CM17+'PUSK ( RUMUS )'!CM18+'PUSK ( RUMUS )'!CM19+'PUSK ( RUMUS )'!CM20+'PUSK ( RUMUS )'!CM21</f>
        <v>2</v>
      </c>
      <c r="BZ12" s="491">
        <f>'PUSK ( RUMUS )'!CN17+'PUSK ( RUMUS )'!CN18+'PUSK ( RUMUS )'!CN19+'PUSK ( RUMUS )'!CN20+'PUSK ( RUMUS )'!CN21</f>
        <v>7</v>
      </c>
      <c r="CA12" s="491">
        <f>'PUSK ( RUMUS )'!CO17+'PUSK ( RUMUS )'!CO18+'PUSK ( RUMUS )'!CO19+'PUSK ( RUMUS )'!CO20+'PUSK ( RUMUS )'!CO21</f>
        <v>1</v>
      </c>
      <c r="CB12" s="491">
        <f>'PUSK ( RUMUS )'!CP17+'PUSK ( RUMUS )'!CP18+'PUSK ( RUMUS )'!CP19+'PUSK ( RUMUS )'!CP20+'PUSK ( RUMUS )'!CP21</f>
        <v>3</v>
      </c>
      <c r="CC12" s="491">
        <f>'PUSK ( RUMUS )'!CQ17+'PUSK ( RUMUS )'!CQ18+'PUSK ( RUMUS )'!CQ19+'PUSK ( RUMUS )'!CQ20+'PUSK ( RUMUS )'!CQ21</f>
        <v>5</v>
      </c>
      <c r="CD12" s="491">
        <f>'PUSK ( RUMUS )'!CR17+'PUSK ( RUMUS )'!CR18+'PUSK ( RUMUS )'!CR19+'PUSK ( RUMUS )'!CR20+'PUSK ( RUMUS )'!CR21</f>
        <v>1</v>
      </c>
      <c r="CE12" s="491">
        <f>'PUSK ( RUMUS )'!CS17+'PUSK ( RUMUS )'!CS18+'PUSK ( RUMUS )'!CS19+'PUSK ( RUMUS )'!CS20+'PUSK ( RUMUS )'!CS21</f>
        <v>0</v>
      </c>
      <c r="CF12" s="491">
        <f>'PUSK ( RUMUS )'!CT17+'PUSK ( RUMUS )'!CT18+'PUSK ( RUMUS )'!CT19+'PUSK ( RUMUS )'!CT20+'PUSK ( RUMUS )'!CT21</f>
        <v>0</v>
      </c>
      <c r="CG12" s="491">
        <f>'PUSK ( RUMUS )'!CU17+'PUSK ( RUMUS )'!CU18+'PUSK ( RUMUS )'!CU19+'PUSK ( RUMUS )'!CU20+'PUSK ( RUMUS )'!CU21</f>
        <v>0</v>
      </c>
      <c r="CH12" s="491">
        <f>'PUSK ( RUMUS )'!CV17+'PUSK ( RUMUS )'!CV18+'PUSK ( RUMUS )'!CV19+'PUSK ( RUMUS )'!CV20+'PUSK ( RUMUS )'!CV21</f>
        <v>1</v>
      </c>
      <c r="CI12" s="491">
        <f>'PUSK ( RUMUS )'!CW17+'PUSK ( RUMUS )'!CW18+'PUSK ( RUMUS )'!CW19+'PUSK ( RUMUS )'!CW20+'PUSK ( RUMUS )'!CW21</f>
        <v>0</v>
      </c>
      <c r="CJ12" s="491">
        <f>'PUSK ( RUMUS )'!CX17+'PUSK ( RUMUS )'!CX18+'PUSK ( RUMUS )'!CX19+'PUSK ( RUMUS )'!CX20+'PUSK ( RUMUS )'!CX21</f>
        <v>0</v>
      </c>
      <c r="CK12" s="491">
        <f>'PUSK ( RUMUS )'!CY17+'PUSK ( RUMUS )'!CY18+'PUSK ( RUMUS )'!CY19+'PUSK ( RUMUS )'!CY20+'PUSK ( RUMUS )'!CY21</f>
        <v>11</v>
      </c>
      <c r="CL12" s="491">
        <f>'PUSK ( RUMUS )'!CZ17+'PUSK ( RUMUS )'!CZ18+'PUSK ( RUMUS )'!CZ19+'PUSK ( RUMUS )'!CZ20+'PUSK ( RUMUS )'!CZ21</f>
        <v>7686</v>
      </c>
      <c r="CM12" s="491">
        <f>'PUSK ( RUMUS )'!DA17+'PUSK ( RUMUS )'!DA18+'PUSK ( RUMUS )'!DA19+'PUSK ( RUMUS )'!DA20+'PUSK ( RUMUS )'!DA21</f>
        <v>2566</v>
      </c>
      <c r="CN12" s="491">
        <f>'PUSK ( RUMUS )'!DB17+'PUSK ( RUMUS )'!DB18+'PUSK ( RUMUS )'!DB19+'PUSK ( RUMUS )'!DB20+'PUSK ( RUMUS )'!DB21</f>
        <v>123</v>
      </c>
      <c r="CO12" s="491">
        <f>'PUSK ( RUMUS )'!DE17+'PUSK ( RUMUS )'!DE18+'PUSK ( RUMUS )'!DE19+'PUSK ( RUMUS )'!DE20+'PUSK ( RUMUS )'!DE21</f>
        <v>2</v>
      </c>
      <c r="CP12" s="491">
        <f>'PUSK ( RUMUS )'!DF17+'PUSK ( RUMUS )'!DF18+'PUSK ( RUMUS )'!DF19+'PUSK ( RUMUS )'!DF20+'PUSK ( RUMUS )'!DF21</f>
        <v>9</v>
      </c>
      <c r="CQ12" s="491">
        <f>'PUSK ( RUMUS )'!DG17+'PUSK ( RUMUS )'!DG18+'PUSK ( RUMUS )'!DG19+'PUSK ( RUMUS )'!DG20+'PUSK ( RUMUS )'!DG21</f>
        <v>14</v>
      </c>
      <c r="CR12" s="491">
        <f>'PUSK ( RUMUS )'!DH17+'PUSK ( RUMUS )'!DH18+'PUSK ( RUMUS )'!DH19+'PUSK ( RUMUS )'!DH20+'PUSK ( RUMUS )'!DH21</f>
        <v>74</v>
      </c>
      <c r="CS12" s="491">
        <f>'PUSK ( RUMUS )'!DI17+'PUSK ( RUMUS )'!DI18+'PUSK ( RUMUS )'!DI19+'PUSK ( RUMUS )'!DI20+'PUSK ( RUMUS )'!DI21</f>
        <v>0</v>
      </c>
      <c r="CT12" s="491">
        <f>'PUSK ( RUMUS )'!DJ17+'PUSK ( RUMUS )'!DJ18+'PUSK ( RUMUS )'!DJ19+'PUSK ( RUMUS )'!DJ20+'PUSK ( RUMUS )'!DJ21</f>
        <v>2</v>
      </c>
      <c r="CU12" s="491">
        <f>'PUSK ( RUMUS )'!DK17+'PUSK ( RUMUS )'!DK18+'PUSK ( RUMUS )'!DK19+'PUSK ( RUMUS )'!DK20+'PUSK ( RUMUS )'!DK21</f>
        <v>5</v>
      </c>
      <c r="CV12" s="491">
        <f>'PUSK ( RUMUS )'!DL17+'PUSK ( RUMUS )'!DL18+'PUSK ( RUMUS )'!DL19+'PUSK ( RUMUS )'!DL20+'PUSK ( RUMUS )'!DL21</f>
        <v>17</v>
      </c>
      <c r="CW12" s="491">
        <f>'PUSK ( RUMUS )'!DM17+'PUSK ( RUMUS )'!DM18+'PUSK ( RUMUS )'!DM19+'PUSK ( RUMUS )'!DM20+'PUSK ( RUMUS )'!DM21</f>
        <v>0</v>
      </c>
      <c r="CX12" s="491">
        <f>'PUSK ( RUMUS )'!DN17+'PUSK ( RUMUS )'!DN18+'PUSK ( RUMUS )'!DN19+'PUSK ( RUMUS )'!DN20+'PUSK ( RUMUS )'!DN21</f>
        <v>4</v>
      </c>
      <c r="CY12" s="491">
        <f>'PUSK ( RUMUS )'!DO17+'PUSK ( RUMUS )'!DO18+'PUSK ( RUMUS )'!DO19+'PUSK ( RUMUS )'!DO20+'PUSK ( RUMUS )'!DO21</f>
        <v>9</v>
      </c>
      <c r="CZ12" s="491">
        <f>'PUSK ( RUMUS )'!DP17+'PUSK ( RUMUS )'!DP18+'PUSK ( RUMUS )'!DP19+'PUSK ( RUMUS )'!DP20+'PUSK ( RUMUS )'!DP21</f>
        <v>10</v>
      </c>
      <c r="DA12" s="491">
        <f>'PUSK ( RUMUS )'!DQ17+'PUSK ( RUMUS )'!DQ18+'PUSK ( RUMUS )'!DQ19+'PUSK ( RUMUS )'!DQ20+'PUSK ( RUMUS )'!DQ21</f>
        <v>0</v>
      </c>
      <c r="DB12" s="491">
        <f>'PUSK ( RUMUS )'!DR17+'PUSK ( RUMUS )'!DR18+'PUSK ( RUMUS )'!DR19+'PUSK ( RUMUS )'!DR20+'PUSK ( RUMUS )'!DR21</f>
        <v>0</v>
      </c>
      <c r="DC12" s="491">
        <f>'PUSK ( RUMUS )'!DS17+'PUSK ( RUMUS )'!DS18+'PUSK ( RUMUS )'!DS19+'PUSK ( RUMUS )'!DS20+'PUSK ( RUMUS )'!DS21</f>
        <v>0</v>
      </c>
      <c r="DD12" s="491">
        <f>'PUSK ( RUMUS )'!DT17+'PUSK ( RUMUS )'!DT18+'PUSK ( RUMUS )'!DT19+'PUSK ( RUMUS )'!DT20+'PUSK ( RUMUS )'!DT21</f>
        <v>1</v>
      </c>
      <c r="DE12" s="491">
        <f>'PUSK ( RUMUS )'!DU17+'PUSK ( RUMUS )'!DU18+'PUSK ( RUMUS )'!DU19+'PUSK ( RUMUS )'!DU20+'PUSK ( RUMUS )'!DU21</f>
        <v>0</v>
      </c>
      <c r="DF12" s="491" t="str">
        <f>'PUSK ( RUMUS )'!DV17+'PUSK ( RUMUS )'!DV18+'PUSK ( RUMUS )'!DV19+'PUSK ( RUMUS )'!DV20+'PUSK ( RUMUS )'!DV21</f>
        <v>#REF!</v>
      </c>
      <c r="DG12" s="491">
        <f>'PUSK ( RUMUS )'!DW17+'PUSK ( RUMUS )'!DW18+'PUSK ( RUMUS )'!DW19+'PUSK ( RUMUS )'!DW20+'PUSK ( RUMUS )'!DW21</f>
        <v>24</v>
      </c>
      <c r="DH12" s="491">
        <f>'PUSK ( RUMUS )'!DX17+'PUSK ( RUMUS )'!DX18+'PUSK ( RUMUS )'!DX19+'PUSK ( RUMUS )'!DX20+'PUSK ( RUMUS )'!DX21</f>
        <v>6917</v>
      </c>
      <c r="DI12" s="491">
        <f>'PUSK ( RUMUS )'!DY17+'PUSK ( RUMUS )'!DY18+'PUSK ( RUMUS )'!DY19+'PUSK ( RUMUS )'!DY20+'PUSK ( RUMUS )'!DY21</f>
        <v>2367</v>
      </c>
      <c r="DJ12" s="491">
        <f>'PUSK ( RUMUS )'!DZ17+'PUSK ( RUMUS )'!DZ18+'PUSK ( RUMUS )'!DZ19+'PUSK ( RUMUS )'!DZ20+'PUSK ( RUMUS )'!DZ21</f>
        <v>6755</v>
      </c>
      <c r="DK12" s="491">
        <f>'PUSK ( RUMUS )'!EA17+'PUSK ( RUMUS )'!EA18+'PUSK ( RUMUS )'!EA19+'PUSK ( RUMUS )'!EA20+'PUSK ( RUMUS )'!EA21</f>
        <v>2319</v>
      </c>
      <c r="DL12" s="491">
        <f>'PUSK ( RUMUS )'!EB17+'PUSK ( RUMUS )'!EB18+'PUSK ( RUMUS )'!EB19+'PUSK ( RUMUS )'!EB20+'PUSK ( RUMUS )'!EB21</f>
        <v>130</v>
      </c>
      <c r="DM12" s="491">
        <f>'PUSK ( RUMUS )'!EC17+'PUSK ( RUMUS )'!EC18+'PUSK ( RUMUS )'!EC19+'PUSK ( RUMUS )'!EC20+'PUSK ( RUMUS )'!EC21</f>
        <v>40</v>
      </c>
      <c r="DN12" s="491">
        <f t="shared" si="1"/>
        <v>90</v>
      </c>
      <c r="DO12" s="491">
        <f>'PUSK ( RUMUS )'!EE17+'PUSK ( RUMUS )'!EE18+'PUSK ( RUMUS )'!EE19+'PUSK ( RUMUS )'!EE20+'PUSK ( RUMUS )'!EE21</f>
        <v>2</v>
      </c>
      <c r="DP12" s="491">
        <f>'PUSK ( RUMUS )'!EF17+'PUSK ( RUMUS )'!EF18+'PUSK ( RUMUS )'!EF19+'PUSK ( RUMUS )'!EF20+'PUSK ( RUMUS )'!EF21</f>
        <v>9</v>
      </c>
      <c r="DQ12" s="491">
        <f>'PUSK ( RUMUS )'!EG17+'PUSK ( RUMUS )'!EG18+'PUSK ( RUMUS )'!EG19+'PUSK ( RUMUS )'!EG20+'PUSK ( RUMUS )'!EG21</f>
        <v>18</v>
      </c>
      <c r="DR12" s="491">
        <f>'PUSK ( RUMUS )'!EH17+'PUSK ( RUMUS )'!EH18+'PUSK ( RUMUS )'!EH19+'PUSK ( RUMUS )'!EH20+'PUSK ( RUMUS )'!EH21</f>
        <v>77</v>
      </c>
      <c r="DS12" s="491">
        <f>'PUSK ( RUMUS )'!EI17+'PUSK ( RUMUS )'!EI18+'PUSK ( RUMUS )'!EI19+'PUSK ( RUMUS )'!EI20+'PUSK ( RUMUS )'!EI21</f>
        <v>1</v>
      </c>
      <c r="DT12" s="491">
        <f>'PUSK ( RUMUS )'!EJ17+'PUSK ( RUMUS )'!EJ18+'PUSK ( RUMUS )'!EJ19+'PUSK ( RUMUS )'!EJ20+'PUSK ( RUMUS )'!EJ21</f>
        <v>2</v>
      </c>
      <c r="DU12" s="491">
        <f>'PUSK ( RUMUS )'!EK17+'PUSK ( RUMUS )'!EK18+'PUSK ( RUMUS )'!EK19+'PUSK ( RUMUS )'!EK20+'PUSK ( RUMUS )'!EK21</f>
        <v>8</v>
      </c>
      <c r="DV12" s="491">
        <f>'PUSK ( RUMUS )'!EL17+'PUSK ( RUMUS )'!EL18+'PUSK ( RUMUS )'!EL19+'PUSK ( RUMUS )'!EL20+'PUSK ( RUMUS )'!EL21</f>
        <v>13</v>
      </c>
      <c r="DW12" s="491">
        <f>'PUSK ( RUMUS )'!EM17+'PUSK ( RUMUS )'!EM18+'PUSK ( RUMUS )'!EM19+'PUSK ( RUMUS )'!EM20+'PUSK ( RUMUS )'!EM21</f>
        <v>0</v>
      </c>
      <c r="DX12" s="491">
        <f>'PUSK ( RUMUS )'!EN17+'PUSK ( RUMUS )'!EN18+'PUSK ( RUMUS )'!EN19+'PUSK ( RUMUS )'!EN20+'PUSK ( RUMUS )'!EN21</f>
        <v>0</v>
      </c>
      <c r="DY12" s="491">
        <f>'PUSK ( RUMUS )'!EO17+'PUSK ( RUMUS )'!EO18+'PUSK ( RUMUS )'!EO19+'PUSK ( RUMUS )'!EO20+'PUSK ( RUMUS )'!EO21</f>
        <v>3</v>
      </c>
      <c r="DZ12" s="491">
        <f>'PUSK ( RUMUS )'!EP17+'PUSK ( RUMUS )'!EP18+'PUSK ( RUMUS )'!EP19+'PUSK ( RUMUS )'!EP20+'PUSK ( RUMUS )'!EP21</f>
        <v>12</v>
      </c>
      <c r="EA12" s="491">
        <f>'PUSK ( RUMUS )'!EQ17+'PUSK ( RUMUS )'!EQ18+'PUSK ( RUMUS )'!EQ19+'PUSK ( RUMUS )'!EQ20+'PUSK ( RUMUS )'!EQ21</f>
        <v>0</v>
      </c>
      <c r="EB12" s="491">
        <f>'PUSK ( RUMUS )'!ER17+'PUSK ( RUMUS )'!ER18+'PUSK ( RUMUS )'!ER19+'PUSK ( RUMUS )'!ER20+'PUSK ( RUMUS )'!ER21</f>
        <v>0</v>
      </c>
      <c r="EC12" s="491">
        <f>'PUSK ( RUMUS )'!ES17+'PUSK ( RUMUS )'!ES18+'PUSK ( RUMUS )'!ES19+'PUSK ( RUMUS )'!ES20+'PUSK ( RUMUS )'!ES21</f>
        <v>0</v>
      </c>
      <c r="ED12" s="491">
        <f>'PUSK ( RUMUS )'!ET17+'PUSK ( RUMUS )'!ET18+'PUSK ( RUMUS )'!ET19+'PUSK ( RUMUS )'!ET20+'PUSK ( RUMUS )'!ET21</f>
        <v>1</v>
      </c>
      <c r="EE12" s="491">
        <f>'PUSK ( RUMUS )'!EU17+'PUSK ( RUMUS )'!EU18+'PUSK ( RUMUS )'!EU19+'PUSK ( RUMUS )'!EU20+'PUSK ( RUMUS )'!EU21</f>
        <v>2</v>
      </c>
      <c r="EF12" s="491">
        <f>'PUSK ( RUMUS )'!EV17+'PUSK ( RUMUS )'!EV18+'PUSK ( RUMUS )'!EV19+'PUSK ( RUMUS )'!EV20+'PUSK ( RUMUS )'!EV21</f>
        <v>0</v>
      </c>
      <c r="EG12" s="491">
        <f>'PUSK ( RUMUS )'!EW17+'PUSK ( RUMUS )'!EW18+'PUSK ( RUMUS )'!EW19+'PUSK ( RUMUS )'!EW20+'PUSK ( RUMUS )'!EW21</f>
        <v>18</v>
      </c>
      <c r="EH12" s="491">
        <f>'PUSK ( RUMUS )'!EX17+'PUSK ( RUMUS )'!EX18+'PUSK ( RUMUS )'!EX19+'PUSK ( RUMUS )'!EX20+'PUSK ( RUMUS )'!EX21</f>
        <v>5</v>
      </c>
      <c r="EI12" s="491">
        <f>'PUSK ( RUMUS )'!EY17+'PUSK ( RUMUS )'!EY18+'PUSK ( RUMUS )'!EY19+'PUSK ( RUMUS )'!EY20+'PUSK ( RUMUS )'!EY21</f>
        <v>6955</v>
      </c>
      <c r="EJ12" s="491">
        <f>'PUSK ( RUMUS )'!EZ17+'PUSK ( RUMUS )'!EZ18+'PUSK ( RUMUS )'!EZ19+'PUSK ( RUMUS )'!EZ20+'PUSK ( RUMUS )'!EZ21</f>
        <v>2362</v>
      </c>
      <c r="EK12" s="491">
        <f>'PUSK ( RUMUS )'!FA17+'PUSK ( RUMUS )'!FA18+'PUSK ( RUMUS )'!FA19+'PUSK ( RUMUS )'!FA20+'PUSK ( RUMUS )'!FA21</f>
        <v>6799</v>
      </c>
      <c r="EL12" s="491">
        <f>'PUSK ( RUMUS )'!FB17+'PUSK ( RUMUS )'!FB18+'PUSK ( RUMUS )'!FB19+'PUSK ( RUMUS )'!FB20+'PUSK ( RUMUS )'!FB21</f>
        <v>2327</v>
      </c>
      <c r="EM12" s="491">
        <f>'PUSK ( RUMUS )'!FC17+'PUSK ( RUMUS )'!FC18+'PUSK ( RUMUS )'!FC19+'PUSK ( RUMUS )'!FC20+'PUSK ( RUMUS )'!FC21</f>
        <v>136</v>
      </c>
      <c r="EN12" s="491">
        <f>'PUSK ( RUMUS )'!FD17+'PUSK ( RUMUS )'!FD18+'PUSK ( RUMUS )'!FD19+'PUSK ( RUMUS )'!FD20+'PUSK ( RUMUS )'!FD21</f>
        <v>38</v>
      </c>
      <c r="EO12" s="491">
        <f t="shared" si="2"/>
        <v>98</v>
      </c>
      <c r="EP12" s="491">
        <f>'PUSK ( RUMUS )'!FF17+'PUSK ( RUMUS )'!FF18+'PUSK ( RUMUS )'!FF19+'PUSK ( RUMUS )'!FF20+'PUSK ( RUMUS )'!FF21</f>
        <v>1</v>
      </c>
      <c r="EQ12" s="491">
        <f>'PUSK ( RUMUS )'!FG17+'PUSK ( RUMUS )'!FG18+'PUSK ( RUMUS )'!FG19+'PUSK ( RUMUS )'!FG20+'PUSK ( RUMUS )'!FG21</f>
        <v>6</v>
      </c>
      <c r="ER12" s="491">
        <f>'PUSK ( RUMUS )'!FH17+'PUSK ( RUMUS )'!FH18+'PUSK ( RUMUS )'!FH19+'PUSK ( RUMUS )'!FH20+'PUSK ( RUMUS )'!FH21</f>
        <v>24</v>
      </c>
      <c r="ES12" s="491">
        <f>'PUSK ( RUMUS )'!FI17+'PUSK ( RUMUS )'!FI18+'PUSK ( RUMUS )'!FI19+'PUSK ( RUMUS )'!FI20+'PUSK ( RUMUS )'!FI21</f>
        <v>91</v>
      </c>
      <c r="ET12" s="491">
        <f>'PUSK ( RUMUS )'!FJ17+'PUSK ( RUMUS )'!FJ18+'PUSK ( RUMUS )'!FJ19+'PUSK ( RUMUS )'!FJ20+'PUSK ( RUMUS )'!FJ21</f>
        <v>0</v>
      </c>
      <c r="EU12" s="491">
        <f>'PUSK ( RUMUS )'!FK17+'PUSK ( RUMUS )'!FK18+'PUSK ( RUMUS )'!FK19+'PUSK ( RUMUS )'!FK20+'PUSK ( RUMUS )'!FK21</f>
        <v>1</v>
      </c>
      <c r="EV12" s="491">
        <f>'PUSK ( RUMUS )'!FL17+'PUSK ( RUMUS )'!FL18+'PUSK ( RUMUS )'!FL19+'PUSK ( RUMUS )'!FL20+'PUSK ( RUMUS )'!FL21</f>
        <v>6</v>
      </c>
      <c r="EW12" s="491">
        <f>'PUSK ( RUMUS )'!FM17+'PUSK ( RUMUS )'!FM18+'PUSK ( RUMUS )'!FM19+'PUSK ( RUMUS )'!FM20+'PUSK ( RUMUS )'!FM21</f>
        <v>7</v>
      </c>
      <c r="EX12" s="491">
        <f>'PUSK ( RUMUS )'!FN17+'PUSK ( RUMUS )'!FN18+'PUSK ( RUMUS )'!FN19+'PUSK ( RUMUS )'!FN20+'PUSK ( RUMUS )'!FN21</f>
        <v>2</v>
      </c>
      <c r="EY12" s="491">
        <f>'PUSK ( RUMUS )'!FO17+'PUSK ( RUMUS )'!FO18+'PUSK ( RUMUS )'!FO19+'PUSK ( RUMUS )'!FO20+'PUSK ( RUMUS )'!FO21</f>
        <v>0</v>
      </c>
      <c r="EZ12" s="491">
        <f>'PUSK ( RUMUS )'!FP17+'PUSK ( RUMUS )'!FP18+'PUSK ( RUMUS )'!FP19+'PUSK ( RUMUS )'!FP20+'PUSK ( RUMUS )'!FP21</f>
        <v>1</v>
      </c>
      <c r="FA12" s="491">
        <f>'PUSK ( RUMUS )'!FQ17+'PUSK ( RUMUS )'!FQ18+'PUSK ( RUMUS )'!FQ19+'PUSK ( RUMUS )'!FQ20+'PUSK ( RUMUS )'!FQ21</f>
        <v>3</v>
      </c>
      <c r="FB12" s="491">
        <f>'PUSK ( RUMUS )'!FR17+'PUSK ( RUMUS )'!FR18+'PUSK ( RUMUS )'!FR19+'PUSK ( RUMUS )'!FR20+'PUSK ( RUMUS )'!FR21</f>
        <v>0</v>
      </c>
      <c r="FC12" s="491">
        <f>'PUSK ( RUMUS )'!FS17+'PUSK ( RUMUS )'!FS18+'PUSK ( RUMUS )'!FS19+'PUSK ( RUMUS )'!FS20+'PUSK ( RUMUS )'!FS21</f>
        <v>0</v>
      </c>
      <c r="FD12" s="491">
        <f>'PUSK ( RUMUS )'!FT17+'PUSK ( RUMUS )'!FT18+'PUSK ( RUMUS )'!FT19+'PUSK ( RUMUS )'!FT20+'PUSK ( RUMUS )'!FT21</f>
        <v>1</v>
      </c>
      <c r="FE12" s="491">
        <f>'PUSK ( RUMUS )'!FU17+'PUSK ( RUMUS )'!FU18+'PUSK ( RUMUS )'!FU19+'PUSK ( RUMUS )'!FU20+'PUSK ( RUMUS )'!FU21</f>
        <v>1</v>
      </c>
      <c r="FF12" s="491">
        <f>'PUSK ( RUMUS )'!FV17+'PUSK ( RUMUS )'!FV18+'PUSK ( RUMUS )'!FV19+'PUSK ( RUMUS )'!FV20+'PUSK ( RUMUS )'!FV21</f>
        <v>0</v>
      </c>
      <c r="FG12" s="491">
        <f>'PUSK ( RUMUS )'!FW17+'PUSK ( RUMUS )'!FW18+'PUSK ( RUMUS )'!FW19+'PUSK ( RUMUS )'!FW20+'PUSK ( RUMUS )'!FW21</f>
        <v>0</v>
      </c>
      <c r="FH12" s="491">
        <f>'PUSK ( RUMUS )'!FX17+'PUSK ( RUMUS )'!FX18+'PUSK ( RUMUS )'!FX19+'PUSK ( RUMUS )'!FX20+'PUSK ( RUMUS )'!FX21</f>
        <v>8</v>
      </c>
      <c r="FI12" s="491">
        <f>'PUSK ( RUMUS )'!FY17+'PUSK ( RUMUS )'!FY18+'PUSK ( RUMUS )'!FY19+'PUSK ( RUMUS )'!FY20+'PUSK ( RUMUS )'!FY21</f>
        <v>4</v>
      </c>
      <c r="FJ12" s="491">
        <f>'PUSK ( RUMUS )'!FZ17+'PUSK ( RUMUS )'!FZ18+'PUSK ( RUMUS )'!FZ19+'PUSK ( RUMUS )'!FZ20+'PUSK ( RUMUS )'!FZ21</f>
        <v>6935</v>
      </c>
      <c r="FK12" s="491">
        <f>'PUSK ( RUMUS )'!GA17+'PUSK ( RUMUS )'!GA18+'PUSK ( RUMUS )'!GA19+'PUSK ( RUMUS )'!GA20+'PUSK ( RUMUS )'!GA21</f>
        <v>2355</v>
      </c>
      <c r="FL12" s="491">
        <f>'PUSK ( RUMUS )'!GB17+'PUSK ( RUMUS )'!GB18+'PUSK ( RUMUS )'!GB19+'PUSK ( RUMUS )'!GB20+'PUSK ( RUMUS )'!GB21</f>
        <v>6809</v>
      </c>
      <c r="FM12" s="491">
        <f>'PUSK ( RUMUS )'!GC17+'PUSK ( RUMUS )'!GC18+'PUSK ( RUMUS )'!GC19+'PUSK ( RUMUS )'!GC20+'PUSK ( RUMUS )'!GC21</f>
        <v>2326</v>
      </c>
      <c r="FN12" s="491"/>
      <c r="FO12" s="491"/>
      <c r="FP12" s="491">
        <f>'PUSK ( RUMUS )'!GG17+'PUSK ( RUMUS )'!GG18+'PUSK ( RUMUS )'!GG19+'PUSK ( RUMUS )'!GG20+'PUSK ( RUMUS )'!GG21</f>
        <v>135</v>
      </c>
      <c r="FQ12" s="491">
        <f>'PUSK ( RUMUS )'!GH17+'PUSK ( RUMUS )'!GH18+'PUSK ( RUMUS )'!GH19+'PUSK ( RUMUS )'!GH20+'PUSK ( RUMUS )'!GH21</f>
        <v>44</v>
      </c>
      <c r="FR12" s="491">
        <f t="shared" si="3"/>
        <v>91</v>
      </c>
      <c r="FS12" s="491">
        <f>'PUSK ( RUMUS )'!GJ17+'PUSK ( RUMUS )'!GJ18+'PUSK ( RUMUS )'!GJ19+'PUSK ( RUMUS )'!GJ20+'PUSK ( RUMUS )'!GJ21</f>
        <v>1</v>
      </c>
      <c r="FT12" s="491">
        <f>'PUSK ( RUMUS )'!GK17+'PUSK ( RUMUS )'!GK18+'PUSK ( RUMUS )'!GK19+'PUSK ( RUMUS )'!GK20+'PUSK ( RUMUS )'!GK21</f>
        <v>5</v>
      </c>
      <c r="FU12" s="491">
        <f>'PUSK ( RUMUS )'!GL17+'PUSK ( RUMUS )'!GL18+'PUSK ( RUMUS )'!GL19+'PUSK ( RUMUS )'!GL20+'PUSK ( RUMUS )'!GL21</f>
        <v>30</v>
      </c>
      <c r="FV12" s="491">
        <f>'PUSK ( RUMUS )'!GM17+'PUSK ( RUMUS )'!GM18+'PUSK ( RUMUS )'!GM19+'PUSK ( RUMUS )'!GM20+'PUSK ( RUMUS )'!GM21</f>
        <v>87</v>
      </c>
      <c r="FW12" s="491">
        <f>'PUSK ( RUMUS )'!GN17+'PUSK ( RUMUS )'!GN18+'PUSK ( RUMUS )'!GN19+'PUSK ( RUMUS )'!GN20+'PUSK ( RUMUS )'!GN21</f>
        <v>1</v>
      </c>
      <c r="FX12" s="491">
        <f>'PUSK ( RUMUS )'!GO17+'PUSK ( RUMUS )'!GO18+'PUSK ( RUMUS )'!GO19+'PUSK ( RUMUS )'!GO20+'PUSK ( RUMUS )'!GO21</f>
        <v>1</v>
      </c>
      <c r="FY12" s="491">
        <f>'PUSK ( RUMUS )'!GP17+'PUSK ( RUMUS )'!GP18+'PUSK ( RUMUS )'!GP19+'PUSK ( RUMUS )'!GP20+'PUSK ( RUMUS )'!GP21</f>
        <v>6</v>
      </c>
      <c r="FZ12" s="491">
        <f>'PUSK ( RUMUS )'!GQ17+'PUSK ( RUMUS )'!GQ18+'PUSK ( RUMUS )'!GQ19+'PUSK ( RUMUS )'!GQ20+'PUSK ( RUMUS )'!GQ21</f>
        <v>4</v>
      </c>
      <c r="GA12" s="491">
        <f>'PUSK ( RUMUS )'!GR17+'PUSK ( RUMUS )'!GR18+'PUSK ( RUMUS )'!GR19+'PUSK ( RUMUS )'!GR20+'PUSK ( RUMUS )'!GR21</f>
        <v>0</v>
      </c>
      <c r="GB12" s="491">
        <f>'PUSK ( RUMUS )'!GS17+'PUSK ( RUMUS )'!GS18+'PUSK ( RUMUS )'!GS19+'PUSK ( RUMUS )'!GS20+'PUSK ( RUMUS )'!GS21</f>
        <v>0</v>
      </c>
      <c r="GC12" s="491">
        <f>'PUSK ( RUMUS )'!GT17+'PUSK ( RUMUS )'!GT18+'PUSK ( RUMUS )'!GT19+'PUSK ( RUMUS )'!GT20+'PUSK ( RUMUS )'!GT21</f>
        <v>0</v>
      </c>
      <c r="GD12" s="491">
        <f>'PUSK ( RUMUS )'!GU17+'PUSK ( RUMUS )'!GU18+'PUSK ( RUMUS )'!GU19+'PUSK ( RUMUS )'!GU20+'PUSK ( RUMUS )'!GU21</f>
        <v>12</v>
      </c>
      <c r="GE12" s="491">
        <f>'PUSK ( RUMUS )'!GV17+'PUSK ( RUMUS )'!GV18+'PUSK ( RUMUS )'!GV19+'PUSK ( RUMUS )'!GV20+'PUSK ( RUMUS )'!GV21</f>
        <v>0</v>
      </c>
      <c r="GF12" s="491">
        <f>'PUSK ( RUMUS )'!GW17+'PUSK ( RUMUS )'!GW18+'PUSK ( RUMUS )'!GW19+'PUSK ( RUMUS )'!GW20+'PUSK ( RUMUS )'!GW21</f>
        <v>0</v>
      </c>
      <c r="GG12" s="491">
        <f>'PUSK ( RUMUS )'!GX17+'PUSK ( RUMUS )'!GX18+'PUSK ( RUMUS )'!GX19+'PUSK ( RUMUS )'!GX20+'PUSK ( RUMUS )'!GX21</f>
        <v>1</v>
      </c>
      <c r="GH12" s="491">
        <f>'PUSK ( RUMUS )'!GY17+'PUSK ( RUMUS )'!GY18+'PUSK ( RUMUS )'!GY19+'PUSK ( RUMUS )'!GY20+'PUSK ( RUMUS )'!GY21</f>
        <v>0</v>
      </c>
      <c r="GI12" s="491">
        <f>'PUSK ( RUMUS )'!GZ17+'PUSK ( RUMUS )'!GZ18+'PUSK ( RUMUS )'!GZ19+'PUSK ( RUMUS )'!GZ20+'PUSK ( RUMUS )'!GZ21</f>
        <v>0</v>
      </c>
      <c r="GJ12" s="491">
        <f>'PUSK ( RUMUS )'!HA17+'PUSK ( RUMUS )'!HA18+'PUSK ( RUMUS )'!HA19+'PUSK ( RUMUS )'!HA20+'PUSK ( RUMUS )'!HA21</f>
        <v>0</v>
      </c>
      <c r="GK12" s="491">
        <f>'PUSK ( RUMUS )'!HB17+'PUSK ( RUMUS )'!HB18+'PUSK ( RUMUS )'!HB19+'PUSK ( RUMUS )'!HB20+'PUSK ( RUMUS )'!HB21</f>
        <v>13</v>
      </c>
      <c r="GL12" s="491">
        <f>'PUSK ( RUMUS )'!HC17+'PUSK ( RUMUS )'!HC18+'PUSK ( RUMUS )'!HC19+'PUSK ( RUMUS )'!HC20+'PUSK ( RUMUS )'!HC21</f>
        <v>1</v>
      </c>
      <c r="GM12" s="491">
        <f>'PUSK ( RUMUS )'!HD17+'PUSK ( RUMUS )'!HD18+'PUSK ( RUMUS )'!HD19+'PUSK ( RUMUS )'!HD20+'PUSK ( RUMUS )'!HD21</f>
        <v>6946</v>
      </c>
      <c r="GN12" s="491">
        <f>'PUSK ( RUMUS )'!HE17+'PUSK ( RUMUS )'!HE18+'PUSK ( RUMUS )'!HE19+'PUSK ( RUMUS )'!HE20+'PUSK ( RUMUS )'!HE21</f>
        <v>2363</v>
      </c>
      <c r="GO12" s="491">
        <f>'PUSK ( RUMUS )'!HF17+'PUSK ( RUMUS )'!HF18+'PUSK ( RUMUS )'!HF19+'PUSK ( RUMUS )'!HF20+'PUSK ( RUMUS )'!HF21</f>
        <v>6784</v>
      </c>
      <c r="GP12" s="491">
        <f>'PUSK ( RUMUS )'!HG17+'PUSK ( RUMUS )'!HG18+'PUSK ( RUMUS )'!HG19+'PUSK ( RUMUS )'!HG20+'PUSK ( RUMUS )'!HG21</f>
        <v>2314</v>
      </c>
      <c r="GQ12" s="491"/>
      <c r="GR12" s="491"/>
      <c r="GS12" s="491">
        <f>'PUSK ( RUMUS )'!HK17+'PUSK ( RUMUS )'!HK18+'PUSK ( RUMUS )'!HK19+'PUSK ( RUMUS )'!HK20+'PUSK ( RUMUS )'!HK21</f>
        <v>131</v>
      </c>
      <c r="GT12" s="491">
        <f>'PUSK ( RUMUS )'!HL17+'PUSK ( RUMUS )'!HL18+'PUSK ( RUMUS )'!HL19+'PUSK ( RUMUS )'!HL20+'PUSK ( RUMUS )'!HL21</f>
        <v>50</v>
      </c>
      <c r="GU12" s="491">
        <f t="shared" si="4"/>
        <v>81</v>
      </c>
      <c r="GV12" s="491">
        <f>'PUSK ( RUMUS )'!HN17+'PUSK ( RUMUS )'!HN18+'PUSK ( RUMUS )'!HN19+'PUSK ( RUMUS )'!HN20+'PUSK ( RUMUS )'!HN21</f>
        <v>1</v>
      </c>
      <c r="GW12" s="491">
        <f>'PUSK ( RUMUS )'!HO17+'PUSK ( RUMUS )'!HO18+'PUSK ( RUMUS )'!HO19+'PUSK ( RUMUS )'!HO20+'PUSK ( RUMUS )'!HO21</f>
        <v>5</v>
      </c>
      <c r="GX12" s="491">
        <f>'PUSK ( RUMUS )'!HP17+'PUSK ( RUMUS )'!HP18+'PUSK ( RUMUS )'!HP19+'PUSK ( RUMUS )'!HP20+'PUSK ( RUMUS )'!HP21</f>
        <v>33</v>
      </c>
      <c r="GY12" s="491">
        <f>'PUSK ( RUMUS )'!HQ17+'PUSK ( RUMUS )'!HQ18+'PUSK ( RUMUS )'!HQ19+'PUSK ( RUMUS )'!HQ20+'PUSK ( RUMUS )'!HQ21</f>
        <v>81</v>
      </c>
      <c r="GZ12" s="491">
        <f>'PUSK ( RUMUS )'!HR17+'PUSK ( RUMUS )'!HR18+'PUSK ( RUMUS )'!HR19+'PUSK ( RUMUS )'!HR20+'PUSK ( RUMUS )'!HR21</f>
        <v>0</v>
      </c>
      <c r="HA12" s="491">
        <f>'PUSK ( RUMUS )'!HS17+'PUSK ( RUMUS )'!HS18+'PUSK ( RUMUS )'!HS19+'PUSK ( RUMUS )'!HS20+'PUSK ( RUMUS )'!HS21</f>
        <v>4</v>
      </c>
      <c r="HB12" s="491">
        <f>'PUSK ( RUMUS )'!HT17+'PUSK ( RUMUS )'!HT18+'PUSK ( RUMUS )'!HT19+'PUSK ( RUMUS )'!HT20+'PUSK ( RUMUS )'!HT21</f>
        <v>7</v>
      </c>
      <c r="HC12" s="491">
        <f>'PUSK ( RUMUS )'!HU17+'PUSK ( RUMUS )'!HU18+'PUSK ( RUMUS )'!HU19+'PUSK ( RUMUS )'!HU20+'PUSK ( RUMUS )'!HU21</f>
        <v>0</v>
      </c>
      <c r="HD12" s="491">
        <f>'PUSK ( RUMUS )'!HV17+'PUSK ( RUMUS )'!HV18+'PUSK ( RUMUS )'!HV19+'PUSK ( RUMUS )'!HV20+'PUSK ( RUMUS )'!HV21</f>
        <v>0</v>
      </c>
      <c r="HE12" s="491">
        <f>'PUSK ( RUMUS )'!HW17+'PUSK ( RUMUS )'!HW18+'PUSK ( RUMUS )'!HW19+'PUSK ( RUMUS )'!HW20+'PUSK ( RUMUS )'!HW21</f>
        <v>1</v>
      </c>
      <c r="HF12" s="491">
        <f>'PUSK ( RUMUS )'!HX17+'PUSK ( RUMUS )'!HX18+'PUSK ( RUMUS )'!HX19+'PUSK ( RUMUS )'!HX20+'PUSK ( RUMUS )'!HX21</f>
        <v>3</v>
      </c>
      <c r="HG12" s="491">
        <f>'PUSK ( RUMUS )'!HY17+'PUSK ( RUMUS )'!HY18+'PUSK ( RUMUS )'!HY19+'PUSK ( RUMUS )'!HY20+'PUSK ( RUMUS )'!HY21</f>
        <v>12</v>
      </c>
      <c r="HH12" s="491">
        <f>'PUSK ( RUMUS )'!HZ17+'PUSK ( RUMUS )'!HZ18+'PUSK ( RUMUS )'!HZ19+'PUSK ( RUMUS )'!HZ20+'PUSK ( RUMUS )'!HZ21</f>
        <v>0</v>
      </c>
      <c r="HI12" s="491">
        <f>'PUSK ( RUMUS )'!IA17+'PUSK ( RUMUS )'!IA18+'PUSK ( RUMUS )'!IA19+'PUSK ( RUMUS )'!IA20+'PUSK ( RUMUS )'!IA21</f>
        <v>0</v>
      </c>
      <c r="HJ12" s="491">
        <f>'PUSK ( RUMUS )'!IB17+'PUSK ( RUMUS )'!IB18+'PUSK ( RUMUS )'!IB19+'PUSK ( RUMUS )'!IB20+'PUSK ( RUMUS )'!IB21</f>
        <v>0</v>
      </c>
      <c r="HK12" s="491">
        <f>'PUSK ( RUMUS )'!IC17+'PUSK ( RUMUS )'!IC18+'PUSK ( RUMUS )'!IC19+'PUSK ( RUMUS )'!IC20+'PUSK ( RUMUS )'!IC21</f>
        <v>0</v>
      </c>
      <c r="HL12" s="491">
        <f>'PUSK ( RUMUS )'!ID17+'PUSK ( RUMUS )'!ID18+'PUSK ( RUMUS )'!ID19+'PUSK ( RUMUS )'!ID20+'PUSK ( RUMUS )'!ID21</f>
        <v>0</v>
      </c>
      <c r="HM12" s="491">
        <f>'PUSK ( RUMUS )'!IE17+'PUSK ( RUMUS )'!IE18+'PUSK ( RUMUS )'!IE19+'PUSK ( RUMUS )'!IE20+'PUSK ( RUMUS )'!IE21</f>
        <v>0</v>
      </c>
      <c r="HN12" s="491">
        <f>'PUSK ( RUMUS )'!IF17+'PUSK ( RUMUS )'!IF18+'PUSK ( RUMUS )'!IF19+'PUSK ( RUMUS )'!IF20+'PUSK ( RUMUS )'!IF21</f>
        <v>0</v>
      </c>
      <c r="HO12" s="491">
        <f>'PUSK ( RUMUS )'!IG17+'PUSK ( RUMUS )'!IG18+'PUSK ( RUMUS )'!IG19+'PUSK ( RUMUS )'!IG20+'PUSK ( RUMUS )'!IG21</f>
        <v>0</v>
      </c>
      <c r="HR12" s="198">
        <f t="shared" si="5"/>
        <v>228</v>
      </c>
      <c r="HS12" s="198">
        <f t="shared" si="6"/>
        <v>182</v>
      </c>
      <c r="HT12" s="198">
        <f t="shared" si="7"/>
        <v>190</v>
      </c>
      <c r="HU12" s="198">
        <f t="shared" si="8"/>
        <v>158</v>
      </c>
      <c r="HV12" s="198">
        <f t="shared" si="9"/>
        <v>139</v>
      </c>
      <c r="HW12" s="198">
        <f t="shared" si="10"/>
        <v>123</v>
      </c>
      <c r="HX12" s="574">
        <f t="shared" si="11"/>
        <v>123</v>
      </c>
      <c r="HY12" s="574">
        <f t="shared" si="12"/>
        <v>123</v>
      </c>
      <c r="HZ12" s="634">
        <f t="shared" si="13"/>
        <v>130</v>
      </c>
      <c r="IA12" s="611">
        <f t="shared" si="14"/>
        <v>136</v>
      </c>
      <c r="IB12" s="611">
        <f t="shared" si="15"/>
        <v>135</v>
      </c>
      <c r="IC12" s="611">
        <f t="shared" si="16"/>
        <v>131</v>
      </c>
    </row>
    <row r="13" ht="14.25" customHeight="1">
      <c r="A13" s="158">
        <v>6.0</v>
      </c>
      <c r="B13" s="633" t="s">
        <v>127</v>
      </c>
      <c r="C13" s="158">
        <v>3374130.0</v>
      </c>
      <c r="D13" s="158"/>
      <c r="E13" s="158"/>
      <c r="F13" s="259">
        <f>'PUSK ( RUMUS )'!F22</f>
        <v>65</v>
      </c>
      <c r="G13" s="259">
        <f>'PUSK ( RUMUS )'!G22</f>
        <v>3673</v>
      </c>
      <c r="H13" s="604">
        <f>'PUSK ( RUMUS )'!H22</f>
        <v>134</v>
      </c>
      <c r="I13" s="491">
        <f>'PUSK ( RUMUS )'!K22</f>
        <v>22</v>
      </c>
      <c r="J13" s="491">
        <f>'PUSK ( RUMUS )'!L22</f>
        <v>11</v>
      </c>
      <c r="K13" s="491">
        <f>'PUSK ( RUMUS )'!M22</f>
        <v>35</v>
      </c>
      <c r="L13" s="491">
        <f>'PUSK ( RUMUS )'!N22</f>
        <v>66</v>
      </c>
      <c r="M13" s="491">
        <f>'PUSK ( RUMUS )'!O22</f>
        <v>6</v>
      </c>
      <c r="N13" s="491">
        <f>'PUSK ( RUMUS )'!P22</f>
        <v>68</v>
      </c>
      <c r="O13" s="491">
        <f>'PUSK ( RUMUS )'!Q22</f>
        <v>60</v>
      </c>
      <c r="P13" s="491">
        <f>'PUSK ( RUMUS )'!R22</f>
        <v>36</v>
      </c>
      <c r="Q13" s="491">
        <f>'PUSK ( RUMUS )'!U22</f>
        <v>8</v>
      </c>
      <c r="R13" s="491">
        <f>'PUSK ( RUMUS )'!V22</f>
        <v>3</v>
      </c>
      <c r="S13" s="491">
        <f>'PUSK ( RUMUS )'!W22</f>
        <v>9</v>
      </c>
      <c r="T13" s="491">
        <f>'PUSK ( RUMUS )'!X22</f>
        <v>16</v>
      </c>
      <c r="U13" s="491">
        <f>'PUSK ( RUMUS )'!Y22</f>
        <v>8</v>
      </c>
      <c r="V13" s="491">
        <f>'PUSK ( RUMUS )'!Z22</f>
        <v>4</v>
      </c>
      <c r="W13" s="491">
        <f>'PUSK ( RUMUS )'!AA22</f>
        <v>24</v>
      </c>
      <c r="X13" s="491">
        <f>'PUSK ( RUMUS )'!AB22</f>
        <v>52</v>
      </c>
      <c r="Y13" s="491">
        <f>'PUSK ( RUMUS )'!AE22</f>
        <v>6</v>
      </c>
      <c r="Z13" s="491">
        <f>'PUSK ( RUMUS )'!AF22</f>
        <v>9</v>
      </c>
      <c r="AA13" s="491">
        <f>'PUSK ( RUMUS )'!AG22</f>
        <v>9</v>
      </c>
      <c r="AB13" s="491">
        <f>'PUSK ( RUMUS )'!AH22</f>
        <v>28</v>
      </c>
      <c r="AC13" s="491">
        <f>'PUSK ( RUMUS )'!AI22</f>
        <v>15</v>
      </c>
      <c r="AD13" s="491">
        <f>'PUSK ( RUMUS )'!AJ22</f>
        <v>6</v>
      </c>
      <c r="AE13" s="491">
        <f>'PUSK ( RUMUS )'!AK22</f>
        <v>31</v>
      </c>
      <c r="AF13" s="491">
        <f>'PUSK ( RUMUS )'!AL22</f>
        <v>66</v>
      </c>
      <c r="AG13" s="491">
        <f>'PUSK ( RUMUS )'!AO22</f>
        <v>5</v>
      </c>
      <c r="AH13" s="491">
        <f>'PUSK ( RUMUS )'!AP22</f>
        <v>13</v>
      </c>
      <c r="AI13" s="491">
        <f>'PUSK ( RUMUS )'!AQ22</f>
        <v>15</v>
      </c>
      <c r="AJ13" s="491">
        <f>'PUSK ( RUMUS )'!AR22</f>
        <v>33</v>
      </c>
      <c r="AK13" s="491">
        <f>'PUSK ( RUMUS )'!AS22</f>
        <v>16</v>
      </c>
      <c r="AL13" s="491">
        <f>'PUSK ( RUMUS )'!AT22</f>
        <v>7</v>
      </c>
      <c r="AM13" s="491">
        <f>'PUSK ( RUMUS )'!AU22</f>
        <v>43</v>
      </c>
      <c r="AN13" s="491">
        <f>'PUSK ( RUMUS )'!AV22</f>
        <v>22</v>
      </c>
      <c r="AO13" s="491">
        <f>'PUSK ( RUMUS )'!AY22</f>
        <v>1</v>
      </c>
      <c r="AP13" s="491">
        <f>'PUSK ( RUMUS )'!AZ22</f>
        <v>5</v>
      </c>
      <c r="AQ13" s="491">
        <f>'PUSK ( RUMUS )'!BA22</f>
        <v>6</v>
      </c>
      <c r="AR13" s="491">
        <f>'PUSK ( RUMUS )'!BB22</f>
        <v>10</v>
      </c>
      <c r="AS13" s="491">
        <f>'PUSK ( RUMUS )'!BC22</f>
        <v>3</v>
      </c>
      <c r="AT13" s="491">
        <f>'PUSK ( RUMUS )'!BD22</f>
        <v>0</v>
      </c>
      <c r="AU13" s="491">
        <f>'PUSK ( RUMUS )'!BE22</f>
        <v>19</v>
      </c>
      <c r="AV13" s="491">
        <f>'PUSK ( RUMUS )'!BF22</f>
        <v>3617</v>
      </c>
      <c r="AW13" s="491">
        <f>'PUSK ( RUMUS )'!BG22</f>
        <v>19</v>
      </c>
      <c r="AX13" s="491">
        <f>'PUSK ( RUMUS )'!BJ22</f>
        <v>0</v>
      </c>
      <c r="AY13" s="491">
        <f>'PUSK ( RUMUS )'!BK22</f>
        <v>4</v>
      </c>
      <c r="AZ13" s="491">
        <f>'PUSK ( RUMUS )'!BL22</f>
        <v>7</v>
      </c>
      <c r="BA13" s="491">
        <f>'PUSK ( RUMUS )'!BM22</f>
        <v>6</v>
      </c>
      <c r="BB13" s="491">
        <f>'PUSK ( RUMUS )'!BN22</f>
        <v>2</v>
      </c>
      <c r="BC13" s="491">
        <f>'PUSK ( RUMUS )'!BO22</f>
        <v>0</v>
      </c>
      <c r="BD13" s="491">
        <f>'PUSK ( RUMUS )'!BP22</f>
        <v>0</v>
      </c>
      <c r="BE13" s="491">
        <f>'PUSK ( RUMUS )'!BQ22</f>
        <v>0</v>
      </c>
      <c r="BF13" s="491">
        <f>'PUSK ( RUMUS )'!BR22</f>
        <v>0</v>
      </c>
      <c r="BG13" s="491">
        <f>'PUSK ( RUMUS )'!BS22</f>
        <v>0</v>
      </c>
      <c r="BH13" s="491">
        <f>'PUSK ( RUMUS )'!BT22</f>
        <v>1</v>
      </c>
      <c r="BI13" s="491">
        <f>'PUSK ( RUMUS )'!BU22</f>
        <v>4</v>
      </c>
      <c r="BJ13" s="491">
        <f>'PUSK ( RUMUS )'!BV22</f>
        <v>0</v>
      </c>
      <c r="BK13" s="491">
        <f>'PUSK ( RUMUS )'!BW22</f>
        <v>0</v>
      </c>
      <c r="BL13" s="491">
        <f>'PUSK ( RUMUS )'!BX22</f>
        <v>0</v>
      </c>
      <c r="BM13" s="491">
        <f>'PUSK ( RUMUS )'!BY22</f>
        <v>0</v>
      </c>
      <c r="BN13" s="491">
        <f>'PUSK ( RUMUS )'!BZ22</f>
        <v>0</v>
      </c>
      <c r="BO13" s="491">
        <f>'PUSK ( RUMUS )'!CA22</f>
        <v>0</v>
      </c>
      <c r="BP13" s="491">
        <f>'PUSK ( RUMUS )'!CB22</f>
        <v>5</v>
      </c>
      <c r="BQ13" s="491">
        <f>'PUSK ( RUMUS )'!CC22</f>
        <v>3592</v>
      </c>
      <c r="BR13" s="491">
        <f>'PUSK ( RUMUS )'!CD22</f>
        <v>16</v>
      </c>
      <c r="BS13" s="491">
        <f>'PUSK ( RUMUS )'!CG22</f>
        <v>0</v>
      </c>
      <c r="BT13" s="491">
        <f>'PUSK ( RUMUS )'!CH22</f>
        <v>2</v>
      </c>
      <c r="BU13" s="491">
        <f>'PUSK ( RUMUS )'!CI22</f>
        <v>4</v>
      </c>
      <c r="BV13" s="491">
        <f>'PUSK ( RUMUS )'!CJ22</f>
        <v>1</v>
      </c>
      <c r="BW13" s="491">
        <f>'PUSK ( RUMUS )'!CK22</f>
        <v>3</v>
      </c>
      <c r="BX13" s="491">
        <f>'PUSK ( RUMUS )'!CL22</f>
        <v>0</v>
      </c>
      <c r="BY13" s="491">
        <f>'PUSK ( RUMUS )'!CM22</f>
        <v>0</v>
      </c>
      <c r="BZ13" s="491">
        <f>'PUSK ( RUMUS )'!CN22</f>
        <v>6</v>
      </c>
      <c r="CA13" s="491">
        <f>'PUSK ( RUMUS )'!CO22</f>
        <v>2</v>
      </c>
      <c r="CB13" s="491">
        <f>'PUSK ( RUMUS )'!CP22</f>
        <v>2</v>
      </c>
      <c r="CC13" s="491">
        <f>'PUSK ( RUMUS )'!CQ22</f>
        <v>3</v>
      </c>
      <c r="CD13" s="491">
        <f>'PUSK ( RUMUS )'!CR22</f>
        <v>5</v>
      </c>
      <c r="CE13" s="491">
        <f>'PUSK ( RUMUS )'!CS22</f>
        <v>0</v>
      </c>
      <c r="CF13" s="491">
        <f>'PUSK ( RUMUS )'!CT22</f>
        <v>0</v>
      </c>
      <c r="CG13" s="491">
        <f>'PUSK ( RUMUS )'!CU22</f>
        <v>0</v>
      </c>
      <c r="CH13" s="491">
        <f>'PUSK ( RUMUS )'!CV22</f>
        <v>0</v>
      </c>
      <c r="CI13" s="491">
        <f>'PUSK ( RUMUS )'!CW22</f>
        <v>0</v>
      </c>
      <c r="CJ13" s="491">
        <f>'PUSK ( RUMUS )'!CX22</f>
        <v>0</v>
      </c>
      <c r="CK13" s="491">
        <f>'PUSK ( RUMUS )'!CY22</f>
        <v>12</v>
      </c>
      <c r="CL13" s="491">
        <f>'PUSK ( RUMUS )'!CZ22</f>
        <v>3646</v>
      </c>
      <c r="CM13" s="491">
        <f>'PUSK ( RUMUS )'!DA22</f>
        <v>1053</v>
      </c>
      <c r="CN13" s="491">
        <f>'PUSK ( RUMUS )'!DB22</f>
        <v>26</v>
      </c>
      <c r="CO13" s="491">
        <f>'PUSK ( RUMUS )'!DE22</f>
        <v>0</v>
      </c>
      <c r="CP13" s="491">
        <f>'PUSK ( RUMUS )'!DF22</f>
        <v>0</v>
      </c>
      <c r="CQ13" s="491">
        <f>'PUSK ( RUMUS )'!DG22</f>
        <v>4</v>
      </c>
      <c r="CR13" s="491">
        <f>'PUSK ( RUMUS )'!DH22</f>
        <v>0</v>
      </c>
      <c r="CS13" s="491">
        <f>'PUSK ( RUMUS )'!DI22</f>
        <v>7</v>
      </c>
      <c r="CT13" s="491">
        <f>'PUSK ( RUMUS )'!DJ22</f>
        <v>0</v>
      </c>
      <c r="CU13" s="491">
        <f>'PUSK ( RUMUS )'!DK22</f>
        <v>9</v>
      </c>
      <c r="CV13" s="491">
        <f>'PUSK ( RUMUS )'!DL22</f>
        <v>6</v>
      </c>
      <c r="CW13" s="491">
        <f>'PUSK ( RUMUS )'!DM22</f>
        <v>1</v>
      </c>
      <c r="CX13" s="491">
        <f>'PUSK ( RUMUS )'!DN22</f>
        <v>3</v>
      </c>
      <c r="CY13" s="491">
        <f>'PUSK ( RUMUS )'!DO22</f>
        <v>3</v>
      </c>
      <c r="CZ13" s="491">
        <f>'PUSK ( RUMUS )'!DP22</f>
        <v>6</v>
      </c>
      <c r="DA13" s="491">
        <f>'PUSK ( RUMUS )'!DQ22</f>
        <v>0</v>
      </c>
      <c r="DB13" s="491">
        <f>'PUSK ( RUMUS )'!DR22</f>
        <v>0</v>
      </c>
      <c r="DC13" s="491">
        <f>'PUSK ( RUMUS )'!DS22</f>
        <v>0</v>
      </c>
      <c r="DD13" s="491">
        <f>'PUSK ( RUMUS )'!DT22</f>
        <v>0</v>
      </c>
      <c r="DE13" s="491">
        <f>'PUSK ( RUMUS )'!DU22</f>
        <v>0</v>
      </c>
      <c r="DF13" s="491">
        <f>'PUSK ( RUMUS )'!DV22</f>
        <v>0</v>
      </c>
      <c r="DG13" s="491">
        <f>'PUSK ( RUMUS )'!DW22</f>
        <v>13</v>
      </c>
      <c r="DH13" s="491">
        <f>'PUSK ( RUMUS )'!DX22</f>
        <v>3631</v>
      </c>
      <c r="DI13" s="491">
        <f>'PUSK ( RUMUS )'!DY22</f>
        <v>1065</v>
      </c>
      <c r="DJ13" s="491">
        <f>'PUSK ( RUMUS )'!DZ22</f>
        <v>3618</v>
      </c>
      <c r="DK13" s="491">
        <f>'PUSK ( RUMUS )'!EA22</f>
        <v>1057</v>
      </c>
      <c r="DL13" s="491">
        <f>'PUSK ( RUMUS )'!EB22</f>
        <v>26</v>
      </c>
      <c r="DM13" s="491">
        <f>'PUSK ( RUMUS )'!EC22</f>
        <v>13</v>
      </c>
      <c r="DN13" s="491">
        <f t="shared" si="1"/>
        <v>13</v>
      </c>
      <c r="DO13" s="491">
        <f>'PUSK ( RUMUS )'!EE22</f>
        <v>1</v>
      </c>
      <c r="DP13" s="491">
        <f>'PUSK ( RUMUS )'!EF22</f>
        <v>0</v>
      </c>
      <c r="DQ13" s="491">
        <f>'PUSK ( RUMUS )'!EG22</f>
        <v>6</v>
      </c>
      <c r="DR13" s="491">
        <f>'PUSK ( RUMUS )'!EH22</f>
        <v>4</v>
      </c>
      <c r="DS13" s="491">
        <f>'PUSK ( RUMUS )'!EI22</f>
        <v>2</v>
      </c>
      <c r="DT13" s="491">
        <f>'PUSK ( RUMUS )'!EJ22</f>
        <v>2</v>
      </c>
      <c r="DU13" s="491">
        <f>'PUSK ( RUMUS )'!EK22</f>
        <v>2</v>
      </c>
      <c r="DV13" s="491">
        <f>'PUSK ( RUMUS )'!EL22</f>
        <v>9</v>
      </c>
      <c r="DW13" s="491">
        <f>'PUSK ( RUMUS )'!EM22</f>
        <v>5</v>
      </c>
      <c r="DX13" s="491">
        <f>'PUSK ( RUMUS )'!EN22</f>
        <v>1</v>
      </c>
      <c r="DY13" s="491">
        <f>'PUSK ( RUMUS )'!EO22</f>
        <v>7</v>
      </c>
      <c r="DZ13" s="491">
        <f>'PUSK ( RUMUS )'!EP22</f>
        <v>2</v>
      </c>
      <c r="EA13" s="491">
        <f>'PUSK ( RUMUS )'!EQ22</f>
        <v>0</v>
      </c>
      <c r="EB13" s="491">
        <f>'PUSK ( RUMUS )'!ER22</f>
        <v>0</v>
      </c>
      <c r="EC13" s="491">
        <f>'PUSK ( RUMUS )'!ES22</f>
        <v>0</v>
      </c>
      <c r="ED13" s="491">
        <f>'PUSK ( RUMUS )'!ET22</f>
        <v>0</v>
      </c>
      <c r="EE13" s="491">
        <f>'PUSK ( RUMUS )'!EU22</f>
        <v>0</v>
      </c>
      <c r="EF13" s="491">
        <f>'PUSK ( RUMUS )'!EV22</f>
        <v>0</v>
      </c>
      <c r="EG13" s="491">
        <f>'PUSK ( RUMUS )'!EW22</f>
        <v>15</v>
      </c>
      <c r="EH13" s="491">
        <f>'PUSK ( RUMUS )'!EX22</f>
        <v>13</v>
      </c>
      <c r="EI13" s="491">
        <f>'PUSK ( RUMUS )'!EY22</f>
        <v>3632</v>
      </c>
      <c r="EJ13" s="491">
        <f>'PUSK ( RUMUS )'!EZ22</f>
        <v>1060</v>
      </c>
      <c r="EK13" s="491">
        <f>'PUSK ( RUMUS )'!FA22</f>
        <v>3558</v>
      </c>
      <c r="EL13" s="491">
        <f>'PUSK ( RUMUS )'!FB22</f>
        <v>1012</v>
      </c>
      <c r="EM13" s="491">
        <f>'PUSK ( RUMUS )'!FC22</f>
        <v>33</v>
      </c>
      <c r="EN13" s="491">
        <f>'PUSK ( RUMUS )'!FD22</f>
        <v>14</v>
      </c>
      <c r="EO13" s="491">
        <f t="shared" si="2"/>
        <v>19</v>
      </c>
      <c r="EP13" s="491">
        <f>'PUSK ( RUMUS )'!FF22</f>
        <v>0</v>
      </c>
      <c r="EQ13" s="491">
        <f>'PUSK ( RUMUS )'!FG22</f>
        <v>2</v>
      </c>
      <c r="ER13" s="491">
        <f>'PUSK ( RUMUS )'!FH22</f>
        <v>10</v>
      </c>
      <c r="ES13" s="491">
        <f>'PUSK ( RUMUS )'!FI22</f>
        <v>14</v>
      </c>
      <c r="ET13" s="491">
        <f>'PUSK ( RUMUS )'!FJ22</f>
        <v>2</v>
      </c>
      <c r="EU13" s="491">
        <f>'PUSK ( RUMUS )'!FK22</f>
        <v>0</v>
      </c>
      <c r="EV13" s="491">
        <f>'PUSK ( RUMUS )'!FL22</f>
        <v>0</v>
      </c>
      <c r="EW13" s="491">
        <f>'PUSK ( RUMUS )'!FM22</f>
        <v>5</v>
      </c>
      <c r="EX13" s="491">
        <f>'PUSK ( RUMUS )'!FN22</f>
        <v>0</v>
      </c>
      <c r="EY13" s="491">
        <f>'PUSK ( RUMUS )'!FO22</f>
        <v>1</v>
      </c>
      <c r="EZ13" s="491">
        <f>'PUSK ( RUMUS )'!FP22</f>
        <v>1</v>
      </c>
      <c r="FA13" s="491">
        <f>'PUSK ( RUMUS )'!FQ22</f>
        <v>0</v>
      </c>
      <c r="FB13" s="491">
        <f>'PUSK ( RUMUS )'!FR22</f>
        <v>0</v>
      </c>
      <c r="FC13" s="491">
        <f>'PUSK ( RUMUS )'!FS22</f>
        <v>0</v>
      </c>
      <c r="FD13" s="491">
        <f>'PUSK ( RUMUS )'!FT22</f>
        <v>0</v>
      </c>
      <c r="FE13" s="491">
        <f>'PUSK ( RUMUS )'!FU22</f>
        <v>0</v>
      </c>
      <c r="FF13" s="491">
        <f>'PUSK ( RUMUS )'!FV22</f>
        <v>0</v>
      </c>
      <c r="FG13" s="491">
        <f>'PUSK ( RUMUS )'!FW22</f>
        <v>0</v>
      </c>
      <c r="FH13" s="491">
        <f>'PUSK ( RUMUS )'!FX22</f>
        <v>2</v>
      </c>
      <c r="FI13" s="491">
        <f>'PUSK ( RUMUS )'!FY22</f>
        <v>2</v>
      </c>
      <c r="FJ13" s="491">
        <f>'PUSK ( RUMUS )'!FZ22</f>
        <v>3654</v>
      </c>
      <c r="FK13" s="491">
        <f>'PUSK ( RUMUS )'!GA22</f>
        <v>1049</v>
      </c>
      <c r="FL13" s="491">
        <f>'PUSK ( RUMUS )'!GB22</f>
        <v>3559</v>
      </c>
      <c r="FM13" s="491">
        <f>'PUSK ( RUMUS )'!GC22</f>
        <v>1003</v>
      </c>
      <c r="FN13" s="491"/>
      <c r="FO13" s="491"/>
      <c r="FP13" s="491">
        <f>'PUSK ( RUMUS )'!GG22</f>
        <v>38</v>
      </c>
      <c r="FQ13" s="491">
        <f>'PUSK ( RUMUS )'!GH22</f>
        <v>11</v>
      </c>
      <c r="FR13" s="491">
        <f t="shared" si="3"/>
        <v>27</v>
      </c>
      <c r="FS13" s="491">
        <f>'PUSK ( RUMUS )'!GJ22</f>
        <v>2</v>
      </c>
      <c r="FT13" s="491">
        <f>'PUSK ( RUMUS )'!GK22</f>
        <v>3</v>
      </c>
      <c r="FU13" s="491">
        <f>'PUSK ( RUMUS )'!GL22</f>
        <v>6</v>
      </c>
      <c r="FV13" s="491">
        <f>'PUSK ( RUMUS )'!GM22</f>
        <v>22</v>
      </c>
      <c r="FW13" s="491">
        <f>'PUSK ( RUMUS )'!GN22</f>
        <v>0</v>
      </c>
      <c r="FX13" s="491">
        <f>'PUSK ( RUMUS )'!GO22</f>
        <v>0</v>
      </c>
      <c r="FY13" s="491">
        <f>'PUSK ( RUMUS )'!GP22</f>
        <v>0</v>
      </c>
      <c r="FZ13" s="491">
        <f>'PUSK ( RUMUS )'!GQ22</f>
        <v>5</v>
      </c>
      <c r="GA13" s="491">
        <f>'PUSK ( RUMUS )'!GR22</f>
        <v>0</v>
      </c>
      <c r="GB13" s="491">
        <f>'PUSK ( RUMUS )'!GS22</f>
        <v>0</v>
      </c>
      <c r="GC13" s="491">
        <f>'PUSK ( RUMUS )'!GT22</f>
        <v>0</v>
      </c>
      <c r="GD13" s="491">
        <f>'PUSK ( RUMUS )'!GU22</f>
        <v>0</v>
      </c>
      <c r="GE13" s="491">
        <f>'PUSK ( RUMUS )'!GV22</f>
        <v>0</v>
      </c>
      <c r="GF13" s="491">
        <f>'PUSK ( RUMUS )'!GW22</f>
        <v>0</v>
      </c>
      <c r="GG13" s="491">
        <f>'PUSK ( RUMUS )'!GX22</f>
        <v>0</v>
      </c>
      <c r="GH13" s="491">
        <f>'PUSK ( RUMUS )'!GY22</f>
        <v>0</v>
      </c>
      <c r="GI13" s="491">
        <f>'PUSK ( RUMUS )'!GZ22</f>
        <v>0</v>
      </c>
      <c r="GJ13" s="491">
        <f>'PUSK ( RUMUS )'!HA22</f>
        <v>0</v>
      </c>
      <c r="GK13" s="491">
        <f>'PUSK ( RUMUS )'!HB22</f>
        <v>0</v>
      </c>
      <c r="GL13" s="491">
        <f>'PUSK ( RUMUS )'!HC22</f>
        <v>0</v>
      </c>
      <c r="GM13" s="491">
        <f>'PUSK ( RUMUS )'!HD22</f>
        <v>3644</v>
      </c>
      <c r="GN13" s="491">
        <f>'PUSK ( RUMUS )'!HE22</f>
        <v>1050</v>
      </c>
      <c r="GO13" s="491">
        <f>'PUSK ( RUMUS )'!HF22</f>
        <v>3569</v>
      </c>
      <c r="GP13" s="491">
        <f>'PUSK ( RUMUS )'!HG22</f>
        <v>997</v>
      </c>
      <c r="GQ13" s="491"/>
      <c r="GR13" s="491"/>
      <c r="GS13" s="491">
        <f>'PUSK ( RUMUS )'!HK22</f>
        <v>39</v>
      </c>
      <c r="GT13" s="491">
        <f>'PUSK ( RUMUS )'!HL22</f>
        <v>8</v>
      </c>
      <c r="GU13" s="491">
        <f t="shared" si="4"/>
        <v>31</v>
      </c>
      <c r="GV13" s="491">
        <f>'PUSK ( RUMUS )'!HN22</f>
        <v>0</v>
      </c>
      <c r="GW13" s="491">
        <f>'PUSK ( RUMUS )'!HO22</f>
        <v>2</v>
      </c>
      <c r="GX13" s="491">
        <f>'PUSK ( RUMUS )'!HP22</f>
        <v>6</v>
      </c>
      <c r="GY13" s="491">
        <f>'PUSK ( RUMUS )'!HQ22</f>
        <v>27</v>
      </c>
      <c r="GZ13" s="491">
        <f>'PUSK ( RUMUS )'!HR22</f>
        <v>0</v>
      </c>
      <c r="HA13" s="491">
        <f>'PUSK ( RUMUS )'!HS22</f>
        <v>0</v>
      </c>
      <c r="HB13" s="491">
        <f>'PUSK ( RUMUS )'!HT22</f>
        <v>0</v>
      </c>
      <c r="HC13" s="491">
        <f>'PUSK ( RUMUS )'!HU22</f>
        <v>4</v>
      </c>
      <c r="HD13" s="491">
        <f>'PUSK ( RUMUS )'!HV22</f>
        <v>2</v>
      </c>
      <c r="HE13" s="491">
        <f>'PUSK ( RUMUS )'!HW22</f>
        <v>0</v>
      </c>
      <c r="HF13" s="491">
        <f>'PUSK ( RUMUS )'!HX22</f>
        <v>1</v>
      </c>
      <c r="HG13" s="491">
        <f>'PUSK ( RUMUS )'!HY22</f>
        <v>0</v>
      </c>
      <c r="HH13" s="491">
        <f>'PUSK ( RUMUS )'!HZ22</f>
        <v>0</v>
      </c>
      <c r="HI13" s="491">
        <f>'PUSK ( RUMUS )'!IA22</f>
        <v>0</v>
      </c>
      <c r="HJ13" s="491">
        <f>'PUSK ( RUMUS )'!IB22</f>
        <v>0</v>
      </c>
      <c r="HK13" s="491">
        <f>'PUSK ( RUMUS )'!IC22</f>
        <v>0</v>
      </c>
      <c r="HL13" s="491">
        <f>'PUSK ( RUMUS )'!ID22</f>
        <v>0</v>
      </c>
      <c r="HM13" s="491">
        <f>'PUSK ( RUMUS )'!IE22</f>
        <v>0</v>
      </c>
      <c r="HN13" s="491">
        <f>'PUSK ( RUMUS )'!IF22</f>
        <v>3</v>
      </c>
      <c r="HO13" s="491">
        <f>'PUSK ( RUMUS )'!IG22</f>
        <v>3</v>
      </c>
      <c r="HR13" s="198">
        <f t="shared" si="5"/>
        <v>134</v>
      </c>
      <c r="HS13" s="198">
        <f t="shared" si="6"/>
        <v>36</v>
      </c>
      <c r="HT13" s="198">
        <f t="shared" si="7"/>
        <v>52</v>
      </c>
      <c r="HU13" s="198">
        <f t="shared" si="8"/>
        <v>66</v>
      </c>
      <c r="HV13" s="198">
        <f t="shared" si="9"/>
        <v>22</v>
      </c>
      <c r="HW13" s="198">
        <f t="shared" si="10"/>
        <v>19</v>
      </c>
      <c r="HX13" s="574">
        <f t="shared" si="11"/>
        <v>16</v>
      </c>
      <c r="HY13" s="574">
        <f t="shared" si="12"/>
        <v>26</v>
      </c>
      <c r="HZ13" s="634">
        <f t="shared" si="13"/>
        <v>26</v>
      </c>
      <c r="IA13" s="611">
        <f t="shared" si="14"/>
        <v>33</v>
      </c>
      <c r="IB13" s="611">
        <f t="shared" si="15"/>
        <v>38</v>
      </c>
      <c r="IC13" s="611">
        <f t="shared" si="16"/>
        <v>39</v>
      </c>
    </row>
    <row r="14" ht="14.25" customHeight="1">
      <c r="A14" s="158">
        <v>7.0</v>
      </c>
      <c r="B14" s="633" t="s">
        <v>345</v>
      </c>
      <c r="C14" s="253">
        <v>3374130.0</v>
      </c>
      <c r="D14" s="253"/>
      <c r="E14" s="253"/>
      <c r="F14" s="252">
        <f>'PUSK ( RUMUS )'!F23+'PUSK ( RUMUS )'!F24</f>
        <v>65</v>
      </c>
      <c r="G14" s="252">
        <f>'PUSK ( RUMUS )'!G23+'PUSK ( RUMUS )'!G24</f>
        <v>0</v>
      </c>
      <c r="H14" s="603">
        <f>'PUSK ( RUMUS )'!H23+'PUSK ( RUMUS )'!H24</f>
        <v>37</v>
      </c>
      <c r="I14" s="248">
        <f>'PUSK ( RUMUS )'!K23+'PUSK ( RUMUS )'!K24</f>
        <v>1</v>
      </c>
      <c r="J14" s="248">
        <f>'PUSK ( RUMUS )'!L23+'PUSK ( RUMUS )'!L24</f>
        <v>0</v>
      </c>
      <c r="K14" s="248">
        <f>'PUSK ( RUMUS )'!M23+'PUSK ( RUMUS )'!M24</f>
        <v>11</v>
      </c>
      <c r="L14" s="248">
        <f>'PUSK ( RUMUS )'!N23+'PUSK ( RUMUS )'!N24</f>
        <v>25</v>
      </c>
      <c r="M14" s="248">
        <f>'PUSK ( RUMUS )'!O23+'PUSK ( RUMUS )'!O24</f>
        <v>0</v>
      </c>
      <c r="N14" s="248">
        <f>'PUSK ( RUMUS )'!P23+'PUSK ( RUMUS )'!P24</f>
        <v>2</v>
      </c>
      <c r="O14" s="248">
        <f>'PUSK ( RUMUS )'!Q23+'PUSK ( RUMUS )'!Q24</f>
        <v>35</v>
      </c>
      <c r="P14" s="248">
        <f>'PUSK ( RUMUS )'!R23+'PUSK ( RUMUS )'!R24</f>
        <v>42</v>
      </c>
      <c r="Q14" s="248">
        <f>'PUSK ( RUMUS )'!U23+'PUSK ( RUMUS )'!U24</f>
        <v>0</v>
      </c>
      <c r="R14" s="248">
        <f>'PUSK ( RUMUS )'!V23+'PUSK ( RUMUS )'!V24</f>
        <v>0</v>
      </c>
      <c r="S14" s="248">
        <f>'PUSK ( RUMUS )'!W23+'PUSK ( RUMUS )'!W24</f>
        <v>10</v>
      </c>
      <c r="T14" s="248">
        <f>'PUSK ( RUMUS )'!X23+'PUSK ( RUMUS )'!X24</f>
        <v>32</v>
      </c>
      <c r="U14" s="248">
        <f>'PUSK ( RUMUS )'!Y23+'PUSK ( RUMUS )'!Y24</f>
        <v>7</v>
      </c>
      <c r="V14" s="248">
        <f>'PUSK ( RUMUS )'!Z23+'PUSK ( RUMUS )'!Z24</f>
        <v>4</v>
      </c>
      <c r="W14" s="248">
        <f>'PUSK ( RUMUS )'!AA23+'PUSK ( RUMUS )'!AA24</f>
        <v>31</v>
      </c>
      <c r="X14" s="248">
        <f>'PUSK ( RUMUS )'!AB23+'PUSK ( RUMUS )'!AB24</f>
        <v>39</v>
      </c>
      <c r="Y14" s="248">
        <f>'PUSK ( RUMUS )'!AE23+'PUSK ( RUMUS )'!AE24</f>
        <v>0</v>
      </c>
      <c r="Z14" s="248">
        <f>'PUSK ( RUMUS )'!AF23+'PUSK ( RUMUS )'!AF24</f>
        <v>0</v>
      </c>
      <c r="AA14" s="248">
        <f>'PUSK ( RUMUS )'!AG23+'PUSK ( RUMUS )'!AG24</f>
        <v>8</v>
      </c>
      <c r="AB14" s="248">
        <f>'PUSK ( RUMUS )'!AH23+'PUSK ( RUMUS )'!AH24</f>
        <v>31</v>
      </c>
      <c r="AC14" s="248">
        <f>'PUSK ( RUMUS )'!AI23+'PUSK ( RUMUS )'!AI24</f>
        <v>1</v>
      </c>
      <c r="AD14" s="248">
        <f>'PUSK ( RUMUS )'!AJ23+'PUSK ( RUMUS )'!AJ24</f>
        <v>0</v>
      </c>
      <c r="AE14" s="248">
        <f>'PUSK ( RUMUS )'!AK23+'PUSK ( RUMUS )'!AK24</f>
        <v>38</v>
      </c>
      <c r="AF14" s="248">
        <f>'PUSK ( RUMUS )'!AL23+'PUSK ( RUMUS )'!AL24</f>
        <v>42</v>
      </c>
      <c r="AG14" s="248">
        <f>'PUSK ( RUMUS )'!AO23+'PUSK ( RUMUS )'!AO24</f>
        <v>0</v>
      </c>
      <c r="AH14" s="248">
        <f>'PUSK ( RUMUS )'!AP23+'PUSK ( RUMUS )'!AP24</f>
        <v>0</v>
      </c>
      <c r="AI14" s="248">
        <f>'PUSK ( RUMUS )'!AQ23+'PUSK ( RUMUS )'!AQ24</f>
        <v>9</v>
      </c>
      <c r="AJ14" s="248">
        <f>'PUSK ( RUMUS )'!AR23+'PUSK ( RUMUS )'!AR24</f>
        <v>33</v>
      </c>
      <c r="AK14" s="248">
        <f>'PUSK ( RUMUS )'!AS23+'PUSK ( RUMUS )'!AS24</f>
        <v>2</v>
      </c>
      <c r="AL14" s="248">
        <f>'PUSK ( RUMUS )'!AT23+'PUSK ( RUMUS )'!AT24</f>
        <v>1</v>
      </c>
      <c r="AM14" s="248">
        <f>'PUSK ( RUMUS )'!AU23+'PUSK ( RUMUS )'!AU24</f>
        <v>39</v>
      </c>
      <c r="AN14" s="248">
        <f>'PUSK ( RUMUS )'!AV23+'PUSK ( RUMUS )'!AV24</f>
        <v>38</v>
      </c>
      <c r="AO14" s="248">
        <f>'PUSK ( RUMUS )'!AY23+'PUSK ( RUMUS )'!AY24</f>
        <v>0</v>
      </c>
      <c r="AP14" s="248">
        <f>'PUSK ( RUMUS )'!AZ23+'PUSK ( RUMUS )'!AZ24</f>
        <v>0</v>
      </c>
      <c r="AQ14" s="248">
        <f>'PUSK ( RUMUS )'!BA23+'PUSK ( RUMUS )'!BA24</f>
        <v>9</v>
      </c>
      <c r="AR14" s="248">
        <f>'PUSK ( RUMUS )'!BB23+'PUSK ( RUMUS )'!BB24</f>
        <v>29</v>
      </c>
      <c r="AS14" s="248">
        <f>'PUSK ( RUMUS )'!BC23+'PUSK ( RUMUS )'!BC24</f>
        <v>3</v>
      </c>
      <c r="AT14" s="248">
        <f>'PUSK ( RUMUS )'!BD23+'PUSK ( RUMUS )'!BD24</f>
        <v>4</v>
      </c>
      <c r="AU14" s="248">
        <f>'PUSK ( RUMUS )'!BE23+'PUSK ( RUMUS )'!BE24</f>
        <v>31</v>
      </c>
      <c r="AV14" s="248">
        <f>'PUSK ( RUMUS )'!BF23+'PUSK ( RUMUS )'!BF24</f>
        <v>4172</v>
      </c>
      <c r="AW14" s="248">
        <f>'PUSK ( RUMUS )'!BG23+'PUSK ( RUMUS )'!BG24</f>
        <v>38</v>
      </c>
      <c r="AX14" s="248">
        <f>'PUSK ( RUMUS )'!BJ23+'PUSK ( RUMUS )'!BJ24</f>
        <v>0</v>
      </c>
      <c r="AY14" s="248">
        <f>'PUSK ( RUMUS )'!BK23+'PUSK ( RUMUS )'!BK24</f>
        <v>0</v>
      </c>
      <c r="AZ14" s="248">
        <f>'PUSK ( RUMUS )'!BL23+'PUSK ( RUMUS )'!BL24</f>
        <v>9</v>
      </c>
      <c r="BA14" s="248">
        <f>'PUSK ( RUMUS )'!BM23+'PUSK ( RUMUS )'!BM24</f>
        <v>28</v>
      </c>
      <c r="BB14" s="248">
        <f>'PUSK ( RUMUS )'!BN23+'PUSK ( RUMUS )'!BN24</f>
        <v>0</v>
      </c>
      <c r="BC14" s="248">
        <f>'PUSK ( RUMUS )'!BO23+'PUSK ( RUMUS )'!BO24</f>
        <v>0</v>
      </c>
      <c r="BD14" s="248">
        <f>'PUSK ( RUMUS )'!BP23+'PUSK ( RUMUS )'!BP24</f>
        <v>1</v>
      </c>
      <c r="BE14" s="248">
        <f>'PUSK ( RUMUS )'!BQ23+'PUSK ( RUMUS )'!BQ24</f>
        <v>0</v>
      </c>
      <c r="BF14" s="248">
        <f>'PUSK ( RUMUS )'!BR23+'PUSK ( RUMUS )'!BR24</f>
        <v>0</v>
      </c>
      <c r="BG14" s="248">
        <f>'PUSK ( RUMUS )'!BS23+'PUSK ( RUMUS )'!BS24</f>
        <v>0</v>
      </c>
      <c r="BH14" s="248">
        <f>'PUSK ( RUMUS )'!BT23+'PUSK ( RUMUS )'!BT24</f>
        <v>0</v>
      </c>
      <c r="BI14" s="248">
        <f>'PUSK ( RUMUS )'!BU23+'PUSK ( RUMUS )'!BU24</f>
        <v>1</v>
      </c>
      <c r="BJ14" s="248">
        <f>'PUSK ( RUMUS )'!BV23+'PUSK ( RUMUS )'!BV24</f>
        <v>0</v>
      </c>
      <c r="BK14" s="248">
        <f>'PUSK ( RUMUS )'!BW23+'PUSK ( RUMUS )'!BW24</f>
        <v>0</v>
      </c>
      <c r="BL14" s="248">
        <f>'PUSK ( RUMUS )'!BX23+'PUSK ( RUMUS )'!BX24</f>
        <v>0</v>
      </c>
      <c r="BM14" s="248">
        <f>'PUSK ( RUMUS )'!BY23+'PUSK ( RUMUS )'!BY24</f>
        <v>0</v>
      </c>
      <c r="BN14" s="248">
        <f>'PUSK ( RUMUS )'!BZ23+'PUSK ( RUMUS )'!BZ24</f>
        <v>0</v>
      </c>
      <c r="BO14" s="248">
        <f>'PUSK ( RUMUS )'!CA23+'PUSK ( RUMUS )'!CA24</f>
        <v>0</v>
      </c>
      <c r="BP14" s="248">
        <f>'PUSK ( RUMUS )'!CB23+'PUSK ( RUMUS )'!CB24</f>
        <v>1</v>
      </c>
      <c r="BQ14" s="248">
        <f>'PUSK ( RUMUS )'!CC23+'PUSK ( RUMUS )'!CC24</f>
        <v>4124</v>
      </c>
      <c r="BR14" s="248">
        <f>'PUSK ( RUMUS )'!CD23+'PUSK ( RUMUS )'!CD24</f>
        <v>39</v>
      </c>
      <c r="BS14" s="248">
        <f>'PUSK ( RUMUS )'!CG23+'PUSK ( RUMUS )'!CG24</f>
        <v>0</v>
      </c>
      <c r="BT14" s="248">
        <f>'PUSK ( RUMUS )'!CH23+'PUSK ( RUMUS )'!CH24</f>
        <v>0</v>
      </c>
      <c r="BU14" s="248">
        <f>'PUSK ( RUMUS )'!CI23+'PUSK ( RUMUS )'!CI24</f>
        <v>10</v>
      </c>
      <c r="BV14" s="248">
        <f>'PUSK ( RUMUS )'!CJ23+'PUSK ( RUMUS )'!CJ24</f>
        <v>27</v>
      </c>
      <c r="BW14" s="248">
        <f>'PUSK ( RUMUS )'!CK23+'PUSK ( RUMUS )'!CK24</f>
        <v>0</v>
      </c>
      <c r="BX14" s="248">
        <f>'PUSK ( RUMUS )'!CL23+'PUSK ( RUMUS )'!CL24</f>
        <v>0</v>
      </c>
      <c r="BY14" s="248">
        <f>'PUSK ( RUMUS )'!CM23+'PUSK ( RUMUS )'!CM24</f>
        <v>2</v>
      </c>
      <c r="BZ14" s="248">
        <f>'PUSK ( RUMUS )'!CN23+'PUSK ( RUMUS )'!CN24</f>
        <v>0</v>
      </c>
      <c r="CA14" s="248">
        <f>'PUSK ( RUMUS )'!CO23+'PUSK ( RUMUS )'!CO24</f>
        <v>0</v>
      </c>
      <c r="CB14" s="248">
        <f>'PUSK ( RUMUS )'!CP23+'PUSK ( RUMUS )'!CP24</f>
        <v>0</v>
      </c>
      <c r="CC14" s="248">
        <f>'PUSK ( RUMUS )'!CQ23+'PUSK ( RUMUS )'!CQ24</f>
        <v>0</v>
      </c>
      <c r="CD14" s="248">
        <f>'PUSK ( RUMUS )'!CR23+'PUSK ( RUMUS )'!CR24</f>
        <v>0</v>
      </c>
      <c r="CE14" s="248">
        <f>'PUSK ( RUMUS )'!CS23+'PUSK ( RUMUS )'!CS24</f>
        <v>0</v>
      </c>
      <c r="CF14" s="248">
        <f>'PUSK ( RUMUS )'!CT23+'PUSK ( RUMUS )'!CT24</f>
        <v>0</v>
      </c>
      <c r="CG14" s="248">
        <f>'PUSK ( RUMUS )'!CU23+'PUSK ( RUMUS )'!CU24</f>
        <v>0</v>
      </c>
      <c r="CH14" s="248">
        <f>'PUSK ( RUMUS )'!CV23+'PUSK ( RUMUS )'!CV24</f>
        <v>1</v>
      </c>
      <c r="CI14" s="248">
        <f>'PUSK ( RUMUS )'!CW23+'PUSK ( RUMUS )'!CW24</f>
        <v>0</v>
      </c>
      <c r="CJ14" s="248">
        <f>'PUSK ( RUMUS )'!CX23+'PUSK ( RUMUS )'!CX24</f>
        <v>0</v>
      </c>
      <c r="CK14" s="248">
        <f>'PUSK ( RUMUS )'!CY23+'PUSK ( RUMUS )'!CY24</f>
        <v>1</v>
      </c>
      <c r="CL14" s="248">
        <f>'PUSK ( RUMUS )'!CZ23+'PUSK ( RUMUS )'!CZ24</f>
        <v>4123</v>
      </c>
      <c r="CM14" s="248">
        <f>'PUSK ( RUMUS )'!DA23+'PUSK ( RUMUS )'!DA24</f>
        <v>1366</v>
      </c>
      <c r="CN14" s="248">
        <f>'PUSK ( RUMUS )'!DB23+'PUSK ( RUMUS )'!DB24</f>
        <v>39</v>
      </c>
      <c r="CO14" s="248">
        <f>'PUSK ( RUMUS )'!DE23+'PUSK ( RUMUS )'!DE24</f>
        <v>0</v>
      </c>
      <c r="CP14" s="248">
        <f>'PUSK ( RUMUS )'!DF23+'PUSK ( RUMUS )'!DF24</f>
        <v>0</v>
      </c>
      <c r="CQ14" s="248">
        <f>'PUSK ( RUMUS )'!DG23+'PUSK ( RUMUS )'!DG24</f>
        <v>12</v>
      </c>
      <c r="CR14" s="248">
        <f>'PUSK ( RUMUS )'!DH23+'PUSK ( RUMUS )'!DH24</f>
        <v>24</v>
      </c>
      <c r="CS14" s="248">
        <f>'PUSK ( RUMUS )'!DI23+'PUSK ( RUMUS )'!DI24</f>
        <v>0</v>
      </c>
      <c r="CT14" s="248">
        <f>'PUSK ( RUMUS )'!DJ23+'PUSK ( RUMUS )'!DJ24</f>
        <v>1</v>
      </c>
      <c r="CU14" s="248">
        <f>'PUSK ( RUMUS )'!DK23+'PUSK ( RUMUS )'!DK24</f>
        <v>2</v>
      </c>
      <c r="CV14" s="248">
        <f>'PUSK ( RUMUS )'!DL23+'PUSK ( RUMUS )'!DL24</f>
        <v>0</v>
      </c>
      <c r="CW14" s="248">
        <f>'PUSK ( RUMUS )'!DM23+'PUSK ( RUMUS )'!DM24</f>
        <v>0</v>
      </c>
      <c r="CX14" s="248">
        <f>'PUSK ( RUMUS )'!DN23+'PUSK ( RUMUS )'!DN24</f>
        <v>0</v>
      </c>
      <c r="CY14" s="248">
        <f>'PUSK ( RUMUS )'!DO23+'PUSK ( RUMUS )'!DO24</f>
        <v>0</v>
      </c>
      <c r="CZ14" s="248">
        <f>'PUSK ( RUMUS )'!DP23+'PUSK ( RUMUS )'!DP24</f>
        <v>0</v>
      </c>
      <c r="DA14" s="248">
        <f>'PUSK ( RUMUS )'!DQ23+'PUSK ( RUMUS )'!DQ24</f>
        <v>0</v>
      </c>
      <c r="DB14" s="248">
        <f>'PUSK ( RUMUS )'!DR23+'PUSK ( RUMUS )'!DR24</f>
        <v>0</v>
      </c>
      <c r="DC14" s="248">
        <f>'PUSK ( RUMUS )'!DS23+'PUSK ( RUMUS )'!DS24</f>
        <v>1</v>
      </c>
      <c r="DD14" s="248">
        <f>'PUSK ( RUMUS )'!DT23+'PUSK ( RUMUS )'!DT24</f>
        <v>2</v>
      </c>
      <c r="DE14" s="248">
        <f>'PUSK ( RUMUS )'!DU23+'PUSK ( RUMUS )'!DU24</f>
        <v>0</v>
      </c>
      <c r="DF14" s="248">
        <f>'PUSK ( RUMUS )'!DV23+'PUSK ( RUMUS )'!DV24</f>
        <v>0</v>
      </c>
      <c r="DG14" s="248">
        <f>'PUSK ( RUMUS )'!DW23+'PUSK ( RUMUS )'!DW24</f>
        <v>3</v>
      </c>
      <c r="DH14" s="248">
        <f>'PUSK ( RUMUS )'!DX23+'PUSK ( RUMUS )'!DX24</f>
        <v>3973</v>
      </c>
      <c r="DI14" s="248">
        <f>'PUSK ( RUMUS )'!DY23+'PUSK ( RUMUS )'!DY24</f>
        <v>1353</v>
      </c>
      <c r="DJ14" s="248">
        <f>'PUSK ( RUMUS )'!DZ23+'PUSK ( RUMUS )'!DZ24</f>
        <v>3700</v>
      </c>
      <c r="DK14" s="248">
        <f>'PUSK ( RUMUS )'!EA23+'PUSK ( RUMUS )'!EA24</f>
        <v>1278</v>
      </c>
      <c r="DL14" s="248">
        <f>'PUSK ( RUMUS )'!EB23+'PUSK ( RUMUS )'!EB24</f>
        <v>39</v>
      </c>
      <c r="DM14" s="248">
        <f>'PUSK ( RUMUS )'!EC23+'PUSK ( RUMUS )'!EC24</f>
        <v>8</v>
      </c>
      <c r="DN14" s="491">
        <f t="shared" si="1"/>
        <v>31</v>
      </c>
      <c r="DO14" s="248">
        <f>'PUSK ( RUMUS )'!EE23+'PUSK ( RUMUS )'!EE24</f>
        <v>0</v>
      </c>
      <c r="DP14" s="248">
        <f>'PUSK ( RUMUS )'!EF23+'PUSK ( RUMUS )'!EF24</f>
        <v>0</v>
      </c>
      <c r="DQ14" s="248">
        <f>'PUSK ( RUMUS )'!EG23+'PUSK ( RUMUS )'!EG24</f>
        <v>8</v>
      </c>
      <c r="DR14" s="248">
        <f>'PUSK ( RUMUS )'!EH23+'PUSK ( RUMUS )'!EH24</f>
        <v>29</v>
      </c>
      <c r="DS14" s="248">
        <f>'PUSK ( RUMUS )'!EI23+'PUSK ( RUMUS )'!EI24</f>
        <v>0</v>
      </c>
      <c r="DT14" s="248">
        <f>'PUSK ( RUMUS )'!EJ23+'PUSK ( RUMUS )'!EJ24</f>
        <v>0</v>
      </c>
      <c r="DU14" s="248">
        <f>'PUSK ( RUMUS )'!EK23+'PUSK ( RUMUS )'!EK24</f>
        <v>0</v>
      </c>
      <c r="DV14" s="248">
        <f>'PUSK ( RUMUS )'!EL23+'PUSK ( RUMUS )'!EL24</f>
        <v>2</v>
      </c>
      <c r="DW14" s="248">
        <f>'PUSK ( RUMUS )'!EM23+'PUSK ( RUMUS )'!EM24</f>
        <v>0</v>
      </c>
      <c r="DX14" s="248">
        <f>'PUSK ( RUMUS )'!EN23+'PUSK ( RUMUS )'!EN24</f>
        <v>0</v>
      </c>
      <c r="DY14" s="248">
        <f>'PUSK ( RUMUS )'!EO23+'PUSK ( RUMUS )'!EO24</f>
        <v>1</v>
      </c>
      <c r="DZ14" s="248">
        <f>'PUSK ( RUMUS )'!EP23+'PUSK ( RUMUS )'!EP24</f>
        <v>0</v>
      </c>
      <c r="EA14" s="248">
        <f>'PUSK ( RUMUS )'!EQ23+'PUSK ( RUMUS )'!EQ24</f>
        <v>0</v>
      </c>
      <c r="EB14" s="248">
        <f>'PUSK ( RUMUS )'!ER23+'PUSK ( RUMUS )'!ER24</f>
        <v>0</v>
      </c>
      <c r="EC14" s="248">
        <f>'PUSK ( RUMUS )'!ES23+'PUSK ( RUMUS )'!ES24</f>
        <v>0</v>
      </c>
      <c r="ED14" s="248">
        <f>'PUSK ( RUMUS )'!ET23+'PUSK ( RUMUS )'!ET24</f>
        <v>0</v>
      </c>
      <c r="EE14" s="248">
        <f>'PUSK ( RUMUS )'!EU23+'PUSK ( RUMUS )'!EU24</f>
        <v>0</v>
      </c>
      <c r="EF14" s="248">
        <f>'PUSK ( RUMUS )'!EV23+'PUSK ( RUMUS )'!EV24</f>
        <v>0</v>
      </c>
      <c r="EG14" s="248">
        <f>'PUSK ( RUMUS )'!EW23+'PUSK ( RUMUS )'!EW24</f>
        <v>1</v>
      </c>
      <c r="EH14" s="248">
        <f>'PUSK ( RUMUS )'!EX23+'PUSK ( RUMUS )'!EX24</f>
        <v>1</v>
      </c>
      <c r="EI14" s="248">
        <f>'PUSK ( RUMUS )'!EY23+'PUSK ( RUMUS )'!EY24</f>
        <v>3916</v>
      </c>
      <c r="EJ14" s="248">
        <f>'PUSK ( RUMUS )'!EZ23+'PUSK ( RUMUS )'!EZ24</f>
        <v>1355</v>
      </c>
      <c r="EK14" s="248">
        <f>'PUSK ( RUMUS )'!FA23+'PUSK ( RUMUS )'!FA24</f>
        <v>3722</v>
      </c>
      <c r="EL14" s="248">
        <f>'PUSK ( RUMUS )'!FB23+'PUSK ( RUMUS )'!FB24</f>
        <v>1306</v>
      </c>
      <c r="EM14" s="248">
        <f>'PUSK ( RUMUS )'!FC23+'PUSK ( RUMUS )'!FC24</f>
        <v>37</v>
      </c>
      <c r="EN14" s="248">
        <f>'PUSK ( RUMUS )'!FD23+'PUSK ( RUMUS )'!FD24</f>
        <v>9</v>
      </c>
      <c r="EO14" s="491">
        <f t="shared" si="2"/>
        <v>28</v>
      </c>
      <c r="EP14" s="248">
        <f>'PUSK ( RUMUS )'!FF23+'PUSK ( RUMUS )'!FF24</f>
        <v>0</v>
      </c>
      <c r="EQ14" s="248">
        <f>'PUSK ( RUMUS )'!FG23+'PUSK ( RUMUS )'!FG24</f>
        <v>0</v>
      </c>
      <c r="ER14" s="248">
        <f>'PUSK ( RUMUS )'!FH23+'PUSK ( RUMUS )'!FH24</f>
        <v>7</v>
      </c>
      <c r="ES14" s="248">
        <f>'PUSK ( RUMUS )'!FI23+'PUSK ( RUMUS )'!FI24</f>
        <v>26</v>
      </c>
      <c r="ET14" s="248">
        <f>'PUSK ( RUMUS )'!FJ23+'PUSK ( RUMUS )'!FJ24</f>
        <v>0</v>
      </c>
      <c r="EU14" s="248">
        <f>'PUSK ( RUMUS )'!FK23+'PUSK ( RUMUS )'!FK24</f>
        <v>1</v>
      </c>
      <c r="EV14" s="248">
        <f>'PUSK ( RUMUS )'!FL23+'PUSK ( RUMUS )'!FL24</f>
        <v>1</v>
      </c>
      <c r="EW14" s="248">
        <f>'PUSK ( RUMUS )'!FM23+'PUSK ( RUMUS )'!FM24</f>
        <v>2</v>
      </c>
      <c r="EX14" s="248">
        <f>'PUSK ( RUMUS )'!FN23+'PUSK ( RUMUS )'!FN24</f>
        <v>0</v>
      </c>
      <c r="EY14" s="248">
        <f>'PUSK ( RUMUS )'!FO23+'PUSK ( RUMUS )'!FO24</f>
        <v>0</v>
      </c>
      <c r="EZ14" s="248">
        <f>'PUSK ( RUMUS )'!FP23+'PUSK ( RUMUS )'!FP24</f>
        <v>0</v>
      </c>
      <c r="FA14" s="248">
        <f>'PUSK ( RUMUS )'!FQ23+'PUSK ( RUMUS )'!FQ24</f>
        <v>4</v>
      </c>
      <c r="FB14" s="248">
        <f>'PUSK ( RUMUS )'!FR23+'PUSK ( RUMUS )'!FR24</f>
        <v>0</v>
      </c>
      <c r="FC14" s="248">
        <f>'PUSK ( RUMUS )'!FS23+'PUSK ( RUMUS )'!FS24</f>
        <v>0</v>
      </c>
      <c r="FD14" s="248">
        <f>'PUSK ( RUMUS )'!FT23+'PUSK ( RUMUS )'!FT24</f>
        <v>0</v>
      </c>
      <c r="FE14" s="248">
        <f>'PUSK ( RUMUS )'!FU23+'PUSK ( RUMUS )'!FU24</f>
        <v>0</v>
      </c>
      <c r="FF14" s="248">
        <f>'PUSK ( RUMUS )'!FV23+'PUSK ( RUMUS )'!FV24</f>
        <v>1</v>
      </c>
      <c r="FG14" s="248">
        <f>'PUSK ( RUMUS )'!FW23+'PUSK ( RUMUS )'!FW24</f>
        <v>0</v>
      </c>
      <c r="FH14" s="248">
        <f>'PUSK ( RUMUS )'!FX23+'PUSK ( RUMUS )'!FX24</f>
        <v>5</v>
      </c>
      <c r="FI14" s="248">
        <f>'PUSK ( RUMUS )'!FY23+'PUSK ( RUMUS )'!FY24</f>
        <v>0</v>
      </c>
      <c r="FJ14" s="248">
        <f>'PUSK ( RUMUS )'!FZ23+'PUSK ( RUMUS )'!FZ24</f>
        <v>3908</v>
      </c>
      <c r="FK14" s="248">
        <f>'PUSK ( RUMUS )'!GA23+'PUSK ( RUMUS )'!GA24</f>
        <v>1374</v>
      </c>
      <c r="FL14" s="248">
        <f>'PUSK ( RUMUS )'!GB23+'PUSK ( RUMUS )'!GB24</f>
        <v>3721</v>
      </c>
      <c r="FM14" s="248">
        <f>'PUSK ( RUMUS )'!GC23+'PUSK ( RUMUS )'!GC24</f>
        <v>1327</v>
      </c>
      <c r="FN14" s="248"/>
      <c r="FO14" s="248"/>
      <c r="FP14" s="248">
        <f>'PUSK ( RUMUS )'!GG23+'PUSK ( RUMUS )'!GG24</f>
        <v>35</v>
      </c>
      <c r="FQ14" s="248">
        <f>'PUSK ( RUMUS )'!GH23+'PUSK ( RUMUS )'!GH24</f>
        <v>8</v>
      </c>
      <c r="FR14" s="491">
        <f t="shared" si="3"/>
        <v>27</v>
      </c>
      <c r="FS14" s="248">
        <f>'PUSK ( RUMUS )'!GJ23+'PUSK ( RUMUS )'!GJ24</f>
        <v>0</v>
      </c>
      <c r="FT14" s="248">
        <f>'PUSK ( RUMUS )'!GK23+'PUSK ( RUMUS )'!GK24</f>
        <v>0</v>
      </c>
      <c r="FU14" s="248">
        <f>'PUSK ( RUMUS )'!GL23+'PUSK ( RUMUS )'!GL24</f>
        <v>8</v>
      </c>
      <c r="FV14" s="248">
        <f>'PUSK ( RUMUS )'!GM23+'PUSK ( RUMUS )'!GM24</f>
        <v>27</v>
      </c>
      <c r="FW14" s="248">
        <f>'PUSK ( RUMUS )'!GN23+'PUSK ( RUMUS )'!GN24</f>
        <v>0</v>
      </c>
      <c r="FX14" s="248">
        <f>'PUSK ( RUMUS )'!GO23+'PUSK ( RUMUS )'!GO24</f>
        <v>0</v>
      </c>
      <c r="FY14" s="248">
        <f>'PUSK ( RUMUS )'!GP23+'PUSK ( RUMUS )'!GP24</f>
        <v>0</v>
      </c>
      <c r="FZ14" s="248">
        <f>'PUSK ( RUMUS )'!GQ23+'PUSK ( RUMUS )'!GQ24</f>
        <v>0</v>
      </c>
      <c r="GA14" s="248">
        <f>'PUSK ( RUMUS )'!GR23+'PUSK ( RUMUS )'!GR24</f>
        <v>0</v>
      </c>
      <c r="GB14" s="248">
        <f>'PUSK ( RUMUS )'!GS23+'PUSK ( RUMUS )'!GS24</f>
        <v>0</v>
      </c>
      <c r="GC14" s="248">
        <f>'PUSK ( RUMUS )'!GT23+'PUSK ( RUMUS )'!GT24</f>
        <v>0</v>
      </c>
      <c r="GD14" s="248">
        <f>'PUSK ( RUMUS )'!GU23+'PUSK ( RUMUS )'!GU24</f>
        <v>1</v>
      </c>
      <c r="GE14" s="248">
        <f>'PUSK ( RUMUS )'!GV23+'PUSK ( RUMUS )'!GV24</f>
        <v>0</v>
      </c>
      <c r="GF14" s="248">
        <f>'PUSK ( RUMUS )'!GW23+'PUSK ( RUMUS )'!GW24</f>
        <v>0</v>
      </c>
      <c r="GG14" s="248">
        <f>'PUSK ( RUMUS )'!GX23+'PUSK ( RUMUS )'!GX24</f>
        <v>0</v>
      </c>
      <c r="GH14" s="248">
        <f>'PUSK ( RUMUS )'!GY23+'PUSK ( RUMUS )'!GY24</f>
        <v>0</v>
      </c>
      <c r="GI14" s="248">
        <f>'PUSK ( RUMUS )'!GZ23+'PUSK ( RUMUS )'!GZ24</f>
        <v>1</v>
      </c>
      <c r="GJ14" s="248">
        <f>'PUSK ( RUMUS )'!HA23+'PUSK ( RUMUS )'!HA24</f>
        <v>0</v>
      </c>
      <c r="GK14" s="248">
        <f>'PUSK ( RUMUS )'!HB23+'PUSK ( RUMUS )'!HB24</f>
        <v>2</v>
      </c>
      <c r="GL14" s="248">
        <f>'PUSK ( RUMUS )'!HC23+'PUSK ( RUMUS )'!HC24</f>
        <v>0</v>
      </c>
      <c r="GM14" s="248">
        <f>'PUSK ( RUMUS )'!HD23+'PUSK ( RUMUS )'!HD24</f>
        <v>3822</v>
      </c>
      <c r="GN14" s="248">
        <f>'PUSK ( RUMUS )'!HE23+'PUSK ( RUMUS )'!HE24</f>
        <v>1244</v>
      </c>
      <c r="GO14" s="248">
        <f>'PUSK ( RUMUS )'!HF23+'PUSK ( RUMUS )'!HF24</f>
        <v>3623</v>
      </c>
      <c r="GP14" s="248">
        <f>'PUSK ( RUMUS )'!HG23+'PUSK ( RUMUS )'!HG24</f>
        <v>1092</v>
      </c>
      <c r="GQ14" s="248"/>
      <c r="GR14" s="248"/>
      <c r="GS14" s="248">
        <f>'PUSK ( RUMUS )'!HK23+'PUSK ( RUMUS )'!HK24</f>
        <v>34</v>
      </c>
      <c r="GT14" s="248">
        <f>'PUSK ( RUMUS )'!HL23+'PUSK ( RUMUS )'!HL24</f>
        <v>5</v>
      </c>
      <c r="GU14" s="491">
        <f t="shared" si="4"/>
        <v>29</v>
      </c>
      <c r="GV14" s="248">
        <f>'PUSK ( RUMUS )'!HN23+'PUSK ( RUMUS )'!HN24</f>
        <v>0</v>
      </c>
      <c r="GW14" s="248">
        <f>'PUSK ( RUMUS )'!HO23+'PUSK ( RUMUS )'!HO24</f>
        <v>1</v>
      </c>
      <c r="GX14" s="248">
        <f>'PUSK ( RUMUS )'!HP23+'PUSK ( RUMUS )'!HP24</f>
        <v>4</v>
      </c>
      <c r="GY14" s="248">
        <f>'PUSK ( RUMUS )'!HQ23+'PUSK ( RUMUS )'!HQ24</f>
        <v>28</v>
      </c>
      <c r="GZ14" s="248">
        <f>'PUSK ( RUMUS )'!HR23+'PUSK ( RUMUS )'!HR24</f>
        <v>0</v>
      </c>
      <c r="HA14" s="248">
        <f>'PUSK ( RUMUS )'!HS23+'PUSK ( RUMUS )'!HS24</f>
        <v>0</v>
      </c>
      <c r="HB14" s="248">
        <f>'PUSK ( RUMUS )'!HT23+'PUSK ( RUMUS )'!HT24</f>
        <v>0</v>
      </c>
      <c r="HC14" s="248">
        <f>'PUSK ( RUMUS )'!HU23+'PUSK ( RUMUS )'!HU24</f>
        <v>1</v>
      </c>
      <c r="HD14" s="248">
        <f>'PUSK ( RUMUS )'!HV23+'PUSK ( RUMUS )'!HV24</f>
        <v>0</v>
      </c>
      <c r="HE14" s="248">
        <f>'PUSK ( RUMUS )'!HW23+'PUSK ( RUMUS )'!HW24</f>
        <v>0</v>
      </c>
      <c r="HF14" s="248">
        <f>'PUSK ( RUMUS )'!HX23+'PUSK ( RUMUS )'!HX24</f>
        <v>0</v>
      </c>
      <c r="HG14" s="248">
        <f>'PUSK ( RUMUS )'!HY23+'PUSK ( RUMUS )'!HY24</f>
        <v>1</v>
      </c>
      <c r="HH14" s="248">
        <f>'PUSK ( RUMUS )'!HZ23+'PUSK ( RUMUS )'!HZ24</f>
        <v>0</v>
      </c>
      <c r="HI14" s="248">
        <f>'PUSK ( RUMUS )'!IA23+'PUSK ( RUMUS )'!IA24</f>
        <v>0</v>
      </c>
      <c r="HJ14" s="248">
        <f>'PUSK ( RUMUS )'!IB23+'PUSK ( RUMUS )'!IB24</f>
        <v>0</v>
      </c>
      <c r="HK14" s="248">
        <f>'PUSK ( RUMUS )'!IC23+'PUSK ( RUMUS )'!IC24</f>
        <v>0</v>
      </c>
      <c r="HL14" s="248">
        <f>'PUSK ( RUMUS )'!ID23+'PUSK ( RUMUS )'!ID24</f>
        <v>1</v>
      </c>
      <c r="HM14" s="248">
        <f>'PUSK ( RUMUS )'!IE23+'PUSK ( RUMUS )'!IE24</f>
        <v>0</v>
      </c>
      <c r="HN14" s="248">
        <f>'PUSK ( RUMUS )'!IF23+'PUSK ( RUMUS )'!IF24</f>
        <v>2</v>
      </c>
      <c r="HO14" s="248">
        <f>'PUSK ( RUMUS )'!IG23+'PUSK ( RUMUS )'!IG24</f>
        <v>0</v>
      </c>
      <c r="HR14" s="198">
        <f t="shared" si="5"/>
        <v>37</v>
      </c>
      <c r="HS14" s="198">
        <f t="shared" si="6"/>
        <v>42</v>
      </c>
      <c r="HT14" s="198">
        <f t="shared" si="7"/>
        <v>39</v>
      </c>
      <c r="HU14" s="198">
        <f t="shared" si="8"/>
        <v>42</v>
      </c>
      <c r="HV14" s="198">
        <f t="shared" si="9"/>
        <v>38</v>
      </c>
      <c r="HW14" s="198">
        <f t="shared" si="10"/>
        <v>38</v>
      </c>
      <c r="HX14" s="574">
        <f t="shared" si="11"/>
        <v>39</v>
      </c>
      <c r="HY14" s="574">
        <f t="shared" si="12"/>
        <v>39</v>
      </c>
      <c r="HZ14" s="634">
        <f t="shared" si="13"/>
        <v>39</v>
      </c>
      <c r="IA14" s="611">
        <f t="shared" si="14"/>
        <v>37</v>
      </c>
      <c r="IB14" s="611">
        <f t="shared" si="15"/>
        <v>35</v>
      </c>
      <c r="IC14" s="611">
        <f t="shared" si="16"/>
        <v>34</v>
      </c>
    </row>
    <row r="15" ht="14.25" customHeight="1">
      <c r="A15" s="158">
        <v>8.0</v>
      </c>
      <c r="B15" s="633" t="s">
        <v>187</v>
      </c>
      <c r="C15" s="253">
        <v>3374130.0</v>
      </c>
      <c r="D15" s="253"/>
      <c r="E15" s="253"/>
      <c r="F15" s="252">
        <f>'PUSK ( RUMUS )'!F25</f>
        <v>48</v>
      </c>
      <c r="G15" s="252">
        <f>'PUSK ( RUMUS )'!G25</f>
        <v>2307</v>
      </c>
      <c r="H15" s="324">
        <f>'PUSK ( RUMUS )'!H25</f>
        <v>51</v>
      </c>
      <c r="I15" s="248">
        <f>'PUSK ( RUMUS )'!K25</f>
        <v>0</v>
      </c>
      <c r="J15" s="248">
        <f>'PUSK ( RUMUS )'!L25</f>
        <v>2</v>
      </c>
      <c r="K15" s="248">
        <f>'PUSK ( RUMUS )'!M25</f>
        <v>12</v>
      </c>
      <c r="L15" s="248">
        <f>'PUSK ( RUMUS )'!N25</f>
        <v>37</v>
      </c>
      <c r="M15" s="248">
        <f>'PUSK ( RUMUS )'!O25</f>
        <v>0</v>
      </c>
      <c r="N15" s="248">
        <f>'PUSK ( RUMUS )'!P25</f>
        <v>0</v>
      </c>
      <c r="O15" s="248">
        <f>'PUSK ( RUMUS )'!Q25</f>
        <v>51</v>
      </c>
      <c r="P15" s="248">
        <f>'PUSK ( RUMUS )'!R25</f>
        <v>51</v>
      </c>
      <c r="Q15" s="248">
        <f>'PUSK ( RUMUS )'!U25</f>
        <v>0</v>
      </c>
      <c r="R15" s="248">
        <f>'PUSK ( RUMUS )'!V25</f>
        <v>2</v>
      </c>
      <c r="S15" s="248">
        <f>'PUSK ( RUMUS )'!W25</f>
        <v>12</v>
      </c>
      <c r="T15" s="248">
        <f>'PUSK ( RUMUS )'!X25</f>
        <v>37</v>
      </c>
      <c r="U15" s="248">
        <f>'PUSK ( RUMUS )'!Y25</f>
        <v>0</v>
      </c>
      <c r="V15" s="248">
        <f>'PUSK ( RUMUS )'!Z25</f>
        <v>0</v>
      </c>
      <c r="W15" s="248">
        <f>'PUSK ( RUMUS )'!AA25</f>
        <v>51</v>
      </c>
      <c r="X15" s="248">
        <f>'PUSK ( RUMUS )'!AB25</f>
        <v>53</v>
      </c>
      <c r="Y15" s="248">
        <f>'PUSK ( RUMUS )'!AE25</f>
        <v>3</v>
      </c>
      <c r="Z15" s="248">
        <f>'PUSK ( RUMUS )'!AF25</f>
        <v>1</v>
      </c>
      <c r="AA15" s="248">
        <f>'PUSK ( RUMUS )'!AG25</f>
        <v>10</v>
      </c>
      <c r="AB15" s="248">
        <f>'PUSK ( RUMUS )'!AH25</f>
        <v>39</v>
      </c>
      <c r="AC15" s="248">
        <f>'PUSK ( RUMUS )'!AI25</f>
        <v>6</v>
      </c>
      <c r="AD15" s="248">
        <f>'PUSK ( RUMUS )'!AJ25</f>
        <v>4</v>
      </c>
      <c r="AE15" s="248">
        <f>'PUSK ( RUMUS )'!AK25</f>
        <v>43</v>
      </c>
      <c r="AF15" s="248">
        <f>'PUSK ( RUMUS )'!AL25</f>
        <v>50</v>
      </c>
      <c r="AG15" s="248">
        <f>'PUSK ( RUMUS )'!AO25</f>
        <v>2</v>
      </c>
      <c r="AH15" s="248">
        <f>'PUSK ( RUMUS )'!AP25</f>
        <v>4</v>
      </c>
      <c r="AI15" s="248">
        <f>'PUSK ( RUMUS )'!AQ25</f>
        <v>12</v>
      </c>
      <c r="AJ15" s="248">
        <f>'PUSK ( RUMUS )'!AR25</f>
        <v>32</v>
      </c>
      <c r="AK15" s="248">
        <f>'PUSK ( RUMUS )'!AS25</f>
        <v>1</v>
      </c>
      <c r="AL15" s="248">
        <f>'PUSK ( RUMUS )'!AT25</f>
        <v>3</v>
      </c>
      <c r="AM15" s="248">
        <f>'PUSK ( RUMUS )'!AU25</f>
        <v>46</v>
      </c>
      <c r="AN15" s="248">
        <f>'PUSK ( RUMUS )'!AV25</f>
        <v>39</v>
      </c>
      <c r="AO15" s="248">
        <f>'PUSK ( RUMUS )'!AY25</f>
        <v>1</v>
      </c>
      <c r="AP15" s="248">
        <f>'PUSK ( RUMUS )'!AZ25</f>
        <v>4</v>
      </c>
      <c r="AQ15" s="248">
        <f>'PUSK ( RUMUS )'!BA25</f>
        <v>11</v>
      </c>
      <c r="AR15" s="248">
        <f>'PUSK ( RUMUS )'!BB25</f>
        <v>23</v>
      </c>
      <c r="AS15" s="248">
        <f>'PUSK ( RUMUS )'!BC25</f>
        <v>0</v>
      </c>
      <c r="AT15" s="248">
        <f>'PUSK ( RUMUS )'!BD25</f>
        <v>1</v>
      </c>
      <c r="AU15" s="248">
        <f>'PUSK ( RUMUS )'!BE25</f>
        <v>38</v>
      </c>
      <c r="AV15" s="248">
        <f>'PUSK ( RUMUS )'!BF25</f>
        <v>2265</v>
      </c>
      <c r="AW15" s="248">
        <f>'PUSK ( RUMUS )'!BG25</f>
        <v>45</v>
      </c>
      <c r="AX15" s="248">
        <f>'PUSK ( RUMUS )'!BJ25</f>
        <v>1</v>
      </c>
      <c r="AY15" s="248">
        <f>'PUSK ( RUMUS )'!BK25</f>
        <v>0</v>
      </c>
      <c r="AZ15" s="248">
        <f>'PUSK ( RUMUS )'!BL25</f>
        <v>5</v>
      </c>
      <c r="BA15" s="248">
        <f>'PUSK ( RUMUS )'!BM25</f>
        <v>38</v>
      </c>
      <c r="BB15" s="248">
        <f>'PUSK ( RUMUS )'!BN25</f>
        <v>0</v>
      </c>
      <c r="BC15" s="248">
        <f>'PUSK ( RUMUS )'!BO25</f>
        <v>1</v>
      </c>
      <c r="BD15" s="248">
        <f>'PUSK ( RUMUS )'!BP25</f>
        <v>0</v>
      </c>
      <c r="BE15" s="248">
        <f>'PUSK ( RUMUS )'!BQ25</f>
        <v>0</v>
      </c>
      <c r="BF15" s="248">
        <f>'PUSK ( RUMUS )'!BR25</f>
        <v>0</v>
      </c>
      <c r="BG15" s="248">
        <f>'PUSK ( RUMUS )'!BS25</f>
        <v>0</v>
      </c>
      <c r="BH15" s="248">
        <f>'PUSK ( RUMUS )'!BT25</f>
        <v>0</v>
      </c>
      <c r="BI15" s="248">
        <f>'PUSK ( RUMUS )'!BU25</f>
        <v>0</v>
      </c>
      <c r="BJ15" s="248">
        <f>'PUSK ( RUMUS )'!BV25</f>
        <v>0</v>
      </c>
      <c r="BK15" s="248">
        <f>'PUSK ( RUMUS )'!BW25</f>
        <v>0</v>
      </c>
      <c r="BL15" s="248">
        <f>'PUSK ( RUMUS )'!BX25</f>
        <v>0</v>
      </c>
      <c r="BM15" s="248">
        <f>'PUSK ( RUMUS )'!BY25</f>
        <v>0</v>
      </c>
      <c r="BN15" s="248">
        <f>'PUSK ( RUMUS )'!BZ25</f>
        <v>0</v>
      </c>
      <c r="BO15" s="248">
        <f>'PUSK ( RUMUS )'!CA25</f>
        <v>0</v>
      </c>
      <c r="BP15" s="248">
        <f>'PUSK ( RUMUS )'!CB25</f>
        <v>0</v>
      </c>
      <c r="BQ15" s="248">
        <f>'PUSK ( RUMUS )'!CC25</f>
        <v>2283</v>
      </c>
      <c r="BR15" s="248">
        <f>'PUSK ( RUMUS )'!CD25</f>
        <v>43</v>
      </c>
      <c r="BS15" s="248">
        <f>'PUSK ( RUMUS )'!CG25</f>
        <v>0</v>
      </c>
      <c r="BT15" s="248">
        <f>'PUSK ( RUMUS )'!CH25</f>
        <v>1</v>
      </c>
      <c r="BU15" s="248">
        <f>'PUSK ( RUMUS )'!CI25</f>
        <v>2</v>
      </c>
      <c r="BV15" s="248">
        <f>'PUSK ( RUMUS )'!CJ25</f>
        <v>39</v>
      </c>
      <c r="BW15" s="248">
        <f>'PUSK ( RUMUS )'!CK25</f>
        <v>0</v>
      </c>
      <c r="BX15" s="248">
        <f>'PUSK ( RUMUS )'!CL25</f>
        <v>0</v>
      </c>
      <c r="BY15" s="248">
        <f>'PUSK ( RUMUS )'!CM25</f>
        <v>0</v>
      </c>
      <c r="BZ15" s="248">
        <f>'PUSK ( RUMUS )'!CN25</f>
        <v>1</v>
      </c>
      <c r="CA15" s="248">
        <f>'PUSK ( RUMUS )'!CO25</f>
        <v>0</v>
      </c>
      <c r="CB15" s="248">
        <f>'PUSK ( RUMUS )'!CP25</f>
        <v>0</v>
      </c>
      <c r="CC15" s="248">
        <f>'PUSK ( RUMUS )'!CQ25</f>
        <v>0</v>
      </c>
      <c r="CD15" s="248">
        <f>'PUSK ( RUMUS )'!CR25</f>
        <v>0</v>
      </c>
      <c r="CE15" s="248">
        <f>'PUSK ( RUMUS )'!CS25</f>
        <v>0</v>
      </c>
      <c r="CF15" s="248">
        <f>'PUSK ( RUMUS )'!CT25</f>
        <v>0</v>
      </c>
      <c r="CG15" s="248">
        <f>'PUSK ( RUMUS )'!CU25</f>
        <v>0</v>
      </c>
      <c r="CH15" s="248">
        <f>'PUSK ( RUMUS )'!CV25</f>
        <v>0</v>
      </c>
      <c r="CI15" s="248">
        <f>'PUSK ( RUMUS )'!CW25</f>
        <v>0</v>
      </c>
      <c r="CJ15" s="248">
        <f>'PUSK ( RUMUS )'!CX25</f>
        <v>0</v>
      </c>
      <c r="CK15" s="248">
        <f>'PUSK ( RUMUS )'!CY25</f>
        <v>0</v>
      </c>
      <c r="CL15" s="248">
        <f>'PUSK ( RUMUS )'!CZ25</f>
        <v>2277</v>
      </c>
      <c r="CM15" s="248">
        <f>'PUSK ( RUMUS )'!DA25</f>
        <v>799</v>
      </c>
      <c r="CN15" s="248">
        <f>'PUSK ( RUMUS )'!DB25</f>
        <v>42</v>
      </c>
      <c r="CO15" s="248">
        <f>'PUSK ( RUMUS )'!DE25</f>
        <v>0</v>
      </c>
      <c r="CP15" s="248">
        <f>'PUSK ( RUMUS )'!DF25</f>
        <v>1</v>
      </c>
      <c r="CQ15" s="248">
        <f>'PUSK ( RUMUS )'!DG25</f>
        <v>2</v>
      </c>
      <c r="CR15" s="248">
        <f>'PUSK ( RUMUS )'!DH25</f>
        <v>32</v>
      </c>
      <c r="CS15" s="248">
        <f>'PUSK ( RUMUS )'!DI25</f>
        <v>1</v>
      </c>
      <c r="CT15" s="248">
        <f>'PUSK ( RUMUS )'!DJ25</f>
        <v>1</v>
      </c>
      <c r="CU15" s="248">
        <f>'PUSK ( RUMUS )'!DK25</f>
        <v>3</v>
      </c>
      <c r="CV15" s="248">
        <f>'PUSK ( RUMUS )'!DL25</f>
        <v>2</v>
      </c>
      <c r="CW15" s="248">
        <f>'PUSK ( RUMUS )'!DM25</f>
        <v>0</v>
      </c>
      <c r="CX15" s="248">
        <f>'PUSK ( RUMUS )'!DN25</f>
        <v>0</v>
      </c>
      <c r="CY15" s="248">
        <f>'PUSK ( RUMUS )'!DO25</f>
        <v>0</v>
      </c>
      <c r="CZ15" s="248">
        <f>'PUSK ( RUMUS )'!DP25</f>
        <v>8</v>
      </c>
      <c r="DA15" s="248">
        <f>'PUSK ( RUMUS )'!DQ25</f>
        <v>0</v>
      </c>
      <c r="DB15" s="248">
        <f>'PUSK ( RUMUS )'!DR25</f>
        <v>0</v>
      </c>
      <c r="DC15" s="248">
        <f>'PUSK ( RUMUS )'!DS25</f>
        <v>0</v>
      </c>
      <c r="DD15" s="248">
        <f>'PUSK ( RUMUS )'!DT25</f>
        <v>0</v>
      </c>
      <c r="DE15" s="248">
        <f>'PUSK ( RUMUS )'!DU25</f>
        <v>0</v>
      </c>
      <c r="DF15" s="248">
        <f>'PUSK ( RUMUS )'!DV25</f>
        <v>0</v>
      </c>
      <c r="DG15" s="248">
        <f>'PUSK ( RUMUS )'!DW25</f>
        <v>8</v>
      </c>
      <c r="DH15" s="248">
        <f>'PUSK ( RUMUS )'!DX25</f>
        <v>2176</v>
      </c>
      <c r="DI15" s="248">
        <f>'PUSK ( RUMUS )'!DY25</f>
        <v>673</v>
      </c>
      <c r="DJ15" s="248">
        <f>'PUSK ( RUMUS )'!DZ25</f>
        <v>1981</v>
      </c>
      <c r="DK15" s="248">
        <f>'PUSK ( RUMUS )'!EA25</f>
        <v>673</v>
      </c>
      <c r="DL15" s="248">
        <f>'PUSK ( RUMUS )'!EB25</f>
        <v>46</v>
      </c>
      <c r="DM15" s="248">
        <f>'PUSK ( RUMUS )'!EC25</f>
        <v>5</v>
      </c>
      <c r="DN15" s="491">
        <f t="shared" si="1"/>
        <v>41</v>
      </c>
      <c r="DO15" s="248">
        <f>'PUSK ( RUMUS )'!EE25</f>
        <v>0</v>
      </c>
      <c r="DP15" s="248">
        <f>'PUSK ( RUMUS )'!EF25</f>
        <v>1</v>
      </c>
      <c r="DQ15" s="248">
        <f>'PUSK ( RUMUS )'!EG25</f>
        <v>4</v>
      </c>
      <c r="DR15" s="248">
        <f>'PUSK ( RUMUS )'!EH25</f>
        <v>40</v>
      </c>
      <c r="DS15" s="248">
        <f>'PUSK ( RUMUS )'!EI25</f>
        <v>0</v>
      </c>
      <c r="DT15" s="248">
        <f>'PUSK ( RUMUS )'!EJ25</f>
        <v>0</v>
      </c>
      <c r="DU15" s="248">
        <f>'PUSK ( RUMUS )'!EK25</f>
        <v>0</v>
      </c>
      <c r="DV15" s="248">
        <f>'PUSK ( RUMUS )'!EL25</f>
        <v>1</v>
      </c>
      <c r="DW15" s="248">
        <f>'PUSK ( RUMUS )'!EM25</f>
        <v>0</v>
      </c>
      <c r="DX15" s="248">
        <f>'PUSK ( RUMUS )'!EN25</f>
        <v>0</v>
      </c>
      <c r="DY15" s="248">
        <f>'PUSK ( RUMUS )'!EO25</f>
        <v>0</v>
      </c>
      <c r="DZ15" s="248">
        <f>'PUSK ( RUMUS )'!EP25</f>
        <v>0</v>
      </c>
      <c r="EA15" s="248">
        <f>'PUSK ( RUMUS )'!EQ25</f>
        <v>0</v>
      </c>
      <c r="EB15" s="248">
        <f>'PUSK ( RUMUS )'!ER25</f>
        <v>0</v>
      </c>
      <c r="EC15" s="248">
        <f>'PUSK ( RUMUS )'!ES25</f>
        <v>0</v>
      </c>
      <c r="ED15" s="248">
        <f>'PUSK ( RUMUS )'!ET25</f>
        <v>0</v>
      </c>
      <c r="EE15" s="248">
        <f>'PUSK ( RUMUS )'!EU25</f>
        <v>0</v>
      </c>
      <c r="EF15" s="248">
        <f>'PUSK ( RUMUS )'!EV25</f>
        <v>0</v>
      </c>
      <c r="EG15" s="248">
        <f>'PUSK ( RUMUS )'!EW25</f>
        <v>0</v>
      </c>
      <c r="EH15" s="248">
        <f>'PUSK ( RUMUS )'!EX25</f>
        <v>0</v>
      </c>
      <c r="EI15" s="248">
        <f>'PUSK ( RUMUS )'!EY25</f>
        <v>2188</v>
      </c>
      <c r="EJ15" s="248">
        <f>'PUSK ( RUMUS )'!EZ25</f>
        <v>682</v>
      </c>
      <c r="EK15" s="248">
        <f>'PUSK ( RUMUS )'!FA25</f>
        <v>2014</v>
      </c>
      <c r="EL15" s="248">
        <f>'PUSK ( RUMUS )'!FB25</f>
        <v>614</v>
      </c>
      <c r="EM15" s="248">
        <f>'PUSK ( RUMUS )'!FC25</f>
        <v>41</v>
      </c>
      <c r="EN15" s="248">
        <f>'PUSK ( RUMUS )'!FD25</f>
        <v>3</v>
      </c>
      <c r="EO15" s="491">
        <f t="shared" si="2"/>
        <v>38</v>
      </c>
      <c r="EP15" s="248">
        <f>'PUSK ( RUMUS )'!FF25</f>
        <v>0</v>
      </c>
      <c r="EQ15" s="248">
        <f>'PUSK ( RUMUS )'!FG25</f>
        <v>1</v>
      </c>
      <c r="ER15" s="248">
        <f>'PUSK ( RUMUS )'!FH25</f>
        <v>2</v>
      </c>
      <c r="ES15" s="248">
        <f>'PUSK ( RUMUS )'!FI25</f>
        <v>36</v>
      </c>
      <c r="ET15" s="248">
        <f>'PUSK ( RUMUS )'!FJ25</f>
        <v>0</v>
      </c>
      <c r="EU15" s="248">
        <f>'PUSK ( RUMUS )'!FK25</f>
        <v>0</v>
      </c>
      <c r="EV15" s="248">
        <f>'PUSK ( RUMUS )'!FL25</f>
        <v>0</v>
      </c>
      <c r="EW15" s="248">
        <f>'PUSK ( RUMUS )'!FM25</f>
        <v>2</v>
      </c>
      <c r="EX15" s="248">
        <f>'PUSK ( RUMUS )'!FN25</f>
        <v>0</v>
      </c>
      <c r="EY15" s="248">
        <f>'PUSK ( RUMUS )'!FO25</f>
        <v>0</v>
      </c>
      <c r="EZ15" s="248">
        <f>'PUSK ( RUMUS )'!FP25</f>
        <v>1</v>
      </c>
      <c r="FA15" s="248">
        <f>'PUSK ( RUMUS )'!FQ25</f>
        <v>5</v>
      </c>
      <c r="FB15" s="248">
        <f>'PUSK ( RUMUS )'!FR25</f>
        <v>0</v>
      </c>
      <c r="FC15" s="248">
        <f>'PUSK ( RUMUS )'!FS25</f>
        <v>0</v>
      </c>
      <c r="FD15" s="248">
        <f>'PUSK ( RUMUS )'!FT25</f>
        <v>0</v>
      </c>
      <c r="FE15" s="248">
        <f>'PUSK ( RUMUS )'!FU25</f>
        <v>0</v>
      </c>
      <c r="FF15" s="248">
        <f>'PUSK ( RUMUS )'!FV25</f>
        <v>0</v>
      </c>
      <c r="FG15" s="248">
        <f>'PUSK ( RUMUS )'!FW25</f>
        <v>0</v>
      </c>
      <c r="FH15" s="248">
        <f>'PUSK ( RUMUS )'!FX25</f>
        <v>6</v>
      </c>
      <c r="FI15" s="248">
        <f>'PUSK ( RUMUS )'!FY25</f>
        <v>1</v>
      </c>
      <c r="FJ15" s="248">
        <f>'PUSK ( RUMUS )'!FZ25</f>
        <v>2156</v>
      </c>
      <c r="FK15" s="248">
        <f>'PUSK ( RUMUS )'!GA25</f>
        <v>681</v>
      </c>
      <c r="FL15" s="248">
        <f>'PUSK ( RUMUS )'!GB25</f>
        <v>2010</v>
      </c>
      <c r="FM15" s="248">
        <f>'PUSK ( RUMUS )'!GC25</f>
        <v>622</v>
      </c>
      <c r="FN15" s="248"/>
      <c r="FO15" s="248"/>
      <c r="FP15" s="248">
        <f>'PUSK ( RUMUS )'!GG25</f>
        <v>42</v>
      </c>
      <c r="FQ15" s="248">
        <f>'PUSK ( RUMUS )'!GH25</f>
        <v>4</v>
      </c>
      <c r="FR15" s="491">
        <f t="shared" si="3"/>
        <v>38</v>
      </c>
      <c r="FS15" s="248">
        <f>'PUSK ( RUMUS )'!GJ25</f>
        <v>0</v>
      </c>
      <c r="FT15" s="248">
        <f>'PUSK ( RUMUS )'!GK25</f>
        <v>0</v>
      </c>
      <c r="FU15" s="248">
        <f>'PUSK ( RUMUS )'!GL25</f>
        <v>3</v>
      </c>
      <c r="FV15" s="248">
        <f>'PUSK ( RUMUS )'!GM25</f>
        <v>37</v>
      </c>
      <c r="FW15" s="248">
        <f>'PUSK ( RUMUS )'!GN25</f>
        <v>1</v>
      </c>
      <c r="FX15" s="248">
        <f>'PUSK ( RUMUS )'!GO25</f>
        <v>0</v>
      </c>
      <c r="FY15" s="248">
        <f>'PUSK ( RUMUS )'!GP25</f>
        <v>0</v>
      </c>
      <c r="FZ15" s="248">
        <f>'PUSK ( RUMUS )'!GQ25</f>
        <v>1</v>
      </c>
      <c r="GA15" s="248">
        <f>'PUSK ( RUMUS )'!GR25</f>
        <v>0</v>
      </c>
      <c r="GB15" s="248">
        <f>'PUSK ( RUMUS )'!GS25</f>
        <v>0</v>
      </c>
      <c r="GC15" s="248">
        <f>'PUSK ( RUMUS )'!GT25</f>
        <v>0</v>
      </c>
      <c r="GD15" s="248">
        <f>'PUSK ( RUMUS )'!GU25</f>
        <v>0</v>
      </c>
      <c r="GE15" s="248">
        <f>'PUSK ( RUMUS )'!GV25</f>
        <v>0</v>
      </c>
      <c r="GF15" s="248">
        <f>'PUSK ( RUMUS )'!GW25</f>
        <v>0</v>
      </c>
      <c r="GG15" s="248">
        <f>'PUSK ( RUMUS )'!GX25</f>
        <v>0</v>
      </c>
      <c r="GH15" s="248">
        <f>'PUSK ( RUMUS )'!GY25</f>
        <v>0</v>
      </c>
      <c r="GI15" s="248">
        <f>'PUSK ( RUMUS )'!GZ25</f>
        <v>1</v>
      </c>
      <c r="GJ15" s="248">
        <f>'PUSK ( RUMUS )'!HA25</f>
        <v>0</v>
      </c>
      <c r="GK15" s="248">
        <f>'PUSK ( RUMUS )'!HB25</f>
        <v>1</v>
      </c>
      <c r="GL15" s="248">
        <f>'PUSK ( RUMUS )'!HC25</f>
        <v>0</v>
      </c>
      <c r="GM15" s="248">
        <f>'PUSK ( RUMUS )'!HD25</f>
        <v>2139</v>
      </c>
      <c r="GN15" s="248">
        <f>'PUSK ( RUMUS )'!HE25</f>
        <v>659</v>
      </c>
      <c r="GO15" s="248">
        <f>'PUSK ( RUMUS )'!HF25</f>
        <v>2014</v>
      </c>
      <c r="GP15" s="248">
        <f>'PUSK ( RUMUS )'!HG25</f>
        <v>612</v>
      </c>
      <c r="GQ15" s="248"/>
      <c r="GR15" s="248"/>
      <c r="GS15" s="248">
        <f>'PUSK ( RUMUS )'!HK25</f>
        <v>41</v>
      </c>
      <c r="GT15" s="248">
        <f>'PUSK ( RUMUS )'!HL25</f>
        <v>4</v>
      </c>
      <c r="GU15" s="491">
        <f t="shared" si="4"/>
        <v>37</v>
      </c>
      <c r="GV15" s="248">
        <f>'PUSK ( RUMUS )'!HN25</f>
        <v>0</v>
      </c>
      <c r="GW15" s="248">
        <f>'PUSK ( RUMUS )'!HO25</f>
        <v>1</v>
      </c>
      <c r="GX15" s="248">
        <f>'PUSK ( RUMUS )'!HP25</f>
        <v>3</v>
      </c>
      <c r="GY15" s="248">
        <f>'PUSK ( RUMUS )'!HQ25</f>
        <v>37</v>
      </c>
      <c r="GZ15" s="248">
        <f>'PUSK ( RUMUS )'!HR25</f>
        <v>0</v>
      </c>
      <c r="HA15" s="248">
        <f>'PUSK ( RUMUS )'!HS25</f>
        <v>0</v>
      </c>
      <c r="HB15" s="248">
        <f>'PUSK ( RUMUS )'!HT25</f>
        <v>0</v>
      </c>
      <c r="HC15" s="248">
        <f>'PUSK ( RUMUS )'!HU25</f>
        <v>0</v>
      </c>
      <c r="HD15" s="248">
        <f>'PUSK ( RUMUS )'!HV25</f>
        <v>0</v>
      </c>
      <c r="HE15" s="248">
        <f>'PUSK ( RUMUS )'!HW25</f>
        <v>0</v>
      </c>
      <c r="HF15" s="248">
        <f>'PUSK ( RUMUS )'!HX25</f>
        <v>0</v>
      </c>
      <c r="HG15" s="248">
        <f>'PUSK ( RUMUS )'!HY25</f>
        <v>1</v>
      </c>
      <c r="HH15" s="248">
        <f>'PUSK ( RUMUS )'!HZ25</f>
        <v>0</v>
      </c>
      <c r="HI15" s="248">
        <f>'PUSK ( RUMUS )'!IA25</f>
        <v>0</v>
      </c>
      <c r="HJ15" s="248">
        <f>'PUSK ( RUMUS )'!IB25</f>
        <v>0</v>
      </c>
      <c r="HK15" s="248">
        <f>'PUSK ( RUMUS )'!IC25</f>
        <v>0</v>
      </c>
      <c r="HL15" s="248">
        <f>'PUSK ( RUMUS )'!ID25</f>
        <v>0</v>
      </c>
      <c r="HM15" s="248">
        <f>'PUSK ( RUMUS )'!IE25</f>
        <v>0</v>
      </c>
      <c r="HN15" s="248">
        <f>'PUSK ( RUMUS )'!IF25</f>
        <v>1</v>
      </c>
      <c r="HO15" s="248">
        <f>'PUSK ( RUMUS )'!IG25</f>
        <v>0</v>
      </c>
      <c r="HR15" s="198">
        <f t="shared" si="5"/>
        <v>51</v>
      </c>
      <c r="HS15" s="198">
        <f t="shared" si="6"/>
        <v>51</v>
      </c>
      <c r="HT15" s="198">
        <f t="shared" si="7"/>
        <v>53</v>
      </c>
      <c r="HU15" s="198">
        <f t="shared" si="8"/>
        <v>50</v>
      </c>
      <c r="HV15" s="198">
        <f t="shared" si="9"/>
        <v>39</v>
      </c>
      <c r="HW15" s="198">
        <f t="shared" si="10"/>
        <v>45</v>
      </c>
      <c r="HX15" s="574">
        <f t="shared" si="11"/>
        <v>43</v>
      </c>
      <c r="HY15" s="574">
        <f t="shared" si="12"/>
        <v>42</v>
      </c>
      <c r="HZ15" s="634">
        <f t="shared" si="13"/>
        <v>46</v>
      </c>
      <c r="IA15" s="611">
        <f t="shared" si="14"/>
        <v>41</v>
      </c>
      <c r="IB15" s="611">
        <f t="shared" si="15"/>
        <v>42</v>
      </c>
      <c r="IC15" s="611">
        <f t="shared" si="16"/>
        <v>41</v>
      </c>
    </row>
    <row r="16" ht="14.25" customHeight="1">
      <c r="A16" s="158">
        <v>9.0</v>
      </c>
      <c r="B16" s="633" t="s">
        <v>332</v>
      </c>
      <c r="C16" s="253">
        <v>3374130.0</v>
      </c>
      <c r="D16" s="253"/>
      <c r="E16" s="253"/>
      <c r="F16" s="252">
        <f>'PUSK ( RUMUS )'!F26+'PUSK ( RUMUS )'!F27</f>
        <v>113</v>
      </c>
      <c r="G16" s="252">
        <f>'PUSK ( RUMUS )'!G26+'PUSK ( RUMUS )'!G27</f>
        <v>9387</v>
      </c>
      <c r="H16" s="603">
        <f>'PUSK ( RUMUS )'!H26+'PUSK ( RUMUS )'!H27</f>
        <v>21</v>
      </c>
      <c r="I16" s="248">
        <f>'PUSK ( RUMUS )'!K26+'PUSK ( RUMUS )'!K27</f>
        <v>0</v>
      </c>
      <c r="J16" s="248">
        <f>'PUSK ( RUMUS )'!L26+'PUSK ( RUMUS )'!L27</f>
        <v>2</v>
      </c>
      <c r="K16" s="248">
        <f>'PUSK ( RUMUS )'!M26+'PUSK ( RUMUS )'!M27</f>
        <v>0</v>
      </c>
      <c r="L16" s="248">
        <f>'PUSK ( RUMUS )'!N26+'PUSK ( RUMUS )'!N27</f>
        <v>19</v>
      </c>
      <c r="M16" s="248">
        <f>'PUSK ( RUMUS )'!O26+'PUSK ( RUMUS )'!O27</f>
        <v>0</v>
      </c>
      <c r="N16" s="248">
        <f>'PUSK ( RUMUS )'!P26+'PUSK ( RUMUS )'!P27</f>
        <v>17</v>
      </c>
      <c r="O16" s="248">
        <f>'PUSK ( RUMUS )'!Q26+'PUSK ( RUMUS )'!Q27</f>
        <v>4</v>
      </c>
      <c r="P16" s="248">
        <f>'PUSK ( RUMUS )'!R26+'PUSK ( RUMUS )'!R27</f>
        <v>63</v>
      </c>
      <c r="Q16" s="248">
        <f>'PUSK ( RUMUS )'!U26+'PUSK ( RUMUS )'!U27</f>
        <v>1</v>
      </c>
      <c r="R16" s="248">
        <f>'PUSK ( RUMUS )'!V26+'PUSK ( RUMUS )'!V27</f>
        <v>1</v>
      </c>
      <c r="S16" s="248">
        <f>'PUSK ( RUMUS )'!W26+'PUSK ( RUMUS )'!W27</f>
        <v>22</v>
      </c>
      <c r="T16" s="248">
        <f>'PUSK ( RUMUS )'!X26+'PUSK ( RUMUS )'!X27</f>
        <v>39</v>
      </c>
      <c r="U16" s="248">
        <f>'PUSK ( RUMUS )'!Y26+'PUSK ( RUMUS )'!Y27</f>
        <v>15</v>
      </c>
      <c r="V16" s="248">
        <f>'PUSK ( RUMUS )'!Z26+'PUSK ( RUMUS )'!Z27</f>
        <v>7</v>
      </c>
      <c r="W16" s="248">
        <f>'PUSK ( RUMUS )'!AA26+'PUSK ( RUMUS )'!AA27</f>
        <v>41</v>
      </c>
      <c r="X16" s="248">
        <f>'PUSK ( RUMUS )'!AB26+'PUSK ( RUMUS )'!AB27</f>
        <v>29</v>
      </c>
      <c r="Y16" s="248">
        <f>'PUSK ( RUMUS )'!AE26+'PUSK ( RUMUS )'!AE27</f>
        <v>0</v>
      </c>
      <c r="Z16" s="248">
        <f>'PUSK ( RUMUS )'!AF26+'PUSK ( RUMUS )'!AF27</f>
        <v>0</v>
      </c>
      <c r="AA16" s="248">
        <f>'PUSK ( RUMUS )'!AG26+'PUSK ( RUMUS )'!AG27</f>
        <v>3</v>
      </c>
      <c r="AB16" s="248">
        <f>'PUSK ( RUMUS )'!AH26+'PUSK ( RUMUS )'!AH27</f>
        <v>26</v>
      </c>
      <c r="AC16" s="248">
        <f>'PUSK ( RUMUS )'!AI26+'PUSK ( RUMUS )'!AI27</f>
        <v>5</v>
      </c>
      <c r="AD16" s="248">
        <f>'PUSK ( RUMUS )'!AJ26+'PUSK ( RUMUS )'!AJ27</f>
        <v>1</v>
      </c>
      <c r="AE16" s="248">
        <f>'PUSK ( RUMUS )'!AK26+'PUSK ( RUMUS )'!AK27</f>
        <v>23</v>
      </c>
      <c r="AF16" s="248">
        <f>'PUSK ( RUMUS )'!AL26+'PUSK ( RUMUS )'!AL27</f>
        <v>39</v>
      </c>
      <c r="AG16" s="248">
        <f>'PUSK ( RUMUS )'!AO26+'PUSK ( RUMUS )'!AO27</f>
        <v>0</v>
      </c>
      <c r="AH16" s="248">
        <f>'PUSK ( RUMUS )'!AP26+'PUSK ( RUMUS )'!AP27</f>
        <v>0</v>
      </c>
      <c r="AI16" s="248">
        <f>'PUSK ( RUMUS )'!AQ26+'PUSK ( RUMUS )'!AQ27</f>
        <v>8</v>
      </c>
      <c r="AJ16" s="248">
        <f>'PUSK ( RUMUS )'!AR26+'PUSK ( RUMUS )'!AR27</f>
        <v>31</v>
      </c>
      <c r="AK16" s="248">
        <f>'PUSK ( RUMUS )'!AS26+'PUSK ( RUMUS )'!AS27</f>
        <v>13</v>
      </c>
      <c r="AL16" s="248">
        <f>'PUSK ( RUMUS )'!AT26+'PUSK ( RUMUS )'!AT27</f>
        <v>3</v>
      </c>
      <c r="AM16" s="248">
        <f>'PUSK ( RUMUS )'!AU26+'PUSK ( RUMUS )'!AU27</f>
        <v>23</v>
      </c>
      <c r="AN16" s="248">
        <f>'PUSK ( RUMUS )'!AV26+'PUSK ( RUMUS )'!AV27</f>
        <v>41</v>
      </c>
      <c r="AO16" s="248">
        <f>'PUSK ( RUMUS )'!AY26+'PUSK ( RUMUS )'!AY27</f>
        <v>1</v>
      </c>
      <c r="AP16" s="248">
        <f>'PUSK ( RUMUS )'!AZ26+'PUSK ( RUMUS )'!AZ27</f>
        <v>0</v>
      </c>
      <c r="AQ16" s="248">
        <f>'PUSK ( RUMUS )'!BA26+'PUSK ( RUMUS )'!BA27</f>
        <v>8</v>
      </c>
      <c r="AR16" s="248">
        <f>'PUSK ( RUMUS )'!BB26+'PUSK ( RUMUS )'!BB27</f>
        <v>32</v>
      </c>
      <c r="AS16" s="248">
        <f>'PUSK ( RUMUS )'!BC26+'PUSK ( RUMUS )'!BC27</f>
        <v>4</v>
      </c>
      <c r="AT16" s="248">
        <f>'PUSK ( RUMUS )'!BD26+'PUSK ( RUMUS )'!BD27</f>
        <v>1</v>
      </c>
      <c r="AU16" s="248">
        <f>'PUSK ( RUMUS )'!BE26+'PUSK ( RUMUS )'!BE27</f>
        <v>36</v>
      </c>
      <c r="AV16" s="248">
        <f>'PUSK ( RUMUS )'!BF26+'PUSK ( RUMUS )'!BF27</f>
        <v>9413</v>
      </c>
      <c r="AW16" s="248">
        <f>'PUSK ( RUMUS )'!BG26+'PUSK ( RUMUS )'!BG27</f>
        <v>34</v>
      </c>
      <c r="AX16" s="248">
        <f>'PUSK ( RUMUS )'!BJ26+'PUSK ( RUMUS )'!BJ27</f>
        <v>1</v>
      </c>
      <c r="AY16" s="248">
        <f>'PUSK ( RUMUS )'!BK26+'PUSK ( RUMUS )'!BK27</f>
        <v>1</v>
      </c>
      <c r="AZ16" s="248">
        <f>'PUSK ( RUMUS )'!BL26+'PUSK ( RUMUS )'!BL27</f>
        <v>10</v>
      </c>
      <c r="BA16" s="248">
        <f>'PUSK ( RUMUS )'!BM26+'PUSK ( RUMUS )'!BM27</f>
        <v>21</v>
      </c>
      <c r="BB16" s="248">
        <f>'PUSK ( RUMUS )'!BN26+'PUSK ( RUMUS )'!BN27</f>
        <v>0</v>
      </c>
      <c r="BC16" s="248">
        <f>'PUSK ( RUMUS )'!BO26+'PUSK ( RUMUS )'!BO27</f>
        <v>0</v>
      </c>
      <c r="BD16" s="248">
        <f>'PUSK ( RUMUS )'!BP26+'PUSK ( RUMUS )'!BP27</f>
        <v>0</v>
      </c>
      <c r="BE16" s="248">
        <f>'PUSK ( RUMUS )'!BQ26+'PUSK ( RUMUS )'!BQ27</f>
        <v>1</v>
      </c>
      <c r="BF16" s="248">
        <f>'PUSK ( RUMUS )'!BR26+'PUSK ( RUMUS )'!BR27</f>
        <v>0</v>
      </c>
      <c r="BG16" s="248">
        <f>'PUSK ( RUMUS )'!BS26+'PUSK ( RUMUS )'!BS27</f>
        <v>0</v>
      </c>
      <c r="BH16" s="248">
        <f>'PUSK ( RUMUS )'!BT26+'PUSK ( RUMUS )'!BT27</f>
        <v>0</v>
      </c>
      <c r="BI16" s="248">
        <f>'PUSK ( RUMUS )'!BU26+'PUSK ( RUMUS )'!BU27</f>
        <v>0</v>
      </c>
      <c r="BJ16" s="248">
        <f>'PUSK ( RUMUS )'!BV26+'PUSK ( RUMUS )'!BV27</f>
        <v>0</v>
      </c>
      <c r="BK16" s="248">
        <f>'PUSK ( RUMUS )'!BW26+'PUSK ( RUMUS )'!BW27</f>
        <v>0</v>
      </c>
      <c r="BL16" s="248">
        <f>'PUSK ( RUMUS )'!BX26+'PUSK ( RUMUS )'!BX27</f>
        <v>0</v>
      </c>
      <c r="BM16" s="248">
        <f>'PUSK ( RUMUS )'!BY26+'PUSK ( RUMUS )'!BY27</f>
        <v>0</v>
      </c>
      <c r="BN16" s="248">
        <f>'PUSK ( RUMUS )'!BZ26+'PUSK ( RUMUS )'!BZ27</f>
        <v>0</v>
      </c>
      <c r="BO16" s="248">
        <f>'PUSK ( RUMUS )'!CA26+'PUSK ( RUMUS )'!CA27</f>
        <v>0</v>
      </c>
      <c r="BP16" s="248">
        <f>'PUSK ( RUMUS )'!CB26+'PUSK ( RUMUS )'!CB27</f>
        <v>0</v>
      </c>
      <c r="BQ16" s="248">
        <f>'PUSK ( RUMUS )'!CC26+'PUSK ( RUMUS )'!CC27</f>
        <v>9468</v>
      </c>
      <c r="BR16" s="248">
        <f>'PUSK ( RUMUS )'!CD26+'PUSK ( RUMUS )'!CD27</f>
        <v>34</v>
      </c>
      <c r="BS16" s="248">
        <f>'PUSK ( RUMUS )'!CG26+'PUSK ( RUMUS )'!CG27</f>
        <v>1</v>
      </c>
      <c r="BT16" s="248">
        <f>'PUSK ( RUMUS )'!CH26+'PUSK ( RUMUS )'!CH27</f>
        <v>2</v>
      </c>
      <c r="BU16" s="248">
        <f>'PUSK ( RUMUS )'!CI26+'PUSK ( RUMUS )'!CI27</f>
        <v>9</v>
      </c>
      <c r="BV16" s="248">
        <f>'PUSK ( RUMUS )'!CJ26+'PUSK ( RUMUS )'!CJ27</f>
        <v>21</v>
      </c>
      <c r="BW16" s="248">
        <f>'PUSK ( RUMUS )'!CK26+'PUSK ( RUMUS )'!CK27</f>
        <v>0</v>
      </c>
      <c r="BX16" s="248">
        <f>'PUSK ( RUMUS )'!CL26+'PUSK ( RUMUS )'!CL27</f>
        <v>0</v>
      </c>
      <c r="BY16" s="248">
        <f>'PUSK ( RUMUS )'!CM26+'PUSK ( RUMUS )'!CM27</f>
        <v>0</v>
      </c>
      <c r="BZ16" s="248">
        <f>'PUSK ( RUMUS )'!CN26+'PUSK ( RUMUS )'!CN27</f>
        <v>1</v>
      </c>
      <c r="CA16" s="248">
        <f>'PUSK ( RUMUS )'!CO26+'PUSK ( RUMUS )'!CO27</f>
        <v>0</v>
      </c>
      <c r="CB16" s="248">
        <f>'PUSK ( RUMUS )'!CP26+'PUSK ( RUMUS )'!CP27</f>
        <v>0</v>
      </c>
      <c r="CC16" s="248">
        <f>'PUSK ( RUMUS )'!CQ26+'PUSK ( RUMUS )'!CQ27</f>
        <v>0</v>
      </c>
      <c r="CD16" s="248">
        <f>'PUSK ( RUMUS )'!CR26+'PUSK ( RUMUS )'!CR27</f>
        <v>0</v>
      </c>
      <c r="CE16" s="248">
        <f>'PUSK ( RUMUS )'!CS26+'PUSK ( RUMUS )'!CS27</f>
        <v>0</v>
      </c>
      <c r="CF16" s="248">
        <f>'PUSK ( RUMUS )'!CT26+'PUSK ( RUMUS )'!CT27</f>
        <v>0</v>
      </c>
      <c r="CG16" s="248">
        <f>'PUSK ( RUMUS )'!CU26+'PUSK ( RUMUS )'!CU27</f>
        <v>0</v>
      </c>
      <c r="CH16" s="248">
        <f>'PUSK ( RUMUS )'!CV26+'PUSK ( RUMUS )'!CV27</f>
        <v>1</v>
      </c>
      <c r="CI16" s="248">
        <f>'PUSK ( RUMUS )'!CW26+'PUSK ( RUMUS )'!CW27</f>
        <v>0</v>
      </c>
      <c r="CJ16" s="248">
        <f>'PUSK ( RUMUS )'!CX26+'PUSK ( RUMUS )'!CX27</f>
        <v>0</v>
      </c>
      <c r="CK16" s="248">
        <f>'PUSK ( RUMUS )'!CY26+'PUSK ( RUMUS )'!CY27</f>
        <v>1</v>
      </c>
      <c r="CL16" s="248">
        <f>'PUSK ( RUMUS )'!CZ26+'PUSK ( RUMUS )'!CZ27</f>
        <v>9446</v>
      </c>
      <c r="CM16" s="248">
        <f>'PUSK ( RUMUS )'!DA26+'PUSK ( RUMUS )'!DA27</f>
        <v>3716</v>
      </c>
      <c r="CN16" s="248">
        <f>'PUSK ( RUMUS )'!DB26+'PUSK ( RUMUS )'!DB27</f>
        <v>34</v>
      </c>
      <c r="CO16" s="248">
        <f>'PUSK ( RUMUS )'!DE26+'PUSK ( RUMUS )'!DE27</f>
        <v>0</v>
      </c>
      <c r="CP16" s="248">
        <f>'PUSK ( RUMUS )'!DF26+'PUSK ( RUMUS )'!DF27</f>
        <v>0</v>
      </c>
      <c r="CQ16" s="248">
        <f>'PUSK ( RUMUS )'!DG26+'PUSK ( RUMUS )'!DG27</f>
        <v>10</v>
      </c>
      <c r="CR16" s="248">
        <f>'PUSK ( RUMUS )'!DH26+'PUSK ( RUMUS )'!DH27</f>
        <v>20</v>
      </c>
      <c r="CS16" s="248">
        <f>'PUSK ( RUMUS )'!DI26+'PUSK ( RUMUS )'!DI27</f>
        <v>0</v>
      </c>
      <c r="CT16" s="248">
        <f>'PUSK ( RUMUS )'!DJ26+'PUSK ( RUMUS )'!DJ27</f>
        <v>0</v>
      </c>
      <c r="CU16" s="248">
        <f>'PUSK ( RUMUS )'!DK26+'PUSK ( RUMUS )'!DK27</f>
        <v>0</v>
      </c>
      <c r="CV16" s="248">
        <f>'PUSK ( RUMUS )'!DL26+'PUSK ( RUMUS )'!DL27</f>
        <v>4</v>
      </c>
      <c r="CW16" s="248">
        <f>'PUSK ( RUMUS )'!DM26+'PUSK ( RUMUS )'!DM27</f>
        <v>0</v>
      </c>
      <c r="CX16" s="248">
        <f>'PUSK ( RUMUS )'!DN26+'PUSK ( RUMUS )'!DN27</f>
        <v>0</v>
      </c>
      <c r="CY16" s="248">
        <f>'PUSK ( RUMUS )'!DO26+'PUSK ( RUMUS )'!DO27</f>
        <v>0</v>
      </c>
      <c r="CZ16" s="248">
        <f>'PUSK ( RUMUS )'!DP26+'PUSK ( RUMUS )'!DP27</f>
        <v>2</v>
      </c>
      <c r="DA16" s="248">
        <f>'PUSK ( RUMUS )'!DQ26+'PUSK ( RUMUS )'!DQ27</f>
        <v>0</v>
      </c>
      <c r="DB16" s="248">
        <f>'PUSK ( RUMUS )'!DR26+'PUSK ( RUMUS )'!DR27</f>
        <v>3</v>
      </c>
      <c r="DC16" s="248">
        <f>'PUSK ( RUMUS )'!DS26+'PUSK ( RUMUS )'!DS27</f>
        <v>0</v>
      </c>
      <c r="DD16" s="248">
        <f>'PUSK ( RUMUS )'!DT26+'PUSK ( RUMUS )'!DT27</f>
        <v>0</v>
      </c>
      <c r="DE16" s="248">
        <f>'PUSK ( RUMUS )'!DU26+'PUSK ( RUMUS )'!DU27</f>
        <v>0</v>
      </c>
      <c r="DF16" s="248">
        <f>'PUSK ( RUMUS )'!DV26+'PUSK ( RUMUS )'!DV27</f>
        <v>0</v>
      </c>
      <c r="DG16" s="248">
        <f>'PUSK ( RUMUS )'!DW26+'PUSK ( RUMUS )'!DW27</f>
        <v>5</v>
      </c>
      <c r="DH16" s="248">
        <f>'PUSK ( RUMUS )'!DX26+'PUSK ( RUMUS )'!DX27</f>
        <v>8772</v>
      </c>
      <c r="DI16" s="248">
        <f>'PUSK ( RUMUS )'!DY26+'PUSK ( RUMUS )'!DY27</f>
        <v>3382</v>
      </c>
      <c r="DJ16" s="248">
        <f>'PUSK ( RUMUS )'!DZ26+'PUSK ( RUMUS )'!DZ27</f>
        <v>8193</v>
      </c>
      <c r="DK16" s="248">
        <f>'PUSK ( RUMUS )'!EA26+'PUSK ( RUMUS )'!EA27</f>
        <v>3227</v>
      </c>
      <c r="DL16" s="248">
        <f>'PUSK ( RUMUS )'!EB26+'PUSK ( RUMUS )'!EB27</f>
        <v>37</v>
      </c>
      <c r="DM16" s="248">
        <f>'PUSK ( RUMUS )'!EC26+'PUSK ( RUMUS )'!EC27</f>
        <v>12</v>
      </c>
      <c r="DN16" s="491">
        <f t="shared" si="1"/>
        <v>25</v>
      </c>
      <c r="DO16" s="248">
        <f>'PUSK ( RUMUS )'!EE26+'PUSK ( RUMUS )'!EE27</f>
        <v>0</v>
      </c>
      <c r="DP16" s="248">
        <f>'PUSK ( RUMUS )'!EF26+'PUSK ( RUMUS )'!EF27</f>
        <v>0</v>
      </c>
      <c r="DQ16" s="248">
        <f>'PUSK ( RUMUS )'!EG26+'PUSK ( RUMUS )'!EG27</f>
        <v>11</v>
      </c>
      <c r="DR16" s="248">
        <f>'PUSK ( RUMUS )'!EH26+'PUSK ( RUMUS )'!EH27</f>
        <v>24</v>
      </c>
      <c r="DS16" s="248">
        <f>'PUSK ( RUMUS )'!EI26+'PUSK ( RUMUS )'!EI27</f>
        <v>0</v>
      </c>
      <c r="DT16" s="248">
        <f>'PUSK ( RUMUS )'!EJ26+'PUSK ( RUMUS )'!EJ27</f>
        <v>0</v>
      </c>
      <c r="DU16" s="248">
        <f>'PUSK ( RUMUS )'!EK26+'PUSK ( RUMUS )'!EK27</f>
        <v>1</v>
      </c>
      <c r="DV16" s="248">
        <f>'PUSK ( RUMUS )'!EL26+'PUSK ( RUMUS )'!EL27</f>
        <v>1</v>
      </c>
      <c r="DW16" s="248">
        <f>'PUSK ( RUMUS )'!EM26+'PUSK ( RUMUS )'!EM27</f>
        <v>0</v>
      </c>
      <c r="DX16" s="248">
        <f>'PUSK ( RUMUS )'!EN26+'PUSK ( RUMUS )'!EN27</f>
        <v>0</v>
      </c>
      <c r="DY16" s="248">
        <f>'PUSK ( RUMUS )'!EO26+'PUSK ( RUMUS )'!EO27</f>
        <v>0</v>
      </c>
      <c r="DZ16" s="248">
        <f>'PUSK ( RUMUS )'!EP26+'PUSK ( RUMUS )'!EP27</f>
        <v>0</v>
      </c>
      <c r="EA16" s="248">
        <f>'PUSK ( RUMUS )'!EQ26+'PUSK ( RUMUS )'!EQ27</f>
        <v>0</v>
      </c>
      <c r="EB16" s="248">
        <f>'PUSK ( RUMUS )'!ER26+'PUSK ( RUMUS )'!ER27</f>
        <v>0</v>
      </c>
      <c r="EC16" s="248">
        <f>'PUSK ( RUMUS )'!ES26+'PUSK ( RUMUS )'!ES27</f>
        <v>0</v>
      </c>
      <c r="ED16" s="248">
        <f>'PUSK ( RUMUS )'!ET26+'PUSK ( RUMUS )'!ET27</f>
        <v>0</v>
      </c>
      <c r="EE16" s="248">
        <f>'PUSK ( RUMUS )'!EU26+'PUSK ( RUMUS )'!EU27</f>
        <v>0</v>
      </c>
      <c r="EF16" s="248">
        <f>'PUSK ( RUMUS )'!EV26+'PUSK ( RUMUS )'!EV27</f>
        <v>0</v>
      </c>
      <c r="EG16" s="248">
        <f>'PUSK ( RUMUS )'!EW26+'PUSK ( RUMUS )'!EW27</f>
        <v>0</v>
      </c>
      <c r="EH16" s="248">
        <f>'PUSK ( RUMUS )'!EX26+'PUSK ( RUMUS )'!EX27</f>
        <v>0</v>
      </c>
      <c r="EI16" s="248">
        <f>'PUSK ( RUMUS )'!EY26+'PUSK ( RUMUS )'!EY27</f>
        <v>8787</v>
      </c>
      <c r="EJ16" s="248">
        <f>'PUSK ( RUMUS )'!EZ26+'PUSK ( RUMUS )'!EZ27</f>
        <v>3171</v>
      </c>
      <c r="EK16" s="248">
        <f>'PUSK ( RUMUS )'!FA26+'PUSK ( RUMUS )'!FA27</f>
        <v>8093</v>
      </c>
      <c r="EL16" s="248">
        <f>'PUSK ( RUMUS )'!FB26+'PUSK ( RUMUS )'!FB27</f>
        <v>2977</v>
      </c>
      <c r="EM16" s="248">
        <f>'PUSK ( RUMUS )'!FC26+'PUSK ( RUMUS )'!FC27</f>
        <v>36</v>
      </c>
      <c r="EN16" s="248">
        <f>'PUSK ( RUMUS )'!FD26+'PUSK ( RUMUS )'!FD27</f>
        <v>11</v>
      </c>
      <c r="EO16" s="491">
        <f t="shared" si="2"/>
        <v>25</v>
      </c>
      <c r="EP16" s="248">
        <f>'PUSK ( RUMUS )'!FF26+'PUSK ( RUMUS )'!FF27</f>
        <v>0</v>
      </c>
      <c r="EQ16" s="248">
        <f>'PUSK ( RUMUS )'!FG26+'PUSK ( RUMUS )'!FG27</f>
        <v>0</v>
      </c>
      <c r="ER16" s="248">
        <f>'PUSK ( RUMUS )'!FH26+'PUSK ( RUMUS )'!FH27</f>
        <v>10</v>
      </c>
      <c r="ES16" s="248">
        <f>'PUSK ( RUMUS )'!FI26+'PUSK ( RUMUS )'!FI27</f>
        <v>21</v>
      </c>
      <c r="ET16" s="248">
        <f>'PUSK ( RUMUS )'!FJ26+'PUSK ( RUMUS )'!FJ27</f>
        <v>0</v>
      </c>
      <c r="EU16" s="248">
        <f>'PUSK ( RUMUS )'!FK26+'PUSK ( RUMUS )'!FK27</f>
        <v>0</v>
      </c>
      <c r="EV16" s="248">
        <f>'PUSK ( RUMUS )'!FL26+'PUSK ( RUMUS )'!FL27</f>
        <v>1</v>
      </c>
      <c r="EW16" s="248">
        <f>'PUSK ( RUMUS )'!FM26+'PUSK ( RUMUS )'!FM27</f>
        <v>4</v>
      </c>
      <c r="EX16" s="248">
        <f>'PUSK ( RUMUS )'!FN26+'PUSK ( RUMUS )'!FN27</f>
        <v>0</v>
      </c>
      <c r="EY16" s="248">
        <f>'PUSK ( RUMUS )'!FO26+'PUSK ( RUMUS )'!FO27</f>
        <v>0</v>
      </c>
      <c r="EZ16" s="248">
        <f>'PUSK ( RUMUS )'!FP26+'PUSK ( RUMUS )'!FP27</f>
        <v>3</v>
      </c>
      <c r="FA16" s="248">
        <f>'PUSK ( RUMUS )'!FQ26+'PUSK ( RUMUS )'!FQ27</f>
        <v>4</v>
      </c>
      <c r="FB16" s="248">
        <f>'PUSK ( RUMUS )'!FR26+'PUSK ( RUMUS )'!FR27</f>
        <v>0</v>
      </c>
      <c r="FC16" s="248">
        <f>'PUSK ( RUMUS )'!FS26+'PUSK ( RUMUS )'!FS27</f>
        <v>0</v>
      </c>
      <c r="FD16" s="248">
        <f>'PUSK ( RUMUS )'!FT26+'PUSK ( RUMUS )'!FT27</f>
        <v>0</v>
      </c>
      <c r="FE16" s="248">
        <f>'PUSK ( RUMUS )'!FU26+'PUSK ( RUMUS )'!FU27</f>
        <v>0</v>
      </c>
      <c r="FF16" s="248">
        <f>'PUSK ( RUMUS )'!FV26+'PUSK ( RUMUS )'!FV27</f>
        <v>0</v>
      </c>
      <c r="FG16" s="248">
        <f>'PUSK ( RUMUS )'!FW26+'PUSK ( RUMUS )'!FW27</f>
        <v>0</v>
      </c>
      <c r="FH16" s="248">
        <f>'PUSK ( RUMUS )'!FX26+'PUSK ( RUMUS )'!FX27</f>
        <v>7</v>
      </c>
      <c r="FI16" s="248">
        <f>'PUSK ( RUMUS )'!FY26+'PUSK ( RUMUS )'!FY27</f>
        <v>3</v>
      </c>
      <c r="FJ16" s="248">
        <f>'PUSK ( RUMUS )'!FZ26+'PUSK ( RUMUS )'!FZ27</f>
        <v>8479</v>
      </c>
      <c r="FK16" s="248">
        <f>'PUSK ( RUMUS )'!GA26+'PUSK ( RUMUS )'!GA27</f>
        <v>2748</v>
      </c>
      <c r="FL16" s="248">
        <f>'PUSK ( RUMUS )'!GB26+'PUSK ( RUMUS )'!GB27</f>
        <v>7829</v>
      </c>
      <c r="FM16" s="248">
        <f>'PUSK ( RUMUS )'!GC26+'PUSK ( RUMUS )'!GC27</f>
        <v>2629</v>
      </c>
      <c r="FN16" s="248"/>
      <c r="FO16" s="248"/>
      <c r="FP16" s="248">
        <f>'PUSK ( RUMUS )'!GG26+'PUSK ( RUMUS )'!GG27</f>
        <v>44</v>
      </c>
      <c r="FQ16" s="248">
        <f>'PUSK ( RUMUS )'!GH26+'PUSK ( RUMUS )'!GH27</f>
        <v>15</v>
      </c>
      <c r="FR16" s="491">
        <f t="shared" si="3"/>
        <v>29</v>
      </c>
      <c r="FS16" s="248">
        <f>'PUSK ( RUMUS )'!GJ26+'PUSK ( RUMUS )'!GJ27</f>
        <v>0</v>
      </c>
      <c r="FT16" s="248">
        <f>'PUSK ( RUMUS )'!GK26+'PUSK ( RUMUS )'!GK27</f>
        <v>0</v>
      </c>
      <c r="FU16" s="248">
        <f>'PUSK ( RUMUS )'!GL26+'PUSK ( RUMUS )'!GL27</f>
        <v>8</v>
      </c>
      <c r="FV16" s="248">
        <f>'PUSK ( RUMUS )'!GM26+'PUSK ( RUMUS )'!GM27</f>
        <v>26</v>
      </c>
      <c r="FW16" s="248">
        <f>'PUSK ( RUMUS )'!GN26+'PUSK ( RUMUS )'!GN27</f>
        <v>0</v>
      </c>
      <c r="FX16" s="248">
        <f>'PUSK ( RUMUS )'!GO26+'PUSK ( RUMUS )'!GO27</f>
        <v>1</v>
      </c>
      <c r="FY16" s="248">
        <f>'PUSK ( RUMUS )'!GP26+'PUSK ( RUMUS )'!GP27</f>
        <v>6</v>
      </c>
      <c r="FZ16" s="248">
        <f>'PUSK ( RUMUS )'!GQ26+'PUSK ( RUMUS )'!GQ27</f>
        <v>3</v>
      </c>
      <c r="GA16" s="248">
        <f>'PUSK ( RUMUS )'!GR26+'PUSK ( RUMUS )'!GR27</f>
        <v>0</v>
      </c>
      <c r="GB16" s="248">
        <f>'PUSK ( RUMUS )'!GS26+'PUSK ( RUMUS )'!GS27</f>
        <v>0</v>
      </c>
      <c r="GC16" s="248">
        <f>'PUSK ( RUMUS )'!GT26+'PUSK ( RUMUS )'!GT27</f>
        <v>0</v>
      </c>
      <c r="GD16" s="248">
        <f>'PUSK ( RUMUS )'!GU26+'PUSK ( RUMUS )'!GU27</f>
        <v>1</v>
      </c>
      <c r="GE16" s="248">
        <f>'PUSK ( RUMUS )'!GV26+'PUSK ( RUMUS )'!GV27</f>
        <v>0</v>
      </c>
      <c r="GF16" s="248">
        <f>'PUSK ( RUMUS )'!GW26+'PUSK ( RUMUS )'!GW27</f>
        <v>0</v>
      </c>
      <c r="GG16" s="248">
        <f>'PUSK ( RUMUS )'!GX26+'PUSK ( RUMUS )'!GX27</f>
        <v>0</v>
      </c>
      <c r="GH16" s="248">
        <f>'PUSK ( RUMUS )'!GY26+'PUSK ( RUMUS )'!GY27</f>
        <v>0</v>
      </c>
      <c r="GI16" s="248">
        <f>'PUSK ( RUMUS )'!GZ26+'PUSK ( RUMUS )'!GZ27</f>
        <v>0</v>
      </c>
      <c r="GJ16" s="248">
        <f>'PUSK ( RUMUS )'!HA26+'PUSK ( RUMUS )'!HA27</f>
        <v>0</v>
      </c>
      <c r="GK16" s="248">
        <f>'PUSK ( RUMUS )'!HB26+'PUSK ( RUMUS )'!HB27</f>
        <v>1</v>
      </c>
      <c r="GL16" s="248">
        <f>'PUSK ( RUMUS )'!HC26+'PUSK ( RUMUS )'!HC27</f>
        <v>0</v>
      </c>
      <c r="GM16" s="248">
        <f>'PUSK ( RUMUS )'!HD26+'PUSK ( RUMUS )'!HD27</f>
        <v>8584</v>
      </c>
      <c r="GN16" s="248">
        <f>'PUSK ( RUMUS )'!HE26+'PUSK ( RUMUS )'!HE27</f>
        <v>2738</v>
      </c>
      <c r="GO16" s="248">
        <f>'PUSK ( RUMUS )'!HF26+'PUSK ( RUMUS )'!HF27</f>
        <v>8327</v>
      </c>
      <c r="GP16" s="248">
        <f>'PUSK ( RUMUS )'!HG26+'PUSK ( RUMUS )'!HG27</f>
        <v>2315</v>
      </c>
      <c r="GQ16" s="248"/>
      <c r="GR16" s="248"/>
      <c r="GS16" s="248">
        <f>'PUSK ( RUMUS )'!HK26+'PUSK ( RUMUS )'!HK27</f>
        <v>50</v>
      </c>
      <c r="GT16" s="248">
        <f>'PUSK ( RUMUS )'!HL26+'PUSK ( RUMUS )'!HL27</f>
        <v>17</v>
      </c>
      <c r="GU16" s="491">
        <f t="shared" si="4"/>
        <v>33</v>
      </c>
      <c r="GV16" s="248">
        <f>'PUSK ( RUMUS )'!HN26+'PUSK ( RUMUS )'!HN27</f>
        <v>0</v>
      </c>
      <c r="GW16" s="248">
        <f>'PUSK ( RUMUS )'!HO26+'PUSK ( RUMUS )'!HO27</f>
        <v>1</v>
      </c>
      <c r="GX16" s="248">
        <f>'PUSK ( RUMUS )'!HP26+'PUSK ( RUMUS )'!HP27</f>
        <v>9</v>
      </c>
      <c r="GY16" s="248">
        <f>'PUSK ( RUMUS )'!HQ26+'PUSK ( RUMUS )'!HQ27</f>
        <v>30</v>
      </c>
      <c r="GZ16" s="248">
        <f>'PUSK ( RUMUS )'!HR26+'PUSK ( RUMUS )'!HR27</f>
        <v>0</v>
      </c>
      <c r="HA16" s="248">
        <f>'PUSK ( RUMUS )'!HS26+'PUSK ( RUMUS )'!HS27</f>
        <v>1</v>
      </c>
      <c r="HB16" s="248">
        <f>'PUSK ( RUMUS )'!HT26+'PUSK ( RUMUS )'!HT27</f>
        <v>6</v>
      </c>
      <c r="HC16" s="248">
        <f>'PUSK ( RUMUS )'!HU26+'PUSK ( RUMUS )'!HU27</f>
        <v>3</v>
      </c>
      <c r="HD16" s="248">
        <f>'PUSK ( RUMUS )'!HV26+'PUSK ( RUMUS )'!HV27</f>
        <v>0</v>
      </c>
      <c r="HE16" s="248">
        <f>'PUSK ( RUMUS )'!HW26+'PUSK ( RUMUS )'!HW27</f>
        <v>0</v>
      </c>
      <c r="HF16" s="248">
        <f>'PUSK ( RUMUS )'!HX26+'PUSK ( RUMUS )'!HX27</f>
        <v>4</v>
      </c>
      <c r="HG16" s="248">
        <f>'PUSK ( RUMUS )'!HY26+'PUSK ( RUMUS )'!HY27</f>
        <v>0</v>
      </c>
      <c r="HH16" s="248">
        <f>'PUSK ( RUMUS )'!HZ26+'PUSK ( RUMUS )'!HZ27</f>
        <v>0</v>
      </c>
      <c r="HI16" s="248">
        <f>'PUSK ( RUMUS )'!IA26+'PUSK ( RUMUS )'!IA27</f>
        <v>0</v>
      </c>
      <c r="HJ16" s="248">
        <f>'PUSK ( RUMUS )'!IB26+'PUSK ( RUMUS )'!IB27</f>
        <v>0</v>
      </c>
      <c r="HK16" s="248">
        <f>'PUSK ( RUMUS )'!IC26+'PUSK ( RUMUS )'!IC27</f>
        <v>0</v>
      </c>
      <c r="HL16" s="248">
        <f>'PUSK ( RUMUS )'!ID26+'PUSK ( RUMUS )'!ID27</f>
        <v>0</v>
      </c>
      <c r="HM16" s="248">
        <f>'PUSK ( RUMUS )'!IE26+'PUSK ( RUMUS )'!IE27</f>
        <v>0</v>
      </c>
      <c r="HN16" s="248">
        <f>'PUSK ( RUMUS )'!IF26+'PUSK ( RUMUS )'!IF27</f>
        <v>0</v>
      </c>
      <c r="HO16" s="248">
        <f>'PUSK ( RUMUS )'!IG26+'PUSK ( RUMUS )'!IG27</f>
        <v>4</v>
      </c>
      <c r="HR16" s="198">
        <f t="shared" si="5"/>
        <v>21</v>
      </c>
      <c r="HS16" s="198">
        <f t="shared" si="6"/>
        <v>63</v>
      </c>
      <c r="HT16" s="198">
        <f t="shared" si="7"/>
        <v>29</v>
      </c>
      <c r="HU16" s="198">
        <f t="shared" si="8"/>
        <v>39</v>
      </c>
      <c r="HV16" s="198">
        <f t="shared" si="9"/>
        <v>41</v>
      </c>
      <c r="HW16" s="198">
        <f t="shared" si="10"/>
        <v>34</v>
      </c>
      <c r="HX16" s="574">
        <f t="shared" si="11"/>
        <v>34</v>
      </c>
      <c r="HY16" s="574">
        <f t="shared" si="12"/>
        <v>34</v>
      </c>
      <c r="HZ16" s="634">
        <f t="shared" si="13"/>
        <v>37</v>
      </c>
      <c r="IA16" s="611">
        <f t="shared" si="14"/>
        <v>36</v>
      </c>
      <c r="IB16" s="611">
        <f t="shared" si="15"/>
        <v>44</v>
      </c>
      <c r="IC16" s="611">
        <f t="shared" si="16"/>
        <v>50</v>
      </c>
    </row>
    <row r="17" ht="14.25" customHeight="1">
      <c r="A17" s="158">
        <v>10.0</v>
      </c>
      <c r="B17" s="633" t="s">
        <v>346</v>
      </c>
      <c r="C17" s="253">
        <v>3374130.0</v>
      </c>
      <c r="D17" s="253"/>
      <c r="E17" s="253"/>
      <c r="F17" s="252">
        <f>'PUSK ( RUMUS )'!F28+'PUSK ( RUMUS )'!F29</f>
        <v>165</v>
      </c>
      <c r="G17" s="252">
        <f>'PUSK ( RUMUS )'!G28+'PUSK ( RUMUS )'!G29</f>
        <v>10469</v>
      </c>
      <c r="H17" s="324">
        <f>'PUSK ( RUMUS )'!H28+'PUSK ( RUMUS )'!H29</f>
        <v>73</v>
      </c>
      <c r="I17" s="248">
        <f>'PUSK ( RUMUS )'!K28+'PUSK ( RUMUS )'!K29</f>
        <v>3</v>
      </c>
      <c r="J17" s="248">
        <f>'PUSK ( RUMUS )'!L28+'PUSK ( RUMUS )'!L29</f>
        <v>4</v>
      </c>
      <c r="K17" s="248">
        <f>'PUSK ( RUMUS )'!M28+'PUSK ( RUMUS )'!M29</f>
        <v>12</v>
      </c>
      <c r="L17" s="248">
        <f>'PUSK ( RUMUS )'!N28+'PUSK ( RUMUS )'!N29</f>
        <v>54</v>
      </c>
      <c r="M17" s="248">
        <f>'PUSK ( RUMUS )'!O28+'PUSK ( RUMUS )'!O29</f>
        <v>25</v>
      </c>
      <c r="N17" s="248">
        <f>'PUSK ( RUMUS )'!P28+'PUSK ( RUMUS )'!P29</f>
        <v>0</v>
      </c>
      <c r="O17" s="248">
        <f>'PUSK ( RUMUS )'!Q28+'PUSK ( RUMUS )'!Q29</f>
        <v>48</v>
      </c>
      <c r="P17" s="248">
        <f>'PUSK ( RUMUS )'!R28+'PUSK ( RUMUS )'!R29</f>
        <v>93</v>
      </c>
      <c r="Q17" s="248">
        <f>'PUSK ( RUMUS )'!U28+'PUSK ( RUMUS )'!U29</f>
        <v>5</v>
      </c>
      <c r="R17" s="248">
        <f>'PUSK ( RUMUS )'!V28+'PUSK ( RUMUS )'!V29</f>
        <v>7</v>
      </c>
      <c r="S17" s="248">
        <f>'PUSK ( RUMUS )'!W28+'PUSK ( RUMUS )'!W29</f>
        <v>17</v>
      </c>
      <c r="T17" s="248">
        <f>'PUSK ( RUMUS )'!X28+'PUSK ( RUMUS )'!X29</f>
        <v>64</v>
      </c>
      <c r="U17" s="248">
        <f>'PUSK ( RUMUS )'!Y28+'PUSK ( RUMUS )'!Y29</f>
        <v>57</v>
      </c>
      <c r="V17" s="248">
        <f>'PUSK ( RUMUS )'!Z28+'PUSK ( RUMUS )'!Z29</f>
        <v>1</v>
      </c>
      <c r="W17" s="248">
        <f>'PUSK ( RUMUS )'!AA28+'PUSK ( RUMUS )'!AA29</f>
        <v>35</v>
      </c>
      <c r="X17" s="248">
        <f>'PUSK ( RUMUS )'!AB28+'PUSK ( RUMUS )'!AB29</f>
        <v>59</v>
      </c>
      <c r="Y17" s="248">
        <f>'PUSK ( RUMUS )'!AE28+'PUSK ( RUMUS )'!AE29</f>
        <v>2</v>
      </c>
      <c r="Z17" s="248">
        <f>'PUSK ( RUMUS )'!AF28+'PUSK ( RUMUS )'!AF29</f>
        <v>3</v>
      </c>
      <c r="AA17" s="248">
        <f>'PUSK ( RUMUS )'!AG28+'PUSK ( RUMUS )'!AG29</f>
        <v>8</v>
      </c>
      <c r="AB17" s="248">
        <f>'PUSK ( RUMUS )'!AH28+'PUSK ( RUMUS )'!AH29</f>
        <v>46</v>
      </c>
      <c r="AC17" s="248">
        <f>'PUSK ( RUMUS )'!AI28+'PUSK ( RUMUS )'!AI29</f>
        <v>18</v>
      </c>
      <c r="AD17" s="248">
        <f>'PUSK ( RUMUS )'!AJ28+'PUSK ( RUMUS )'!AJ29</f>
        <v>34</v>
      </c>
      <c r="AE17" s="248">
        <f>'PUSK ( RUMUS )'!AK28+'PUSK ( RUMUS )'!AK29</f>
        <v>7</v>
      </c>
      <c r="AF17" s="248">
        <f>'PUSK ( RUMUS )'!AL28+'PUSK ( RUMUS )'!AL29</f>
        <v>103</v>
      </c>
      <c r="AG17" s="248">
        <f>'PUSK ( RUMUS )'!AO28+'PUSK ( RUMUS )'!AO29</f>
        <v>7</v>
      </c>
      <c r="AH17" s="248">
        <f>'PUSK ( RUMUS )'!AP28+'PUSK ( RUMUS )'!AP29</f>
        <v>5</v>
      </c>
      <c r="AI17" s="248">
        <f>'PUSK ( RUMUS )'!AQ28+'PUSK ( RUMUS )'!AQ29</f>
        <v>20</v>
      </c>
      <c r="AJ17" s="248">
        <f>'PUSK ( RUMUS )'!AR28+'PUSK ( RUMUS )'!AR29</f>
        <v>71</v>
      </c>
      <c r="AK17" s="248">
        <f>'PUSK ( RUMUS )'!AS28+'PUSK ( RUMUS )'!AS29</f>
        <v>46</v>
      </c>
      <c r="AL17" s="248">
        <f>'PUSK ( RUMUS )'!AT28+'PUSK ( RUMUS )'!AT29</f>
        <v>0</v>
      </c>
      <c r="AM17" s="248">
        <f>'PUSK ( RUMUS )'!AU28+'PUSK ( RUMUS )'!AU29</f>
        <v>57</v>
      </c>
      <c r="AN17" s="248">
        <f>'PUSK ( RUMUS )'!AV28+'PUSK ( RUMUS )'!AV29</f>
        <v>94</v>
      </c>
      <c r="AO17" s="248">
        <f>'PUSK ( RUMUS )'!AY28+'PUSK ( RUMUS )'!AY29</f>
        <v>3</v>
      </c>
      <c r="AP17" s="248">
        <f>'PUSK ( RUMUS )'!AZ28+'PUSK ( RUMUS )'!AZ29</f>
        <v>10</v>
      </c>
      <c r="AQ17" s="248">
        <f>'PUSK ( RUMUS )'!BA28+'PUSK ( RUMUS )'!BA29</f>
        <v>23</v>
      </c>
      <c r="AR17" s="248">
        <f>'PUSK ( RUMUS )'!BB28+'PUSK ( RUMUS )'!BB29</f>
        <v>58</v>
      </c>
      <c r="AS17" s="248">
        <f>'PUSK ( RUMUS )'!BC28+'PUSK ( RUMUS )'!BC29</f>
        <v>12</v>
      </c>
      <c r="AT17" s="248">
        <f>'PUSK ( RUMUS )'!BD28+'PUSK ( RUMUS )'!BD29</f>
        <v>14</v>
      </c>
      <c r="AU17" s="248">
        <f>'PUSK ( RUMUS )'!BE28+'PUSK ( RUMUS )'!BE29</f>
        <v>68</v>
      </c>
      <c r="AV17" s="248">
        <f>'PUSK ( RUMUS )'!BF28+'PUSK ( RUMUS )'!BF29</f>
        <v>9194</v>
      </c>
      <c r="AW17" s="248">
        <f>'PUSK ( RUMUS )'!BG28+'PUSK ( RUMUS )'!BG29</f>
        <v>102</v>
      </c>
      <c r="AX17" s="248">
        <f>'PUSK ( RUMUS )'!BJ28+'PUSK ( RUMUS )'!BJ29</f>
        <v>0</v>
      </c>
      <c r="AY17" s="248">
        <f>'PUSK ( RUMUS )'!BK28+'PUSK ( RUMUS )'!BK29</f>
        <v>7</v>
      </c>
      <c r="AZ17" s="248">
        <f>'PUSK ( RUMUS )'!BL28+'PUSK ( RUMUS )'!BL29</f>
        <v>20</v>
      </c>
      <c r="BA17" s="248">
        <f>'PUSK ( RUMUS )'!BM28+'PUSK ( RUMUS )'!BM29</f>
        <v>61</v>
      </c>
      <c r="BB17" s="248">
        <f>'PUSK ( RUMUS )'!BN28+'PUSK ( RUMUS )'!BN29</f>
        <v>0</v>
      </c>
      <c r="BC17" s="248">
        <f>'PUSK ( RUMUS )'!BO28+'PUSK ( RUMUS )'!BO29</f>
        <v>2</v>
      </c>
      <c r="BD17" s="248">
        <f>'PUSK ( RUMUS )'!BP28+'PUSK ( RUMUS )'!BP29</f>
        <v>4</v>
      </c>
      <c r="BE17" s="248">
        <f>'PUSK ( RUMUS )'!BQ28+'PUSK ( RUMUS )'!BQ29</f>
        <v>8</v>
      </c>
      <c r="BF17" s="248">
        <f>'PUSK ( RUMUS )'!BR28+'PUSK ( RUMUS )'!BR29</f>
        <v>0</v>
      </c>
      <c r="BG17" s="248">
        <f>'PUSK ( RUMUS )'!BS28+'PUSK ( RUMUS )'!BS29</f>
        <v>0</v>
      </c>
      <c r="BH17" s="248">
        <f>'PUSK ( RUMUS )'!BT28+'PUSK ( RUMUS )'!BT29</f>
        <v>1</v>
      </c>
      <c r="BI17" s="248">
        <f>'PUSK ( RUMUS )'!BU28+'PUSK ( RUMUS )'!BU29</f>
        <v>0</v>
      </c>
      <c r="BJ17" s="248">
        <f>'PUSK ( RUMUS )'!BV28+'PUSK ( RUMUS )'!BV29</f>
        <v>0</v>
      </c>
      <c r="BK17" s="248">
        <f>'PUSK ( RUMUS )'!BW28+'PUSK ( RUMUS )'!BW29</f>
        <v>0</v>
      </c>
      <c r="BL17" s="248">
        <f>'PUSK ( RUMUS )'!BX28+'PUSK ( RUMUS )'!BX29</f>
        <v>0</v>
      </c>
      <c r="BM17" s="248">
        <f>'PUSK ( RUMUS )'!BY28+'PUSK ( RUMUS )'!BY29</f>
        <v>0</v>
      </c>
      <c r="BN17" s="248">
        <f>'PUSK ( RUMUS )'!BZ28+'PUSK ( RUMUS )'!BZ29</f>
        <v>3</v>
      </c>
      <c r="BO17" s="248">
        <f>'PUSK ( RUMUS )'!CA28+'PUSK ( RUMUS )'!CA29</f>
        <v>0</v>
      </c>
      <c r="BP17" s="248">
        <f>'PUSK ( RUMUS )'!CB28+'PUSK ( RUMUS )'!CB29</f>
        <v>4</v>
      </c>
      <c r="BQ17" s="248">
        <f>'PUSK ( RUMUS )'!CC28+'PUSK ( RUMUS )'!CC29</f>
        <v>9668</v>
      </c>
      <c r="BR17" s="248">
        <f>'PUSK ( RUMUS )'!CD28+'PUSK ( RUMUS )'!CD29</f>
        <v>78</v>
      </c>
      <c r="BS17" s="248">
        <f>'PUSK ( RUMUS )'!CG28+'PUSK ( RUMUS )'!CG29</f>
        <v>0</v>
      </c>
      <c r="BT17" s="248">
        <f>'PUSK ( RUMUS )'!CH28+'PUSK ( RUMUS )'!CH29</f>
        <v>3</v>
      </c>
      <c r="BU17" s="248">
        <f>'PUSK ( RUMUS )'!CI28+'PUSK ( RUMUS )'!CI29</f>
        <v>19</v>
      </c>
      <c r="BV17" s="248">
        <f>'PUSK ( RUMUS )'!CJ28+'PUSK ( RUMUS )'!CJ29</f>
        <v>37</v>
      </c>
      <c r="BW17" s="248">
        <f>'PUSK ( RUMUS )'!CK28+'PUSK ( RUMUS )'!CK29</f>
        <v>2</v>
      </c>
      <c r="BX17" s="248">
        <f>'PUSK ( RUMUS )'!CL28+'PUSK ( RUMUS )'!CL29</f>
        <v>5</v>
      </c>
      <c r="BY17" s="248">
        <f>'PUSK ( RUMUS )'!CM28+'PUSK ( RUMUS )'!CM29</f>
        <v>5</v>
      </c>
      <c r="BZ17" s="248">
        <f>'PUSK ( RUMUS )'!CN28+'PUSK ( RUMUS )'!CN29</f>
        <v>7</v>
      </c>
      <c r="CA17" s="248">
        <f>'PUSK ( RUMUS )'!CO28+'PUSK ( RUMUS )'!CO29</f>
        <v>0</v>
      </c>
      <c r="CB17" s="248">
        <f>'PUSK ( RUMUS )'!CP28+'PUSK ( RUMUS )'!CP29</f>
        <v>2</v>
      </c>
      <c r="CC17" s="248">
        <f>'PUSK ( RUMUS )'!CQ28+'PUSK ( RUMUS )'!CQ29</f>
        <v>2</v>
      </c>
      <c r="CD17" s="248">
        <f>'PUSK ( RUMUS )'!CR28+'PUSK ( RUMUS )'!CR29</f>
        <v>5</v>
      </c>
      <c r="CE17" s="248">
        <f>'PUSK ( RUMUS )'!CS28+'PUSK ( RUMUS )'!CS29</f>
        <v>0</v>
      </c>
      <c r="CF17" s="248">
        <f>'PUSK ( RUMUS )'!CT28+'PUSK ( RUMUS )'!CT29</f>
        <v>0</v>
      </c>
      <c r="CG17" s="248">
        <f>'PUSK ( RUMUS )'!CU28+'PUSK ( RUMUS )'!CU29</f>
        <v>1</v>
      </c>
      <c r="CH17" s="248">
        <f>'PUSK ( RUMUS )'!CV28+'PUSK ( RUMUS )'!CV29</f>
        <v>0</v>
      </c>
      <c r="CI17" s="248">
        <f>'PUSK ( RUMUS )'!CW28+'PUSK ( RUMUS )'!CW29</f>
        <v>14</v>
      </c>
      <c r="CJ17" s="248">
        <f>'PUSK ( RUMUS )'!CX28+'PUSK ( RUMUS )'!CX29</f>
        <v>0</v>
      </c>
      <c r="CK17" s="248">
        <f>'PUSK ( RUMUS )'!CY28+'PUSK ( RUMUS )'!CY29</f>
        <v>24</v>
      </c>
      <c r="CL17" s="248">
        <f>'PUSK ( RUMUS )'!CZ28+'PUSK ( RUMUS )'!CZ29</f>
        <v>9645</v>
      </c>
      <c r="CM17" s="248">
        <f>'PUSK ( RUMUS )'!DA28+'PUSK ( RUMUS )'!DA29</f>
        <v>3883</v>
      </c>
      <c r="CN17" s="248">
        <f>'PUSK ( RUMUS )'!DB28+'PUSK ( RUMUS )'!DB29</f>
        <v>105</v>
      </c>
      <c r="CO17" s="248">
        <f>'PUSK ( RUMUS )'!DE28+'PUSK ( RUMUS )'!DE29</f>
        <v>2</v>
      </c>
      <c r="CP17" s="248">
        <f>'PUSK ( RUMUS )'!DF28+'PUSK ( RUMUS )'!DF29</f>
        <v>2</v>
      </c>
      <c r="CQ17" s="248">
        <f>'PUSK ( RUMUS )'!DG28+'PUSK ( RUMUS )'!DG29</f>
        <v>17</v>
      </c>
      <c r="CR17" s="248">
        <f>'PUSK ( RUMUS )'!DH28+'PUSK ( RUMUS )'!DH29</f>
        <v>44</v>
      </c>
      <c r="CS17" s="248">
        <f>'PUSK ( RUMUS )'!DI28+'PUSK ( RUMUS )'!DI29</f>
        <v>2</v>
      </c>
      <c r="CT17" s="248">
        <f>'PUSK ( RUMUS )'!DJ28+'PUSK ( RUMUS )'!DJ29</f>
        <v>1</v>
      </c>
      <c r="CU17" s="248">
        <f>'PUSK ( RUMUS )'!DK28+'PUSK ( RUMUS )'!DK29</f>
        <v>10</v>
      </c>
      <c r="CV17" s="248">
        <f>'PUSK ( RUMUS )'!DL28+'PUSK ( RUMUS )'!DL29</f>
        <v>27</v>
      </c>
      <c r="CW17" s="248">
        <f>'PUSK ( RUMUS )'!DM28+'PUSK ( RUMUS )'!DM29</f>
        <v>0</v>
      </c>
      <c r="CX17" s="248">
        <f>'PUSK ( RUMUS )'!DN28+'PUSK ( RUMUS )'!DN29</f>
        <v>5</v>
      </c>
      <c r="CY17" s="248">
        <f>'PUSK ( RUMUS )'!DO28+'PUSK ( RUMUS )'!DO29</f>
        <v>3</v>
      </c>
      <c r="CZ17" s="248">
        <f>'PUSK ( RUMUS )'!DP28+'PUSK ( RUMUS )'!DP29</f>
        <v>1</v>
      </c>
      <c r="DA17" s="248">
        <f>'PUSK ( RUMUS )'!DQ28+'PUSK ( RUMUS )'!DQ29</f>
        <v>0</v>
      </c>
      <c r="DB17" s="248">
        <f>'PUSK ( RUMUS )'!DR28+'PUSK ( RUMUS )'!DR29</f>
        <v>0</v>
      </c>
      <c r="DC17" s="248">
        <f>'PUSK ( RUMUS )'!DS28+'PUSK ( RUMUS )'!DS29</f>
        <v>0</v>
      </c>
      <c r="DD17" s="248">
        <f>'PUSK ( RUMUS )'!DT28+'PUSK ( RUMUS )'!DT29</f>
        <v>2</v>
      </c>
      <c r="DE17" s="248">
        <f>'PUSK ( RUMUS )'!DU28+'PUSK ( RUMUS )'!DU29</f>
        <v>1</v>
      </c>
      <c r="DF17" s="248">
        <f>'PUSK ( RUMUS )'!DV28+'PUSK ( RUMUS )'!DV29</f>
        <v>0</v>
      </c>
      <c r="DG17" s="248">
        <f>'PUSK ( RUMUS )'!DW28+'PUSK ( RUMUS )'!DW29</f>
        <v>12</v>
      </c>
      <c r="DH17" s="248">
        <f>'PUSK ( RUMUS )'!DX28+'PUSK ( RUMUS )'!DX29</f>
        <v>9336</v>
      </c>
      <c r="DI17" s="248">
        <f>'PUSK ( RUMUS )'!DY28+'PUSK ( RUMUS )'!DY29</f>
        <v>1843</v>
      </c>
      <c r="DJ17" s="248">
        <f>'PUSK ( RUMUS )'!DZ28+'PUSK ( RUMUS )'!DZ29</f>
        <v>8928</v>
      </c>
      <c r="DK17" s="248">
        <f>'PUSK ( RUMUS )'!EA28+'PUSK ( RUMUS )'!EA29</f>
        <v>1788</v>
      </c>
      <c r="DL17" s="248">
        <f>'PUSK ( RUMUS )'!EB28+'PUSK ( RUMUS )'!EB29</f>
        <v>87</v>
      </c>
      <c r="DM17" s="248">
        <f>'PUSK ( RUMUS )'!EC28+'PUSK ( RUMUS )'!EC29</f>
        <v>24</v>
      </c>
      <c r="DN17" s="491">
        <f t="shared" si="1"/>
        <v>63</v>
      </c>
      <c r="DO17" s="248">
        <f>'PUSK ( RUMUS )'!EE28+'PUSK ( RUMUS )'!EE29</f>
        <v>0</v>
      </c>
      <c r="DP17" s="248">
        <f>'PUSK ( RUMUS )'!EF28+'PUSK ( RUMUS )'!EF29</f>
        <v>0</v>
      </c>
      <c r="DQ17" s="248">
        <f>'PUSK ( RUMUS )'!EG28+'PUSK ( RUMUS )'!EG29</f>
        <v>20</v>
      </c>
      <c r="DR17" s="248">
        <f>'PUSK ( RUMUS )'!EH28+'PUSK ( RUMUS )'!EH29</f>
        <v>61</v>
      </c>
      <c r="DS17" s="248">
        <f>'PUSK ( RUMUS )'!EI28+'PUSK ( RUMUS )'!EI29</f>
        <v>0</v>
      </c>
      <c r="DT17" s="248">
        <f>'PUSK ( RUMUS )'!EJ28+'PUSK ( RUMUS )'!EJ29</f>
        <v>1</v>
      </c>
      <c r="DU17" s="248">
        <f>'PUSK ( RUMUS )'!EK28+'PUSK ( RUMUS )'!EK29</f>
        <v>3</v>
      </c>
      <c r="DV17" s="248">
        <f>'PUSK ( RUMUS )'!EL28+'PUSK ( RUMUS )'!EL29</f>
        <v>2</v>
      </c>
      <c r="DW17" s="248">
        <f>'PUSK ( RUMUS )'!EM28+'PUSK ( RUMUS )'!EM29</f>
        <v>2</v>
      </c>
      <c r="DX17" s="248">
        <f>'PUSK ( RUMUS )'!EN28+'PUSK ( RUMUS )'!EN29</f>
        <v>1</v>
      </c>
      <c r="DY17" s="248">
        <f>'PUSK ( RUMUS )'!EO28+'PUSK ( RUMUS )'!EO29</f>
        <v>6</v>
      </c>
      <c r="DZ17" s="248">
        <f>'PUSK ( RUMUS )'!EP28+'PUSK ( RUMUS )'!EP29</f>
        <v>10</v>
      </c>
      <c r="EA17" s="248">
        <f>'PUSK ( RUMUS )'!EQ28+'PUSK ( RUMUS )'!EQ29</f>
        <v>0</v>
      </c>
      <c r="EB17" s="248">
        <f>'PUSK ( RUMUS )'!ER28+'PUSK ( RUMUS )'!ER29</f>
        <v>0</v>
      </c>
      <c r="EC17" s="248">
        <f>'PUSK ( RUMUS )'!ES28+'PUSK ( RUMUS )'!ES29</f>
        <v>0</v>
      </c>
      <c r="ED17" s="248">
        <f>'PUSK ( RUMUS )'!ET28+'PUSK ( RUMUS )'!ET29</f>
        <v>0</v>
      </c>
      <c r="EE17" s="248">
        <f>'PUSK ( RUMUS )'!EU28+'PUSK ( RUMUS )'!EU29</f>
        <v>0</v>
      </c>
      <c r="EF17" s="248">
        <f>'PUSK ( RUMUS )'!EV28+'PUSK ( RUMUS )'!EV29</f>
        <v>0</v>
      </c>
      <c r="EG17" s="248">
        <f>'PUSK ( RUMUS )'!EW28+'PUSK ( RUMUS )'!EW29</f>
        <v>19</v>
      </c>
      <c r="EH17" s="248">
        <f>'PUSK ( RUMUS )'!EX28+'PUSK ( RUMUS )'!EX29</f>
        <v>9</v>
      </c>
      <c r="EI17" s="248">
        <f>'PUSK ( RUMUS )'!EY28+'PUSK ( RUMUS )'!EY29</f>
        <v>8967</v>
      </c>
      <c r="EJ17" s="248">
        <f>'PUSK ( RUMUS )'!EZ28+'PUSK ( RUMUS )'!EZ29</f>
        <v>1791</v>
      </c>
      <c r="EK17" s="248">
        <f>'PUSK ( RUMUS )'!FA28+'PUSK ( RUMUS )'!FA29</f>
        <v>8765</v>
      </c>
      <c r="EL17" s="248">
        <f>'PUSK ( RUMUS )'!FB28+'PUSK ( RUMUS )'!FB29</f>
        <v>1727</v>
      </c>
      <c r="EM17" s="248">
        <f>'PUSK ( RUMUS )'!FC28+'PUSK ( RUMUS )'!FC29</f>
        <v>107</v>
      </c>
      <c r="EN17" s="248">
        <f>'PUSK ( RUMUS )'!FD28+'PUSK ( RUMUS )'!FD29</f>
        <v>28</v>
      </c>
      <c r="EO17" s="491">
        <f t="shared" si="2"/>
        <v>79</v>
      </c>
      <c r="EP17" s="248">
        <f>'PUSK ( RUMUS )'!FF28+'PUSK ( RUMUS )'!FF29</f>
        <v>0</v>
      </c>
      <c r="EQ17" s="248">
        <f>'PUSK ( RUMUS )'!FG28+'PUSK ( RUMUS )'!FG29</f>
        <v>2</v>
      </c>
      <c r="ER17" s="248">
        <f>'PUSK ( RUMUS )'!FH28+'PUSK ( RUMUS )'!FH29</f>
        <v>18</v>
      </c>
      <c r="ES17" s="248">
        <f>'PUSK ( RUMUS )'!FI28+'PUSK ( RUMUS )'!FI29</f>
        <v>63</v>
      </c>
      <c r="ET17" s="248">
        <f>'PUSK ( RUMUS )'!FJ28+'PUSK ( RUMUS )'!FJ29</f>
        <v>0</v>
      </c>
      <c r="EU17" s="248">
        <f>'PUSK ( RUMUS )'!FK28+'PUSK ( RUMUS )'!FK29</f>
        <v>1</v>
      </c>
      <c r="EV17" s="248">
        <f>'PUSK ( RUMUS )'!FL28+'PUSK ( RUMUS )'!FL29</f>
        <v>7</v>
      </c>
      <c r="EW17" s="248">
        <f>'PUSK ( RUMUS )'!FM28+'PUSK ( RUMUS )'!FM29</f>
        <v>16</v>
      </c>
      <c r="EX17" s="248">
        <f>'PUSK ( RUMUS )'!FN28+'PUSK ( RUMUS )'!FN29</f>
        <v>0</v>
      </c>
      <c r="EY17" s="248">
        <f>'PUSK ( RUMUS )'!FO28+'PUSK ( RUMUS )'!FO29</f>
        <v>1</v>
      </c>
      <c r="EZ17" s="248">
        <f>'PUSK ( RUMUS )'!FP28+'PUSK ( RUMUS )'!FP29</f>
        <v>2</v>
      </c>
      <c r="FA17" s="248">
        <f>'PUSK ( RUMUS )'!FQ28+'PUSK ( RUMUS )'!FQ29</f>
        <v>2</v>
      </c>
      <c r="FB17" s="248">
        <f>'PUSK ( RUMUS )'!FR28+'PUSK ( RUMUS )'!FR29</f>
        <v>0</v>
      </c>
      <c r="FC17" s="248">
        <f>'PUSK ( RUMUS )'!FS28+'PUSK ( RUMUS )'!FS29</f>
        <v>0</v>
      </c>
      <c r="FD17" s="248">
        <f>'PUSK ( RUMUS )'!FT28+'PUSK ( RUMUS )'!FT29</f>
        <v>0</v>
      </c>
      <c r="FE17" s="248">
        <f>'PUSK ( RUMUS )'!FU28+'PUSK ( RUMUS )'!FU29</f>
        <v>0</v>
      </c>
      <c r="FF17" s="248">
        <f>'PUSK ( RUMUS )'!FV28+'PUSK ( RUMUS )'!FV29</f>
        <v>0</v>
      </c>
      <c r="FG17" s="248">
        <f>'PUSK ( RUMUS )'!FW28+'PUSK ( RUMUS )'!FW29</f>
        <v>0</v>
      </c>
      <c r="FH17" s="248">
        <f>'PUSK ( RUMUS )'!FX28+'PUSK ( RUMUS )'!FX29</f>
        <v>5</v>
      </c>
      <c r="FI17" s="248">
        <f>'PUSK ( RUMUS )'!FY28+'PUSK ( RUMUS )'!FY29</f>
        <v>3</v>
      </c>
      <c r="FJ17" s="248">
        <f>'PUSK ( RUMUS )'!FZ28+'PUSK ( RUMUS )'!FZ29</f>
        <v>8881</v>
      </c>
      <c r="FK17" s="248">
        <f>'PUSK ( RUMUS )'!GA28+'PUSK ( RUMUS )'!GA29</f>
        <v>1731</v>
      </c>
      <c r="FL17" s="248">
        <f>'PUSK ( RUMUS )'!GB28+'PUSK ( RUMUS )'!GB29</f>
        <v>8770</v>
      </c>
      <c r="FM17" s="248">
        <f>'PUSK ( RUMUS )'!GC28+'PUSK ( RUMUS )'!GC29</f>
        <v>1711</v>
      </c>
      <c r="FN17" s="248"/>
      <c r="FO17" s="248"/>
      <c r="FP17" s="248">
        <f>'PUSK ( RUMUS )'!GG28+'PUSK ( RUMUS )'!GG29</f>
        <v>108</v>
      </c>
      <c r="FQ17" s="248">
        <f>'PUSK ( RUMUS )'!GH28+'PUSK ( RUMUS )'!GH29</f>
        <v>26</v>
      </c>
      <c r="FR17" s="491">
        <f t="shared" si="3"/>
        <v>82</v>
      </c>
      <c r="FS17" s="248">
        <f>'PUSK ( RUMUS )'!GJ28+'PUSK ( RUMUS )'!GJ29</f>
        <v>0</v>
      </c>
      <c r="FT17" s="248">
        <f>'PUSK ( RUMUS )'!GK28+'PUSK ( RUMUS )'!GK29</f>
        <v>1</v>
      </c>
      <c r="FU17" s="248">
        <f>'PUSK ( RUMUS )'!GL28+'PUSK ( RUMUS )'!GL29</f>
        <v>16</v>
      </c>
      <c r="FV17" s="248">
        <f>'PUSK ( RUMUS )'!GM28+'PUSK ( RUMUS )'!GM29</f>
        <v>65</v>
      </c>
      <c r="FW17" s="248">
        <f>'PUSK ( RUMUS )'!GN28+'PUSK ( RUMUS )'!GN29</f>
        <v>0</v>
      </c>
      <c r="FX17" s="248">
        <f>'PUSK ( RUMUS )'!GO28+'PUSK ( RUMUS )'!GO29</f>
        <v>0</v>
      </c>
      <c r="FY17" s="248">
        <f>'PUSK ( RUMUS )'!GP28+'PUSK ( RUMUS )'!GP29</f>
        <v>9</v>
      </c>
      <c r="FZ17" s="248">
        <f>'PUSK ( RUMUS )'!GQ28+'PUSK ( RUMUS )'!GQ29</f>
        <v>17</v>
      </c>
      <c r="GA17" s="248">
        <f>'PUSK ( RUMUS )'!GR28+'PUSK ( RUMUS )'!GR29</f>
        <v>0</v>
      </c>
      <c r="GB17" s="248">
        <f>'PUSK ( RUMUS )'!GS28+'PUSK ( RUMUS )'!GS29</f>
        <v>0</v>
      </c>
      <c r="GC17" s="248">
        <f>'PUSK ( RUMUS )'!GT28+'PUSK ( RUMUS )'!GT29</f>
        <v>2</v>
      </c>
      <c r="GD17" s="248">
        <f>'PUSK ( RUMUS )'!GU28+'PUSK ( RUMUS )'!GU29</f>
        <v>3</v>
      </c>
      <c r="GE17" s="248">
        <f>'PUSK ( RUMUS )'!GV28+'PUSK ( RUMUS )'!GV29</f>
        <v>0</v>
      </c>
      <c r="GF17" s="248">
        <f>'PUSK ( RUMUS )'!GW28+'PUSK ( RUMUS )'!GW29</f>
        <v>0</v>
      </c>
      <c r="GG17" s="248">
        <f>'PUSK ( RUMUS )'!GX28+'PUSK ( RUMUS )'!GX29</f>
        <v>1</v>
      </c>
      <c r="GH17" s="248">
        <f>'PUSK ( RUMUS )'!GY28+'PUSK ( RUMUS )'!GY29</f>
        <v>1</v>
      </c>
      <c r="GI17" s="248">
        <f>'PUSK ( RUMUS )'!GZ28+'PUSK ( RUMUS )'!GZ29</f>
        <v>0</v>
      </c>
      <c r="GJ17" s="248">
        <f>'PUSK ( RUMUS )'!HA28+'PUSK ( RUMUS )'!HA29</f>
        <v>0</v>
      </c>
      <c r="GK17" s="248">
        <f>'PUSK ( RUMUS )'!HB28+'PUSK ( RUMUS )'!HB29</f>
        <v>7</v>
      </c>
      <c r="GL17" s="248">
        <f>'PUSK ( RUMUS )'!HC28+'PUSK ( RUMUS )'!HC29</f>
        <v>3</v>
      </c>
      <c r="GM17" s="248">
        <f>'PUSK ( RUMUS )'!HD28+'PUSK ( RUMUS )'!HD29</f>
        <v>8866</v>
      </c>
      <c r="GN17" s="248">
        <f>'PUSK ( RUMUS )'!HE28+'PUSK ( RUMUS )'!HE29</f>
        <v>1639</v>
      </c>
      <c r="GO17" s="248">
        <f>'PUSK ( RUMUS )'!HF28+'PUSK ( RUMUS )'!HF29</f>
        <v>8692</v>
      </c>
      <c r="GP17" s="248">
        <f>'PUSK ( RUMUS )'!HG28+'PUSK ( RUMUS )'!HG29</f>
        <v>1638</v>
      </c>
      <c r="GQ17" s="248"/>
      <c r="GR17" s="248"/>
      <c r="GS17" s="248">
        <f>'PUSK ( RUMUS )'!HK28+'PUSK ( RUMUS )'!HK29</f>
        <v>112</v>
      </c>
      <c r="GT17" s="248">
        <f>'PUSK ( RUMUS )'!HL28+'PUSK ( RUMUS )'!HL29</f>
        <v>29</v>
      </c>
      <c r="GU17" s="491">
        <f t="shared" si="4"/>
        <v>83</v>
      </c>
      <c r="GV17" s="248">
        <f>'PUSK ( RUMUS )'!HN28+'PUSK ( RUMUS )'!HN29</f>
        <v>0</v>
      </c>
      <c r="GW17" s="248">
        <f>'PUSK ( RUMUS )'!HO28+'PUSK ( RUMUS )'!HO29</f>
        <v>2</v>
      </c>
      <c r="GX17" s="248">
        <f>'PUSK ( RUMUS )'!HP28+'PUSK ( RUMUS )'!HP29</f>
        <v>20</v>
      </c>
      <c r="GY17" s="248">
        <f>'PUSK ( RUMUS )'!HQ28+'PUSK ( RUMUS )'!HQ29</f>
        <v>75</v>
      </c>
      <c r="GZ17" s="248">
        <f>'PUSK ( RUMUS )'!HR28+'PUSK ( RUMUS )'!HR29</f>
        <v>0</v>
      </c>
      <c r="HA17" s="248">
        <f>'PUSK ( RUMUS )'!HS28+'PUSK ( RUMUS )'!HS29</f>
        <v>2</v>
      </c>
      <c r="HB17" s="248">
        <f>'PUSK ( RUMUS )'!HT28+'PUSK ( RUMUS )'!HT29</f>
        <v>5</v>
      </c>
      <c r="HC17" s="248">
        <f>'PUSK ( RUMUS )'!HU28+'PUSK ( RUMUS )'!HU29</f>
        <v>8</v>
      </c>
      <c r="HD17" s="248">
        <f>'PUSK ( RUMUS )'!HV28+'PUSK ( RUMUS )'!HV29</f>
        <v>0</v>
      </c>
      <c r="HE17" s="248">
        <f>'PUSK ( RUMUS )'!HW28+'PUSK ( RUMUS )'!HW29</f>
        <v>1</v>
      </c>
      <c r="HF17" s="248">
        <f>'PUSK ( RUMUS )'!HX28+'PUSK ( RUMUS )'!HX29</f>
        <v>2</v>
      </c>
      <c r="HG17" s="248">
        <f>'PUSK ( RUMUS )'!HY28+'PUSK ( RUMUS )'!HY29</f>
        <v>9</v>
      </c>
      <c r="HH17" s="248">
        <f>'PUSK ( RUMUS )'!HZ28+'PUSK ( RUMUS )'!HZ29</f>
        <v>0</v>
      </c>
      <c r="HI17" s="248">
        <f>'PUSK ( RUMUS )'!IA28+'PUSK ( RUMUS )'!IA29</f>
        <v>0</v>
      </c>
      <c r="HJ17" s="248">
        <f>'PUSK ( RUMUS )'!IB28+'PUSK ( RUMUS )'!IB29</f>
        <v>0</v>
      </c>
      <c r="HK17" s="248">
        <f>'PUSK ( RUMUS )'!IC28+'PUSK ( RUMUS )'!IC29</f>
        <v>0</v>
      </c>
      <c r="HL17" s="248">
        <f>'PUSK ( RUMUS )'!ID28+'PUSK ( RUMUS )'!ID29</f>
        <v>0</v>
      </c>
      <c r="HM17" s="248">
        <f>'PUSK ( RUMUS )'!IE28+'PUSK ( RUMUS )'!IE29</f>
        <v>0</v>
      </c>
      <c r="HN17" s="248">
        <f>'PUSK ( RUMUS )'!IF28+'PUSK ( RUMUS )'!IF29</f>
        <v>9</v>
      </c>
      <c r="HO17" s="248">
        <f>'PUSK ( RUMUS )'!IG28+'PUSK ( RUMUS )'!IG29</f>
        <v>3</v>
      </c>
      <c r="HR17" s="198">
        <f t="shared" si="5"/>
        <v>73</v>
      </c>
      <c r="HS17" s="198">
        <f t="shared" si="6"/>
        <v>93</v>
      </c>
      <c r="HT17" s="198">
        <f t="shared" si="7"/>
        <v>59</v>
      </c>
      <c r="HU17" s="198">
        <f t="shared" si="8"/>
        <v>103</v>
      </c>
      <c r="HV17" s="198">
        <f t="shared" si="9"/>
        <v>94</v>
      </c>
      <c r="HW17" s="198">
        <f t="shared" si="10"/>
        <v>102</v>
      </c>
      <c r="HX17" s="574">
        <f t="shared" si="11"/>
        <v>78</v>
      </c>
      <c r="HY17" s="574">
        <f t="shared" si="12"/>
        <v>105</v>
      </c>
      <c r="HZ17" s="634">
        <f t="shared" si="13"/>
        <v>87</v>
      </c>
      <c r="IA17" s="611">
        <f t="shared" si="14"/>
        <v>107</v>
      </c>
      <c r="IB17" s="611">
        <f t="shared" si="15"/>
        <v>108</v>
      </c>
      <c r="IC17" s="611">
        <f t="shared" si="16"/>
        <v>112</v>
      </c>
    </row>
    <row r="18" ht="14.25" customHeight="1">
      <c r="A18" s="158">
        <v>11.0</v>
      </c>
      <c r="B18" s="633" t="s">
        <v>199</v>
      </c>
      <c r="C18" s="253">
        <v>3374130.0</v>
      </c>
      <c r="D18" s="253"/>
      <c r="E18" s="253"/>
      <c r="F18" s="252">
        <f>'PUSK ( RUMUS )'!F30+'PUSK ( RUMUS )'!F31</f>
        <v>158</v>
      </c>
      <c r="G18" s="252">
        <f>'PUSK ( RUMUS )'!G30+'PUSK ( RUMUS )'!G31</f>
        <v>13151</v>
      </c>
      <c r="H18" s="603">
        <f>'PUSK ( RUMUS )'!H30+'PUSK ( RUMUS )'!H31</f>
        <v>109</v>
      </c>
      <c r="I18" s="248">
        <f>'PUSK ( RUMUS )'!K30+'PUSK ( RUMUS )'!K31</f>
        <v>0</v>
      </c>
      <c r="J18" s="248">
        <f>'PUSK ( RUMUS )'!L30+'PUSK ( RUMUS )'!L31</f>
        <v>1</v>
      </c>
      <c r="K18" s="248">
        <f>'PUSK ( RUMUS )'!M30+'PUSK ( RUMUS )'!M31</f>
        <v>26</v>
      </c>
      <c r="L18" s="248">
        <f>'PUSK ( RUMUS )'!N30+'PUSK ( RUMUS )'!N31</f>
        <v>82</v>
      </c>
      <c r="M18" s="248">
        <f>'PUSK ( RUMUS )'!O30+'PUSK ( RUMUS )'!O31</f>
        <v>0</v>
      </c>
      <c r="N18" s="248">
        <f>'PUSK ( RUMUS )'!P30+'PUSK ( RUMUS )'!P31</f>
        <v>0</v>
      </c>
      <c r="O18" s="248">
        <f>'PUSK ( RUMUS )'!Q30+'PUSK ( RUMUS )'!Q31</f>
        <v>109</v>
      </c>
      <c r="P18" s="248">
        <f>'PUSK ( RUMUS )'!R30+'PUSK ( RUMUS )'!R31</f>
        <v>108</v>
      </c>
      <c r="Q18" s="248">
        <f>'PUSK ( RUMUS )'!U30+'PUSK ( RUMUS )'!U31</f>
        <v>0</v>
      </c>
      <c r="R18" s="248">
        <f>'PUSK ( RUMUS )'!V30+'PUSK ( RUMUS )'!V31</f>
        <v>1</v>
      </c>
      <c r="S18" s="248">
        <f>'PUSK ( RUMUS )'!W30+'PUSK ( RUMUS )'!W31</f>
        <v>26</v>
      </c>
      <c r="T18" s="248">
        <f>'PUSK ( RUMUS )'!X30+'PUSK ( RUMUS )'!X31</f>
        <v>81</v>
      </c>
      <c r="U18" s="248">
        <f>'PUSK ( RUMUS )'!Y30+'PUSK ( RUMUS )'!Y31</f>
        <v>8</v>
      </c>
      <c r="V18" s="248">
        <f>'PUSK ( RUMUS )'!Z30+'PUSK ( RUMUS )'!Z31</f>
        <v>3</v>
      </c>
      <c r="W18" s="248">
        <f>'PUSK ( RUMUS )'!AA30+'PUSK ( RUMUS )'!AA31</f>
        <v>97</v>
      </c>
      <c r="X18" s="248">
        <f>'PUSK ( RUMUS )'!AB30+'PUSK ( RUMUS )'!AB31</f>
        <v>114</v>
      </c>
      <c r="Y18" s="248">
        <f>'PUSK ( RUMUS )'!AE30+'PUSK ( RUMUS )'!AE31</f>
        <v>0</v>
      </c>
      <c r="Z18" s="248">
        <f>'PUSK ( RUMUS )'!AF30+'PUSK ( RUMUS )'!AF31</f>
        <v>1</v>
      </c>
      <c r="AA18" s="248">
        <f>'PUSK ( RUMUS )'!AG30+'PUSK ( RUMUS )'!AG31</f>
        <v>26</v>
      </c>
      <c r="AB18" s="248">
        <f>'PUSK ( RUMUS )'!AH30+'PUSK ( RUMUS )'!AH31</f>
        <v>87</v>
      </c>
      <c r="AC18" s="248">
        <f>'PUSK ( RUMUS )'!AI30+'PUSK ( RUMUS )'!AI31</f>
        <v>1</v>
      </c>
      <c r="AD18" s="248">
        <f>'PUSK ( RUMUS )'!AJ30+'PUSK ( RUMUS )'!AJ31</f>
        <v>1</v>
      </c>
      <c r="AE18" s="248">
        <f>'PUSK ( RUMUS )'!AK30+'PUSK ( RUMUS )'!AK31</f>
        <v>112</v>
      </c>
      <c r="AF18" s="248">
        <f>'PUSK ( RUMUS )'!AL30+'PUSK ( RUMUS )'!AL31</f>
        <v>71</v>
      </c>
      <c r="AG18" s="248">
        <f>'PUSK ( RUMUS )'!AO30+'PUSK ( RUMUS )'!AO31</f>
        <v>0</v>
      </c>
      <c r="AH18" s="248">
        <f>'PUSK ( RUMUS )'!AP30+'PUSK ( RUMUS )'!AP31</f>
        <v>1</v>
      </c>
      <c r="AI18" s="248">
        <f>'PUSK ( RUMUS )'!AQ30+'PUSK ( RUMUS )'!AQ31</f>
        <v>21</v>
      </c>
      <c r="AJ18" s="248">
        <f>'PUSK ( RUMUS )'!AR30+'PUSK ( RUMUS )'!AR31</f>
        <v>49</v>
      </c>
      <c r="AK18" s="248">
        <f>'PUSK ( RUMUS )'!AS30+'PUSK ( RUMUS )'!AS31</f>
        <v>1</v>
      </c>
      <c r="AL18" s="248">
        <f>'PUSK ( RUMUS )'!AT30+'PUSK ( RUMUS )'!AT31</f>
        <v>1</v>
      </c>
      <c r="AM18" s="248">
        <f>'PUSK ( RUMUS )'!AU30+'PUSK ( RUMUS )'!AU31</f>
        <v>69</v>
      </c>
      <c r="AN18" s="248">
        <f>'PUSK ( RUMUS )'!AV30+'PUSK ( RUMUS )'!AV31</f>
        <v>80</v>
      </c>
      <c r="AO18" s="248">
        <f>'PUSK ( RUMUS )'!AY30+'PUSK ( RUMUS )'!AY31</f>
        <v>0</v>
      </c>
      <c r="AP18" s="248">
        <f>'PUSK ( RUMUS )'!AZ30+'PUSK ( RUMUS )'!AZ31</f>
        <v>1</v>
      </c>
      <c r="AQ18" s="248">
        <f>'PUSK ( RUMUS )'!BA30+'PUSK ( RUMUS )'!BA31</f>
        <v>16</v>
      </c>
      <c r="AR18" s="248">
        <f>'PUSK ( RUMUS )'!BB30+'PUSK ( RUMUS )'!BB31</f>
        <v>63</v>
      </c>
      <c r="AS18" s="248">
        <f>'PUSK ( RUMUS )'!BC30+'PUSK ( RUMUS )'!BC31</f>
        <v>0</v>
      </c>
      <c r="AT18" s="248">
        <f>'PUSK ( RUMUS )'!BD30+'PUSK ( RUMUS )'!BD31</f>
        <v>0</v>
      </c>
      <c r="AU18" s="248">
        <f>'PUSK ( RUMUS )'!BE30+'PUSK ( RUMUS )'!BE31</f>
        <v>80</v>
      </c>
      <c r="AV18" s="248">
        <f>'PUSK ( RUMUS )'!BF30+'PUSK ( RUMUS )'!BF31</f>
        <v>12370</v>
      </c>
      <c r="AW18" s="248">
        <f>'PUSK ( RUMUS )'!BG30+'PUSK ( RUMUS )'!BG31</f>
        <v>109</v>
      </c>
      <c r="AX18" s="248">
        <f>'PUSK ( RUMUS )'!BJ30+'PUSK ( RUMUS )'!BJ31</f>
        <v>0</v>
      </c>
      <c r="AY18" s="248">
        <f>'PUSK ( RUMUS )'!BK30+'PUSK ( RUMUS )'!BK31</f>
        <v>0</v>
      </c>
      <c r="AZ18" s="248">
        <f>'PUSK ( RUMUS )'!BL30+'PUSK ( RUMUS )'!BL31</f>
        <v>17</v>
      </c>
      <c r="BA18" s="248">
        <f>'PUSK ( RUMUS )'!BM30+'PUSK ( RUMUS )'!BM31</f>
        <v>52</v>
      </c>
      <c r="BB18" s="248">
        <f>'PUSK ( RUMUS )'!BN30+'PUSK ( RUMUS )'!BN31</f>
        <v>4</v>
      </c>
      <c r="BC18" s="248">
        <f>'PUSK ( RUMUS )'!BO30+'PUSK ( RUMUS )'!BO31</f>
        <v>7</v>
      </c>
      <c r="BD18" s="248">
        <f>'PUSK ( RUMUS )'!BP30+'PUSK ( RUMUS )'!BP31</f>
        <v>14</v>
      </c>
      <c r="BE18" s="248">
        <f>'PUSK ( RUMUS )'!BQ30+'PUSK ( RUMUS )'!BQ31</f>
        <v>15</v>
      </c>
      <c r="BF18" s="248">
        <f>'PUSK ( RUMUS )'!BR30+'PUSK ( RUMUS )'!BR31</f>
        <v>0</v>
      </c>
      <c r="BG18" s="248">
        <f>'PUSK ( RUMUS )'!BS30+'PUSK ( RUMUS )'!BS31</f>
        <v>0</v>
      </c>
      <c r="BH18" s="248">
        <f>'PUSK ( RUMUS )'!BT30+'PUSK ( RUMUS )'!BT31</f>
        <v>0</v>
      </c>
      <c r="BI18" s="248">
        <f>'PUSK ( RUMUS )'!BU30+'PUSK ( RUMUS )'!BU31</f>
        <v>3</v>
      </c>
      <c r="BJ18" s="248">
        <f>'PUSK ( RUMUS )'!BV30+'PUSK ( RUMUS )'!BV31</f>
        <v>0</v>
      </c>
      <c r="BK18" s="248">
        <f>'PUSK ( RUMUS )'!BW30+'PUSK ( RUMUS )'!BW31</f>
        <v>0</v>
      </c>
      <c r="BL18" s="248">
        <f>'PUSK ( RUMUS )'!BX30+'PUSK ( RUMUS )'!BX31</f>
        <v>0</v>
      </c>
      <c r="BM18" s="248">
        <f>'PUSK ( RUMUS )'!BY30+'PUSK ( RUMUS )'!BY31</f>
        <v>0</v>
      </c>
      <c r="BN18" s="248">
        <f>'PUSK ( RUMUS )'!BZ30+'PUSK ( RUMUS )'!BZ31</f>
        <v>0</v>
      </c>
      <c r="BO18" s="248">
        <f>'PUSK ( RUMUS )'!CA30+'PUSK ( RUMUS )'!CA31</f>
        <v>0</v>
      </c>
      <c r="BP18" s="248">
        <f>'PUSK ( RUMUS )'!CB30+'PUSK ( RUMUS )'!CB31</f>
        <v>3</v>
      </c>
      <c r="BQ18" s="248">
        <f>'PUSK ( RUMUS )'!CC30+'PUSK ( RUMUS )'!CC31</f>
        <v>12250</v>
      </c>
      <c r="BR18" s="248">
        <f>'PUSK ( RUMUS )'!CD30+'PUSK ( RUMUS )'!CD31</f>
        <v>80</v>
      </c>
      <c r="BS18" s="248">
        <f>'PUSK ( RUMUS )'!CG30+'PUSK ( RUMUS )'!CG31</f>
        <v>0</v>
      </c>
      <c r="BT18" s="248">
        <f>'PUSK ( RUMUS )'!CH30+'PUSK ( RUMUS )'!CH31</f>
        <v>0</v>
      </c>
      <c r="BU18" s="248">
        <f>'PUSK ( RUMUS )'!CI30+'PUSK ( RUMUS )'!CI31</f>
        <v>7</v>
      </c>
      <c r="BV18" s="248">
        <f>'PUSK ( RUMUS )'!CJ30+'PUSK ( RUMUS )'!CJ31</f>
        <v>63</v>
      </c>
      <c r="BW18" s="248">
        <f>'PUSK ( RUMUS )'!CK30+'PUSK ( RUMUS )'!CK31</f>
        <v>0</v>
      </c>
      <c r="BX18" s="248">
        <f>'PUSK ( RUMUS )'!CL30+'PUSK ( RUMUS )'!CL31</f>
        <v>0</v>
      </c>
      <c r="BY18" s="248">
        <f>'PUSK ( RUMUS )'!CM30+'PUSK ( RUMUS )'!CM31</f>
        <v>5</v>
      </c>
      <c r="BZ18" s="248">
        <f>'PUSK ( RUMUS )'!CN30+'PUSK ( RUMUS )'!CN31</f>
        <v>5</v>
      </c>
      <c r="CA18" s="248">
        <f>'PUSK ( RUMUS )'!CO30+'PUSK ( RUMUS )'!CO31</f>
        <v>0</v>
      </c>
      <c r="CB18" s="248">
        <f>'PUSK ( RUMUS )'!CP30+'PUSK ( RUMUS )'!CP31</f>
        <v>0</v>
      </c>
      <c r="CC18" s="248">
        <f>'PUSK ( RUMUS )'!CQ30+'PUSK ( RUMUS )'!CQ31</f>
        <v>0</v>
      </c>
      <c r="CD18" s="248">
        <f>'PUSK ( RUMUS )'!CR30+'PUSK ( RUMUS )'!CR31</f>
        <v>4</v>
      </c>
      <c r="CE18" s="248">
        <f>'PUSK ( RUMUS )'!CS30+'PUSK ( RUMUS )'!CS31</f>
        <v>0</v>
      </c>
      <c r="CF18" s="248">
        <f>'PUSK ( RUMUS )'!CT30+'PUSK ( RUMUS )'!CT31</f>
        <v>0</v>
      </c>
      <c r="CG18" s="248">
        <f>'PUSK ( RUMUS )'!CU30+'PUSK ( RUMUS )'!CU31</f>
        <v>0</v>
      </c>
      <c r="CH18" s="248">
        <f>'PUSK ( RUMUS )'!CV30+'PUSK ( RUMUS )'!CV31</f>
        <v>0</v>
      </c>
      <c r="CI18" s="248">
        <f>'PUSK ( RUMUS )'!CW30+'PUSK ( RUMUS )'!CW31</f>
        <v>0</v>
      </c>
      <c r="CJ18" s="248">
        <f>'PUSK ( RUMUS )'!CX30+'PUSK ( RUMUS )'!CX31</f>
        <v>0</v>
      </c>
      <c r="CK18" s="248">
        <f>'PUSK ( RUMUS )'!CY30+'PUSK ( RUMUS )'!CY31</f>
        <v>4</v>
      </c>
      <c r="CL18" s="248">
        <f>'PUSK ( RUMUS )'!CZ30+'PUSK ( RUMUS )'!CZ31</f>
        <v>12284</v>
      </c>
      <c r="CM18" s="248">
        <f>'PUSK ( RUMUS )'!DA30+'PUSK ( RUMUS )'!DA31</f>
        <v>4756</v>
      </c>
      <c r="CN18" s="248">
        <f>'PUSK ( RUMUS )'!DB30+'PUSK ( RUMUS )'!DB31</f>
        <v>67</v>
      </c>
      <c r="CO18" s="248">
        <f>'PUSK ( RUMUS )'!DE30+'PUSK ( RUMUS )'!DE31</f>
        <v>0</v>
      </c>
      <c r="CP18" s="248">
        <f>'PUSK ( RUMUS )'!DF30+'PUSK ( RUMUS )'!DF31</f>
        <v>0</v>
      </c>
      <c r="CQ18" s="248">
        <f>'PUSK ( RUMUS )'!DG30+'PUSK ( RUMUS )'!DG31</f>
        <v>17</v>
      </c>
      <c r="CR18" s="248">
        <f>'PUSK ( RUMUS )'!DH30+'PUSK ( RUMUS )'!DH31</f>
        <v>45</v>
      </c>
      <c r="CS18" s="248">
        <f>'PUSK ( RUMUS )'!DI30+'PUSK ( RUMUS )'!DI31</f>
        <v>0</v>
      </c>
      <c r="CT18" s="248">
        <f>'PUSK ( RUMUS )'!DJ30+'PUSK ( RUMUS )'!DJ31</f>
        <v>0</v>
      </c>
      <c r="CU18" s="248">
        <f>'PUSK ( RUMUS )'!DK30+'PUSK ( RUMUS )'!DK31</f>
        <v>2</v>
      </c>
      <c r="CV18" s="248">
        <f>'PUSK ( RUMUS )'!DL30+'PUSK ( RUMUS )'!DL31</f>
        <v>3</v>
      </c>
      <c r="CW18" s="248">
        <f>'PUSK ( RUMUS )'!DM30+'PUSK ( RUMUS )'!DM31</f>
        <v>0</v>
      </c>
      <c r="CX18" s="248">
        <f>'PUSK ( RUMUS )'!DN30+'PUSK ( RUMUS )'!DN31</f>
        <v>0</v>
      </c>
      <c r="CY18" s="248">
        <f>'PUSK ( RUMUS )'!DO30+'PUSK ( RUMUS )'!DO31</f>
        <v>2</v>
      </c>
      <c r="CZ18" s="248">
        <f>'PUSK ( RUMUS )'!DP30+'PUSK ( RUMUS )'!DP31</f>
        <v>5</v>
      </c>
      <c r="DA18" s="248">
        <f>'PUSK ( RUMUS )'!DQ30+'PUSK ( RUMUS )'!DQ31</f>
        <v>0</v>
      </c>
      <c r="DB18" s="248">
        <f>'PUSK ( RUMUS )'!DR30+'PUSK ( RUMUS )'!DR31</f>
        <v>0</v>
      </c>
      <c r="DC18" s="248">
        <f>'PUSK ( RUMUS )'!DS30+'PUSK ( RUMUS )'!DS31</f>
        <v>0</v>
      </c>
      <c r="DD18" s="248">
        <f>'PUSK ( RUMUS )'!DT30+'PUSK ( RUMUS )'!DT31</f>
        <v>0</v>
      </c>
      <c r="DE18" s="248">
        <f>'PUSK ( RUMUS )'!DU30+'PUSK ( RUMUS )'!DU31</f>
        <v>0</v>
      </c>
      <c r="DF18" s="248">
        <f>'PUSK ( RUMUS )'!DV30+'PUSK ( RUMUS )'!DV31</f>
        <v>0</v>
      </c>
      <c r="DG18" s="248">
        <f>'PUSK ( RUMUS )'!DW30+'PUSK ( RUMUS )'!DW31</f>
        <v>7</v>
      </c>
      <c r="DH18" s="248">
        <f>'PUSK ( RUMUS )'!DX30+'PUSK ( RUMUS )'!DX31</f>
        <v>11704</v>
      </c>
      <c r="DI18" s="248">
        <f>'PUSK ( RUMUS )'!DY30+'PUSK ( RUMUS )'!DY31</f>
        <v>3629</v>
      </c>
      <c r="DJ18" s="248">
        <f>'PUSK ( RUMUS )'!DZ30+'PUSK ( RUMUS )'!DZ31</f>
        <v>11067</v>
      </c>
      <c r="DK18" s="248">
        <f>'PUSK ( RUMUS )'!EA30+'PUSK ( RUMUS )'!EA31</f>
        <v>3143</v>
      </c>
      <c r="DL18" s="248">
        <f>'PUSK ( RUMUS )'!EB30+'PUSK ( RUMUS )'!EB31</f>
        <v>67</v>
      </c>
      <c r="DM18" s="248">
        <f>'PUSK ( RUMUS )'!EC30+'PUSK ( RUMUS )'!EC31</f>
        <v>15</v>
      </c>
      <c r="DN18" s="491">
        <f t="shared" si="1"/>
        <v>52</v>
      </c>
      <c r="DO18" s="248">
        <f>'PUSK ( RUMUS )'!EE30+'PUSK ( RUMUS )'!EE31</f>
        <v>0</v>
      </c>
      <c r="DP18" s="248">
        <f>'PUSK ( RUMUS )'!EF30+'PUSK ( RUMUS )'!EF31</f>
        <v>0</v>
      </c>
      <c r="DQ18" s="248">
        <f>'PUSK ( RUMUS )'!EG30+'PUSK ( RUMUS )'!EG31</f>
        <v>10</v>
      </c>
      <c r="DR18" s="248">
        <f>'PUSK ( RUMUS )'!EH30+'PUSK ( RUMUS )'!EH31</f>
        <v>38</v>
      </c>
      <c r="DS18" s="248">
        <f>'PUSK ( RUMUS )'!EI30+'PUSK ( RUMUS )'!EI31</f>
        <v>0</v>
      </c>
      <c r="DT18" s="248">
        <f>'PUSK ( RUMUS )'!EJ30+'PUSK ( RUMUS )'!EJ31</f>
        <v>0</v>
      </c>
      <c r="DU18" s="248">
        <f>'PUSK ( RUMUS )'!EK30+'PUSK ( RUMUS )'!EK31</f>
        <v>5</v>
      </c>
      <c r="DV18" s="248">
        <f>'PUSK ( RUMUS )'!EL30+'PUSK ( RUMUS )'!EL31</f>
        <v>14</v>
      </c>
      <c r="DW18" s="248">
        <f>'PUSK ( RUMUS )'!EM30+'PUSK ( RUMUS )'!EM31</f>
        <v>0</v>
      </c>
      <c r="DX18" s="248">
        <f>'PUSK ( RUMUS )'!EN30+'PUSK ( RUMUS )'!EN31</f>
        <v>0</v>
      </c>
      <c r="DY18" s="248">
        <f>'PUSK ( RUMUS )'!EO30+'PUSK ( RUMUS )'!EO31</f>
        <v>7</v>
      </c>
      <c r="DZ18" s="248">
        <f>'PUSK ( RUMUS )'!EP30+'PUSK ( RUMUS )'!EP31</f>
        <v>9</v>
      </c>
      <c r="EA18" s="248">
        <f>'PUSK ( RUMUS )'!EQ30+'PUSK ( RUMUS )'!EQ31</f>
        <v>0</v>
      </c>
      <c r="EB18" s="248">
        <f>'PUSK ( RUMUS )'!ER30+'PUSK ( RUMUS )'!ER31</f>
        <v>0</v>
      </c>
      <c r="EC18" s="248">
        <f>'PUSK ( RUMUS )'!ES30+'PUSK ( RUMUS )'!ES31</f>
        <v>0</v>
      </c>
      <c r="ED18" s="248">
        <f>'PUSK ( RUMUS )'!ET30+'PUSK ( RUMUS )'!ET31</f>
        <v>0</v>
      </c>
      <c r="EE18" s="248">
        <f>'PUSK ( RUMUS )'!EU30+'PUSK ( RUMUS )'!EU31</f>
        <v>0</v>
      </c>
      <c r="EF18" s="248">
        <f>'PUSK ( RUMUS )'!EV30+'PUSK ( RUMUS )'!EV31</f>
        <v>1</v>
      </c>
      <c r="EG18" s="248">
        <f>'PUSK ( RUMUS )'!EW30+'PUSK ( RUMUS )'!EW31</f>
        <v>17</v>
      </c>
      <c r="EH18" s="248">
        <f>'PUSK ( RUMUS )'!EX30+'PUSK ( RUMUS )'!EX31</f>
        <v>8</v>
      </c>
      <c r="EI18" s="248">
        <f>'PUSK ( RUMUS )'!EY30+'PUSK ( RUMUS )'!EY31</f>
        <v>11616</v>
      </c>
      <c r="EJ18" s="248">
        <f>'PUSK ( RUMUS )'!EZ30+'PUSK ( RUMUS )'!EZ31</f>
        <v>3474</v>
      </c>
      <c r="EK18" s="248">
        <f>'PUSK ( RUMUS )'!FA30+'PUSK ( RUMUS )'!FA31</f>
        <v>10976</v>
      </c>
      <c r="EL18" s="248">
        <f>'PUSK ( RUMUS )'!FB30+'PUSK ( RUMUS )'!FB31</f>
        <v>3108</v>
      </c>
      <c r="EM18" s="248">
        <f>'PUSK ( RUMUS )'!FC30+'PUSK ( RUMUS )'!FC31</f>
        <v>72</v>
      </c>
      <c r="EN18" s="248">
        <f>'PUSK ( RUMUS )'!FD30+'PUSK ( RUMUS )'!FD31</f>
        <v>15</v>
      </c>
      <c r="EO18" s="491">
        <f t="shared" si="2"/>
        <v>57</v>
      </c>
      <c r="EP18" s="248">
        <f>'PUSK ( RUMUS )'!FF30+'PUSK ( RUMUS )'!FF31</f>
        <v>0</v>
      </c>
      <c r="EQ18" s="248">
        <f>'PUSK ( RUMUS )'!FG30+'PUSK ( RUMUS )'!FG31</f>
        <v>0</v>
      </c>
      <c r="ER18" s="248">
        <f>'PUSK ( RUMUS )'!FH30+'PUSK ( RUMUS )'!FH31</f>
        <v>9</v>
      </c>
      <c r="ES18" s="248">
        <f>'PUSK ( RUMUS )'!FI30+'PUSK ( RUMUS )'!FI31</f>
        <v>46</v>
      </c>
      <c r="ET18" s="248">
        <f>'PUSK ( RUMUS )'!FJ30+'PUSK ( RUMUS )'!FJ31</f>
        <v>0</v>
      </c>
      <c r="EU18" s="248">
        <f>'PUSK ( RUMUS )'!FK30+'PUSK ( RUMUS )'!FK31</f>
        <v>2</v>
      </c>
      <c r="EV18" s="248">
        <f>'PUSK ( RUMUS )'!FL30+'PUSK ( RUMUS )'!FL31</f>
        <v>4</v>
      </c>
      <c r="EW18" s="248">
        <f>'PUSK ( RUMUS )'!FM30+'PUSK ( RUMUS )'!FM31</f>
        <v>11</v>
      </c>
      <c r="EX18" s="248">
        <f>'PUSK ( RUMUS )'!FN30+'PUSK ( RUMUS )'!FN31</f>
        <v>0</v>
      </c>
      <c r="EY18" s="248">
        <f>'PUSK ( RUMUS )'!FO30+'PUSK ( RUMUS )'!FO31</f>
        <v>0</v>
      </c>
      <c r="EZ18" s="248">
        <f>'PUSK ( RUMUS )'!FP30+'PUSK ( RUMUS )'!FP31</f>
        <v>2</v>
      </c>
      <c r="FA18" s="248">
        <f>'PUSK ( RUMUS )'!FQ30+'PUSK ( RUMUS )'!FQ31</f>
        <v>5</v>
      </c>
      <c r="FB18" s="248">
        <f>'PUSK ( RUMUS )'!FR30+'PUSK ( RUMUS )'!FR31</f>
        <v>0</v>
      </c>
      <c r="FC18" s="248">
        <f>'PUSK ( RUMUS )'!FS30+'PUSK ( RUMUS )'!FS31</f>
        <v>0</v>
      </c>
      <c r="FD18" s="248">
        <f>'PUSK ( RUMUS )'!FT30+'PUSK ( RUMUS )'!FT31</f>
        <v>0</v>
      </c>
      <c r="FE18" s="248">
        <f>'PUSK ( RUMUS )'!FU30+'PUSK ( RUMUS )'!FU31</f>
        <v>0</v>
      </c>
      <c r="FF18" s="248">
        <f>'PUSK ( RUMUS )'!FV30+'PUSK ( RUMUS )'!FV31</f>
        <v>0</v>
      </c>
      <c r="FG18" s="248">
        <f>'PUSK ( RUMUS )'!FW30+'PUSK ( RUMUS )'!FW31</f>
        <v>0</v>
      </c>
      <c r="FH18" s="248">
        <f>'PUSK ( RUMUS )'!FX30+'PUSK ( RUMUS )'!FX31</f>
        <v>7</v>
      </c>
      <c r="FI18" s="248">
        <f>'PUSK ( RUMUS )'!FY30+'PUSK ( RUMUS )'!FY31</f>
        <v>2</v>
      </c>
      <c r="FJ18" s="248">
        <f>'PUSK ( RUMUS )'!FZ30+'PUSK ( RUMUS )'!FZ31</f>
        <v>11608</v>
      </c>
      <c r="FK18" s="248">
        <f>'PUSK ( RUMUS )'!GA30+'PUSK ( RUMUS )'!GA31</f>
        <v>3429</v>
      </c>
      <c r="FL18" s="248">
        <f>'PUSK ( RUMUS )'!GB30+'PUSK ( RUMUS )'!GB31</f>
        <v>10871</v>
      </c>
      <c r="FM18" s="248">
        <f>'PUSK ( RUMUS )'!GC30+'PUSK ( RUMUS )'!GC31</f>
        <v>3076</v>
      </c>
      <c r="FN18" s="248"/>
      <c r="FO18" s="248"/>
      <c r="FP18" s="248">
        <f>'PUSK ( RUMUS )'!GG30+'PUSK ( RUMUS )'!GG31</f>
        <v>70</v>
      </c>
      <c r="FQ18" s="248">
        <f>'PUSK ( RUMUS )'!GH30+'PUSK ( RUMUS )'!GH31</f>
        <v>14</v>
      </c>
      <c r="FR18" s="491">
        <f t="shared" si="3"/>
        <v>56</v>
      </c>
      <c r="FS18" s="248">
        <f>'PUSK ( RUMUS )'!GJ30+'PUSK ( RUMUS )'!GJ31</f>
        <v>0</v>
      </c>
      <c r="FT18" s="248">
        <f>'PUSK ( RUMUS )'!GK30+'PUSK ( RUMUS )'!GK31</f>
        <v>0</v>
      </c>
      <c r="FU18" s="248">
        <f>'PUSK ( RUMUS )'!GL30+'PUSK ( RUMUS )'!GL31</f>
        <v>10</v>
      </c>
      <c r="FV18" s="248">
        <f>'PUSK ( RUMUS )'!GM30+'PUSK ( RUMUS )'!GM31</f>
        <v>51</v>
      </c>
      <c r="FW18" s="248">
        <f>'PUSK ( RUMUS )'!GN30+'PUSK ( RUMUS )'!GN31</f>
        <v>0</v>
      </c>
      <c r="FX18" s="248">
        <f>'PUSK ( RUMUS )'!GO30+'PUSK ( RUMUS )'!GO31</f>
        <v>0</v>
      </c>
      <c r="FY18" s="248">
        <f>'PUSK ( RUMUS )'!GP30+'PUSK ( RUMUS )'!GP31</f>
        <v>4</v>
      </c>
      <c r="FZ18" s="248">
        <f>'PUSK ( RUMUS )'!GQ30+'PUSK ( RUMUS )'!GQ31</f>
        <v>5</v>
      </c>
      <c r="GA18" s="248">
        <f>'PUSK ( RUMUS )'!GR30+'PUSK ( RUMUS )'!GR31</f>
        <v>0</v>
      </c>
      <c r="GB18" s="248">
        <f>'PUSK ( RUMUS )'!GS30+'PUSK ( RUMUS )'!GS31</f>
        <v>1</v>
      </c>
      <c r="GC18" s="248">
        <f>'PUSK ( RUMUS )'!GT30+'PUSK ( RUMUS )'!GT31</f>
        <v>1</v>
      </c>
      <c r="GD18" s="248">
        <f>'PUSK ( RUMUS )'!GU30+'PUSK ( RUMUS )'!GU31</f>
        <v>6</v>
      </c>
      <c r="GE18" s="248">
        <f>'PUSK ( RUMUS )'!GV30+'PUSK ( RUMUS )'!GV31</f>
        <v>0</v>
      </c>
      <c r="GF18" s="248">
        <f>'PUSK ( RUMUS )'!GW30+'PUSK ( RUMUS )'!GW31</f>
        <v>0</v>
      </c>
      <c r="GG18" s="248">
        <f>'PUSK ( RUMUS )'!GX30+'PUSK ( RUMUS )'!GX31</f>
        <v>1</v>
      </c>
      <c r="GH18" s="248">
        <f>'PUSK ( RUMUS )'!GY30+'PUSK ( RUMUS )'!GY31</f>
        <v>2</v>
      </c>
      <c r="GI18" s="248">
        <f>'PUSK ( RUMUS )'!GZ30+'PUSK ( RUMUS )'!GZ31</f>
        <v>0</v>
      </c>
      <c r="GJ18" s="248">
        <f>'PUSK ( RUMUS )'!HA30+'PUSK ( RUMUS )'!HA31</f>
        <v>0</v>
      </c>
      <c r="GK18" s="248">
        <f>'PUSK ( RUMUS )'!HB30+'PUSK ( RUMUS )'!HB31</f>
        <v>11</v>
      </c>
      <c r="GL18" s="248">
        <f>'PUSK ( RUMUS )'!HC30+'PUSK ( RUMUS )'!HC31</f>
        <v>3</v>
      </c>
      <c r="GM18" s="248">
        <f>'PUSK ( RUMUS )'!HD30+'PUSK ( RUMUS )'!HD31</f>
        <v>11451</v>
      </c>
      <c r="GN18" s="248">
        <f>'PUSK ( RUMUS )'!HE30+'PUSK ( RUMUS )'!HE31</f>
        <v>3325</v>
      </c>
      <c r="GO18" s="248">
        <f>'PUSK ( RUMUS )'!HF30+'PUSK ( RUMUS )'!HF31</f>
        <v>10911</v>
      </c>
      <c r="GP18" s="248">
        <f>'PUSK ( RUMUS )'!HG30+'PUSK ( RUMUS )'!HG31</f>
        <v>3101</v>
      </c>
      <c r="GQ18" s="248"/>
      <c r="GR18" s="248"/>
      <c r="GS18" s="248">
        <f>'PUSK ( RUMUS )'!HK30+'PUSK ( RUMUS )'!HK31</f>
        <v>73</v>
      </c>
      <c r="GT18" s="248">
        <f>'PUSK ( RUMUS )'!HL30+'PUSK ( RUMUS )'!HL31</f>
        <v>14</v>
      </c>
      <c r="GU18" s="491">
        <f t="shared" si="4"/>
        <v>59</v>
      </c>
      <c r="GV18" s="248">
        <f>'PUSK ( RUMUS )'!HN30+'PUSK ( RUMUS )'!HN31</f>
        <v>0</v>
      </c>
      <c r="GW18" s="248">
        <f>'PUSK ( RUMUS )'!HO30+'PUSK ( RUMUS )'!HO31</f>
        <v>0</v>
      </c>
      <c r="GX18" s="248">
        <f>'PUSK ( RUMUS )'!HP30+'PUSK ( RUMUS )'!HP31</f>
        <v>11</v>
      </c>
      <c r="GY18" s="248">
        <f>'PUSK ( RUMUS )'!HQ30+'PUSK ( RUMUS )'!HQ31</f>
        <v>51</v>
      </c>
      <c r="GZ18" s="248">
        <f>'PUSK ( RUMUS )'!HR30+'PUSK ( RUMUS )'!HR31</f>
        <v>0</v>
      </c>
      <c r="HA18" s="248">
        <f>'PUSK ( RUMUS )'!HS30+'PUSK ( RUMUS )'!HS31</f>
        <v>1</v>
      </c>
      <c r="HB18" s="248">
        <f>'PUSK ( RUMUS )'!HT30+'PUSK ( RUMUS )'!HT31</f>
        <v>2</v>
      </c>
      <c r="HC18" s="248">
        <f>'PUSK ( RUMUS )'!HU30+'PUSK ( RUMUS )'!HU31</f>
        <v>8</v>
      </c>
      <c r="HD18" s="248">
        <f>'PUSK ( RUMUS )'!HV30+'PUSK ( RUMUS )'!HV31</f>
        <v>0</v>
      </c>
      <c r="HE18" s="248">
        <f>'PUSK ( RUMUS )'!HW30+'PUSK ( RUMUS )'!HW31</f>
        <v>0</v>
      </c>
      <c r="HF18" s="248">
        <f>'PUSK ( RUMUS )'!HX30+'PUSK ( RUMUS )'!HX31</f>
        <v>1</v>
      </c>
      <c r="HG18" s="248">
        <f>'PUSK ( RUMUS )'!HY30+'PUSK ( RUMUS )'!HY31</f>
        <v>3</v>
      </c>
      <c r="HH18" s="248">
        <f>'PUSK ( RUMUS )'!HZ30+'PUSK ( RUMUS )'!HZ31</f>
        <v>0</v>
      </c>
      <c r="HI18" s="248">
        <f>'PUSK ( RUMUS )'!IA30+'PUSK ( RUMUS )'!IA31</f>
        <v>0</v>
      </c>
      <c r="HJ18" s="248">
        <f>'PUSK ( RUMUS )'!IB30+'PUSK ( RUMUS )'!IB31</f>
        <v>0</v>
      </c>
      <c r="HK18" s="248">
        <f>'PUSK ( RUMUS )'!IC30+'PUSK ( RUMUS )'!IC31</f>
        <v>0</v>
      </c>
      <c r="HL18" s="248">
        <f>'PUSK ( RUMUS )'!ID30+'PUSK ( RUMUS )'!ID31</f>
        <v>1</v>
      </c>
      <c r="HM18" s="248">
        <f>'PUSK ( RUMUS )'!IE30+'PUSK ( RUMUS )'!IE31</f>
        <v>0</v>
      </c>
      <c r="HN18" s="248">
        <f>'PUSK ( RUMUS )'!IF30+'PUSK ( RUMUS )'!IF31</f>
        <v>0</v>
      </c>
      <c r="HO18" s="248">
        <f>'PUSK ( RUMUS )'!IG30+'PUSK ( RUMUS )'!IG31</f>
        <v>0</v>
      </c>
      <c r="HR18" s="198">
        <f t="shared" si="5"/>
        <v>109</v>
      </c>
      <c r="HS18" s="198">
        <f t="shared" si="6"/>
        <v>108</v>
      </c>
      <c r="HT18" s="198">
        <f t="shared" si="7"/>
        <v>114</v>
      </c>
      <c r="HU18" s="198">
        <f t="shared" si="8"/>
        <v>71</v>
      </c>
      <c r="HV18" s="198">
        <f t="shared" si="9"/>
        <v>80</v>
      </c>
      <c r="HW18" s="198">
        <f t="shared" si="10"/>
        <v>109</v>
      </c>
      <c r="HX18" s="574">
        <f t="shared" si="11"/>
        <v>80</v>
      </c>
      <c r="HY18" s="574">
        <f t="shared" si="12"/>
        <v>67</v>
      </c>
      <c r="HZ18" s="634">
        <f t="shared" si="13"/>
        <v>67</v>
      </c>
      <c r="IA18" s="611">
        <f t="shared" si="14"/>
        <v>72</v>
      </c>
      <c r="IB18" s="611">
        <f t="shared" si="15"/>
        <v>70</v>
      </c>
      <c r="IC18" s="611">
        <f t="shared" si="16"/>
        <v>73</v>
      </c>
    </row>
    <row r="19" ht="14.25" customHeight="1">
      <c r="A19" s="158">
        <v>12.0</v>
      </c>
      <c r="B19" s="633" t="s">
        <v>214</v>
      </c>
      <c r="C19" s="253">
        <v>3374130.0</v>
      </c>
      <c r="D19" s="253"/>
      <c r="E19" s="253"/>
      <c r="F19" s="259">
        <f>'PUSK ( RUMUS )'!F32+'PUSK ( RUMUS )'!F33+'PUSK ( RUMUS )'!F34+'PUSK ( RUMUS )'!F35</f>
        <v>142</v>
      </c>
      <c r="G19" s="259">
        <f>'PUSK ( RUMUS )'!G32+'PUSK ( RUMUS )'!G33+'PUSK ( RUMUS )'!G34+'PUSK ( RUMUS )'!G35</f>
        <v>7954</v>
      </c>
      <c r="H19" s="605">
        <f>'PUSK ( RUMUS )'!H32+'PUSK ( RUMUS )'!H33+'PUSK ( RUMUS )'!H34+'PUSK ( RUMUS )'!H35</f>
        <v>155</v>
      </c>
      <c r="I19" s="491">
        <f>'PUSK ( RUMUS )'!K32+'PUSK ( RUMUS )'!K33+'PUSK ( RUMUS )'!K34+'PUSK ( RUMUS )'!K35</f>
        <v>14</v>
      </c>
      <c r="J19" s="491">
        <f>'PUSK ( RUMUS )'!L32+'PUSK ( RUMUS )'!L33+'PUSK ( RUMUS )'!L34+'PUSK ( RUMUS )'!L35</f>
        <v>11</v>
      </c>
      <c r="K19" s="491">
        <f>'PUSK ( RUMUS )'!M32+'PUSK ( RUMUS )'!M33+'PUSK ( RUMUS )'!M34+'PUSK ( RUMUS )'!M35</f>
        <v>35</v>
      </c>
      <c r="L19" s="491">
        <f>'PUSK ( RUMUS )'!N32+'PUSK ( RUMUS )'!N33+'PUSK ( RUMUS )'!N34+'PUSK ( RUMUS )'!N35</f>
        <v>95</v>
      </c>
      <c r="M19" s="491">
        <f>'PUSK ( RUMUS )'!O32+'PUSK ( RUMUS )'!O33+'PUSK ( RUMUS )'!O34+'PUSK ( RUMUS )'!O35</f>
        <v>8</v>
      </c>
      <c r="N19" s="491">
        <f>'PUSK ( RUMUS )'!P32+'PUSK ( RUMUS )'!P33+'PUSK ( RUMUS )'!P34+'PUSK ( RUMUS )'!P35</f>
        <v>3</v>
      </c>
      <c r="O19" s="491">
        <f>'PUSK ( RUMUS )'!Q32+'PUSK ( RUMUS )'!Q33+'PUSK ( RUMUS )'!Q34+'PUSK ( RUMUS )'!Q35</f>
        <v>144</v>
      </c>
      <c r="P19" s="491">
        <f>'PUSK ( RUMUS )'!R32+'PUSK ( RUMUS )'!R33+'PUSK ( RUMUS )'!R34+'PUSK ( RUMUS )'!R35</f>
        <v>153</v>
      </c>
      <c r="Q19" s="491">
        <f>'PUSK ( RUMUS )'!U32+'PUSK ( RUMUS )'!U33+'PUSK ( RUMUS )'!U34+'PUSK ( RUMUS )'!U35</f>
        <v>7</v>
      </c>
      <c r="R19" s="491">
        <f>'PUSK ( RUMUS )'!V32+'PUSK ( RUMUS )'!V33+'PUSK ( RUMUS )'!V34+'PUSK ( RUMUS )'!V35</f>
        <v>8</v>
      </c>
      <c r="S19" s="491">
        <f>'PUSK ( RUMUS )'!W32+'PUSK ( RUMUS )'!W33+'PUSK ( RUMUS )'!W34+'PUSK ( RUMUS )'!W35</f>
        <v>41</v>
      </c>
      <c r="T19" s="491">
        <f>'PUSK ( RUMUS )'!X32+'PUSK ( RUMUS )'!X33+'PUSK ( RUMUS )'!X34+'PUSK ( RUMUS )'!X35</f>
        <v>97</v>
      </c>
      <c r="U19" s="491">
        <f>'PUSK ( RUMUS )'!Y32+'PUSK ( RUMUS )'!Y33+'PUSK ( RUMUS )'!Y34+'PUSK ( RUMUS )'!Y35</f>
        <v>18</v>
      </c>
      <c r="V19" s="491">
        <f>'PUSK ( RUMUS )'!Z32+'PUSK ( RUMUS )'!Z33+'PUSK ( RUMUS )'!Z34+'PUSK ( RUMUS )'!Z35</f>
        <v>29</v>
      </c>
      <c r="W19" s="491">
        <f>'PUSK ( RUMUS )'!AA32+'PUSK ( RUMUS )'!AA33+'PUSK ( RUMUS )'!AA34+'PUSK ( RUMUS )'!AA35</f>
        <v>106</v>
      </c>
      <c r="X19" s="491">
        <f>'PUSK ( RUMUS )'!AB32+'PUSK ( RUMUS )'!AB33+'PUSK ( RUMUS )'!AB34+'PUSK ( RUMUS )'!AB35</f>
        <v>156</v>
      </c>
      <c r="Y19" s="491">
        <f>'PUSK ( RUMUS )'!AE32+'PUSK ( RUMUS )'!AE33+'PUSK ( RUMUS )'!AE34+'PUSK ( RUMUS )'!AE35</f>
        <v>6</v>
      </c>
      <c r="Z19" s="491">
        <f>'PUSK ( RUMUS )'!AF32+'PUSK ( RUMUS )'!AF33+'PUSK ( RUMUS )'!AF34+'PUSK ( RUMUS )'!AF35</f>
        <v>6</v>
      </c>
      <c r="AA19" s="491">
        <f>'PUSK ( RUMUS )'!AG32+'PUSK ( RUMUS )'!AG33+'PUSK ( RUMUS )'!AG34+'PUSK ( RUMUS )'!AG35</f>
        <v>51</v>
      </c>
      <c r="AB19" s="491">
        <f>'PUSK ( RUMUS )'!AH32+'PUSK ( RUMUS )'!AH33+'PUSK ( RUMUS )'!AH34+'PUSK ( RUMUS )'!AH35</f>
        <v>93</v>
      </c>
      <c r="AC19" s="491">
        <f>'PUSK ( RUMUS )'!AI32+'PUSK ( RUMUS )'!AI33+'PUSK ( RUMUS )'!AI34+'PUSK ( RUMUS )'!AI35</f>
        <v>14</v>
      </c>
      <c r="AD19" s="491">
        <f>'PUSK ( RUMUS )'!AJ32+'PUSK ( RUMUS )'!AJ33+'PUSK ( RUMUS )'!AJ34+'PUSK ( RUMUS )'!AJ35</f>
        <v>20</v>
      </c>
      <c r="AE19" s="491">
        <f>'PUSK ( RUMUS )'!AK32+'PUSK ( RUMUS )'!AK33+'PUSK ( RUMUS )'!AK34+'PUSK ( RUMUS )'!AK35</f>
        <v>122</v>
      </c>
      <c r="AF19" s="491">
        <f>'PUSK ( RUMUS )'!AL32+'PUSK ( RUMUS )'!AL33+'PUSK ( RUMUS )'!AL34+'PUSK ( RUMUS )'!AL35</f>
        <v>114</v>
      </c>
      <c r="AG19" s="491">
        <f>'PUSK ( RUMUS )'!AO32+'PUSK ( RUMUS )'!AO33+'PUSK ( RUMUS )'!AO34+'PUSK ( RUMUS )'!AO35</f>
        <v>6</v>
      </c>
      <c r="AH19" s="491">
        <f>'PUSK ( RUMUS )'!AP32+'PUSK ( RUMUS )'!AP33+'PUSK ( RUMUS )'!AP34+'PUSK ( RUMUS )'!AP35</f>
        <v>11</v>
      </c>
      <c r="AI19" s="491">
        <f>'PUSK ( RUMUS )'!AQ32+'PUSK ( RUMUS )'!AQ33+'PUSK ( RUMUS )'!AQ34+'PUSK ( RUMUS )'!AQ35</f>
        <v>28</v>
      </c>
      <c r="AJ19" s="491">
        <f>'PUSK ( RUMUS )'!AR32+'PUSK ( RUMUS )'!AR33+'PUSK ( RUMUS )'!AR34+'PUSK ( RUMUS )'!AR35</f>
        <v>69</v>
      </c>
      <c r="AK19" s="491">
        <f>'PUSK ( RUMUS )'!AS32+'PUSK ( RUMUS )'!AS33+'PUSK ( RUMUS )'!AS34+'PUSK ( RUMUS )'!AS35</f>
        <v>2</v>
      </c>
      <c r="AL19" s="491">
        <f>'PUSK ( RUMUS )'!AT32+'PUSK ( RUMUS )'!AT33+'PUSK ( RUMUS )'!AT34+'PUSK ( RUMUS )'!AT35</f>
        <v>9</v>
      </c>
      <c r="AM19" s="491">
        <f>'PUSK ( RUMUS )'!AU32+'PUSK ( RUMUS )'!AU33+'PUSK ( RUMUS )'!AU34+'PUSK ( RUMUS )'!AU35</f>
        <v>103</v>
      </c>
      <c r="AN19" s="491">
        <f>'PUSK ( RUMUS )'!AV32+'PUSK ( RUMUS )'!AV33+'PUSK ( RUMUS )'!AV34+'PUSK ( RUMUS )'!AV35</f>
        <v>127</v>
      </c>
      <c r="AO19" s="491">
        <f>'PUSK ( RUMUS )'!AY32+'PUSK ( RUMUS )'!AY33+'PUSK ( RUMUS )'!AY34+'PUSK ( RUMUS )'!AY35</f>
        <v>5</v>
      </c>
      <c r="AP19" s="491">
        <f>'PUSK ( RUMUS )'!AZ32+'PUSK ( RUMUS )'!AZ33+'PUSK ( RUMUS )'!AZ34+'PUSK ( RUMUS )'!AZ35</f>
        <v>7</v>
      </c>
      <c r="AQ19" s="491">
        <f>'PUSK ( RUMUS )'!BA32+'PUSK ( RUMUS )'!BA33+'PUSK ( RUMUS )'!BA34+'PUSK ( RUMUS )'!BA35</f>
        <v>33</v>
      </c>
      <c r="AR19" s="491">
        <f>'PUSK ( RUMUS )'!BB32+'PUSK ( RUMUS )'!BB33+'PUSK ( RUMUS )'!BB34+'PUSK ( RUMUS )'!BB35</f>
        <v>82</v>
      </c>
      <c r="AS19" s="491">
        <f>'PUSK ( RUMUS )'!BC32+'PUSK ( RUMUS )'!BC33+'PUSK ( RUMUS )'!BC34+'PUSK ( RUMUS )'!BC35</f>
        <v>4</v>
      </c>
      <c r="AT19" s="491">
        <f>'PUSK ( RUMUS )'!BD32+'PUSK ( RUMUS )'!BD33+'PUSK ( RUMUS )'!BD34+'PUSK ( RUMUS )'!BD35</f>
        <v>2</v>
      </c>
      <c r="AU19" s="491">
        <f>'PUSK ( RUMUS )'!BE32+'PUSK ( RUMUS )'!BE33+'PUSK ( RUMUS )'!BE34+'PUSK ( RUMUS )'!BE35</f>
        <v>121</v>
      </c>
      <c r="AV19" s="491">
        <f>'PUSK ( RUMUS )'!BF32+'PUSK ( RUMUS )'!BF33+'PUSK ( RUMUS )'!BF34+'PUSK ( RUMUS )'!BF35</f>
        <v>7870</v>
      </c>
      <c r="AW19" s="491">
        <f>'PUSK ( RUMUS )'!BG32+'PUSK ( RUMUS )'!BG33+'PUSK ( RUMUS )'!BG34+'PUSK ( RUMUS )'!BG35</f>
        <v>149</v>
      </c>
      <c r="AX19" s="491">
        <f>'PUSK ( RUMUS )'!BJ32+'PUSK ( RUMUS )'!BJ33+'PUSK ( RUMUS )'!BJ34+'PUSK ( RUMUS )'!BJ35</f>
        <v>2</v>
      </c>
      <c r="AY19" s="491">
        <f>'PUSK ( RUMUS )'!BK32+'PUSK ( RUMUS )'!BK33+'PUSK ( RUMUS )'!BK34+'PUSK ( RUMUS )'!BK35</f>
        <v>11</v>
      </c>
      <c r="AZ19" s="491">
        <f>'PUSK ( RUMUS )'!BL32+'PUSK ( RUMUS )'!BL33+'PUSK ( RUMUS )'!BL34+'PUSK ( RUMUS )'!BL35</f>
        <v>33</v>
      </c>
      <c r="BA19" s="491">
        <f>'PUSK ( RUMUS )'!BM32+'PUSK ( RUMUS )'!BM33+'PUSK ( RUMUS )'!BM34+'PUSK ( RUMUS )'!BM35</f>
        <v>92</v>
      </c>
      <c r="BB19" s="491">
        <f>'PUSK ( RUMUS )'!BN32+'PUSK ( RUMUS )'!BN33+'PUSK ( RUMUS )'!BN34+'PUSK ( RUMUS )'!BN35</f>
        <v>0</v>
      </c>
      <c r="BC19" s="491">
        <f>'PUSK ( RUMUS )'!BO32+'PUSK ( RUMUS )'!BO33+'PUSK ( RUMUS )'!BO34+'PUSK ( RUMUS )'!BO35</f>
        <v>4</v>
      </c>
      <c r="BD19" s="491">
        <f>'PUSK ( RUMUS )'!BP32+'PUSK ( RUMUS )'!BP33+'PUSK ( RUMUS )'!BP34+'PUSK ( RUMUS )'!BP35</f>
        <v>0</v>
      </c>
      <c r="BE19" s="491">
        <f>'PUSK ( RUMUS )'!BQ32+'PUSK ( RUMUS )'!BQ33+'PUSK ( RUMUS )'!BQ34+'PUSK ( RUMUS )'!BQ35</f>
        <v>4</v>
      </c>
      <c r="BF19" s="491">
        <f>'PUSK ( RUMUS )'!BR32+'PUSK ( RUMUS )'!BR33+'PUSK ( RUMUS )'!BR34+'PUSK ( RUMUS )'!BR35</f>
        <v>0</v>
      </c>
      <c r="BG19" s="491">
        <f>'PUSK ( RUMUS )'!BS32+'PUSK ( RUMUS )'!BS33+'PUSK ( RUMUS )'!BS34+'PUSK ( RUMUS )'!BS35</f>
        <v>1</v>
      </c>
      <c r="BH19" s="491">
        <f>'PUSK ( RUMUS )'!BT32+'PUSK ( RUMUS )'!BT33+'PUSK ( RUMUS )'!BT34+'PUSK ( RUMUS )'!BT35</f>
        <v>1</v>
      </c>
      <c r="BI19" s="491">
        <f>'PUSK ( RUMUS )'!BU32+'PUSK ( RUMUS )'!BU33+'PUSK ( RUMUS )'!BU34+'PUSK ( RUMUS )'!BU35</f>
        <v>8</v>
      </c>
      <c r="BJ19" s="491">
        <f>'PUSK ( RUMUS )'!BV32+'PUSK ( RUMUS )'!BV33+'PUSK ( RUMUS )'!BV34+'PUSK ( RUMUS )'!BV35</f>
        <v>0</v>
      </c>
      <c r="BK19" s="491">
        <f>'PUSK ( RUMUS )'!BW32+'PUSK ( RUMUS )'!BW33+'PUSK ( RUMUS )'!BW34+'PUSK ( RUMUS )'!BW35</f>
        <v>0</v>
      </c>
      <c r="BL19" s="491">
        <f>'PUSK ( RUMUS )'!BX32+'PUSK ( RUMUS )'!BX33+'PUSK ( RUMUS )'!BX34+'PUSK ( RUMUS )'!BX35</f>
        <v>1</v>
      </c>
      <c r="BM19" s="491">
        <f>'PUSK ( RUMUS )'!BY32+'PUSK ( RUMUS )'!BY33+'PUSK ( RUMUS )'!BY34+'PUSK ( RUMUS )'!BY35</f>
        <v>0</v>
      </c>
      <c r="BN19" s="491">
        <f>'PUSK ( RUMUS )'!BZ32+'PUSK ( RUMUS )'!BZ33+'PUSK ( RUMUS )'!BZ34+'PUSK ( RUMUS )'!BZ35</f>
        <v>1</v>
      </c>
      <c r="BO19" s="491">
        <f>'PUSK ( RUMUS )'!CA32+'PUSK ( RUMUS )'!CA33+'PUSK ( RUMUS )'!CA34+'PUSK ( RUMUS )'!CA35</f>
        <v>0</v>
      </c>
      <c r="BP19" s="491">
        <f>'PUSK ( RUMUS )'!CB32+'PUSK ( RUMUS )'!CB33+'PUSK ( RUMUS )'!CB34+'PUSK ( RUMUS )'!CB35</f>
        <v>12</v>
      </c>
      <c r="BQ19" s="491">
        <f>'PUSK ( RUMUS )'!CC32+'PUSK ( RUMUS )'!CC33+'PUSK ( RUMUS )'!CC34+'PUSK ( RUMUS )'!CC35</f>
        <v>7883</v>
      </c>
      <c r="BR19" s="491">
        <f>'PUSK ( RUMUS )'!CD32+'PUSK ( RUMUS )'!CD33+'PUSK ( RUMUS )'!CD34+'PUSK ( RUMUS )'!CD35</f>
        <v>104</v>
      </c>
      <c r="BS19" s="491">
        <f>'PUSK ( RUMUS )'!CG32+'PUSK ( RUMUS )'!CG33+'PUSK ( RUMUS )'!CG34+'PUSK ( RUMUS )'!CG35</f>
        <v>2</v>
      </c>
      <c r="BT19" s="491">
        <f>'PUSK ( RUMUS )'!CH32+'PUSK ( RUMUS )'!CH33+'PUSK ( RUMUS )'!CH34+'PUSK ( RUMUS )'!CH35</f>
        <v>5</v>
      </c>
      <c r="BU19" s="491">
        <f>'PUSK ( RUMUS )'!CI32+'PUSK ( RUMUS )'!CI33+'PUSK ( RUMUS )'!CI34+'PUSK ( RUMUS )'!CI35</f>
        <v>23</v>
      </c>
      <c r="BV19" s="491">
        <f>'PUSK ( RUMUS )'!CJ32+'PUSK ( RUMUS )'!CJ33+'PUSK ( RUMUS )'!CJ34+'PUSK ( RUMUS )'!CJ35</f>
        <v>65</v>
      </c>
      <c r="BW19" s="491">
        <f>'PUSK ( RUMUS )'!CK32+'PUSK ( RUMUS )'!CK33+'PUSK ( RUMUS )'!CK34+'PUSK ( RUMUS )'!CK35</f>
        <v>3</v>
      </c>
      <c r="BX19" s="491">
        <f>'PUSK ( RUMUS )'!CL32+'PUSK ( RUMUS )'!CL33+'PUSK ( RUMUS )'!CL34+'PUSK ( RUMUS )'!CL35</f>
        <v>0</v>
      </c>
      <c r="BY19" s="491">
        <f>'PUSK ( RUMUS )'!CM32+'PUSK ( RUMUS )'!CM33+'PUSK ( RUMUS )'!CM34+'PUSK ( RUMUS )'!CM35</f>
        <v>0</v>
      </c>
      <c r="BZ19" s="491">
        <f>'PUSK ( RUMUS )'!CN32+'PUSK ( RUMUS )'!CN33+'PUSK ( RUMUS )'!CN34+'PUSK ( RUMUS )'!CN35</f>
        <v>6</v>
      </c>
      <c r="CA19" s="491">
        <f>'PUSK ( RUMUS )'!CO32+'PUSK ( RUMUS )'!CO33+'PUSK ( RUMUS )'!CO34+'PUSK ( RUMUS )'!CO35</f>
        <v>0</v>
      </c>
      <c r="CB19" s="491">
        <f>'PUSK ( RUMUS )'!CP32+'PUSK ( RUMUS )'!CP33+'PUSK ( RUMUS )'!CP34+'PUSK ( RUMUS )'!CP35</f>
        <v>6</v>
      </c>
      <c r="CC19" s="491">
        <f>'PUSK ( RUMUS )'!CQ32+'PUSK ( RUMUS )'!CQ33+'PUSK ( RUMUS )'!CQ34+'PUSK ( RUMUS )'!CQ35</f>
        <v>12</v>
      </c>
      <c r="CD19" s="491">
        <f>'PUSK ( RUMUS )'!CR32+'PUSK ( RUMUS )'!CR33+'PUSK ( RUMUS )'!CR34+'PUSK ( RUMUS )'!CR35</f>
        <v>23</v>
      </c>
      <c r="CE19" s="491">
        <f>'PUSK ( RUMUS )'!CS32+'PUSK ( RUMUS )'!CS33+'PUSK ( RUMUS )'!CS34+'PUSK ( RUMUS )'!CS35</f>
        <v>0</v>
      </c>
      <c r="CF19" s="491">
        <f>'PUSK ( RUMUS )'!CT32+'PUSK ( RUMUS )'!CT33+'PUSK ( RUMUS )'!CT34+'PUSK ( RUMUS )'!CT35</f>
        <v>0</v>
      </c>
      <c r="CG19" s="491">
        <f>'PUSK ( RUMUS )'!CU32+'PUSK ( RUMUS )'!CU33+'PUSK ( RUMUS )'!CU34+'PUSK ( RUMUS )'!CU35</f>
        <v>0</v>
      </c>
      <c r="CH19" s="491">
        <f>'PUSK ( RUMUS )'!CV32+'PUSK ( RUMUS )'!CV33+'PUSK ( RUMUS )'!CV34+'PUSK ( RUMUS )'!CV35</f>
        <v>0</v>
      </c>
      <c r="CI19" s="491">
        <f>'PUSK ( RUMUS )'!CW32+'PUSK ( RUMUS )'!CW33+'PUSK ( RUMUS )'!CW34+'PUSK ( RUMUS )'!CW35</f>
        <v>1</v>
      </c>
      <c r="CJ19" s="491">
        <f>'PUSK ( RUMUS )'!CX32+'PUSK ( RUMUS )'!CX33+'PUSK ( RUMUS )'!CX34+'PUSK ( RUMUS )'!CX35</f>
        <v>0</v>
      </c>
      <c r="CK19" s="491">
        <f>'PUSK ( RUMUS )'!CY32+'PUSK ( RUMUS )'!CY33+'PUSK ( RUMUS )'!CY34+'PUSK ( RUMUS )'!CY35</f>
        <v>42</v>
      </c>
      <c r="CL19" s="491">
        <f>'PUSK ( RUMUS )'!CZ32+'PUSK ( RUMUS )'!CZ33+'PUSK ( RUMUS )'!CZ34+'PUSK ( RUMUS )'!CZ35</f>
        <v>8002</v>
      </c>
      <c r="CM19" s="491">
        <f>'PUSK ( RUMUS )'!DA32+'PUSK ( RUMUS )'!DA33+'PUSK ( RUMUS )'!DA34+'PUSK ( RUMUS )'!DA35</f>
        <v>2245</v>
      </c>
      <c r="CN19" s="491">
        <f>'PUSK ( RUMUS )'!DB32+'PUSK ( RUMUS )'!DB33+'PUSK ( RUMUS )'!DB34+'PUSK ( RUMUS )'!DB35</f>
        <v>127</v>
      </c>
      <c r="CO19" s="491">
        <f>'PUSK ( RUMUS )'!DE32+'PUSK ( RUMUS )'!DE33+'PUSK ( RUMUS )'!DE34+'PUSK ( RUMUS )'!DE35</f>
        <v>3</v>
      </c>
      <c r="CP19" s="491">
        <f>'PUSK ( RUMUS )'!DF32+'PUSK ( RUMUS )'!DF33+'PUSK ( RUMUS )'!DF34+'PUSK ( RUMUS )'!DF35</f>
        <v>3</v>
      </c>
      <c r="CQ19" s="491">
        <f>'PUSK ( RUMUS )'!DG32+'PUSK ( RUMUS )'!DG33+'PUSK ( RUMUS )'!DG34+'PUSK ( RUMUS )'!DG35</f>
        <v>19</v>
      </c>
      <c r="CR19" s="491">
        <f>'PUSK ( RUMUS )'!DH32+'PUSK ( RUMUS )'!DH33+'PUSK ( RUMUS )'!DH34+'PUSK ( RUMUS )'!DH35</f>
        <v>64</v>
      </c>
      <c r="CS19" s="491">
        <f>'PUSK ( RUMUS )'!DI32+'PUSK ( RUMUS )'!DI33+'PUSK ( RUMUS )'!DI34+'PUSK ( RUMUS )'!DI35</f>
        <v>3</v>
      </c>
      <c r="CT19" s="491">
        <f>'PUSK ( RUMUS )'!DJ32+'PUSK ( RUMUS )'!DJ33+'PUSK ( RUMUS )'!DJ34+'PUSK ( RUMUS )'!DJ35</f>
        <v>1</v>
      </c>
      <c r="CU19" s="491">
        <f>'PUSK ( RUMUS )'!DK32+'PUSK ( RUMUS )'!DK33+'PUSK ( RUMUS )'!DK34+'PUSK ( RUMUS )'!DK35</f>
        <v>10</v>
      </c>
      <c r="CV19" s="491">
        <f>'PUSK ( RUMUS )'!DL32+'PUSK ( RUMUS )'!DL33+'PUSK ( RUMUS )'!DL34+'PUSK ( RUMUS )'!DL35</f>
        <v>24</v>
      </c>
      <c r="CW19" s="491">
        <f>'PUSK ( RUMUS )'!DM32+'PUSK ( RUMUS )'!DM33+'PUSK ( RUMUS )'!DM34+'PUSK ( RUMUS )'!DM35</f>
        <v>1</v>
      </c>
      <c r="CX19" s="491">
        <f>'PUSK ( RUMUS )'!DN32+'PUSK ( RUMUS )'!DN33+'PUSK ( RUMUS )'!DN34+'PUSK ( RUMUS )'!DN35</f>
        <v>3</v>
      </c>
      <c r="CY19" s="491">
        <f>'PUSK ( RUMUS )'!DO32+'PUSK ( RUMUS )'!DO33+'PUSK ( RUMUS )'!DO34+'PUSK ( RUMUS )'!DO35</f>
        <v>6</v>
      </c>
      <c r="CZ19" s="491">
        <f>'PUSK ( RUMUS )'!DP32+'PUSK ( RUMUS )'!DP33+'PUSK ( RUMUS )'!DP34+'PUSK ( RUMUS )'!DP35</f>
        <v>8</v>
      </c>
      <c r="DA19" s="491">
        <f>'PUSK ( RUMUS )'!DQ32+'PUSK ( RUMUS )'!DQ33+'PUSK ( RUMUS )'!DQ34+'PUSK ( RUMUS )'!DQ35</f>
        <v>0</v>
      </c>
      <c r="DB19" s="491">
        <f>'PUSK ( RUMUS )'!DR32+'PUSK ( RUMUS )'!DR33+'PUSK ( RUMUS )'!DR34+'PUSK ( RUMUS )'!DR35</f>
        <v>0</v>
      </c>
      <c r="DC19" s="491">
        <f>'PUSK ( RUMUS )'!DS32+'PUSK ( RUMUS )'!DS33+'PUSK ( RUMUS )'!DS34+'PUSK ( RUMUS )'!DS35</f>
        <v>0</v>
      </c>
      <c r="DD19" s="491">
        <f>'PUSK ( RUMUS )'!DT32+'PUSK ( RUMUS )'!DT33+'PUSK ( RUMUS )'!DT34+'PUSK ( RUMUS )'!DT35</f>
        <v>1</v>
      </c>
      <c r="DE19" s="491">
        <f>'PUSK ( RUMUS )'!DU32+'PUSK ( RUMUS )'!DU33+'PUSK ( RUMUS )'!DU34+'PUSK ( RUMUS )'!DU35</f>
        <v>2</v>
      </c>
      <c r="DF19" s="491">
        <f>'PUSK ( RUMUS )'!DV32+'PUSK ( RUMUS )'!DV33+'PUSK ( RUMUS )'!DV34+'PUSK ( RUMUS )'!DV35</f>
        <v>0</v>
      </c>
      <c r="DG19" s="491">
        <f>'PUSK ( RUMUS )'!DW32+'PUSK ( RUMUS )'!DW33+'PUSK ( RUMUS )'!DW34+'PUSK ( RUMUS )'!DW35</f>
        <v>21</v>
      </c>
      <c r="DH19" s="491">
        <f>'PUSK ( RUMUS )'!DX32+'PUSK ( RUMUS )'!DX33+'PUSK ( RUMUS )'!DX34+'PUSK ( RUMUS )'!DX35</f>
        <v>7221</v>
      </c>
      <c r="DI19" s="491">
        <f>'PUSK ( RUMUS )'!DY32+'PUSK ( RUMUS )'!DY33+'PUSK ( RUMUS )'!DY34+'PUSK ( RUMUS )'!DY35</f>
        <v>2082</v>
      </c>
      <c r="DJ19" s="491">
        <f>'PUSK ( RUMUS )'!DZ32+'PUSK ( RUMUS )'!DZ33+'PUSK ( RUMUS )'!DZ34+'PUSK ( RUMUS )'!DZ35</f>
        <v>6898</v>
      </c>
      <c r="DK19" s="491">
        <f>'PUSK ( RUMUS )'!EA32+'PUSK ( RUMUS )'!EA33+'PUSK ( RUMUS )'!EA34+'PUSK ( RUMUS )'!EA35</f>
        <v>2032</v>
      </c>
      <c r="DL19" s="491">
        <f>'PUSK ( RUMUS )'!EB32+'PUSK ( RUMUS )'!EB33+'PUSK ( RUMUS )'!EB34+'PUSK ( RUMUS )'!EB35</f>
        <v>112</v>
      </c>
      <c r="DM19" s="491">
        <f>'PUSK ( RUMUS )'!EC32+'PUSK ( RUMUS )'!EC33+'PUSK ( RUMUS )'!EC34+'PUSK ( RUMUS )'!EC35</f>
        <v>29</v>
      </c>
      <c r="DN19" s="491">
        <f t="shared" si="1"/>
        <v>83</v>
      </c>
      <c r="DO19" s="491">
        <f>'PUSK ( RUMUS )'!EE32+'PUSK ( RUMUS )'!EE33+'PUSK ( RUMUS )'!EE34+'PUSK ( RUMUS )'!EE35</f>
        <v>1</v>
      </c>
      <c r="DP19" s="491">
        <f>'PUSK ( RUMUS )'!EF32+'PUSK ( RUMUS )'!EF33+'PUSK ( RUMUS )'!EF34+'PUSK ( RUMUS )'!EF35</f>
        <v>2</v>
      </c>
      <c r="DQ19" s="491">
        <f>'PUSK ( RUMUS )'!EG32+'PUSK ( RUMUS )'!EG33+'PUSK ( RUMUS )'!EG34+'PUSK ( RUMUS )'!EG35</f>
        <v>21</v>
      </c>
      <c r="DR19" s="491">
        <f>'PUSK ( RUMUS )'!EH32+'PUSK ( RUMUS )'!EH33+'PUSK ( RUMUS )'!EH34+'PUSK ( RUMUS )'!EH35</f>
        <v>76</v>
      </c>
      <c r="DS19" s="491">
        <f>'PUSK ( RUMUS )'!EI32+'PUSK ( RUMUS )'!EI33+'PUSK ( RUMUS )'!EI34+'PUSK ( RUMUS )'!EI35</f>
        <v>2</v>
      </c>
      <c r="DT19" s="491">
        <f>'PUSK ( RUMUS )'!EJ32+'PUSK ( RUMUS )'!EJ33+'PUSK ( RUMUS )'!EJ34+'PUSK ( RUMUS )'!EJ35</f>
        <v>1</v>
      </c>
      <c r="DU19" s="491">
        <f>'PUSK ( RUMUS )'!EK32+'PUSK ( RUMUS )'!EK33+'PUSK ( RUMUS )'!EK34+'PUSK ( RUMUS )'!EK35</f>
        <v>2</v>
      </c>
      <c r="DV19" s="491">
        <f>'PUSK ( RUMUS )'!EL32+'PUSK ( RUMUS )'!EL33+'PUSK ( RUMUS )'!EL34+'PUSK ( RUMUS )'!EL35</f>
        <v>7</v>
      </c>
      <c r="DW19" s="491">
        <f>'PUSK ( RUMUS )'!EM32+'PUSK ( RUMUS )'!EM33+'PUSK ( RUMUS )'!EM34+'PUSK ( RUMUS )'!EM35</f>
        <v>3</v>
      </c>
      <c r="DX19" s="491">
        <f>'PUSK ( RUMUS )'!EN32+'PUSK ( RUMUS )'!EN33+'PUSK ( RUMUS )'!EN34+'PUSK ( RUMUS )'!EN35</f>
        <v>2</v>
      </c>
      <c r="DY19" s="491">
        <f>'PUSK ( RUMUS )'!EO32+'PUSK ( RUMUS )'!EO33+'PUSK ( RUMUS )'!EO34+'PUSK ( RUMUS )'!EO35</f>
        <v>8</v>
      </c>
      <c r="DZ19" s="491">
        <f>'PUSK ( RUMUS )'!EP32+'PUSK ( RUMUS )'!EP33+'PUSK ( RUMUS )'!EP34+'PUSK ( RUMUS )'!EP35</f>
        <v>9</v>
      </c>
      <c r="EA19" s="491">
        <f>'PUSK ( RUMUS )'!EQ32+'PUSK ( RUMUS )'!EQ33+'PUSK ( RUMUS )'!EQ34+'PUSK ( RUMUS )'!EQ35</f>
        <v>0</v>
      </c>
      <c r="EB19" s="491">
        <f>'PUSK ( RUMUS )'!ER32+'PUSK ( RUMUS )'!ER33+'PUSK ( RUMUS )'!ER34+'PUSK ( RUMUS )'!ER35</f>
        <v>0</v>
      </c>
      <c r="EC19" s="491">
        <f>'PUSK ( RUMUS )'!ES32+'PUSK ( RUMUS )'!ES33+'PUSK ( RUMUS )'!ES34+'PUSK ( RUMUS )'!ES35</f>
        <v>0</v>
      </c>
      <c r="ED19" s="491">
        <f>'PUSK ( RUMUS )'!ET32+'PUSK ( RUMUS )'!ET33+'PUSK ( RUMUS )'!ET34+'PUSK ( RUMUS )'!ET35</f>
        <v>1</v>
      </c>
      <c r="EE19" s="491">
        <f>'PUSK ( RUMUS )'!EU32+'PUSK ( RUMUS )'!EU33+'PUSK ( RUMUS )'!EU34+'PUSK ( RUMUS )'!EU35</f>
        <v>2</v>
      </c>
      <c r="EF19" s="491">
        <f>'PUSK ( RUMUS )'!EV32+'PUSK ( RUMUS )'!EV33+'PUSK ( RUMUS )'!EV34+'PUSK ( RUMUS )'!EV35</f>
        <v>0</v>
      </c>
      <c r="EG19" s="491">
        <f>'PUSK ( RUMUS )'!EW32+'PUSK ( RUMUS )'!EW33+'PUSK ( RUMUS )'!EW34+'PUSK ( RUMUS )'!EW35</f>
        <v>25</v>
      </c>
      <c r="EH19" s="491">
        <f>'PUSK ( RUMUS )'!EX32+'PUSK ( RUMUS )'!EX33+'PUSK ( RUMUS )'!EX34+'PUSK ( RUMUS )'!EX35</f>
        <v>15</v>
      </c>
      <c r="EI19" s="491">
        <f>'PUSK ( RUMUS )'!EY32+'PUSK ( RUMUS )'!EY33+'PUSK ( RUMUS )'!EY34+'PUSK ( RUMUS )'!EY35</f>
        <v>7162</v>
      </c>
      <c r="EJ19" s="491">
        <f>'PUSK ( RUMUS )'!EZ32+'PUSK ( RUMUS )'!EZ33+'PUSK ( RUMUS )'!EZ34+'PUSK ( RUMUS )'!EZ35</f>
        <v>2077</v>
      </c>
      <c r="EK19" s="491">
        <f>'PUSK ( RUMUS )'!FA32+'PUSK ( RUMUS )'!FA33+'PUSK ( RUMUS )'!FA34+'PUSK ( RUMUS )'!FA35</f>
        <v>6856</v>
      </c>
      <c r="EL19" s="491">
        <f>'PUSK ( RUMUS )'!FB32+'PUSK ( RUMUS )'!FB33+'PUSK ( RUMUS )'!FB34+'PUSK ( RUMUS )'!FB35</f>
        <v>2047</v>
      </c>
      <c r="EM19" s="491">
        <f>'PUSK ( RUMUS )'!FC32+'PUSK ( RUMUS )'!FC33+'PUSK ( RUMUS )'!FC34+'PUSK ( RUMUS )'!FC35</f>
        <v>107</v>
      </c>
      <c r="EN19" s="491">
        <f>'PUSK ( RUMUS )'!FD32+'PUSK ( RUMUS )'!FD33+'PUSK ( RUMUS )'!FD34+'PUSK ( RUMUS )'!FD35</f>
        <v>23</v>
      </c>
      <c r="EO19" s="491">
        <f t="shared" si="2"/>
        <v>84</v>
      </c>
      <c r="EP19" s="491">
        <f>'PUSK ( RUMUS )'!FF32+'PUSK ( RUMUS )'!FF33+'PUSK ( RUMUS )'!FF34+'PUSK ( RUMUS )'!FF35</f>
        <v>2</v>
      </c>
      <c r="EQ19" s="491">
        <f>'PUSK ( RUMUS )'!FG32+'PUSK ( RUMUS )'!FG33+'PUSK ( RUMUS )'!FG34+'PUSK ( RUMUS )'!FG35</f>
        <v>2</v>
      </c>
      <c r="ER19" s="491">
        <f>'PUSK ( RUMUS )'!FH32+'PUSK ( RUMUS )'!FH33+'PUSK ( RUMUS )'!FH34+'PUSK ( RUMUS )'!FH35</f>
        <v>13</v>
      </c>
      <c r="ES19" s="491">
        <f>'PUSK ( RUMUS )'!FI32+'PUSK ( RUMUS )'!FI33+'PUSK ( RUMUS )'!FI34+'PUSK ( RUMUS )'!FI35</f>
        <v>78</v>
      </c>
      <c r="ET19" s="491">
        <f>'PUSK ( RUMUS )'!FJ32+'PUSK ( RUMUS )'!FJ33+'PUSK ( RUMUS )'!FJ34+'PUSK ( RUMUS )'!FJ35</f>
        <v>3</v>
      </c>
      <c r="EU19" s="491">
        <f>'PUSK ( RUMUS )'!FK32+'PUSK ( RUMUS )'!FK33+'PUSK ( RUMUS )'!FK34+'PUSK ( RUMUS )'!FK35</f>
        <v>0</v>
      </c>
      <c r="EV19" s="491">
        <f>'PUSK ( RUMUS )'!FL32+'PUSK ( RUMUS )'!FL33+'PUSK ( RUMUS )'!FL34+'PUSK ( RUMUS )'!FL35</f>
        <v>3</v>
      </c>
      <c r="EW19" s="491">
        <f>'PUSK ( RUMUS )'!FM32+'PUSK ( RUMUS )'!FM33+'PUSK ( RUMUS )'!FM34+'PUSK ( RUMUS )'!FM35</f>
        <v>6</v>
      </c>
      <c r="EX19" s="491">
        <f>'PUSK ( RUMUS )'!FN32+'PUSK ( RUMUS )'!FN33+'PUSK ( RUMUS )'!FN34+'PUSK ( RUMUS )'!FN35</f>
        <v>0</v>
      </c>
      <c r="EY19" s="491">
        <f>'PUSK ( RUMUS )'!FO32+'PUSK ( RUMUS )'!FO33+'PUSK ( RUMUS )'!FO34+'PUSK ( RUMUS )'!FO35</f>
        <v>0</v>
      </c>
      <c r="EZ19" s="491">
        <f>'PUSK ( RUMUS )'!FP32+'PUSK ( RUMUS )'!FP33+'PUSK ( RUMUS )'!FP34+'PUSK ( RUMUS )'!FP35</f>
        <v>3</v>
      </c>
      <c r="FA19" s="491">
        <f>'PUSK ( RUMUS )'!FQ32+'PUSK ( RUMUS )'!FQ33+'PUSK ( RUMUS )'!FQ34+'PUSK ( RUMUS )'!FQ35</f>
        <v>5</v>
      </c>
      <c r="FB19" s="491">
        <f>'PUSK ( RUMUS )'!FR32+'PUSK ( RUMUS )'!FR33+'PUSK ( RUMUS )'!FR34+'PUSK ( RUMUS )'!FR35</f>
        <v>0</v>
      </c>
      <c r="FC19" s="491">
        <f>'PUSK ( RUMUS )'!FS32+'PUSK ( RUMUS )'!FS33+'PUSK ( RUMUS )'!FS34+'PUSK ( RUMUS )'!FS35</f>
        <v>0</v>
      </c>
      <c r="FD19" s="491">
        <f>'PUSK ( RUMUS )'!FT32+'PUSK ( RUMUS )'!FT33+'PUSK ( RUMUS )'!FT34+'PUSK ( RUMUS )'!FT35</f>
        <v>3</v>
      </c>
      <c r="FE19" s="491">
        <f>'PUSK ( RUMUS )'!FU32+'PUSK ( RUMUS )'!FU33+'PUSK ( RUMUS )'!FU34+'PUSK ( RUMUS )'!FU35</f>
        <v>1</v>
      </c>
      <c r="FF19" s="491">
        <f>'PUSK ( RUMUS )'!FV32+'PUSK ( RUMUS )'!FV33+'PUSK ( RUMUS )'!FV34+'PUSK ( RUMUS )'!FV35</f>
        <v>1</v>
      </c>
      <c r="FG19" s="491">
        <f>'PUSK ( RUMUS )'!FW32+'PUSK ( RUMUS )'!FW33+'PUSK ( RUMUS )'!FW34+'PUSK ( RUMUS )'!FW35</f>
        <v>0</v>
      </c>
      <c r="FH19" s="491">
        <f>'PUSK ( RUMUS )'!FX32+'PUSK ( RUMUS )'!FX33+'PUSK ( RUMUS )'!FX34+'PUSK ( RUMUS )'!FX35</f>
        <v>13</v>
      </c>
      <c r="FI19" s="491">
        <f>'PUSK ( RUMUS )'!FY32+'PUSK ( RUMUS )'!FY33+'PUSK ( RUMUS )'!FY34+'PUSK ( RUMUS )'!FY35</f>
        <v>6</v>
      </c>
      <c r="FJ19" s="491">
        <f>'PUSK ( RUMUS )'!FZ32+'PUSK ( RUMUS )'!FZ33+'PUSK ( RUMUS )'!FZ34+'PUSK ( RUMUS )'!FZ35</f>
        <v>7133</v>
      </c>
      <c r="FK19" s="491">
        <f>'PUSK ( RUMUS )'!GA32+'PUSK ( RUMUS )'!GA33+'PUSK ( RUMUS )'!GA34+'PUSK ( RUMUS )'!GA35</f>
        <v>2064</v>
      </c>
      <c r="FL19" s="491">
        <f>'PUSK ( RUMUS )'!GB32+'PUSK ( RUMUS )'!GB33+'PUSK ( RUMUS )'!GB34+'PUSK ( RUMUS )'!GB35</f>
        <v>6984</v>
      </c>
      <c r="FM19" s="491">
        <f>'PUSK ( RUMUS )'!GC32+'PUSK ( RUMUS )'!GC33+'PUSK ( RUMUS )'!GC34+'PUSK ( RUMUS )'!GC35</f>
        <v>2048</v>
      </c>
      <c r="FN19" s="491"/>
      <c r="FO19" s="491"/>
      <c r="FP19" s="491">
        <f>'PUSK ( RUMUS )'!GG32+'PUSK ( RUMUS )'!GG33+'PUSK ( RUMUS )'!GG34+'PUSK ( RUMUS )'!GG35</f>
        <v>101</v>
      </c>
      <c r="FQ19" s="491">
        <f>'PUSK ( RUMUS )'!GH32+'PUSK ( RUMUS )'!GH33+'PUSK ( RUMUS )'!GH34+'PUSK ( RUMUS )'!GH35</f>
        <v>21</v>
      </c>
      <c r="FR19" s="491">
        <f t="shared" si="3"/>
        <v>80</v>
      </c>
      <c r="FS19" s="491">
        <f>'PUSK ( RUMUS )'!GJ32+'PUSK ( RUMUS )'!GJ33+'PUSK ( RUMUS )'!GJ34+'PUSK ( RUMUS )'!GJ35</f>
        <v>4</v>
      </c>
      <c r="FT19" s="491">
        <f>'PUSK ( RUMUS )'!GK32+'PUSK ( RUMUS )'!GK33+'PUSK ( RUMUS )'!GK34+'PUSK ( RUMUS )'!GK35</f>
        <v>2</v>
      </c>
      <c r="FU19" s="491">
        <f>'PUSK ( RUMUS )'!GL32+'PUSK ( RUMUS )'!GL33+'PUSK ( RUMUS )'!GL34+'PUSK ( RUMUS )'!GL35</f>
        <v>14</v>
      </c>
      <c r="FV19" s="491">
        <f>'PUSK ( RUMUS )'!GM32+'PUSK ( RUMUS )'!GM33+'PUSK ( RUMUS )'!GM34+'PUSK ( RUMUS )'!GM35</f>
        <v>75</v>
      </c>
      <c r="FW19" s="491">
        <f>'PUSK ( RUMUS )'!GN32+'PUSK ( RUMUS )'!GN33+'PUSK ( RUMUS )'!GN34+'PUSK ( RUMUS )'!GN35</f>
        <v>0</v>
      </c>
      <c r="FX19" s="491">
        <f>'PUSK ( RUMUS )'!GO32+'PUSK ( RUMUS )'!GO33+'PUSK ( RUMUS )'!GO34+'PUSK ( RUMUS )'!GO35</f>
        <v>0</v>
      </c>
      <c r="FY19" s="491">
        <f>'PUSK ( RUMUS )'!GP32+'PUSK ( RUMUS )'!GP33+'PUSK ( RUMUS )'!GP34+'PUSK ( RUMUS )'!GP35</f>
        <v>1</v>
      </c>
      <c r="FZ19" s="491">
        <f>'PUSK ( RUMUS )'!GQ32+'PUSK ( RUMUS )'!GQ33+'PUSK ( RUMUS )'!GQ34+'PUSK ( RUMUS )'!GQ35</f>
        <v>5</v>
      </c>
      <c r="GA19" s="491">
        <f>'PUSK ( RUMUS )'!GR32+'PUSK ( RUMUS )'!GR33+'PUSK ( RUMUS )'!GR34+'PUSK ( RUMUS )'!GR35</f>
        <v>1</v>
      </c>
      <c r="GB19" s="491">
        <f>'PUSK ( RUMUS )'!GS32+'PUSK ( RUMUS )'!GS33+'PUSK ( RUMUS )'!GS34+'PUSK ( RUMUS )'!GS35</f>
        <v>0</v>
      </c>
      <c r="GC19" s="491">
        <f>'PUSK ( RUMUS )'!GT32+'PUSK ( RUMUS )'!GT33+'PUSK ( RUMUS )'!GT34+'PUSK ( RUMUS )'!GT35</f>
        <v>1</v>
      </c>
      <c r="GD19" s="491">
        <f>'PUSK ( RUMUS )'!GU32+'PUSK ( RUMUS )'!GU33+'PUSK ( RUMUS )'!GU34+'PUSK ( RUMUS )'!GU35</f>
        <v>3</v>
      </c>
      <c r="GE19" s="491">
        <f>'PUSK ( RUMUS )'!GV32+'PUSK ( RUMUS )'!GV33+'PUSK ( RUMUS )'!GV34+'PUSK ( RUMUS )'!GV35</f>
        <v>0</v>
      </c>
      <c r="GF19" s="491">
        <f>'PUSK ( RUMUS )'!GW32+'PUSK ( RUMUS )'!GW33+'PUSK ( RUMUS )'!GW34+'PUSK ( RUMUS )'!GW35</f>
        <v>0</v>
      </c>
      <c r="GG19" s="491">
        <f>'PUSK ( RUMUS )'!GX32+'PUSK ( RUMUS )'!GX33+'PUSK ( RUMUS )'!GX34+'PUSK ( RUMUS )'!GX35</f>
        <v>0</v>
      </c>
      <c r="GH19" s="491">
        <f>'PUSK ( RUMUS )'!GY32+'PUSK ( RUMUS )'!GY33+'PUSK ( RUMUS )'!GY34+'PUSK ( RUMUS )'!GY35</f>
        <v>0</v>
      </c>
      <c r="GI19" s="491">
        <f>'PUSK ( RUMUS )'!GZ32+'PUSK ( RUMUS )'!GZ33+'PUSK ( RUMUS )'!GZ34+'PUSK ( RUMUS )'!GZ35</f>
        <v>8</v>
      </c>
      <c r="GJ19" s="491">
        <f>'PUSK ( RUMUS )'!HA32+'PUSK ( RUMUS )'!HA33+'PUSK ( RUMUS )'!HA34+'PUSK ( RUMUS )'!HA35</f>
        <v>0</v>
      </c>
      <c r="GK19" s="491">
        <f>'PUSK ( RUMUS )'!HB32+'PUSK ( RUMUS )'!HB33+'PUSK ( RUMUS )'!HB34+'PUSK ( RUMUS )'!HB35</f>
        <v>13</v>
      </c>
      <c r="GL19" s="491">
        <f>'PUSK ( RUMUS )'!HC32+'PUSK ( RUMUS )'!HC33+'PUSK ( RUMUS )'!HC34+'PUSK ( RUMUS )'!HC35</f>
        <v>2</v>
      </c>
      <c r="GM19" s="491">
        <f>'PUSK ( RUMUS )'!HD32+'PUSK ( RUMUS )'!HD33+'PUSK ( RUMUS )'!HD34+'PUSK ( RUMUS )'!HD35</f>
        <v>7114</v>
      </c>
      <c r="GN19" s="491">
        <f>'PUSK ( RUMUS )'!HE32+'PUSK ( RUMUS )'!HE33+'PUSK ( RUMUS )'!HE34+'PUSK ( RUMUS )'!HE35</f>
        <v>2051</v>
      </c>
      <c r="GO19" s="491">
        <f>'PUSK ( RUMUS )'!HF32+'PUSK ( RUMUS )'!HF33+'PUSK ( RUMUS )'!HF34+'PUSK ( RUMUS )'!HF35</f>
        <v>6954</v>
      </c>
      <c r="GP19" s="491">
        <f>'PUSK ( RUMUS )'!HG32+'PUSK ( RUMUS )'!HG33+'PUSK ( RUMUS )'!HG34+'PUSK ( RUMUS )'!HG35</f>
        <v>2026</v>
      </c>
      <c r="GQ19" s="491"/>
      <c r="GR19" s="491"/>
      <c r="GS19" s="491">
        <f>'PUSK ( RUMUS )'!HK32+'PUSK ( RUMUS )'!HK33+'PUSK ( RUMUS )'!HK34+'PUSK ( RUMUS )'!HK35</f>
        <v>101</v>
      </c>
      <c r="GT19" s="491">
        <f>'PUSK ( RUMUS )'!HL32+'PUSK ( RUMUS )'!HL33+'PUSK ( RUMUS )'!HL34+'PUSK ( RUMUS )'!HL35</f>
        <v>20</v>
      </c>
      <c r="GU19" s="491">
        <f t="shared" si="4"/>
        <v>81</v>
      </c>
      <c r="GV19" s="491">
        <f>'PUSK ( RUMUS )'!HN32+'PUSK ( RUMUS )'!HN33+'PUSK ( RUMUS )'!HN34+'PUSK ( RUMUS )'!HN35</f>
        <v>3</v>
      </c>
      <c r="GW19" s="491">
        <f>'PUSK ( RUMUS )'!HO32+'PUSK ( RUMUS )'!HO33+'PUSK ( RUMUS )'!HO34+'PUSK ( RUMUS )'!HO35</f>
        <v>3</v>
      </c>
      <c r="GX19" s="491">
        <f>'PUSK ( RUMUS )'!HP32+'PUSK ( RUMUS )'!HP33+'PUSK ( RUMUS )'!HP34+'PUSK ( RUMUS )'!HP35</f>
        <v>12</v>
      </c>
      <c r="GY19" s="491">
        <f>'PUSK ( RUMUS )'!HQ32+'PUSK ( RUMUS )'!HQ33+'PUSK ( RUMUS )'!HQ34+'PUSK ( RUMUS )'!HQ35</f>
        <v>78</v>
      </c>
      <c r="GZ19" s="491">
        <f>'PUSK ( RUMUS )'!HR32+'PUSK ( RUMUS )'!HR33+'PUSK ( RUMUS )'!HR34+'PUSK ( RUMUS )'!HR35</f>
        <v>1</v>
      </c>
      <c r="HA19" s="491">
        <f>'PUSK ( RUMUS )'!HS32+'PUSK ( RUMUS )'!HS33+'PUSK ( RUMUS )'!HS34+'PUSK ( RUMUS )'!HS35</f>
        <v>1</v>
      </c>
      <c r="HB19" s="491">
        <f>'PUSK ( RUMUS )'!HT32+'PUSK ( RUMUS )'!HT33+'PUSK ( RUMUS )'!HT34+'PUSK ( RUMUS )'!HT35</f>
        <v>0</v>
      </c>
      <c r="HC19" s="491">
        <f>'PUSK ( RUMUS )'!HU32+'PUSK ( RUMUS )'!HU33+'PUSK ( RUMUS )'!HU34+'PUSK ( RUMUS )'!HU35</f>
        <v>3</v>
      </c>
      <c r="HD19" s="491">
        <f>'PUSK ( RUMUS )'!HV32+'PUSK ( RUMUS )'!HV33+'PUSK ( RUMUS )'!HV34+'PUSK ( RUMUS )'!HV35</f>
        <v>0</v>
      </c>
      <c r="HE19" s="491">
        <f>'PUSK ( RUMUS )'!HW32+'PUSK ( RUMUS )'!HW33+'PUSK ( RUMUS )'!HW34+'PUSK ( RUMUS )'!HW35</f>
        <v>0</v>
      </c>
      <c r="HF19" s="491">
        <f>'PUSK ( RUMUS )'!HX32+'PUSK ( RUMUS )'!HX33+'PUSK ( RUMUS )'!HX34+'PUSK ( RUMUS )'!HX35</f>
        <v>1</v>
      </c>
      <c r="HG19" s="491">
        <f>'PUSK ( RUMUS )'!HY32+'PUSK ( RUMUS )'!HY33+'PUSK ( RUMUS )'!HY34+'PUSK ( RUMUS )'!HY35</f>
        <v>3</v>
      </c>
      <c r="HH19" s="491">
        <f>'PUSK ( RUMUS )'!HZ32+'PUSK ( RUMUS )'!HZ33+'PUSK ( RUMUS )'!HZ34+'PUSK ( RUMUS )'!HZ35</f>
        <v>0</v>
      </c>
      <c r="HI19" s="491">
        <f>'PUSK ( RUMUS )'!IA32+'PUSK ( RUMUS )'!IA33+'PUSK ( RUMUS )'!IA34+'PUSK ( RUMUS )'!IA35</f>
        <v>0</v>
      </c>
      <c r="HJ19" s="491">
        <f>'PUSK ( RUMUS )'!IB32+'PUSK ( RUMUS )'!IB33+'PUSK ( RUMUS )'!IB34+'PUSK ( RUMUS )'!IB35</f>
        <v>0</v>
      </c>
      <c r="HK19" s="491">
        <f>'PUSK ( RUMUS )'!IC32+'PUSK ( RUMUS )'!IC33+'PUSK ( RUMUS )'!IC34+'PUSK ( RUMUS )'!IC35</f>
        <v>0</v>
      </c>
      <c r="HL19" s="491">
        <f>'PUSK ( RUMUS )'!ID32+'PUSK ( RUMUS )'!ID33+'PUSK ( RUMUS )'!ID34+'PUSK ( RUMUS )'!ID35</f>
        <v>1</v>
      </c>
      <c r="HM19" s="491">
        <f>'PUSK ( RUMUS )'!IE32+'PUSK ( RUMUS )'!IE33+'PUSK ( RUMUS )'!IE34+'PUSK ( RUMUS )'!IE35</f>
        <v>0</v>
      </c>
      <c r="HN19" s="491">
        <f>'PUSK ( RUMUS )'!IF32+'PUSK ( RUMUS )'!IF33+'PUSK ( RUMUS )'!IF34+'PUSK ( RUMUS )'!IF35</f>
        <v>0</v>
      </c>
      <c r="HO19" s="491">
        <f>'PUSK ( RUMUS )'!IG32+'PUSK ( RUMUS )'!IG33+'PUSK ( RUMUS )'!IG34+'PUSK ( RUMUS )'!IG35</f>
        <v>0</v>
      </c>
      <c r="HR19" s="198">
        <f t="shared" si="5"/>
        <v>155</v>
      </c>
      <c r="HS19" s="198">
        <f t="shared" si="6"/>
        <v>153</v>
      </c>
      <c r="HT19" s="198">
        <f t="shared" si="7"/>
        <v>156</v>
      </c>
      <c r="HU19" s="198">
        <f t="shared" si="8"/>
        <v>114</v>
      </c>
      <c r="HV19" s="198">
        <f t="shared" si="9"/>
        <v>127</v>
      </c>
      <c r="HW19" s="198">
        <f t="shared" si="10"/>
        <v>149</v>
      </c>
      <c r="HX19" s="574">
        <f t="shared" si="11"/>
        <v>104</v>
      </c>
      <c r="HY19" s="574">
        <f t="shared" si="12"/>
        <v>127</v>
      </c>
      <c r="HZ19" s="634">
        <f t="shared" si="13"/>
        <v>112</v>
      </c>
      <c r="IA19" s="611">
        <f t="shared" si="14"/>
        <v>107</v>
      </c>
      <c r="IB19" s="611">
        <f t="shared" si="15"/>
        <v>101</v>
      </c>
      <c r="IC19" s="611">
        <f t="shared" si="16"/>
        <v>101</v>
      </c>
    </row>
    <row r="20" ht="14.25" customHeight="1">
      <c r="A20" s="158">
        <v>13.0</v>
      </c>
      <c r="B20" s="633" t="s">
        <v>226</v>
      </c>
      <c r="C20" s="253">
        <v>3374130.0</v>
      </c>
      <c r="D20" s="253"/>
      <c r="E20" s="253"/>
      <c r="F20" s="259">
        <f>'PUSK ( RUMUS )'!F36+'PUSK ( RUMUS )'!F37</f>
        <v>122</v>
      </c>
      <c r="G20" s="259">
        <f>'PUSK ( RUMUS )'!G36+'PUSK ( RUMUS )'!G37</f>
        <v>5562</v>
      </c>
      <c r="H20" s="604">
        <f>'PUSK ( RUMUS )'!H36+'PUSK ( RUMUS )'!H37</f>
        <v>68</v>
      </c>
      <c r="I20" s="491">
        <f>'PUSK ( RUMUS )'!K36+'PUSK ( RUMUS )'!K37</f>
        <v>3</v>
      </c>
      <c r="J20" s="491">
        <f>'PUSK ( RUMUS )'!L36+'PUSK ( RUMUS )'!L37</f>
        <v>5</v>
      </c>
      <c r="K20" s="491">
        <f>'PUSK ( RUMUS )'!M36+'PUSK ( RUMUS )'!M37</f>
        <v>17</v>
      </c>
      <c r="L20" s="491">
        <f>'PUSK ( RUMUS )'!N36+'PUSK ( RUMUS )'!N37</f>
        <v>42</v>
      </c>
      <c r="M20" s="491">
        <f>'PUSK ( RUMUS )'!O36+'PUSK ( RUMUS )'!O37</f>
        <v>1</v>
      </c>
      <c r="N20" s="491">
        <f>'PUSK ( RUMUS )'!P36+'PUSK ( RUMUS )'!P37</f>
        <v>0</v>
      </c>
      <c r="O20" s="491">
        <f>'PUSK ( RUMUS )'!Q36+'PUSK ( RUMUS )'!Q37</f>
        <v>66</v>
      </c>
      <c r="P20" s="491">
        <f>'PUSK ( RUMUS )'!R36+'PUSK ( RUMUS )'!R37</f>
        <v>65</v>
      </c>
      <c r="Q20" s="491">
        <f>'PUSK ( RUMUS )'!U36+'PUSK ( RUMUS )'!U37</f>
        <v>1</v>
      </c>
      <c r="R20" s="491">
        <f>'PUSK ( RUMUS )'!V36+'PUSK ( RUMUS )'!V37</f>
        <v>4</v>
      </c>
      <c r="S20" s="491">
        <f>'PUSK ( RUMUS )'!W36+'PUSK ( RUMUS )'!W37</f>
        <v>21</v>
      </c>
      <c r="T20" s="491">
        <f>'PUSK ( RUMUS )'!X36+'PUSK ( RUMUS )'!X37</f>
        <v>39</v>
      </c>
      <c r="U20" s="491">
        <f>'PUSK ( RUMUS )'!Y36+'PUSK ( RUMUS )'!Y37</f>
        <v>11</v>
      </c>
      <c r="V20" s="491">
        <f>'PUSK ( RUMUS )'!Z36+'PUSK ( RUMUS )'!Z37</f>
        <v>0</v>
      </c>
      <c r="W20" s="491">
        <f>'PUSK ( RUMUS )'!AA36+'PUSK ( RUMUS )'!AA37</f>
        <v>54</v>
      </c>
      <c r="X20" s="491">
        <f>'PUSK ( RUMUS )'!AB36+'PUSK ( RUMUS )'!AB37</f>
        <v>90</v>
      </c>
      <c r="Y20" s="491">
        <f>'PUSK ( RUMUS )'!AE36+'PUSK ( RUMUS )'!AE37</f>
        <v>3</v>
      </c>
      <c r="Z20" s="491">
        <f>'PUSK ( RUMUS )'!AF36+'PUSK ( RUMUS )'!AF37</f>
        <v>14</v>
      </c>
      <c r="AA20" s="491">
        <f>'PUSK ( RUMUS )'!AG36+'PUSK ( RUMUS )'!AG37</f>
        <v>28</v>
      </c>
      <c r="AB20" s="491">
        <f>'PUSK ( RUMUS )'!AH36+'PUSK ( RUMUS )'!AH37</f>
        <v>45</v>
      </c>
      <c r="AC20" s="491">
        <f>'PUSK ( RUMUS )'!AI36+'PUSK ( RUMUS )'!AI37</f>
        <v>18</v>
      </c>
      <c r="AD20" s="491">
        <f>'PUSK ( RUMUS )'!AJ36+'PUSK ( RUMUS )'!AJ37</f>
        <v>0</v>
      </c>
      <c r="AE20" s="491">
        <f>'PUSK ( RUMUS )'!AK36+'PUSK ( RUMUS )'!AK37</f>
        <v>72</v>
      </c>
      <c r="AF20" s="491">
        <f>'PUSK ( RUMUS )'!AL36+'PUSK ( RUMUS )'!AL37</f>
        <v>70</v>
      </c>
      <c r="AG20" s="491">
        <f>'PUSK ( RUMUS )'!AO36+'PUSK ( RUMUS )'!AO37</f>
        <v>0</v>
      </c>
      <c r="AH20" s="491">
        <f>'PUSK ( RUMUS )'!AP36+'PUSK ( RUMUS )'!AP37</f>
        <v>5</v>
      </c>
      <c r="AI20" s="491">
        <f>'PUSK ( RUMUS )'!AQ36+'PUSK ( RUMUS )'!AQ37</f>
        <v>14</v>
      </c>
      <c r="AJ20" s="491">
        <f>'PUSK ( RUMUS )'!AR36+'PUSK ( RUMUS )'!AR37</f>
        <v>51</v>
      </c>
      <c r="AK20" s="491">
        <f>'PUSK ( RUMUS )'!AS36+'PUSK ( RUMUS )'!AS37</f>
        <v>8</v>
      </c>
      <c r="AL20" s="491">
        <f>'PUSK ( RUMUS )'!AT36+'PUSK ( RUMUS )'!AT37</f>
        <v>3</v>
      </c>
      <c r="AM20" s="491">
        <f>'PUSK ( RUMUS )'!AU36+'PUSK ( RUMUS )'!AU37</f>
        <v>59</v>
      </c>
      <c r="AN20" s="491">
        <f>'PUSK ( RUMUS )'!AV36+'PUSK ( RUMUS )'!AV37</f>
        <v>76</v>
      </c>
      <c r="AO20" s="491">
        <f>'PUSK ( RUMUS )'!AY36+'PUSK ( RUMUS )'!AY37</f>
        <v>1</v>
      </c>
      <c r="AP20" s="491">
        <f>'PUSK ( RUMUS )'!AZ36+'PUSK ( RUMUS )'!AZ37</f>
        <v>7</v>
      </c>
      <c r="AQ20" s="491">
        <f>'PUSK ( RUMUS )'!BA36+'PUSK ( RUMUS )'!BA37</f>
        <v>23</v>
      </c>
      <c r="AR20" s="491">
        <f>'PUSK ( RUMUS )'!BB36+'PUSK ( RUMUS )'!BB37</f>
        <v>45</v>
      </c>
      <c r="AS20" s="491">
        <f>'PUSK ( RUMUS )'!BC36+'PUSK ( RUMUS )'!BC37</f>
        <v>4</v>
      </c>
      <c r="AT20" s="491">
        <f>'PUSK ( RUMUS )'!BD36+'PUSK ( RUMUS )'!BD37</f>
        <v>1</v>
      </c>
      <c r="AU20" s="491">
        <f>'PUSK ( RUMUS )'!BE36+'PUSK ( RUMUS )'!BE37</f>
        <v>71</v>
      </c>
      <c r="AV20" s="491">
        <f>'PUSK ( RUMUS )'!BF36+'PUSK ( RUMUS )'!BF37</f>
        <v>5671</v>
      </c>
      <c r="AW20" s="491">
        <f>'PUSK ( RUMUS )'!BG36+'PUSK ( RUMUS )'!BG37</f>
        <v>54</v>
      </c>
      <c r="AX20" s="491">
        <f>'PUSK ( RUMUS )'!BJ36+'PUSK ( RUMUS )'!BJ37</f>
        <v>0</v>
      </c>
      <c r="AY20" s="491">
        <f>'PUSK ( RUMUS )'!BK36+'PUSK ( RUMUS )'!BK37</f>
        <v>4</v>
      </c>
      <c r="AZ20" s="491">
        <f>'PUSK ( RUMUS )'!BL36+'PUSK ( RUMUS )'!BL37</f>
        <v>10</v>
      </c>
      <c r="BA20" s="491">
        <f>'PUSK ( RUMUS )'!BM36+'PUSK ( RUMUS )'!BM37</f>
        <v>28</v>
      </c>
      <c r="BB20" s="491">
        <f>'PUSK ( RUMUS )'!BN36+'PUSK ( RUMUS )'!BN37</f>
        <v>2</v>
      </c>
      <c r="BC20" s="491">
        <f>'PUSK ( RUMUS )'!BO36+'PUSK ( RUMUS )'!BO37</f>
        <v>1</v>
      </c>
      <c r="BD20" s="491">
        <f>'PUSK ( RUMUS )'!BP36+'PUSK ( RUMUS )'!BP37</f>
        <v>3</v>
      </c>
      <c r="BE20" s="491">
        <f>'PUSK ( RUMUS )'!BQ36+'PUSK ( RUMUS )'!BQ37</f>
        <v>6</v>
      </c>
      <c r="BF20" s="491">
        <f>'PUSK ( RUMUS )'!BR36+'PUSK ( RUMUS )'!BR37</f>
        <v>1</v>
      </c>
      <c r="BG20" s="491">
        <f>'PUSK ( RUMUS )'!BS36+'PUSK ( RUMUS )'!BS37</f>
        <v>3</v>
      </c>
      <c r="BH20" s="491">
        <f>'PUSK ( RUMUS )'!BT36+'PUSK ( RUMUS )'!BT37</f>
        <v>4</v>
      </c>
      <c r="BI20" s="491">
        <f>'PUSK ( RUMUS )'!BU36+'PUSK ( RUMUS )'!BU37</f>
        <v>3</v>
      </c>
      <c r="BJ20" s="491">
        <f>'PUSK ( RUMUS )'!BV36+'PUSK ( RUMUS )'!BV37</f>
        <v>0</v>
      </c>
      <c r="BK20" s="491">
        <f>'PUSK ( RUMUS )'!BW36+'PUSK ( RUMUS )'!BW37</f>
        <v>0</v>
      </c>
      <c r="BL20" s="491">
        <f>'PUSK ( RUMUS )'!BX36+'PUSK ( RUMUS )'!BX37</f>
        <v>0</v>
      </c>
      <c r="BM20" s="491">
        <f>'PUSK ( RUMUS )'!BY36+'PUSK ( RUMUS )'!BY37</f>
        <v>0</v>
      </c>
      <c r="BN20" s="491">
        <f>'PUSK ( RUMUS )'!BZ36+'PUSK ( RUMUS )'!BZ37</f>
        <v>0</v>
      </c>
      <c r="BO20" s="491">
        <f>'PUSK ( RUMUS )'!CA36+'PUSK ( RUMUS )'!CA37</f>
        <v>0</v>
      </c>
      <c r="BP20" s="491">
        <f>'PUSK ( RUMUS )'!CB36+'PUSK ( RUMUS )'!CB37</f>
        <v>11</v>
      </c>
      <c r="BQ20" s="491">
        <f>'PUSK ( RUMUS )'!CC36+'PUSK ( RUMUS )'!CC37</f>
        <v>5789</v>
      </c>
      <c r="BR20" s="491">
        <f>'PUSK ( RUMUS )'!CD36+'PUSK ( RUMUS )'!CD37</f>
        <v>70</v>
      </c>
      <c r="BS20" s="491">
        <f>'PUSK ( RUMUS )'!CG36+'PUSK ( RUMUS )'!CG37</f>
        <v>2</v>
      </c>
      <c r="BT20" s="491">
        <f>'PUSK ( RUMUS )'!CH36+'PUSK ( RUMUS )'!CH37</f>
        <v>4</v>
      </c>
      <c r="BU20" s="491">
        <f>'PUSK ( RUMUS )'!CI36+'PUSK ( RUMUS )'!CI37</f>
        <v>13</v>
      </c>
      <c r="BV20" s="491">
        <f>'PUSK ( RUMUS )'!CJ36+'PUSK ( RUMUS )'!CJ37</f>
        <v>31</v>
      </c>
      <c r="BW20" s="491">
        <f>'PUSK ( RUMUS )'!CK36+'PUSK ( RUMUS )'!CK37</f>
        <v>3</v>
      </c>
      <c r="BX20" s="491">
        <f>'PUSK ( RUMUS )'!CL36+'PUSK ( RUMUS )'!CL37</f>
        <v>0</v>
      </c>
      <c r="BY20" s="491">
        <f>'PUSK ( RUMUS )'!CM36+'PUSK ( RUMUS )'!CM37</f>
        <v>8</v>
      </c>
      <c r="BZ20" s="491">
        <f>'PUSK ( RUMUS )'!CN36+'PUSK ( RUMUS )'!CN37</f>
        <v>9</v>
      </c>
      <c r="CA20" s="491">
        <f>'PUSK ( RUMUS )'!CO36+'PUSK ( RUMUS )'!CO37</f>
        <v>0</v>
      </c>
      <c r="CB20" s="491">
        <f>'PUSK ( RUMUS )'!CP36+'PUSK ( RUMUS )'!CP37</f>
        <v>0</v>
      </c>
      <c r="CC20" s="491">
        <f>'PUSK ( RUMUS )'!CQ36+'PUSK ( RUMUS )'!CQ37</f>
        <v>0</v>
      </c>
      <c r="CD20" s="491">
        <f>'PUSK ( RUMUS )'!CR36+'PUSK ( RUMUS )'!CR37</f>
        <v>6</v>
      </c>
      <c r="CE20" s="491">
        <f>'PUSK ( RUMUS )'!CS36+'PUSK ( RUMUS )'!CS37</f>
        <v>0</v>
      </c>
      <c r="CF20" s="491">
        <f>'PUSK ( RUMUS )'!CT36+'PUSK ( RUMUS )'!CT37</f>
        <v>0</v>
      </c>
      <c r="CG20" s="491">
        <f>'PUSK ( RUMUS )'!CU36+'PUSK ( RUMUS )'!CU37</f>
        <v>0</v>
      </c>
      <c r="CH20" s="491">
        <f>'PUSK ( RUMUS )'!CV36+'PUSK ( RUMUS )'!CV37</f>
        <v>0</v>
      </c>
      <c r="CI20" s="491">
        <f>'PUSK ( RUMUS )'!CW36+'PUSK ( RUMUS )'!CW37</f>
        <v>0</v>
      </c>
      <c r="CJ20" s="491">
        <f>'PUSK ( RUMUS )'!CX36+'PUSK ( RUMUS )'!CX37</f>
        <v>0</v>
      </c>
      <c r="CK20" s="491">
        <f>'PUSK ( RUMUS )'!CY36+'PUSK ( RUMUS )'!CY37</f>
        <v>6</v>
      </c>
      <c r="CL20" s="491">
        <f>'PUSK ( RUMUS )'!CZ36+'PUSK ( RUMUS )'!CZ37</f>
        <v>5892</v>
      </c>
      <c r="CM20" s="491">
        <f>'PUSK ( RUMUS )'!DA36+'PUSK ( RUMUS )'!DA37</f>
        <v>1839</v>
      </c>
      <c r="CN20" s="491">
        <f>'PUSK ( RUMUS )'!DB36+'PUSK ( RUMUS )'!DB37</f>
        <v>114</v>
      </c>
      <c r="CO20" s="491">
        <f>'PUSK ( RUMUS )'!DE36+'PUSK ( RUMUS )'!DE37</f>
        <v>0</v>
      </c>
      <c r="CP20" s="491">
        <f>'PUSK ( RUMUS )'!DF36+'PUSK ( RUMUS )'!DF37</f>
        <v>1</v>
      </c>
      <c r="CQ20" s="491">
        <f>'PUSK ( RUMUS )'!DG36+'PUSK ( RUMUS )'!DG37</f>
        <v>20</v>
      </c>
      <c r="CR20" s="491">
        <f>'PUSK ( RUMUS )'!DH36+'PUSK ( RUMUS )'!DH37</f>
        <v>40</v>
      </c>
      <c r="CS20" s="491">
        <f>'PUSK ( RUMUS )'!DI36+'PUSK ( RUMUS )'!DI37</f>
        <v>0</v>
      </c>
      <c r="CT20" s="491">
        <f>'PUSK ( RUMUS )'!DJ36+'PUSK ( RUMUS )'!DJ37</f>
        <v>3</v>
      </c>
      <c r="CU20" s="491">
        <f>'PUSK ( RUMUS )'!DK36+'PUSK ( RUMUS )'!DK37</f>
        <v>15</v>
      </c>
      <c r="CV20" s="491">
        <f>'PUSK ( RUMUS )'!DL36+'PUSK ( RUMUS )'!DL37</f>
        <v>35</v>
      </c>
      <c r="CW20" s="491">
        <f>'PUSK ( RUMUS )'!DM36+'PUSK ( RUMUS )'!DM37</f>
        <v>5</v>
      </c>
      <c r="CX20" s="491">
        <f>'PUSK ( RUMUS )'!DN36+'PUSK ( RUMUS )'!DN37</f>
        <v>2</v>
      </c>
      <c r="CY20" s="491">
        <f>'PUSK ( RUMUS )'!DO36+'PUSK ( RUMUS )'!DO37</f>
        <v>2</v>
      </c>
      <c r="CZ20" s="491">
        <f>'PUSK ( RUMUS )'!DP36+'PUSK ( RUMUS )'!DP37</f>
        <v>0</v>
      </c>
      <c r="DA20" s="491">
        <f>'PUSK ( RUMUS )'!DQ36+'PUSK ( RUMUS )'!DQ37</f>
        <v>0</v>
      </c>
      <c r="DB20" s="491">
        <f>'PUSK ( RUMUS )'!DR36+'PUSK ( RUMUS )'!DR37</f>
        <v>0</v>
      </c>
      <c r="DC20" s="491">
        <f>'PUSK ( RUMUS )'!DS36+'PUSK ( RUMUS )'!DS37</f>
        <v>0</v>
      </c>
      <c r="DD20" s="491">
        <f>'PUSK ( RUMUS )'!DT36+'PUSK ( RUMUS )'!DT37</f>
        <v>0</v>
      </c>
      <c r="DE20" s="491">
        <f>'PUSK ( RUMUS )'!DU36+'PUSK ( RUMUS )'!DU37</f>
        <v>0</v>
      </c>
      <c r="DF20" s="491">
        <f>'PUSK ( RUMUS )'!DV36+'PUSK ( RUMUS )'!DV37</f>
        <v>0</v>
      </c>
      <c r="DG20" s="491">
        <f>'PUSK ( RUMUS )'!DW36+'PUSK ( RUMUS )'!DW37</f>
        <v>9</v>
      </c>
      <c r="DH20" s="491">
        <f>'PUSK ( RUMUS )'!DX36+'PUSK ( RUMUS )'!DX37</f>
        <v>6359</v>
      </c>
      <c r="DI20" s="491">
        <f>'PUSK ( RUMUS )'!DY36+'PUSK ( RUMUS )'!DY37</f>
        <v>2076</v>
      </c>
      <c r="DJ20" s="491">
        <f>'PUSK ( RUMUS )'!DZ36+'PUSK ( RUMUS )'!DZ37</f>
        <v>5944</v>
      </c>
      <c r="DK20" s="491">
        <f>'PUSK ( RUMUS )'!EA36+'PUSK ( RUMUS )'!EA37</f>
        <v>1872</v>
      </c>
      <c r="DL20" s="491">
        <f>'PUSK ( RUMUS )'!EB36+'PUSK ( RUMUS )'!EB37</f>
        <v>110</v>
      </c>
      <c r="DM20" s="491">
        <f>'PUSK ( RUMUS )'!EC36+'PUSK ( RUMUS )'!EC37</f>
        <v>35</v>
      </c>
      <c r="DN20" s="491">
        <f t="shared" si="1"/>
        <v>75</v>
      </c>
      <c r="DO20" s="491">
        <f>'PUSK ( RUMUS )'!EE36+'PUSK ( RUMUS )'!EE37</f>
        <v>0</v>
      </c>
      <c r="DP20" s="491">
        <f>'PUSK ( RUMUS )'!EF36+'PUSK ( RUMUS )'!EF37</f>
        <v>1</v>
      </c>
      <c r="DQ20" s="491">
        <f>'PUSK ( RUMUS )'!EG36+'PUSK ( RUMUS )'!EG37</f>
        <v>32</v>
      </c>
      <c r="DR20" s="491">
        <f>'PUSK ( RUMUS )'!EH36+'PUSK ( RUMUS )'!EH37</f>
        <v>72</v>
      </c>
      <c r="DS20" s="491">
        <f>'PUSK ( RUMUS )'!EI36+'PUSK ( RUMUS )'!EI37</f>
        <v>0</v>
      </c>
      <c r="DT20" s="491">
        <f>'PUSK ( RUMUS )'!EJ36+'PUSK ( RUMUS )'!EJ37</f>
        <v>1</v>
      </c>
      <c r="DU20" s="491">
        <f>'PUSK ( RUMUS )'!EK36+'PUSK ( RUMUS )'!EK37</f>
        <v>1</v>
      </c>
      <c r="DV20" s="491">
        <f>'PUSK ( RUMUS )'!EL36+'PUSK ( RUMUS )'!EL37</f>
        <v>3</v>
      </c>
      <c r="DW20" s="491">
        <f>'PUSK ( RUMUS )'!EM36+'PUSK ( RUMUS )'!EM37</f>
        <v>0</v>
      </c>
      <c r="DX20" s="491">
        <f>'PUSK ( RUMUS )'!EN36+'PUSK ( RUMUS )'!EN37</f>
        <v>1</v>
      </c>
      <c r="DY20" s="491">
        <f>'PUSK ( RUMUS )'!EO36+'PUSK ( RUMUS )'!EO37</f>
        <v>0</v>
      </c>
      <c r="DZ20" s="491">
        <f>'PUSK ( RUMUS )'!EP36+'PUSK ( RUMUS )'!EP37</f>
        <v>4</v>
      </c>
      <c r="EA20" s="491">
        <f>'PUSK ( RUMUS )'!EQ36+'PUSK ( RUMUS )'!EQ37</f>
        <v>0</v>
      </c>
      <c r="EB20" s="491">
        <f>'PUSK ( RUMUS )'!ER36+'PUSK ( RUMUS )'!ER37</f>
        <v>0</v>
      </c>
      <c r="EC20" s="491">
        <f>'PUSK ( RUMUS )'!ES36+'PUSK ( RUMUS )'!ES37</f>
        <v>0</v>
      </c>
      <c r="ED20" s="491">
        <f>'PUSK ( RUMUS )'!ET36+'PUSK ( RUMUS )'!ET37</f>
        <v>1</v>
      </c>
      <c r="EE20" s="491">
        <f>'PUSK ( RUMUS )'!EU36+'PUSK ( RUMUS )'!EU37</f>
        <v>0</v>
      </c>
      <c r="EF20" s="491">
        <f>'PUSK ( RUMUS )'!EV36+'PUSK ( RUMUS )'!EV37</f>
        <v>0</v>
      </c>
      <c r="EG20" s="491">
        <f>'PUSK ( RUMUS )'!EW36+'PUSK ( RUMUS )'!EW37</f>
        <v>6</v>
      </c>
      <c r="EH20" s="491">
        <f>'PUSK ( RUMUS )'!EX36+'PUSK ( RUMUS )'!EX37</f>
        <v>1</v>
      </c>
      <c r="EI20" s="491">
        <f>'PUSK ( RUMUS )'!EY36+'PUSK ( RUMUS )'!EY37</f>
        <v>6414</v>
      </c>
      <c r="EJ20" s="491">
        <f>'PUSK ( RUMUS )'!EZ36+'PUSK ( RUMUS )'!EZ37</f>
        <v>2137</v>
      </c>
      <c r="EK20" s="491">
        <f>'PUSK ( RUMUS )'!FA36+'PUSK ( RUMUS )'!FA37</f>
        <v>6286</v>
      </c>
      <c r="EL20" s="491">
        <f>'PUSK ( RUMUS )'!FB36+'PUSK ( RUMUS )'!FB37</f>
        <v>2023</v>
      </c>
      <c r="EM20" s="491">
        <f>'PUSK ( RUMUS )'!FC36+'PUSK ( RUMUS )'!FC37</f>
        <v>110</v>
      </c>
      <c r="EN20" s="491">
        <f>'PUSK ( RUMUS )'!FD36+'PUSK ( RUMUS )'!FD37</f>
        <v>32</v>
      </c>
      <c r="EO20" s="491">
        <f t="shared" si="2"/>
        <v>78</v>
      </c>
      <c r="EP20" s="491">
        <f>'PUSK ( RUMUS )'!FF36+'PUSK ( RUMUS )'!FF37</f>
        <v>0</v>
      </c>
      <c r="EQ20" s="491">
        <f>'PUSK ( RUMUS )'!FG36+'PUSK ( RUMUS )'!FG37</f>
        <v>1</v>
      </c>
      <c r="ER20" s="491">
        <f>'PUSK ( RUMUS )'!FH36+'PUSK ( RUMUS )'!FH37</f>
        <v>29</v>
      </c>
      <c r="ES20" s="491">
        <f>'PUSK ( RUMUS )'!FI36+'PUSK ( RUMUS )'!FI37</f>
        <v>72</v>
      </c>
      <c r="ET20" s="491">
        <f>'PUSK ( RUMUS )'!FJ36+'PUSK ( RUMUS )'!FJ37</f>
        <v>1</v>
      </c>
      <c r="EU20" s="491">
        <f>'PUSK ( RUMUS )'!FK36+'PUSK ( RUMUS )'!FK37</f>
        <v>0</v>
      </c>
      <c r="EV20" s="491">
        <f>'PUSK ( RUMUS )'!FL36+'PUSK ( RUMUS )'!FL37</f>
        <v>1</v>
      </c>
      <c r="EW20" s="491">
        <f>'PUSK ( RUMUS )'!FM36+'PUSK ( RUMUS )'!FM37</f>
        <v>6</v>
      </c>
      <c r="EX20" s="491">
        <f>'PUSK ( RUMUS )'!FN36+'PUSK ( RUMUS )'!FN37</f>
        <v>0</v>
      </c>
      <c r="EY20" s="491">
        <f>'PUSK ( RUMUS )'!FO36+'PUSK ( RUMUS )'!FO37</f>
        <v>0</v>
      </c>
      <c r="EZ20" s="491">
        <f>'PUSK ( RUMUS )'!FP36+'PUSK ( RUMUS )'!FP37</f>
        <v>1</v>
      </c>
      <c r="FA20" s="491">
        <f>'PUSK ( RUMUS )'!FQ36+'PUSK ( RUMUS )'!FQ37</f>
        <v>0</v>
      </c>
      <c r="FB20" s="491">
        <f>'PUSK ( RUMUS )'!FR36+'PUSK ( RUMUS )'!FR37</f>
        <v>0</v>
      </c>
      <c r="FC20" s="491">
        <f>'PUSK ( RUMUS )'!FS36+'PUSK ( RUMUS )'!FS37</f>
        <v>0</v>
      </c>
      <c r="FD20" s="491">
        <f>'PUSK ( RUMUS )'!FT36+'PUSK ( RUMUS )'!FT37</f>
        <v>0</v>
      </c>
      <c r="FE20" s="491">
        <f>'PUSK ( RUMUS )'!FU36+'PUSK ( RUMUS )'!FU37</f>
        <v>0</v>
      </c>
      <c r="FF20" s="491">
        <f>'PUSK ( RUMUS )'!FV36+'PUSK ( RUMUS )'!FV37</f>
        <v>1</v>
      </c>
      <c r="FG20" s="491">
        <f>'PUSK ( RUMUS )'!FW36+'PUSK ( RUMUS )'!FW37</f>
        <v>0</v>
      </c>
      <c r="FH20" s="491">
        <f>'PUSK ( RUMUS )'!FX36+'PUSK ( RUMUS )'!FX37</f>
        <v>2</v>
      </c>
      <c r="FI20" s="491">
        <f>'PUSK ( RUMUS )'!FY36+'PUSK ( RUMUS )'!FY37</f>
        <v>1</v>
      </c>
      <c r="FJ20" s="491">
        <f>'PUSK ( RUMUS )'!FZ36+'PUSK ( RUMUS )'!FZ37</f>
        <v>6421</v>
      </c>
      <c r="FK20" s="491">
        <f>'PUSK ( RUMUS )'!GA36+'PUSK ( RUMUS )'!GA37</f>
        <v>1933</v>
      </c>
      <c r="FL20" s="491">
        <f>'PUSK ( RUMUS )'!GB36+'PUSK ( RUMUS )'!GB37</f>
        <v>6280</v>
      </c>
      <c r="FM20" s="491">
        <f>'PUSK ( RUMUS )'!GC36+'PUSK ( RUMUS )'!GC37</f>
        <v>1793</v>
      </c>
      <c r="FN20" s="491"/>
      <c r="FO20" s="491"/>
      <c r="FP20" s="491">
        <f>'PUSK ( RUMUS )'!GG36+'PUSK ( RUMUS )'!GG37</f>
        <v>109</v>
      </c>
      <c r="FQ20" s="491">
        <f>'PUSK ( RUMUS )'!GH36+'PUSK ( RUMUS )'!GH37</f>
        <v>24</v>
      </c>
      <c r="FR20" s="491">
        <f t="shared" si="3"/>
        <v>85</v>
      </c>
      <c r="FS20" s="491">
        <f>'PUSK ( RUMUS )'!GJ36+'PUSK ( RUMUS )'!GJ37</f>
        <v>0</v>
      </c>
      <c r="FT20" s="491">
        <f>'PUSK ( RUMUS )'!GK36+'PUSK ( RUMUS )'!GK37</f>
        <v>1</v>
      </c>
      <c r="FU20" s="491">
        <f>'PUSK ( RUMUS )'!GL36+'PUSK ( RUMUS )'!GL37</f>
        <v>22</v>
      </c>
      <c r="FV20" s="491">
        <f>'PUSK ( RUMUS )'!GM36+'PUSK ( RUMUS )'!GM37</f>
        <v>83</v>
      </c>
      <c r="FW20" s="491">
        <f>'PUSK ( RUMUS )'!GN36+'PUSK ( RUMUS )'!GN37</f>
        <v>0</v>
      </c>
      <c r="FX20" s="491">
        <f>'PUSK ( RUMUS )'!GO36+'PUSK ( RUMUS )'!GO37</f>
        <v>0</v>
      </c>
      <c r="FY20" s="491">
        <f>'PUSK ( RUMUS )'!GP36+'PUSK ( RUMUS )'!GP37</f>
        <v>1</v>
      </c>
      <c r="FZ20" s="491">
        <f>'PUSK ( RUMUS )'!GQ36+'PUSK ( RUMUS )'!GQ37</f>
        <v>2</v>
      </c>
      <c r="GA20" s="491">
        <f>'PUSK ( RUMUS )'!GR36+'PUSK ( RUMUS )'!GR37</f>
        <v>1</v>
      </c>
      <c r="GB20" s="491">
        <f>'PUSK ( RUMUS )'!GS36+'PUSK ( RUMUS )'!GS37</f>
        <v>0</v>
      </c>
      <c r="GC20" s="491">
        <f>'PUSK ( RUMUS )'!GT36+'PUSK ( RUMUS )'!GT37</f>
        <v>0</v>
      </c>
      <c r="GD20" s="491">
        <f>'PUSK ( RUMUS )'!GU36+'PUSK ( RUMUS )'!GU37</f>
        <v>1</v>
      </c>
      <c r="GE20" s="491">
        <f>'PUSK ( RUMUS )'!GV36+'PUSK ( RUMUS )'!GV37</f>
        <v>0</v>
      </c>
      <c r="GF20" s="491">
        <f>'PUSK ( RUMUS )'!GW36+'PUSK ( RUMUS )'!GW37</f>
        <v>0</v>
      </c>
      <c r="GG20" s="491">
        <f>'PUSK ( RUMUS )'!GX36+'PUSK ( RUMUS )'!GX37</f>
        <v>0</v>
      </c>
      <c r="GH20" s="491">
        <f>'PUSK ( RUMUS )'!GY36+'PUSK ( RUMUS )'!GY37</f>
        <v>0</v>
      </c>
      <c r="GI20" s="491">
        <f>'PUSK ( RUMUS )'!GZ36+'PUSK ( RUMUS )'!GZ37</f>
        <v>1</v>
      </c>
      <c r="GJ20" s="491">
        <f>'PUSK ( RUMUS )'!HA36+'PUSK ( RUMUS )'!HA37</f>
        <v>0</v>
      </c>
      <c r="GK20" s="491">
        <f>'PUSK ( RUMUS )'!HB36+'PUSK ( RUMUS )'!HB37</f>
        <v>3</v>
      </c>
      <c r="GL20" s="491">
        <f>'PUSK ( RUMUS )'!HC36+'PUSK ( RUMUS )'!HC37</f>
        <v>1</v>
      </c>
      <c r="GM20" s="491">
        <f>'PUSK ( RUMUS )'!HD36+'PUSK ( RUMUS )'!HD37</f>
        <v>6477</v>
      </c>
      <c r="GN20" s="491">
        <f>'PUSK ( RUMUS )'!HE36+'PUSK ( RUMUS )'!HE37</f>
        <v>2220</v>
      </c>
      <c r="GO20" s="491">
        <f>'PUSK ( RUMUS )'!HF36+'PUSK ( RUMUS )'!HF37</f>
        <v>6288</v>
      </c>
      <c r="GP20" s="491">
        <f>'PUSK ( RUMUS )'!HG36+'PUSK ( RUMUS )'!HG37</f>
        <v>2045</v>
      </c>
      <c r="GQ20" s="491"/>
      <c r="GR20" s="491"/>
      <c r="GS20" s="491">
        <f>'PUSK ( RUMUS )'!HK36+'PUSK ( RUMUS )'!HK37</f>
        <v>111</v>
      </c>
      <c r="GT20" s="491">
        <f>'PUSK ( RUMUS )'!HL36+'PUSK ( RUMUS )'!HL37</f>
        <v>22</v>
      </c>
      <c r="GU20" s="491">
        <f t="shared" si="4"/>
        <v>89</v>
      </c>
      <c r="GV20" s="491">
        <f>'PUSK ( RUMUS )'!HN36+'PUSK ( RUMUS )'!HN37</f>
        <v>0</v>
      </c>
      <c r="GW20" s="491">
        <f>'PUSK ( RUMUS )'!HO36+'PUSK ( RUMUS )'!HO37</f>
        <v>0</v>
      </c>
      <c r="GX20" s="491">
        <f>'PUSK ( RUMUS )'!HP36+'PUSK ( RUMUS )'!HP37</f>
        <v>18</v>
      </c>
      <c r="GY20" s="491">
        <f>'PUSK ( RUMUS )'!HQ36+'PUSK ( RUMUS )'!HQ37</f>
        <v>87</v>
      </c>
      <c r="GZ20" s="491">
        <f>'PUSK ( RUMUS )'!HR36+'PUSK ( RUMUS )'!HR37</f>
        <v>1</v>
      </c>
      <c r="HA20" s="491">
        <f>'PUSK ( RUMUS )'!HS36+'PUSK ( RUMUS )'!HS37</f>
        <v>0</v>
      </c>
      <c r="HB20" s="491">
        <f>'PUSK ( RUMUS )'!HT36+'PUSK ( RUMUS )'!HT37</f>
        <v>3</v>
      </c>
      <c r="HC20" s="491">
        <f>'PUSK ( RUMUS )'!HU36+'PUSK ( RUMUS )'!HU37</f>
        <v>2</v>
      </c>
      <c r="HD20" s="491">
        <f>'PUSK ( RUMUS )'!HV36+'PUSK ( RUMUS )'!HV37</f>
        <v>0</v>
      </c>
      <c r="HE20" s="491">
        <f>'PUSK ( RUMUS )'!HW36+'PUSK ( RUMUS )'!HW37</f>
        <v>0</v>
      </c>
      <c r="HF20" s="491">
        <f>'PUSK ( RUMUS )'!HX36+'PUSK ( RUMUS )'!HX37</f>
        <v>0</v>
      </c>
      <c r="HG20" s="491">
        <f>'PUSK ( RUMUS )'!HY36+'PUSK ( RUMUS )'!HY37</f>
        <v>1</v>
      </c>
      <c r="HH20" s="491">
        <f>'PUSK ( RUMUS )'!HZ36+'PUSK ( RUMUS )'!HZ37</f>
        <v>0</v>
      </c>
      <c r="HI20" s="491">
        <f>'PUSK ( RUMUS )'!IA36+'PUSK ( RUMUS )'!IA37</f>
        <v>0</v>
      </c>
      <c r="HJ20" s="491">
        <f>'PUSK ( RUMUS )'!IB36+'PUSK ( RUMUS )'!IB37</f>
        <v>1</v>
      </c>
      <c r="HK20" s="491">
        <f>'PUSK ( RUMUS )'!IC36+'PUSK ( RUMUS )'!IC37</f>
        <v>0</v>
      </c>
      <c r="HL20" s="491">
        <f>'PUSK ( RUMUS )'!ID36+'PUSK ( RUMUS )'!ID37</f>
        <v>5</v>
      </c>
      <c r="HM20" s="491">
        <f>'PUSK ( RUMUS )'!IE36+'PUSK ( RUMUS )'!IE37</f>
        <v>0</v>
      </c>
      <c r="HN20" s="491">
        <f>'PUSK ( RUMUS )'!IF36+'PUSK ( RUMUS )'!IF37</f>
        <v>0</v>
      </c>
      <c r="HO20" s="491">
        <f>'PUSK ( RUMUS )'!IG36+'PUSK ( RUMUS )'!IG37</f>
        <v>0</v>
      </c>
      <c r="HR20" s="198">
        <f t="shared" si="5"/>
        <v>68</v>
      </c>
      <c r="HS20" s="198">
        <f t="shared" si="6"/>
        <v>65</v>
      </c>
      <c r="HT20" s="198">
        <f t="shared" si="7"/>
        <v>90</v>
      </c>
      <c r="HU20" s="198">
        <f t="shared" si="8"/>
        <v>70</v>
      </c>
      <c r="HV20" s="198">
        <f t="shared" si="9"/>
        <v>76</v>
      </c>
      <c r="HW20" s="198">
        <f t="shared" si="10"/>
        <v>54</v>
      </c>
      <c r="HX20" s="574">
        <f t="shared" si="11"/>
        <v>70</v>
      </c>
      <c r="HY20" s="574">
        <f t="shared" si="12"/>
        <v>114</v>
      </c>
      <c r="HZ20" s="634">
        <f t="shared" si="13"/>
        <v>110</v>
      </c>
      <c r="IA20" s="611">
        <f t="shared" si="14"/>
        <v>110</v>
      </c>
      <c r="IB20" s="611">
        <f t="shared" si="15"/>
        <v>109</v>
      </c>
      <c r="IC20" s="611">
        <f t="shared" si="16"/>
        <v>111</v>
      </c>
    </row>
    <row r="21" ht="14.25" customHeight="1">
      <c r="A21" s="158">
        <v>14.0</v>
      </c>
      <c r="B21" s="633" t="s">
        <v>270</v>
      </c>
      <c r="C21" s="253">
        <v>3374130.0</v>
      </c>
      <c r="D21" s="253"/>
      <c r="E21" s="253"/>
      <c r="F21" s="252">
        <f>'PUSK ( RUMUS )'!F38+'PUSK ( RUMUS )'!F39</f>
        <v>109</v>
      </c>
      <c r="G21" s="248">
        <f>'PUSK ( RUMUS )'!G38+'PUSK ( RUMUS )'!G39</f>
        <v>4693</v>
      </c>
      <c r="H21" s="324">
        <f>'PUSK ( RUMUS )'!H38+'PUSK ( RUMUS )'!H39</f>
        <v>82</v>
      </c>
      <c r="I21" s="248">
        <f>'PUSK ( RUMUS )'!K38+'PUSK ( RUMUS )'!K39</f>
        <v>0</v>
      </c>
      <c r="J21" s="248">
        <f>'PUSK ( RUMUS )'!L38+'PUSK ( RUMUS )'!L39</f>
        <v>1</v>
      </c>
      <c r="K21" s="248">
        <f>'PUSK ( RUMUS )'!M38+'PUSK ( RUMUS )'!M39</f>
        <v>21</v>
      </c>
      <c r="L21" s="248">
        <f>'PUSK ( RUMUS )'!N38+'PUSK ( RUMUS )'!N39</f>
        <v>60</v>
      </c>
      <c r="M21" s="248">
        <f>'PUSK ( RUMUS )'!O38+'PUSK ( RUMUS )'!O39</f>
        <v>49</v>
      </c>
      <c r="N21" s="248">
        <f>'PUSK ( RUMUS )'!P38+'PUSK ( RUMUS )'!P39</f>
        <v>5</v>
      </c>
      <c r="O21" s="248">
        <f>'PUSK ( RUMUS )'!Q38+'PUSK ( RUMUS )'!Q39</f>
        <v>28</v>
      </c>
      <c r="P21" s="248">
        <f>'PUSK ( RUMUS )'!R38+'PUSK ( RUMUS )'!R39</f>
        <v>102</v>
      </c>
      <c r="Q21" s="248">
        <f>'PUSK ( RUMUS )'!U38+'PUSK ( RUMUS )'!U39</f>
        <v>0</v>
      </c>
      <c r="R21" s="248">
        <f>'PUSK ( RUMUS )'!V38+'PUSK ( RUMUS )'!V39</f>
        <v>2</v>
      </c>
      <c r="S21" s="248">
        <f>'PUSK ( RUMUS )'!W38+'PUSK ( RUMUS )'!W39</f>
        <v>23</v>
      </c>
      <c r="T21" s="248">
        <f>'PUSK ( RUMUS )'!X38+'PUSK ( RUMUS )'!X39</f>
        <v>77</v>
      </c>
      <c r="U21" s="248">
        <f>'PUSK ( RUMUS )'!Y38+'PUSK ( RUMUS )'!Y39</f>
        <v>12</v>
      </c>
      <c r="V21" s="248">
        <f>'PUSK ( RUMUS )'!Z38+'PUSK ( RUMUS )'!Z39</f>
        <v>5</v>
      </c>
      <c r="W21" s="248">
        <f>'PUSK ( RUMUS )'!AA38+'PUSK ( RUMUS )'!AA39</f>
        <v>78</v>
      </c>
      <c r="X21" s="248">
        <f>'PUSK ( RUMUS )'!AB38+'PUSK ( RUMUS )'!AB39</f>
        <v>85</v>
      </c>
      <c r="Y21" s="248">
        <f>'PUSK ( RUMUS )'!AE38+'PUSK ( RUMUS )'!AE39</f>
        <v>0</v>
      </c>
      <c r="Z21" s="248">
        <f>'PUSK ( RUMUS )'!AF38+'PUSK ( RUMUS )'!AF39</f>
        <v>2</v>
      </c>
      <c r="AA21" s="248">
        <f>'PUSK ( RUMUS )'!AG38+'PUSK ( RUMUS )'!AG39</f>
        <v>13</v>
      </c>
      <c r="AB21" s="248">
        <f>'PUSK ( RUMUS )'!AH38+'PUSK ( RUMUS )'!AH39</f>
        <v>70</v>
      </c>
      <c r="AC21" s="248">
        <f>'PUSK ( RUMUS )'!AI38+'PUSK ( RUMUS )'!AI39</f>
        <v>10</v>
      </c>
      <c r="AD21" s="248">
        <f>'PUSK ( RUMUS )'!AJ38+'PUSK ( RUMUS )'!AJ39</f>
        <v>14</v>
      </c>
      <c r="AE21" s="248">
        <f>'PUSK ( RUMUS )'!AK38+'PUSK ( RUMUS )'!AK39</f>
        <v>61</v>
      </c>
      <c r="AF21" s="248">
        <f>'PUSK ( RUMUS )'!AL38+'PUSK ( RUMUS )'!AL39</f>
        <v>73</v>
      </c>
      <c r="AG21" s="248">
        <f>'PUSK ( RUMUS )'!AO38+'PUSK ( RUMUS )'!AO39</f>
        <v>0</v>
      </c>
      <c r="AH21" s="248">
        <f>'PUSK ( RUMUS )'!AP38+'PUSK ( RUMUS )'!AP39</f>
        <v>1</v>
      </c>
      <c r="AI21" s="248">
        <f>'PUSK ( RUMUS )'!AQ38+'PUSK ( RUMUS )'!AQ39</f>
        <v>20</v>
      </c>
      <c r="AJ21" s="248">
        <f>'PUSK ( RUMUS )'!AR38+'PUSK ( RUMUS )'!AR39</f>
        <v>52</v>
      </c>
      <c r="AK21" s="248">
        <f>'PUSK ( RUMUS )'!AS38+'PUSK ( RUMUS )'!AS39</f>
        <v>11</v>
      </c>
      <c r="AL21" s="248">
        <f>'PUSK ( RUMUS )'!AT38+'PUSK ( RUMUS )'!AT39</f>
        <v>14</v>
      </c>
      <c r="AM21" s="248">
        <f>'PUSK ( RUMUS )'!AU38+'PUSK ( RUMUS )'!AU39</f>
        <v>48</v>
      </c>
      <c r="AN21" s="248">
        <f>'PUSK ( RUMUS )'!AV38+'PUSK ( RUMUS )'!AV39</f>
        <v>107</v>
      </c>
      <c r="AO21" s="248">
        <f>'PUSK ( RUMUS )'!AY38+'PUSK ( RUMUS )'!AY39</f>
        <v>0</v>
      </c>
      <c r="AP21" s="248">
        <f>'PUSK ( RUMUS )'!AZ38+'PUSK ( RUMUS )'!AZ39</f>
        <v>2</v>
      </c>
      <c r="AQ21" s="248">
        <f>'PUSK ( RUMUS )'!BA38+'PUSK ( RUMUS )'!BA39</f>
        <v>18</v>
      </c>
      <c r="AR21" s="248">
        <f>'PUSK ( RUMUS )'!BB38+'PUSK ( RUMUS )'!BB39</f>
        <v>87</v>
      </c>
      <c r="AS21" s="248">
        <f>'PUSK ( RUMUS )'!BC38+'PUSK ( RUMUS )'!BC39</f>
        <v>27</v>
      </c>
      <c r="AT21" s="248">
        <f>'PUSK ( RUMUS )'!BD38+'PUSK ( RUMUS )'!BD39</f>
        <v>7</v>
      </c>
      <c r="AU21" s="248">
        <f>'PUSK ( RUMUS )'!BE38+'PUSK ( RUMUS )'!BE39</f>
        <v>73</v>
      </c>
      <c r="AV21" s="248">
        <f>'PUSK ( RUMUS )'!BF38+'PUSK ( RUMUS )'!BF39</f>
        <v>5479</v>
      </c>
      <c r="AW21" s="248">
        <f>'PUSK ( RUMUS )'!BG38+'PUSK ( RUMUS )'!BG39</f>
        <v>106</v>
      </c>
      <c r="AX21" s="248">
        <f>'PUSK ( RUMUS )'!BJ38+'PUSK ( RUMUS )'!BJ39</f>
        <v>0</v>
      </c>
      <c r="AY21" s="248">
        <f>'PUSK ( RUMUS )'!BK38+'PUSK ( RUMUS )'!BK39</f>
        <v>1</v>
      </c>
      <c r="AZ21" s="248">
        <f>'PUSK ( RUMUS )'!BL38+'PUSK ( RUMUS )'!BL39</f>
        <v>4</v>
      </c>
      <c r="BA21" s="248">
        <f>'PUSK ( RUMUS )'!BM38+'PUSK ( RUMUS )'!BM39</f>
        <v>83</v>
      </c>
      <c r="BB21" s="248">
        <f>'PUSK ( RUMUS )'!BN38+'PUSK ( RUMUS )'!BN39</f>
        <v>2</v>
      </c>
      <c r="BC21" s="248">
        <f>'PUSK ( RUMUS )'!BO38+'PUSK ( RUMUS )'!BO39</f>
        <v>2</v>
      </c>
      <c r="BD21" s="248">
        <f>'PUSK ( RUMUS )'!BP38+'PUSK ( RUMUS )'!BP39</f>
        <v>3</v>
      </c>
      <c r="BE21" s="248">
        <f>'PUSK ( RUMUS )'!BQ38+'PUSK ( RUMUS )'!BQ39</f>
        <v>11</v>
      </c>
      <c r="BF21" s="248">
        <f>'PUSK ( RUMUS )'!BR38+'PUSK ( RUMUS )'!BR39</f>
        <v>0</v>
      </c>
      <c r="BG21" s="248">
        <f>'PUSK ( RUMUS )'!BS38+'PUSK ( RUMUS )'!BS39</f>
        <v>1</v>
      </c>
      <c r="BH21" s="248">
        <f>'PUSK ( RUMUS )'!BT38+'PUSK ( RUMUS )'!BT39</f>
        <v>3</v>
      </c>
      <c r="BI21" s="248">
        <f>'PUSK ( RUMUS )'!BU38+'PUSK ( RUMUS )'!BU39</f>
        <v>8</v>
      </c>
      <c r="BJ21" s="248">
        <f>'PUSK ( RUMUS )'!BV38+'PUSK ( RUMUS )'!BV39</f>
        <v>0</v>
      </c>
      <c r="BK21" s="248">
        <f>'PUSK ( RUMUS )'!BW38+'PUSK ( RUMUS )'!BW39</f>
        <v>0</v>
      </c>
      <c r="BL21" s="248">
        <f>'PUSK ( RUMUS )'!BX38+'PUSK ( RUMUS )'!BX39</f>
        <v>0</v>
      </c>
      <c r="BM21" s="248">
        <f>'PUSK ( RUMUS )'!BY38+'PUSK ( RUMUS )'!BY39</f>
        <v>0</v>
      </c>
      <c r="BN21" s="248">
        <f>'PUSK ( RUMUS )'!BZ38+'PUSK ( RUMUS )'!BZ39</f>
        <v>1</v>
      </c>
      <c r="BO21" s="248">
        <f>'PUSK ( RUMUS )'!CA38+'PUSK ( RUMUS )'!CA39</f>
        <v>0</v>
      </c>
      <c r="BP21" s="248">
        <f>'PUSK ( RUMUS )'!CB38+'PUSK ( RUMUS )'!CB39</f>
        <v>13</v>
      </c>
      <c r="BQ21" s="248">
        <f>'PUSK ( RUMUS )'!CC38+'PUSK ( RUMUS )'!CC39</f>
        <v>5491</v>
      </c>
      <c r="BR21" s="248">
        <f>'PUSK ( RUMUS )'!CD38+'PUSK ( RUMUS )'!CD39</f>
        <v>101</v>
      </c>
      <c r="BS21" s="248">
        <f>'PUSK ( RUMUS )'!CG38+'PUSK ( RUMUS )'!CG39</f>
        <v>0</v>
      </c>
      <c r="BT21" s="248">
        <f>'PUSK ( RUMUS )'!CH38+'PUSK ( RUMUS )'!CH39</f>
        <v>4</v>
      </c>
      <c r="BU21" s="248">
        <f>'PUSK ( RUMUS )'!CI38+'PUSK ( RUMUS )'!CI39</f>
        <v>5</v>
      </c>
      <c r="BV21" s="248">
        <f>'PUSK ( RUMUS )'!CJ38+'PUSK ( RUMUS )'!CJ39</f>
        <v>88</v>
      </c>
      <c r="BW21" s="248">
        <f>'PUSK ( RUMUS )'!CK38+'PUSK ( RUMUS )'!CK39</f>
        <v>0</v>
      </c>
      <c r="BX21" s="248">
        <f>'PUSK ( RUMUS )'!CL38+'PUSK ( RUMUS )'!CL39</f>
        <v>0</v>
      </c>
      <c r="BY21" s="248">
        <f>'PUSK ( RUMUS )'!CM38+'PUSK ( RUMUS )'!CM39</f>
        <v>2</v>
      </c>
      <c r="BZ21" s="248">
        <f>'PUSK ( RUMUS )'!CN38+'PUSK ( RUMUS )'!CN39</f>
        <v>2</v>
      </c>
      <c r="CA21" s="248">
        <f>'PUSK ( RUMUS )'!CO38+'PUSK ( RUMUS )'!CO39</f>
        <v>0</v>
      </c>
      <c r="CB21" s="248">
        <f>'PUSK ( RUMUS )'!CP38+'PUSK ( RUMUS )'!CP39</f>
        <v>1</v>
      </c>
      <c r="CC21" s="248">
        <f>'PUSK ( RUMUS )'!CQ38+'PUSK ( RUMUS )'!CQ39</f>
        <v>2</v>
      </c>
      <c r="CD21" s="248">
        <f>'PUSK ( RUMUS )'!CR38+'PUSK ( RUMUS )'!CR39</f>
        <v>4</v>
      </c>
      <c r="CE21" s="248">
        <f>'PUSK ( RUMUS )'!CS38+'PUSK ( RUMUS )'!CS39</f>
        <v>0</v>
      </c>
      <c r="CF21" s="248">
        <f>'PUSK ( RUMUS )'!CT38+'PUSK ( RUMUS )'!CT39</f>
        <v>0</v>
      </c>
      <c r="CG21" s="248">
        <f>'PUSK ( RUMUS )'!CU38+'PUSK ( RUMUS )'!CU39</f>
        <v>0</v>
      </c>
      <c r="CH21" s="248">
        <f>'PUSK ( RUMUS )'!CV38+'PUSK ( RUMUS )'!CV39</f>
        <v>0</v>
      </c>
      <c r="CI21" s="248">
        <f>'PUSK ( RUMUS )'!CW38+'PUSK ( RUMUS )'!CW39</f>
        <v>1</v>
      </c>
      <c r="CJ21" s="248">
        <f>'PUSK ( RUMUS )'!CX38+'PUSK ( RUMUS )'!CX39</f>
        <v>0</v>
      </c>
      <c r="CK21" s="248">
        <f>'PUSK ( RUMUS )'!CY38+'PUSK ( RUMUS )'!CY39</f>
        <v>8</v>
      </c>
      <c r="CL21" s="248">
        <f>'PUSK ( RUMUS )'!CZ38+'PUSK ( RUMUS )'!CZ39</f>
        <v>5703</v>
      </c>
      <c r="CM21" s="248">
        <f>'PUSK ( RUMUS )'!DA38+'PUSK ( RUMUS )'!DA39</f>
        <v>1809</v>
      </c>
      <c r="CN21" s="248">
        <f>'PUSK ( RUMUS )'!DB38+'PUSK ( RUMUS )'!DB39</f>
        <v>96</v>
      </c>
      <c r="CO21" s="248">
        <f>'PUSK ( RUMUS )'!DE38+'PUSK ( RUMUS )'!DE39</f>
        <v>0</v>
      </c>
      <c r="CP21" s="248">
        <f>'PUSK ( RUMUS )'!DF38+'PUSK ( RUMUS )'!DF39</f>
        <v>3</v>
      </c>
      <c r="CQ21" s="248">
        <f>'PUSK ( RUMUS )'!DG38+'PUSK ( RUMUS )'!DG39</f>
        <v>4</v>
      </c>
      <c r="CR21" s="248">
        <f>'PUSK ( RUMUS )'!DH38+'PUSK ( RUMUS )'!DH39</f>
        <v>79</v>
      </c>
      <c r="CS21" s="248">
        <f>'PUSK ( RUMUS )'!DI38+'PUSK ( RUMUS )'!DI39</f>
        <v>0</v>
      </c>
      <c r="CT21" s="248">
        <f>'PUSK ( RUMUS )'!DJ38+'PUSK ( RUMUS )'!DJ39</f>
        <v>0</v>
      </c>
      <c r="CU21" s="248">
        <f>'PUSK ( RUMUS )'!DK38+'PUSK ( RUMUS )'!DK39</f>
        <v>3</v>
      </c>
      <c r="CV21" s="248">
        <f>'PUSK ( RUMUS )'!DL38+'PUSK ( RUMUS )'!DL39</f>
        <v>7</v>
      </c>
      <c r="CW21" s="248">
        <f>'PUSK ( RUMUS )'!DM38+'PUSK ( RUMUS )'!DM39</f>
        <v>0</v>
      </c>
      <c r="CX21" s="248">
        <f>'PUSK ( RUMUS )'!DN38+'PUSK ( RUMUS )'!DN39</f>
        <v>1</v>
      </c>
      <c r="CY21" s="248">
        <f>'PUSK ( RUMUS )'!DO38+'PUSK ( RUMUS )'!DO39</f>
        <v>0</v>
      </c>
      <c r="CZ21" s="248">
        <f>'PUSK ( RUMUS )'!DP38+'PUSK ( RUMUS )'!DP39</f>
        <v>8</v>
      </c>
      <c r="DA21" s="248">
        <f>'PUSK ( RUMUS )'!DQ38+'PUSK ( RUMUS )'!DQ39</f>
        <v>0</v>
      </c>
      <c r="DB21" s="248">
        <f>'PUSK ( RUMUS )'!DR38+'PUSK ( RUMUS )'!DR39</f>
        <v>0</v>
      </c>
      <c r="DC21" s="248">
        <f>'PUSK ( RUMUS )'!DS38+'PUSK ( RUMUS )'!DS39</f>
        <v>0</v>
      </c>
      <c r="DD21" s="248">
        <f>'PUSK ( RUMUS )'!DT38+'PUSK ( RUMUS )'!DT39</f>
        <v>0</v>
      </c>
      <c r="DE21" s="248">
        <f>'PUSK ( RUMUS )'!DU38+'PUSK ( RUMUS )'!DU39</f>
        <v>0</v>
      </c>
      <c r="DF21" s="248">
        <f>'PUSK ( RUMUS )'!DV38+'PUSK ( RUMUS )'!DV39</f>
        <v>0</v>
      </c>
      <c r="DG21" s="248">
        <f>'PUSK ( RUMUS )'!DW38+'PUSK ( RUMUS )'!DW39</f>
        <v>9</v>
      </c>
      <c r="DH21" s="248">
        <f>'PUSK ( RUMUS )'!DX38+'PUSK ( RUMUS )'!DX39</f>
        <v>5497</v>
      </c>
      <c r="DI21" s="248">
        <f>'PUSK ( RUMUS )'!DY38+'PUSK ( RUMUS )'!DY39</f>
        <v>1803</v>
      </c>
      <c r="DJ21" s="248">
        <f>'PUSK ( RUMUS )'!DZ38+'PUSK ( RUMUS )'!DZ39</f>
        <v>5292</v>
      </c>
      <c r="DK21" s="248">
        <f>'PUSK ( RUMUS )'!EA38+'PUSK ( RUMUS )'!EA39</f>
        <v>1626</v>
      </c>
      <c r="DL21" s="248">
        <f>'PUSK ( RUMUS )'!EB38+'PUSK ( RUMUS )'!EB39</f>
        <v>99</v>
      </c>
      <c r="DM21" s="248">
        <f>'PUSK ( RUMUS )'!EC38+'PUSK ( RUMUS )'!EC39</f>
        <v>16</v>
      </c>
      <c r="DN21" s="491">
        <f t="shared" si="1"/>
        <v>83</v>
      </c>
      <c r="DO21" s="248">
        <f>'PUSK ( RUMUS )'!EE38+'PUSK ( RUMUS )'!EE39</f>
        <v>0</v>
      </c>
      <c r="DP21" s="248">
        <f>'PUSK ( RUMUS )'!EF38+'PUSK ( RUMUS )'!EF39</f>
        <v>1</v>
      </c>
      <c r="DQ21" s="248">
        <f>'PUSK ( RUMUS )'!EG38+'PUSK ( RUMUS )'!EG39</f>
        <v>7</v>
      </c>
      <c r="DR21" s="248">
        <f>'PUSK ( RUMUS )'!EH38+'PUSK ( RUMUS )'!EH39</f>
        <v>79</v>
      </c>
      <c r="DS21" s="248">
        <f>'PUSK ( RUMUS )'!EI38+'PUSK ( RUMUS )'!EI39</f>
        <v>0</v>
      </c>
      <c r="DT21" s="248">
        <f>'PUSK ( RUMUS )'!EJ38+'PUSK ( RUMUS )'!EJ39</f>
        <v>3</v>
      </c>
      <c r="DU21" s="248">
        <f>'PUSK ( RUMUS )'!EK38+'PUSK ( RUMUS )'!EK39</f>
        <v>5</v>
      </c>
      <c r="DV21" s="248">
        <f>'PUSK ( RUMUS )'!EL38+'PUSK ( RUMUS )'!EL39</f>
        <v>4</v>
      </c>
      <c r="DW21" s="248">
        <f>'PUSK ( RUMUS )'!EM38+'PUSK ( RUMUS )'!EM39</f>
        <v>0</v>
      </c>
      <c r="DX21" s="248">
        <f>'PUSK ( RUMUS )'!EN38+'PUSK ( RUMUS )'!EN39</f>
        <v>1</v>
      </c>
      <c r="DY21" s="248">
        <f>'PUSK ( RUMUS )'!EO38+'PUSK ( RUMUS )'!EO39</f>
        <v>0</v>
      </c>
      <c r="DZ21" s="248">
        <f>'PUSK ( RUMUS )'!EP38+'PUSK ( RUMUS )'!EP39</f>
        <v>6</v>
      </c>
      <c r="EA21" s="248">
        <f>'PUSK ( RUMUS )'!EQ38+'PUSK ( RUMUS )'!EQ39</f>
        <v>0</v>
      </c>
      <c r="EB21" s="248">
        <f>'PUSK ( RUMUS )'!ER38+'PUSK ( RUMUS )'!ER39</f>
        <v>0</v>
      </c>
      <c r="EC21" s="248">
        <f>'PUSK ( RUMUS )'!ES38+'PUSK ( RUMUS )'!ES39</f>
        <v>0</v>
      </c>
      <c r="ED21" s="248">
        <f>'PUSK ( RUMUS )'!ET38+'PUSK ( RUMUS )'!ET39</f>
        <v>0</v>
      </c>
      <c r="EE21" s="248">
        <f>'PUSK ( RUMUS )'!EU38+'PUSK ( RUMUS )'!EU39</f>
        <v>2</v>
      </c>
      <c r="EF21" s="248">
        <f>'PUSK ( RUMUS )'!EV38+'PUSK ( RUMUS )'!EV39</f>
        <v>0</v>
      </c>
      <c r="EG21" s="248">
        <f>'PUSK ( RUMUS )'!EW38+'PUSK ( RUMUS )'!EW39</f>
        <v>9</v>
      </c>
      <c r="EH21" s="248">
        <f>'PUSK ( RUMUS )'!EX38+'PUSK ( RUMUS )'!EX39</f>
        <v>3</v>
      </c>
      <c r="EI21" s="248">
        <f>'PUSK ( RUMUS )'!EY38+'PUSK ( RUMUS )'!EY39</f>
        <v>5423</v>
      </c>
      <c r="EJ21" s="248">
        <f>'PUSK ( RUMUS )'!EZ38+'PUSK ( RUMUS )'!EZ39</f>
        <v>1756</v>
      </c>
      <c r="EK21" s="248">
        <f>'PUSK ( RUMUS )'!FA38+'PUSK ( RUMUS )'!FA39</f>
        <v>5133</v>
      </c>
      <c r="EL21" s="248">
        <f>'PUSK ( RUMUS )'!FB38+'PUSK ( RUMUS )'!FB39</f>
        <v>1594</v>
      </c>
      <c r="EM21" s="248">
        <f>'PUSK ( RUMUS )'!FC38+'PUSK ( RUMUS )'!FC39</f>
        <v>93</v>
      </c>
      <c r="EN21" s="248">
        <f>'PUSK ( RUMUS )'!FD38+'PUSK ( RUMUS )'!FD39</f>
        <v>13</v>
      </c>
      <c r="EO21" s="491">
        <f t="shared" si="2"/>
        <v>80</v>
      </c>
      <c r="EP21" s="248">
        <f>'PUSK ( RUMUS )'!FF38+'PUSK ( RUMUS )'!FF39</f>
        <v>0</v>
      </c>
      <c r="EQ21" s="248">
        <f>'PUSK ( RUMUS )'!FG38+'PUSK ( RUMUS )'!FG39</f>
        <v>3</v>
      </c>
      <c r="ER21" s="248">
        <f>'PUSK ( RUMUS )'!FH38+'PUSK ( RUMUS )'!FH39</f>
        <v>8</v>
      </c>
      <c r="ES21" s="248">
        <f>'PUSK ( RUMUS )'!FI38+'PUSK ( RUMUS )'!FI39</f>
        <v>75</v>
      </c>
      <c r="ET21" s="248">
        <f>'PUSK ( RUMUS )'!FJ38+'PUSK ( RUMUS )'!FJ39</f>
        <v>0</v>
      </c>
      <c r="EU21" s="248">
        <f>'PUSK ( RUMUS )'!FK38+'PUSK ( RUMUS )'!FK39</f>
        <v>0</v>
      </c>
      <c r="EV21" s="248">
        <f>'PUSK ( RUMUS )'!FL38+'PUSK ( RUMUS )'!FL39</f>
        <v>2</v>
      </c>
      <c r="EW21" s="248">
        <f>'PUSK ( RUMUS )'!FM38+'PUSK ( RUMUS )'!FM39</f>
        <v>5</v>
      </c>
      <c r="EX21" s="248">
        <f>'PUSK ( RUMUS )'!FN38+'PUSK ( RUMUS )'!FN39</f>
        <v>0</v>
      </c>
      <c r="EY21" s="248">
        <f>'PUSK ( RUMUS )'!FO38+'PUSK ( RUMUS )'!FO39</f>
        <v>0</v>
      </c>
      <c r="EZ21" s="248">
        <f>'PUSK ( RUMUS )'!FP38+'PUSK ( RUMUS )'!FP39</f>
        <v>1</v>
      </c>
      <c r="FA21" s="248">
        <f>'PUSK ( RUMUS )'!FQ38+'PUSK ( RUMUS )'!FQ39</f>
        <v>6</v>
      </c>
      <c r="FB21" s="248">
        <f>'PUSK ( RUMUS )'!FR38+'PUSK ( RUMUS )'!FR39</f>
        <v>0</v>
      </c>
      <c r="FC21" s="248">
        <f>'PUSK ( RUMUS )'!FS38+'PUSK ( RUMUS )'!FS39</f>
        <v>2</v>
      </c>
      <c r="FD21" s="248">
        <f>'PUSK ( RUMUS )'!FT38+'PUSK ( RUMUS )'!FT39</f>
        <v>0</v>
      </c>
      <c r="FE21" s="248">
        <f>'PUSK ( RUMUS )'!FU38+'PUSK ( RUMUS )'!FU39</f>
        <v>1</v>
      </c>
      <c r="FF21" s="248">
        <f>'PUSK ( RUMUS )'!FV38+'PUSK ( RUMUS )'!FV39</f>
        <v>3</v>
      </c>
      <c r="FG21" s="248">
        <f>'PUSK ( RUMUS )'!FW38+'PUSK ( RUMUS )'!FW39</f>
        <v>0</v>
      </c>
      <c r="FH21" s="248">
        <f>'PUSK ( RUMUS )'!FX38+'PUSK ( RUMUS )'!FX39</f>
        <v>13</v>
      </c>
      <c r="FI21" s="248">
        <f>'PUSK ( RUMUS )'!FY38+'PUSK ( RUMUS )'!FY39</f>
        <v>3</v>
      </c>
      <c r="FJ21" s="248">
        <f>'PUSK ( RUMUS )'!FZ38+'PUSK ( RUMUS )'!FZ39</f>
        <v>5354</v>
      </c>
      <c r="FK21" s="248">
        <f>'PUSK ( RUMUS )'!GA38+'PUSK ( RUMUS )'!GA39</f>
        <v>1720</v>
      </c>
      <c r="FL21" s="248">
        <f>'PUSK ( RUMUS )'!GB38+'PUSK ( RUMUS )'!GB39</f>
        <v>4968</v>
      </c>
      <c r="FM21" s="248">
        <f>'PUSK ( RUMUS )'!GC38+'PUSK ( RUMUS )'!GC39</f>
        <v>1575</v>
      </c>
      <c r="FN21" s="248"/>
      <c r="FO21" s="248"/>
      <c r="FP21" s="248">
        <f>'PUSK ( RUMUS )'!GG38+'PUSK ( RUMUS )'!GG39</f>
        <v>82</v>
      </c>
      <c r="FQ21" s="248">
        <f>'PUSK ( RUMUS )'!GH38+'PUSK ( RUMUS )'!GH39</f>
        <v>14</v>
      </c>
      <c r="FR21" s="491">
        <f t="shared" si="3"/>
        <v>68</v>
      </c>
      <c r="FS21" s="248">
        <f>'PUSK ( RUMUS )'!GJ38+'PUSK ( RUMUS )'!GJ39</f>
        <v>0</v>
      </c>
      <c r="FT21" s="248">
        <f>'PUSK ( RUMUS )'!GK38+'PUSK ( RUMUS )'!GK39</f>
        <v>0</v>
      </c>
      <c r="FU21" s="248">
        <f>'PUSK ( RUMUS )'!GL38+'PUSK ( RUMUS )'!GL39</f>
        <v>13</v>
      </c>
      <c r="FV21" s="248">
        <f>'PUSK ( RUMUS )'!GM38+'PUSK ( RUMUS )'!GM39</f>
        <v>67</v>
      </c>
      <c r="FW21" s="248">
        <f>'PUSK ( RUMUS )'!GN38+'PUSK ( RUMUS )'!GN39</f>
        <v>0</v>
      </c>
      <c r="FX21" s="248">
        <f>'PUSK ( RUMUS )'!GO38+'PUSK ( RUMUS )'!GO39</f>
        <v>0</v>
      </c>
      <c r="FY21" s="248">
        <f>'PUSK ( RUMUS )'!GP38+'PUSK ( RUMUS )'!GP39</f>
        <v>1</v>
      </c>
      <c r="FZ21" s="248">
        <f>'PUSK ( RUMUS )'!GQ38+'PUSK ( RUMUS )'!GQ39</f>
        <v>1</v>
      </c>
      <c r="GA21" s="248">
        <f>'PUSK ( RUMUS )'!GR38+'PUSK ( RUMUS )'!GR39</f>
        <v>0</v>
      </c>
      <c r="GB21" s="248">
        <f>'PUSK ( RUMUS )'!GS38+'PUSK ( RUMUS )'!GS39</f>
        <v>0</v>
      </c>
      <c r="GC21" s="248">
        <f>'PUSK ( RUMUS )'!GT38+'PUSK ( RUMUS )'!GT39</f>
        <v>1</v>
      </c>
      <c r="GD21" s="248">
        <f>'PUSK ( RUMUS )'!GU38+'PUSK ( RUMUS )'!GU39</f>
        <v>11</v>
      </c>
      <c r="GE21" s="248">
        <f>'PUSK ( RUMUS )'!GV38+'PUSK ( RUMUS )'!GV39</f>
        <v>0</v>
      </c>
      <c r="GF21" s="248">
        <f>'PUSK ( RUMUS )'!GW38+'PUSK ( RUMUS )'!GW39</f>
        <v>0</v>
      </c>
      <c r="GG21" s="248">
        <f>'PUSK ( RUMUS )'!GX38+'PUSK ( RUMUS )'!GX39</f>
        <v>0</v>
      </c>
      <c r="GH21" s="248">
        <f>'PUSK ( RUMUS )'!GY38+'PUSK ( RUMUS )'!GY39</f>
        <v>0</v>
      </c>
      <c r="GI21" s="248">
        <f>'PUSK ( RUMUS )'!GZ38+'PUSK ( RUMUS )'!GZ39</f>
        <v>1</v>
      </c>
      <c r="GJ21" s="248">
        <f>'PUSK ( RUMUS )'!HA38+'PUSK ( RUMUS )'!HA39</f>
        <v>0</v>
      </c>
      <c r="GK21" s="248">
        <f>'PUSK ( RUMUS )'!HB38+'PUSK ( RUMUS )'!HB39</f>
        <v>13</v>
      </c>
      <c r="GL21" s="248">
        <f>'PUSK ( RUMUS )'!HC38+'PUSK ( RUMUS )'!HC39</f>
        <v>1</v>
      </c>
      <c r="GM21" s="248">
        <f>'PUSK ( RUMUS )'!HD38+'PUSK ( RUMUS )'!HD39</f>
        <v>5290</v>
      </c>
      <c r="GN21" s="248">
        <f>'PUSK ( RUMUS )'!HE38+'PUSK ( RUMUS )'!HE39</f>
        <v>1689</v>
      </c>
      <c r="GO21" s="248">
        <f>'PUSK ( RUMUS )'!HF38+'PUSK ( RUMUS )'!HF39</f>
        <v>5025</v>
      </c>
      <c r="GP21" s="248">
        <f>'PUSK ( RUMUS )'!HG38+'PUSK ( RUMUS )'!HG39</f>
        <v>1536</v>
      </c>
      <c r="GQ21" s="248"/>
      <c r="GR21" s="248"/>
      <c r="GS21" s="248">
        <f>'PUSK ( RUMUS )'!HK38+'PUSK ( RUMUS )'!HK39</f>
        <v>84</v>
      </c>
      <c r="GT21" s="248">
        <f>'PUSK ( RUMUS )'!HL38+'PUSK ( RUMUS )'!HL39</f>
        <v>15</v>
      </c>
      <c r="GU21" s="491">
        <f t="shared" si="4"/>
        <v>69</v>
      </c>
      <c r="GV21" s="248">
        <f>'PUSK ( RUMUS )'!HN38+'PUSK ( RUMUS )'!HN39</f>
        <v>0</v>
      </c>
      <c r="GW21" s="248">
        <f>'PUSK ( RUMUS )'!HO38+'PUSK ( RUMUS )'!HO39</f>
        <v>0</v>
      </c>
      <c r="GX21" s="248">
        <f>'PUSK ( RUMUS )'!HP38+'PUSK ( RUMUS )'!HP39</f>
        <v>12</v>
      </c>
      <c r="GY21" s="248">
        <f>'PUSK ( RUMUS )'!HQ38+'PUSK ( RUMUS )'!HQ39</f>
        <v>67</v>
      </c>
      <c r="GZ21" s="248">
        <f>'PUSK ( RUMUS )'!HR38+'PUSK ( RUMUS )'!HR39</f>
        <v>0</v>
      </c>
      <c r="HA21" s="248">
        <f>'PUSK ( RUMUS )'!HS38+'PUSK ( RUMUS )'!HS39</f>
        <v>1</v>
      </c>
      <c r="HB21" s="248">
        <f>'PUSK ( RUMUS )'!HT38+'PUSK ( RUMUS )'!HT39</f>
        <v>2</v>
      </c>
      <c r="HC21" s="248">
        <f>'PUSK ( RUMUS )'!HU38+'PUSK ( RUMUS )'!HU39</f>
        <v>2</v>
      </c>
      <c r="HD21" s="248">
        <f>'PUSK ( RUMUS )'!HV38+'PUSK ( RUMUS )'!HV39</f>
        <v>0</v>
      </c>
      <c r="HE21" s="248">
        <f>'PUSK ( RUMUS )'!HW38+'PUSK ( RUMUS )'!HW39</f>
        <v>0</v>
      </c>
      <c r="HF21" s="248">
        <f>'PUSK ( RUMUS )'!HX38+'PUSK ( RUMUS )'!HX39</f>
        <v>0</v>
      </c>
      <c r="HG21" s="248">
        <f>'PUSK ( RUMUS )'!HY38+'PUSK ( RUMUS )'!HY39</f>
        <v>3</v>
      </c>
      <c r="HH21" s="248">
        <f>'PUSK ( RUMUS )'!HZ38+'PUSK ( RUMUS )'!HZ39</f>
        <v>0</v>
      </c>
      <c r="HI21" s="248">
        <f>'PUSK ( RUMUS )'!IA38+'PUSK ( RUMUS )'!IA39</f>
        <v>0</v>
      </c>
      <c r="HJ21" s="248">
        <f>'PUSK ( RUMUS )'!IB38+'PUSK ( RUMUS )'!IB39</f>
        <v>0</v>
      </c>
      <c r="HK21" s="248">
        <f>'PUSK ( RUMUS )'!IC38+'PUSK ( RUMUS )'!IC39</f>
        <v>0</v>
      </c>
      <c r="HL21" s="248">
        <f>'PUSK ( RUMUS )'!ID38+'PUSK ( RUMUS )'!ID39</f>
        <v>0</v>
      </c>
      <c r="HM21" s="248">
        <f>'PUSK ( RUMUS )'!IE38+'PUSK ( RUMUS )'!IE39</f>
        <v>0</v>
      </c>
      <c r="HN21" s="248">
        <f>'PUSK ( RUMUS )'!IF38+'PUSK ( RUMUS )'!IF39</f>
        <v>0</v>
      </c>
      <c r="HO21" s="248">
        <f>'PUSK ( RUMUS )'!IG38+'PUSK ( RUMUS )'!IG39</f>
        <v>0</v>
      </c>
      <c r="HR21" s="198">
        <f t="shared" si="5"/>
        <v>82</v>
      </c>
      <c r="HS21" s="198">
        <f t="shared" si="6"/>
        <v>102</v>
      </c>
      <c r="HT21" s="198">
        <f t="shared" si="7"/>
        <v>85</v>
      </c>
      <c r="HU21" s="198">
        <f t="shared" si="8"/>
        <v>73</v>
      </c>
      <c r="HV21" s="198">
        <f t="shared" si="9"/>
        <v>107</v>
      </c>
      <c r="HW21" s="198">
        <f t="shared" si="10"/>
        <v>106</v>
      </c>
      <c r="HX21" s="574">
        <f t="shared" si="11"/>
        <v>101</v>
      </c>
      <c r="HY21" s="574">
        <f t="shared" si="12"/>
        <v>96</v>
      </c>
      <c r="HZ21" s="634">
        <f t="shared" si="13"/>
        <v>99</v>
      </c>
      <c r="IA21" s="611">
        <f t="shared" si="14"/>
        <v>93</v>
      </c>
      <c r="IB21" s="611">
        <f t="shared" si="15"/>
        <v>82</v>
      </c>
      <c r="IC21" s="611">
        <f t="shared" si="16"/>
        <v>84</v>
      </c>
    </row>
    <row r="22" ht="14.25" customHeight="1">
      <c r="A22" s="158">
        <v>15.0</v>
      </c>
      <c r="B22" s="633" t="s">
        <v>285</v>
      </c>
      <c r="C22" s="253">
        <v>3374130.0</v>
      </c>
      <c r="D22" s="253"/>
      <c r="E22" s="253"/>
      <c r="F22" s="252">
        <f>'PUSK ( RUMUS )'!F40+'PUSK ( RUMUS )'!F41+'PUSK ( RUMUS )'!F42</f>
        <v>165</v>
      </c>
      <c r="G22" s="252">
        <f>'PUSK ( RUMUS )'!G40+'PUSK ( RUMUS )'!G41+'PUSK ( RUMUS )'!G42</f>
        <v>9707</v>
      </c>
      <c r="H22" s="603">
        <f>'PUSK ( RUMUS )'!H40+'PUSK ( RUMUS )'!H41+'PUSK ( RUMUS )'!H42</f>
        <v>122</v>
      </c>
      <c r="I22" s="248">
        <f>'PUSK ( RUMUS )'!K40+'PUSK ( RUMUS )'!K41+'PUSK ( RUMUS )'!K42</f>
        <v>14</v>
      </c>
      <c r="J22" s="248">
        <f>'PUSK ( RUMUS )'!L40+'PUSK ( RUMUS )'!L41+'PUSK ( RUMUS )'!L42</f>
        <v>12</v>
      </c>
      <c r="K22" s="248">
        <f>'PUSK ( RUMUS )'!M40+'PUSK ( RUMUS )'!M41+'PUSK ( RUMUS )'!M42</f>
        <v>40</v>
      </c>
      <c r="L22" s="248">
        <f>'PUSK ( RUMUS )'!N40+'PUSK ( RUMUS )'!N41+'PUSK ( RUMUS )'!N42</f>
        <v>56</v>
      </c>
      <c r="M22" s="248">
        <f>'PUSK ( RUMUS )'!O40+'PUSK ( RUMUS )'!O41+'PUSK ( RUMUS )'!O42</f>
        <v>6</v>
      </c>
      <c r="N22" s="248">
        <f>'PUSK ( RUMUS )'!P40+'PUSK ( RUMUS )'!P41+'PUSK ( RUMUS )'!P42</f>
        <v>0</v>
      </c>
      <c r="O22" s="248">
        <f>'PUSK ( RUMUS )'!Q40+'PUSK ( RUMUS )'!Q41+'PUSK ( RUMUS )'!Q42</f>
        <v>116</v>
      </c>
      <c r="P22" s="248">
        <f>'PUSK ( RUMUS )'!R40+'PUSK ( RUMUS )'!R41+'PUSK ( RUMUS )'!R42</f>
        <v>234</v>
      </c>
      <c r="Q22" s="248">
        <f>'PUSK ( RUMUS )'!U40+'PUSK ( RUMUS )'!U41+'PUSK ( RUMUS )'!U42</f>
        <v>16</v>
      </c>
      <c r="R22" s="248">
        <f>'PUSK ( RUMUS )'!V40+'PUSK ( RUMUS )'!V41+'PUSK ( RUMUS )'!V42</f>
        <v>22</v>
      </c>
      <c r="S22" s="248">
        <f>'PUSK ( RUMUS )'!W40+'PUSK ( RUMUS )'!W41+'PUSK ( RUMUS )'!W42</f>
        <v>59</v>
      </c>
      <c r="T22" s="248">
        <f>'PUSK ( RUMUS )'!X40+'PUSK ( RUMUS )'!X41+'PUSK ( RUMUS )'!X42</f>
        <v>137</v>
      </c>
      <c r="U22" s="248">
        <f>'PUSK ( RUMUS )'!Y40+'PUSK ( RUMUS )'!Y41+'PUSK ( RUMUS )'!Y42</f>
        <v>109</v>
      </c>
      <c r="V22" s="248">
        <f>'PUSK ( RUMUS )'!Z40+'PUSK ( RUMUS )'!Z41+'PUSK ( RUMUS )'!Z42</f>
        <v>0</v>
      </c>
      <c r="W22" s="248">
        <f>'PUSK ( RUMUS )'!AA40+'PUSK ( RUMUS )'!AA41+'PUSK ( RUMUS )'!AA42</f>
        <v>125</v>
      </c>
      <c r="X22" s="248">
        <f>'PUSK ( RUMUS )'!AB40+'PUSK ( RUMUS )'!AB41+'PUSK ( RUMUS )'!AB42</f>
        <v>191</v>
      </c>
      <c r="Y22" s="248">
        <f>'PUSK ( RUMUS )'!AE40+'PUSK ( RUMUS )'!AE41+'PUSK ( RUMUS )'!AE42</f>
        <v>16</v>
      </c>
      <c r="Z22" s="248">
        <f>'PUSK ( RUMUS )'!AF40+'PUSK ( RUMUS )'!AF41+'PUSK ( RUMUS )'!AF42</f>
        <v>14</v>
      </c>
      <c r="AA22" s="248">
        <f>'PUSK ( RUMUS )'!AG40+'PUSK ( RUMUS )'!AG41+'PUSK ( RUMUS )'!AG42</f>
        <v>50</v>
      </c>
      <c r="AB22" s="248">
        <f>'PUSK ( RUMUS )'!AH40+'PUSK ( RUMUS )'!AH41+'PUSK ( RUMUS )'!AH42</f>
        <v>111</v>
      </c>
      <c r="AC22" s="248">
        <f>'PUSK ( RUMUS )'!AI40+'PUSK ( RUMUS )'!AI41+'PUSK ( RUMUS )'!AI42</f>
        <v>0</v>
      </c>
      <c r="AD22" s="248">
        <f>'PUSK ( RUMUS )'!AJ40+'PUSK ( RUMUS )'!AJ41+'PUSK ( RUMUS )'!AJ42</f>
        <v>26</v>
      </c>
      <c r="AE22" s="248">
        <f>'PUSK ( RUMUS )'!AK40+'PUSK ( RUMUS )'!AK41+'PUSK ( RUMUS )'!AK42</f>
        <v>165</v>
      </c>
      <c r="AF22" s="248">
        <f>'PUSK ( RUMUS )'!AL40+'PUSK ( RUMUS )'!AL41+'PUSK ( RUMUS )'!AL42</f>
        <v>118</v>
      </c>
      <c r="AG22" s="248">
        <f>'PUSK ( RUMUS )'!AO40+'PUSK ( RUMUS )'!AO41+'PUSK ( RUMUS )'!AO42</f>
        <v>8</v>
      </c>
      <c r="AH22" s="248">
        <f>'PUSK ( RUMUS )'!AP40+'PUSK ( RUMUS )'!AP41+'PUSK ( RUMUS )'!AP42</f>
        <v>4</v>
      </c>
      <c r="AI22" s="248">
        <f>'PUSK ( RUMUS )'!AQ40+'PUSK ( RUMUS )'!AQ41+'PUSK ( RUMUS )'!AQ42</f>
        <v>29</v>
      </c>
      <c r="AJ22" s="248">
        <f>'PUSK ( RUMUS )'!AR40+'PUSK ( RUMUS )'!AR41+'PUSK ( RUMUS )'!AR42</f>
        <v>77</v>
      </c>
      <c r="AK22" s="248">
        <f>'PUSK ( RUMUS )'!AS40+'PUSK ( RUMUS )'!AS41+'PUSK ( RUMUS )'!AS42</f>
        <v>1</v>
      </c>
      <c r="AL22" s="248">
        <f>'PUSK ( RUMUS )'!AT40+'PUSK ( RUMUS )'!AT41+'PUSK ( RUMUS )'!AT42</f>
        <v>11</v>
      </c>
      <c r="AM22" s="248">
        <f>'PUSK ( RUMUS )'!AU40+'PUSK ( RUMUS )'!AU41+'PUSK ( RUMUS )'!AU42</f>
        <v>106</v>
      </c>
      <c r="AN22" s="248">
        <f>'PUSK ( RUMUS )'!AV40+'PUSK ( RUMUS )'!AV41+'PUSK ( RUMUS )'!AV42</f>
        <v>128</v>
      </c>
      <c r="AO22" s="248">
        <f>'PUSK ( RUMUS )'!AY40+'PUSK ( RUMUS )'!AY41+'PUSK ( RUMUS )'!AY42</f>
        <v>11</v>
      </c>
      <c r="AP22" s="248">
        <f>'PUSK ( RUMUS )'!AZ40+'PUSK ( RUMUS )'!AZ41+'PUSK ( RUMUS )'!AZ42</f>
        <v>7</v>
      </c>
      <c r="AQ22" s="248">
        <f>'PUSK ( RUMUS )'!BA40+'PUSK ( RUMUS )'!BA41+'PUSK ( RUMUS )'!BA42</f>
        <v>29</v>
      </c>
      <c r="AR22" s="248">
        <f>'PUSK ( RUMUS )'!BB40+'PUSK ( RUMUS )'!BB41+'PUSK ( RUMUS )'!BB42</f>
        <v>81</v>
      </c>
      <c r="AS22" s="248">
        <f>'PUSK ( RUMUS )'!BC40+'PUSK ( RUMUS )'!BC41+'PUSK ( RUMUS )'!BC42</f>
        <v>2</v>
      </c>
      <c r="AT22" s="248">
        <f>'PUSK ( RUMUS )'!BD40+'PUSK ( RUMUS )'!BD41+'PUSK ( RUMUS )'!BD42</f>
        <v>2</v>
      </c>
      <c r="AU22" s="248">
        <f>'PUSK ( RUMUS )'!BE40+'PUSK ( RUMUS )'!BE41+'PUSK ( RUMUS )'!BE42</f>
        <v>124</v>
      </c>
      <c r="AV22" s="248">
        <f>'PUSK ( RUMUS )'!BF40+'PUSK ( RUMUS )'!BF41+'PUSK ( RUMUS )'!BF42</f>
        <v>9424</v>
      </c>
      <c r="AW22" s="248">
        <f>'PUSK ( RUMUS )'!BG40+'PUSK ( RUMUS )'!BG41+'PUSK ( RUMUS )'!BG42</f>
        <v>143</v>
      </c>
      <c r="AX22" s="248">
        <f>'PUSK ( RUMUS )'!BJ40+'PUSK ( RUMUS )'!BJ41+'PUSK ( RUMUS )'!BJ42</f>
        <v>8</v>
      </c>
      <c r="AY22" s="248">
        <f>'PUSK ( RUMUS )'!BK40+'PUSK ( RUMUS )'!BK41+'PUSK ( RUMUS )'!BK42</f>
        <v>7</v>
      </c>
      <c r="AZ22" s="248">
        <f>'PUSK ( RUMUS )'!BL40+'PUSK ( RUMUS )'!BL41+'PUSK ( RUMUS )'!BL42</f>
        <v>29</v>
      </c>
      <c r="BA22" s="248">
        <f>'PUSK ( RUMUS )'!BM40+'PUSK ( RUMUS )'!BM41+'PUSK ( RUMUS )'!BM42</f>
        <v>84</v>
      </c>
      <c r="BB22" s="248">
        <f>'PUSK ( RUMUS )'!BN40+'PUSK ( RUMUS )'!BN41+'PUSK ( RUMUS )'!BN42</f>
        <v>1</v>
      </c>
      <c r="BC22" s="248">
        <f>'PUSK ( RUMUS )'!BO40+'PUSK ( RUMUS )'!BO41+'PUSK ( RUMUS )'!BO42</f>
        <v>2</v>
      </c>
      <c r="BD22" s="248">
        <f>'PUSK ( RUMUS )'!BP40+'PUSK ( RUMUS )'!BP41+'PUSK ( RUMUS )'!BP42</f>
        <v>5</v>
      </c>
      <c r="BE22" s="248">
        <f>'PUSK ( RUMUS )'!BQ40+'PUSK ( RUMUS )'!BQ41+'PUSK ( RUMUS )'!BQ42</f>
        <v>7</v>
      </c>
      <c r="BF22" s="248">
        <f>'PUSK ( RUMUS )'!BR40+'PUSK ( RUMUS )'!BR41+'PUSK ( RUMUS )'!BR42</f>
        <v>0</v>
      </c>
      <c r="BG22" s="248">
        <f>'PUSK ( RUMUS )'!BS40+'PUSK ( RUMUS )'!BS41+'PUSK ( RUMUS )'!BS42</f>
        <v>0</v>
      </c>
      <c r="BH22" s="248">
        <f>'PUSK ( RUMUS )'!BT40+'PUSK ( RUMUS )'!BT41+'PUSK ( RUMUS )'!BT42</f>
        <v>2</v>
      </c>
      <c r="BI22" s="248">
        <f>'PUSK ( RUMUS )'!BU40+'PUSK ( RUMUS )'!BU41+'PUSK ( RUMUS )'!BU42</f>
        <v>6</v>
      </c>
      <c r="BJ22" s="248">
        <f>'PUSK ( RUMUS )'!BV40+'PUSK ( RUMUS )'!BV41+'PUSK ( RUMUS )'!BV42</f>
        <v>0</v>
      </c>
      <c r="BK22" s="248">
        <f>'PUSK ( RUMUS )'!BW40+'PUSK ( RUMUS )'!BW41+'PUSK ( RUMUS )'!BW42</f>
        <v>0</v>
      </c>
      <c r="BL22" s="248">
        <f>'PUSK ( RUMUS )'!BX40+'PUSK ( RUMUS )'!BX41+'PUSK ( RUMUS )'!BX42</f>
        <v>0</v>
      </c>
      <c r="BM22" s="248">
        <f>'PUSK ( RUMUS )'!BY40+'PUSK ( RUMUS )'!BY41+'PUSK ( RUMUS )'!BY42</f>
        <v>0</v>
      </c>
      <c r="BN22" s="248">
        <f>'PUSK ( RUMUS )'!BZ40+'PUSK ( RUMUS )'!BZ41+'PUSK ( RUMUS )'!BZ42</f>
        <v>0</v>
      </c>
      <c r="BO22" s="248">
        <f>'PUSK ( RUMUS )'!CA40+'PUSK ( RUMUS )'!CA41+'PUSK ( RUMUS )'!CA42</f>
        <v>0</v>
      </c>
      <c r="BP22" s="248">
        <f>'PUSK ( RUMUS )'!CB40+'PUSK ( RUMUS )'!CB41+'PUSK ( RUMUS )'!CB42</f>
        <v>8</v>
      </c>
      <c r="BQ22" s="248">
        <f>'PUSK ( RUMUS )'!CC40+'PUSK ( RUMUS )'!CC41+'PUSK ( RUMUS )'!CC42</f>
        <v>9294</v>
      </c>
      <c r="BR22" s="248">
        <f>'PUSK ( RUMUS )'!CD40+'PUSK ( RUMUS )'!CD41+'PUSK ( RUMUS )'!CD42</f>
        <v>80</v>
      </c>
      <c r="BS22" s="248">
        <f>'PUSK ( RUMUS )'!CG40+'PUSK ( RUMUS )'!CG41+'PUSK ( RUMUS )'!CG42</f>
        <v>1</v>
      </c>
      <c r="BT22" s="248">
        <f>'PUSK ( RUMUS )'!CH40+'PUSK ( RUMUS )'!CH41+'PUSK ( RUMUS )'!CH42</f>
        <v>2</v>
      </c>
      <c r="BU22" s="248">
        <f>'PUSK ( RUMUS )'!CI40+'PUSK ( RUMUS )'!CI41+'PUSK ( RUMUS )'!CI42</f>
        <v>14</v>
      </c>
      <c r="BV22" s="248">
        <f>'PUSK ( RUMUS )'!CJ40+'PUSK ( RUMUS )'!CJ41+'PUSK ( RUMUS )'!CJ42</f>
        <v>61</v>
      </c>
      <c r="BW22" s="248">
        <f>'PUSK ( RUMUS )'!CK40+'PUSK ( RUMUS )'!CK41+'PUSK ( RUMUS )'!CK42</f>
        <v>0</v>
      </c>
      <c r="BX22" s="248">
        <f>'PUSK ( RUMUS )'!CL40+'PUSK ( RUMUS )'!CL41+'PUSK ( RUMUS )'!CL42</f>
        <v>0</v>
      </c>
      <c r="BY22" s="248">
        <f>'PUSK ( RUMUS )'!CM40+'PUSK ( RUMUS )'!CM41+'PUSK ( RUMUS )'!CM42</f>
        <v>1</v>
      </c>
      <c r="BZ22" s="248">
        <f>'PUSK ( RUMUS )'!CN40+'PUSK ( RUMUS )'!CN41+'PUSK ( RUMUS )'!CN42</f>
        <v>1</v>
      </c>
      <c r="CA22" s="248">
        <f>'PUSK ( RUMUS )'!CO40+'PUSK ( RUMUS )'!CO41+'PUSK ( RUMUS )'!CO42</f>
        <v>7</v>
      </c>
      <c r="CB22" s="248">
        <f>'PUSK ( RUMUS )'!CP40+'PUSK ( RUMUS )'!CP41+'PUSK ( RUMUS )'!CP42</f>
        <v>4</v>
      </c>
      <c r="CC22" s="248">
        <f>'PUSK ( RUMUS )'!CQ40+'PUSK ( RUMUS )'!CQ41+'PUSK ( RUMUS )'!CQ42</f>
        <v>13</v>
      </c>
      <c r="CD22" s="248">
        <f>'PUSK ( RUMUS )'!CR40+'PUSK ( RUMUS )'!CR41+'PUSK ( RUMUS )'!CR42</f>
        <v>24</v>
      </c>
      <c r="CE22" s="248">
        <f>'PUSK ( RUMUS )'!CS40+'PUSK ( RUMUS )'!CS41+'PUSK ( RUMUS )'!CS42</f>
        <v>0</v>
      </c>
      <c r="CF22" s="248">
        <f>'PUSK ( RUMUS )'!CT40+'PUSK ( RUMUS )'!CT41+'PUSK ( RUMUS )'!CT42</f>
        <v>1</v>
      </c>
      <c r="CG22" s="248">
        <f>'PUSK ( RUMUS )'!CU40+'PUSK ( RUMUS )'!CU41+'PUSK ( RUMUS )'!CU42</f>
        <v>3</v>
      </c>
      <c r="CH22" s="248">
        <f>'PUSK ( RUMUS )'!CV40+'PUSK ( RUMUS )'!CV41+'PUSK ( RUMUS )'!CV42</f>
        <v>3</v>
      </c>
      <c r="CI22" s="248">
        <f>'PUSK ( RUMUS )'!CW40+'PUSK ( RUMUS )'!CW41+'PUSK ( RUMUS )'!CW42</f>
        <v>0</v>
      </c>
      <c r="CJ22" s="248">
        <f>'PUSK ( RUMUS )'!CX40+'PUSK ( RUMUS )'!CX41+'PUSK ( RUMUS )'!CX42</f>
        <v>0</v>
      </c>
      <c r="CK22" s="248">
        <f>'PUSK ( RUMUS )'!CY40+'PUSK ( RUMUS )'!CY41+'PUSK ( RUMUS )'!CY42</f>
        <v>56</v>
      </c>
      <c r="CL22" s="248">
        <f>'PUSK ( RUMUS )'!CZ40+'PUSK ( RUMUS )'!CZ41+'PUSK ( RUMUS )'!CZ42</f>
        <v>9345</v>
      </c>
      <c r="CM22" s="248">
        <f>'PUSK ( RUMUS )'!DA40+'PUSK ( RUMUS )'!DA41+'PUSK ( RUMUS )'!DA42</f>
        <v>3431</v>
      </c>
      <c r="CN22" s="248">
        <f>'PUSK ( RUMUS )'!DB40+'PUSK ( RUMUS )'!DB41+'PUSK ( RUMUS )'!DB42</f>
        <v>106</v>
      </c>
      <c r="CO22" s="248">
        <f>'PUSK ( RUMUS )'!DE40+'PUSK ( RUMUS )'!DE41+'PUSK ( RUMUS )'!DE42</f>
        <v>1</v>
      </c>
      <c r="CP22" s="248">
        <f>'PUSK ( RUMUS )'!DF40+'PUSK ( RUMUS )'!DF41+'PUSK ( RUMUS )'!DF42</f>
        <v>1</v>
      </c>
      <c r="CQ22" s="248">
        <f>'PUSK ( RUMUS )'!DG40+'PUSK ( RUMUS )'!DG41+'PUSK ( RUMUS )'!DG42</f>
        <v>16</v>
      </c>
      <c r="CR22" s="248">
        <f>'PUSK ( RUMUS )'!DH40+'PUSK ( RUMUS )'!DH41+'PUSK ( RUMUS )'!DH42</f>
        <v>61</v>
      </c>
      <c r="CS22" s="248">
        <f>'PUSK ( RUMUS )'!DI40+'PUSK ( RUMUS )'!DI41+'PUSK ( RUMUS )'!DI42</f>
        <v>4</v>
      </c>
      <c r="CT22" s="248">
        <f>'PUSK ( RUMUS )'!DJ40+'PUSK ( RUMUS )'!DJ41+'PUSK ( RUMUS )'!DJ42</f>
        <v>2</v>
      </c>
      <c r="CU22" s="248">
        <f>'PUSK ( RUMUS )'!DK40+'PUSK ( RUMUS )'!DK41+'PUSK ( RUMUS )'!DK42</f>
        <v>9</v>
      </c>
      <c r="CV22" s="248">
        <f>'PUSK ( RUMUS )'!DL40+'PUSK ( RUMUS )'!DL41+'PUSK ( RUMUS )'!DL42</f>
        <v>12</v>
      </c>
      <c r="CW22" s="248">
        <f>'PUSK ( RUMUS )'!DM40+'PUSK ( RUMUS )'!DM41+'PUSK ( RUMUS )'!DM42</f>
        <v>0</v>
      </c>
      <c r="CX22" s="248">
        <f>'PUSK ( RUMUS )'!DN40+'PUSK ( RUMUS )'!DN41+'PUSK ( RUMUS )'!DN42</f>
        <v>0</v>
      </c>
      <c r="CY22" s="248">
        <f>'PUSK ( RUMUS )'!DO40+'PUSK ( RUMUS )'!DO41+'PUSK ( RUMUS )'!DO42</f>
        <v>0</v>
      </c>
      <c r="CZ22" s="248">
        <f>'PUSK ( RUMUS )'!DP40+'PUSK ( RUMUS )'!DP41+'PUSK ( RUMUS )'!DP42</f>
        <v>0</v>
      </c>
      <c r="DA22" s="248">
        <f>'PUSK ( RUMUS )'!DQ40+'PUSK ( RUMUS )'!DQ41+'PUSK ( RUMUS )'!DQ42</f>
        <v>0</v>
      </c>
      <c r="DB22" s="248">
        <f>'PUSK ( RUMUS )'!DR40+'PUSK ( RUMUS )'!DR41+'PUSK ( RUMUS )'!DR42</f>
        <v>0</v>
      </c>
      <c r="DC22" s="248">
        <f>'PUSK ( RUMUS )'!DS40+'PUSK ( RUMUS )'!DS41+'PUSK ( RUMUS )'!DS42</f>
        <v>0</v>
      </c>
      <c r="DD22" s="248">
        <f>'PUSK ( RUMUS )'!DT40+'PUSK ( RUMUS )'!DT41+'PUSK ( RUMUS )'!DT42</f>
        <v>0</v>
      </c>
      <c r="DE22" s="248">
        <f>'PUSK ( RUMUS )'!DU40+'PUSK ( RUMUS )'!DU41+'PUSK ( RUMUS )'!DU42</f>
        <v>0</v>
      </c>
      <c r="DF22" s="248">
        <f>'PUSK ( RUMUS )'!DV40+'PUSK ( RUMUS )'!DV41+'PUSK ( RUMUS )'!DV42</f>
        <v>1</v>
      </c>
      <c r="DG22" s="248">
        <f>'PUSK ( RUMUS )'!DW40+'PUSK ( RUMUS )'!DW41+'PUSK ( RUMUS )'!DW42</f>
        <v>1</v>
      </c>
      <c r="DH22" s="248">
        <f>'PUSK ( RUMUS )'!DX40+'PUSK ( RUMUS )'!DX41+'PUSK ( RUMUS )'!DX42</f>
        <v>8549</v>
      </c>
      <c r="DI22" s="248">
        <f>'PUSK ( RUMUS )'!DY40+'PUSK ( RUMUS )'!DY41+'PUSK ( RUMUS )'!DY42</f>
        <v>2585</v>
      </c>
      <c r="DJ22" s="248">
        <f>'PUSK ( RUMUS )'!DZ40+'PUSK ( RUMUS )'!DZ41+'PUSK ( RUMUS )'!DZ42</f>
        <v>8549</v>
      </c>
      <c r="DK22" s="248">
        <f>'PUSK ( RUMUS )'!EA40+'PUSK ( RUMUS )'!EA41+'PUSK ( RUMUS )'!EA42</f>
        <v>2585</v>
      </c>
      <c r="DL22" s="248">
        <f>'PUSK ( RUMUS )'!EB40+'PUSK ( RUMUS )'!EB41+'PUSK ( RUMUS )'!EB42</f>
        <v>126</v>
      </c>
      <c r="DM22" s="248">
        <f>'PUSK ( RUMUS )'!EC40+'PUSK ( RUMUS )'!EC41+'PUSK ( RUMUS )'!EC42</f>
        <v>42</v>
      </c>
      <c r="DN22" s="491">
        <f t="shared" si="1"/>
        <v>84</v>
      </c>
      <c r="DO22" s="248">
        <f>'PUSK ( RUMUS )'!EE40+'PUSK ( RUMUS )'!EE41+'PUSK ( RUMUS )'!EE42</f>
        <v>1</v>
      </c>
      <c r="DP22" s="248">
        <f>'PUSK ( RUMUS )'!EF40+'PUSK ( RUMUS )'!EF41+'PUSK ( RUMUS )'!EF42</f>
        <v>7</v>
      </c>
      <c r="DQ22" s="248">
        <f>'PUSK ( RUMUS )'!EG40+'PUSK ( RUMUS )'!EG41+'PUSK ( RUMUS )'!EG42</f>
        <v>28</v>
      </c>
      <c r="DR22" s="248">
        <f>'PUSK ( RUMUS )'!EH40+'PUSK ( RUMUS )'!EH41+'PUSK ( RUMUS )'!EH42</f>
        <v>72</v>
      </c>
      <c r="DS22" s="248">
        <f>'PUSK ( RUMUS )'!EI40+'PUSK ( RUMUS )'!EI41+'PUSK ( RUMUS )'!EI42</f>
        <v>0</v>
      </c>
      <c r="DT22" s="248">
        <f>'PUSK ( RUMUS )'!EJ40+'PUSK ( RUMUS )'!EJ41+'PUSK ( RUMUS )'!EJ42</f>
        <v>0</v>
      </c>
      <c r="DU22" s="248">
        <f>'PUSK ( RUMUS )'!EK40+'PUSK ( RUMUS )'!EK41+'PUSK ( RUMUS )'!EK42</f>
        <v>6</v>
      </c>
      <c r="DV22" s="248">
        <f>'PUSK ( RUMUS )'!EL40+'PUSK ( RUMUS )'!EL41+'PUSK ( RUMUS )'!EL42</f>
        <v>12</v>
      </c>
      <c r="DW22" s="248">
        <f>'PUSK ( RUMUS )'!EM40+'PUSK ( RUMUS )'!EM41+'PUSK ( RUMUS )'!EM42</f>
        <v>0</v>
      </c>
      <c r="DX22" s="248">
        <f>'PUSK ( RUMUS )'!EN40+'PUSK ( RUMUS )'!EN41+'PUSK ( RUMUS )'!EN42</f>
        <v>0</v>
      </c>
      <c r="DY22" s="248">
        <f>'PUSK ( RUMUS )'!EO40+'PUSK ( RUMUS )'!EO41+'PUSK ( RUMUS )'!EO42</f>
        <v>0</v>
      </c>
      <c r="DZ22" s="248">
        <f>'PUSK ( RUMUS )'!EP40+'PUSK ( RUMUS )'!EP41+'PUSK ( RUMUS )'!EP42</f>
        <v>1</v>
      </c>
      <c r="EA22" s="248">
        <f>'PUSK ( RUMUS )'!EQ40+'PUSK ( RUMUS )'!EQ41+'PUSK ( RUMUS )'!EQ42</f>
        <v>0</v>
      </c>
      <c r="EB22" s="248">
        <f>'PUSK ( RUMUS )'!ER40+'PUSK ( RUMUS )'!ER41+'PUSK ( RUMUS )'!ER42</f>
        <v>0</v>
      </c>
      <c r="EC22" s="248">
        <f>'PUSK ( RUMUS )'!ES40+'PUSK ( RUMUS )'!ES41+'PUSK ( RUMUS )'!ES42</f>
        <v>0</v>
      </c>
      <c r="ED22" s="248">
        <f>'PUSK ( RUMUS )'!ET40+'PUSK ( RUMUS )'!ET41+'PUSK ( RUMUS )'!ET42</f>
        <v>0</v>
      </c>
      <c r="EE22" s="248">
        <f>'PUSK ( RUMUS )'!EU40+'PUSK ( RUMUS )'!EU41+'PUSK ( RUMUS )'!EU42</f>
        <v>2</v>
      </c>
      <c r="EF22" s="248">
        <f>'PUSK ( RUMUS )'!EV40+'PUSK ( RUMUS )'!EV41+'PUSK ( RUMUS )'!EV42</f>
        <v>0</v>
      </c>
      <c r="EG22" s="248">
        <f>'PUSK ( RUMUS )'!EW40+'PUSK ( RUMUS )'!EW41+'PUSK ( RUMUS )'!EW42</f>
        <v>3</v>
      </c>
      <c r="EH22" s="248">
        <f>'PUSK ( RUMUS )'!EX40+'PUSK ( RUMUS )'!EX41+'PUSK ( RUMUS )'!EX42</f>
        <v>2</v>
      </c>
      <c r="EI22" s="248">
        <f>'PUSK ( RUMUS )'!EY40+'PUSK ( RUMUS )'!EY41+'PUSK ( RUMUS )'!EY42</f>
        <v>8493</v>
      </c>
      <c r="EJ22" s="248">
        <f>'PUSK ( RUMUS )'!EZ40+'PUSK ( RUMUS )'!EZ41+'PUSK ( RUMUS )'!EZ42</f>
        <v>2630</v>
      </c>
      <c r="EK22" s="248">
        <f>'PUSK ( RUMUS )'!FA40+'PUSK ( RUMUS )'!FA41+'PUSK ( RUMUS )'!FA42</f>
        <v>8493</v>
      </c>
      <c r="EL22" s="248">
        <f>'PUSK ( RUMUS )'!FB40+'PUSK ( RUMUS )'!FB41+'PUSK ( RUMUS )'!FB42</f>
        <v>2630</v>
      </c>
      <c r="EM22" s="248">
        <f>'PUSK ( RUMUS )'!FC40+'PUSK ( RUMUS )'!FC41+'PUSK ( RUMUS )'!FC42</f>
        <v>125</v>
      </c>
      <c r="EN22" s="248">
        <f>'PUSK ( RUMUS )'!FD40+'PUSK ( RUMUS )'!FD41+'PUSK ( RUMUS )'!FD42</f>
        <v>33</v>
      </c>
      <c r="EO22" s="491">
        <f t="shared" si="2"/>
        <v>92</v>
      </c>
      <c r="EP22" s="248">
        <f>'PUSK ( RUMUS )'!FF40+'PUSK ( RUMUS )'!FF41+'PUSK ( RUMUS )'!FF42</f>
        <v>0</v>
      </c>
      <c r="EQ22" s="248">
        <f>'PUSK ( RUMUS )'!FG40+'PUSK ( RUMUS )'!FG41+'PUSK ( RUMUS )'!FG42</f>
        <v>4</v>
      </c>
      <c r="ER22" s="248">
        <f>'PUSK ( RUMUS )'!FH40+'PUSK ( RUMUS )'!FH41+'PUSK ( RUMUS )'!FH42</f>
        <v>25</v>
      </c>
      <c r="ES22" s="248">
        <f>'PUSK ( RUMUS )'!FI40+'PUSK ( RUMUS )'!FI41+'PUSK ( RUMUS )'!FI42</f>
        <v>77</v>
      </c>
      <c r="ET22" s="248">
        <f>'PUSK ( RUMUS )'!FJ40+'PUSK ( RUMUS )'!FJ41+'PUSK ( RUMUS )'!FJ42</f>
        <v>0</v>
      </c>
      <c r="EU22" s="248">
        <f>'PUSK ( RUMUS )'!FK40+'PUSK ( RUMUS )'!FK41+'PUSK ( RUMUS )'!FK42</f>
        <v>0</v>
      </c>
      <c r="EV22" s="248">
        <f>'PUSK ( RUMUS )'!FL40+'PUSK ( RUMUS )'!FL41+'PUSK ( RUMUS )'!FL42</f>
        <v>4</v>
      </c>
      <c r="EW22" s="248">
        <f>'PUSK ( RUMUS )'!FM40+'PUSK ( RUMUS )'!FM41+'PUSK ( RUMUS )'!FM42</f>
        <v>15</v>
      </c>
      <c r="EX22" s="248">
        <f>'PUSK ( RUMUS )'!FN40+'PUSK ( RUMUS )'!FN41+'PUSK ( RUMUS )'!FN42</f>
        <v>0</v>
      </c>
      <c r="EY22" s="248">
        <f>'PUSK ( RUMUS )'!FO40+'PUSK ( RUMUS )'!FO41+'PUSK ( RUMUS )'!FO42</f>
        <v>0</v>
      </c>
      <c r="EZ22" s="248">
        <f>'PUSK ( RUMUS )'!FP40+'PUSK ( RUMUS )'!FP41+'PUSK ( RUMUS )'!FP42</f>
        <v>2</v>
      </c>
      <c r="FA22" s="248">
        <f>'PUSK ( RUMUS )'!FQ40+'PUSK ( RUMUS )'!FQ41+'PUSK ( RUMUS )'!FQ42</f>
        <v>8</v>
      </c>
      <c r="FB22" s="248">
        <f>'PUSK ( RUMUS )'!FR40+'PUSK ( RUMUS )'!FR41+'PUSK ( RUMUS )'!FR42</f>
        <v>0</v>
      </c>
      <c r="FC22" s="248">
        <f>'PUSK ( RUMUS )'!FS40+'PUSK ( RUMUS )'!FS41+'PUSK ( RUMUS )'!FS42</f>
        <v>1</v>
      </c>
      <c r="FD22" s="248">
        <f>'PUSK ( RUMUS )'!FT40+'PUSK ( RUMUS )'!FT41+'PUSK ( RUMUS )'!FT42</f>
        <v>0</v>
      </c>
      <c r="FE22" s="248">
        <f>'PUSK ( RUMUS )'!FU40+'PUSK ( RUMUS )'!FU41+'PUSK ( RUMUS )'!FU42</f>
        <v>0</v>
      </c>
      <c r="FF22" s="248">
        <f>'PUSK ( RUMUS )'!FV40+'PUSK ( RUMUS )'!FV41+'PUSK ( RUMUS )'!FV42</f>
        <v>0</v>
      </c>
      <c r="FG22" s="248">
        <f>'PUSK ( RUMUS )'!FW40+'PUSK ( RUMUS )'!FW41+'PUSK ( RUMUS )'!FW42</f>
        <v>0</v>
      </c>
      <c r="FH22" s="248">
        <f>'PUSK ( RUMUS )'!FX40+'PUSK ( RUMUS )'!FX41+'PUSK ( RUMUS )'!FX42</f>
        <v>11</v>
      </c>
      <c r="FI22" s="248">
        <f>'PUSK ( RUMUS )'!FY40+'PUSK ( RUMUS )'!FY41+'PUSK ( RUMUS )'!FY42</f>
        <v>3</v>
      </c>
      <c r="FJ22" s="248">
        <f>'PUSK ( RUMUS )'!FZ40+'PUSK ( RUMUS )'!FZ41+'PUSK ( RUMUS )'!FZ42</f>
        <v>8441</v>
      </c>
      <c r="FK22" s="248">
        <f>'PUSK ( RUMUS )'!GA40+'PUSK ( RUMUS )'!GA41+'PUSK ( RUMUS )'!GA42</f>
        <v>2187</v>
      </c>
      <c r="FL22" s="248">
        <f>'PUSK ( RUMUS )'!GB40+'PUSK ( RUMUS )'!GB41+'PUSK ( RUMUS )'!GB42</f>
        <v>8441</v>
      </c>
      <c r="FM22" s="248">
        <f>'PUSK ( RUMUS )'!GC40+'PUSK ( RUMUS )'!GC41+'PUSK ( RUMUS )'!GC42</f>
        <v>2187</v>
      </c>
      <c r="FN22" s="248"/>
      <c r="FO22" s="248"/>
      <c r="FP22" s="248">
        <f>'PUSK ( RUMUS )'!GG40+'PUSK ( RUMUS )'!GG41+'PUSK ( RUMUS )'!GG42</f>
        <v>125</v>
      </c>
      <c r="FQ22" s="248">
        <f>'PUSK ( RUMUS )'!GH40+'PUSK ( RUMUS )'!GH41+'PUSK ( RUMUS )'!GH42</f>
        <v>33</v>
      </c>
      <c r="FR22" s="491">
        <f t="shared" si="3"/>
        <v>92</v>
      </c>
      <c r="FS22" s="248">
        <f>'PUSK ( RUMUS )'!GJ40+'PUSK ( RUMUS )'!GJ41+'PUSK ( RUMUS )'!GJ42</f>
        <v>0</v>
      </c>
      <c r="FT22" s="248">
        <f>'PUSK ( RUMUS )'!GK40+'PUSK ( RUMUS )'!GK41+'PUSK ( RUMUS )'!GK42</f>
        <v>4</v>
      </c>
      <c r="FU22" s="248">
        <f>'PUSK ( RUMUS )'!GL40+'PUSK ( RUMUS )'!GL41+'PUSK ( RUMUS )'!GL42</f>
        <v>25</v>
      </c>
      <c r="FV22" s="248">
        <f>'PUSK ( RUMUS )'!GM40+'PUSK ( RUMUS )'!GM41+'PUSK ( RUMUS )'!GM42</f>
        <v>90</v>
      </c>
      <c r="FW22" s="248">
        <f>'PUSK ( RUMUS )'!GN40+'PUSK ( RUMUS )'!GN41+'PUSK ( RUMUS )'!GN42</f>
        <v>1</v>
      </c>
      <c r="FX22" s="248">
        <f>'PUSK ( RUMUS )'!GO40+'PUSK ( RUMUS )'!GO41+'PUSK ( RUMUS )'!GO42</f>
        <v>0</v>
      </c>
      <c r="FY22" s="248">
        <f>'PUSK ( RUMUS )'!GP40+'PUSK ( RUMUS )'!GP41+'PUSK ( RUMUS )'!GP42</f>
        <v>3</v>
      </c>
      <c r="FZ22" s="248">
        <f>'PUSK ( RUMUS )'!GQ40+'PUSK ( RUMUS )'!GQ41+'PUSK ( RUMUS )'!GQ42</f>
        <v>2</v>
      </c>
      <c r="GA22" s="248">
        <f>'PUSK ( RUMUS )'!GR40+'PUSK ( RUMUS )'!GR41+'PUSK ( RUMUS )'!GR42</f>
        <v>0</v>
      </c>
      <c r="GB22" s="248">
        <f>'PUSK ( RUMUS )'!GS40+'PUSK ( RUMUS )'!GS41+'PUSK ( RUMUS )'!GS42</f>
        <v>0</v>
      </c>
      <c r="GC22" s="248">
        <f>'PUSK ( RUMUS )'!GT40+'PUSK ( RUMUS )'!GT41+'PUSK ( RUMUS )'!GT42</f>
        <v>2</v>
      </c>
      <c r="GD22" s="248">
        <f>'PUSK ( RUMUS )'!GU40+'PUSK ( RUMUS )'!GU41+'PUSK ( RUMUS )'!GU42</f>
        <v>6</v>
      </c>
      <c r="GE22" s="248">
        <f>'PUSK ( RUMUS )'!GV40+'PUSK ( RUMUS )'!GV41+'PUSK ( RUMUS )'!GV42</f>
        <v>0</v>
      </c>
      <c r="GF22" s="248">
        <f>'PUSK ( RUMUS )'!GW40+'PUSK ( RUMUS )'!GW41+'PUSK ( RUMUS )'!GW42</f>
        <v>0</v>
      </c>
      <c r="GG22" s="248">
        <f>'PUSK ( RUMUS )'!GX40+'PUSK ( RUMUS )'!GX41+'PUSK ( RUMUS )'!GX42</f>
        <v>0</v>
      </c>
      <c r="GH22" s="248">
        <f>'PUSK ( RUMUS )'!GY40+'PUSK ( RUMUS )'!GY41+'PUSK ( RUMUS )'!GY42</f>
        <v>2</v>
      </c>
      <c r="GI22" s="248">
        <f>'PUSK ( RUMUS )'!GZ40+'PUSK ( RUMUS )'!GZ41+'PUSK ( RUMUS )'!GZ42</f>
        <v>0</v>
      </c>
      <c r="GJ22" s="248">
        <f>'PUSK ( RUMUS )'!HA40+'PUSK ( RUMUS )'!HA41+'PUSK ( RUMUS )'!HA42</f>
        <v>0</v>
      </c>
      <c r="GK22" s="248">
        <f>'PUSK ( RUMUS )'!HB40+'PUSK ( RUMUS )'!HB41+'PUSK ( RUMUS )'!HB42</f>
        <v>10</v>
      </c>
      <c r="GL22" s="248">
        <f>'PUSK ( RUMUS )'!HC40+'PUSK ( RUMUS )'!HC41+'PUSK ( RUMUS )'!HC42</f>
        <v>2</v>
      </c>
      <c r="GM22" s="248">
        <f>'PUSK ( RUMUS )'!HD40+'PUSK ( RUMUS )'!HD41+'PUSK ( RUMUS )'!HD42</f>
        <v>8391</v>
      </c>
      <c r="GN22" s="248">
        <f>'PUSK ( RUMUS )'!HE40+'PUSK ( RUMUS )'!HE41+'PUSK ( RUMUS )'!HE42</f>
        <v>2564</v>
      </c>
      <c r="GO22" s="248">
        <f>'PUSK ( RUMUS )'!HF40+'PUSK ( RUMUS )'!HF41+'PUSK ( RUMUS )'!HF42</f>
        <v>8391</v>
      </c>
      <c r="GP22" s="248">
        <f>'PUSK ( RUMUS )'!HG40+'PUSK ( RUMUS )'!HG41+'PUSK ( RUMUS )'!HG42</f>
        <v>2564</v>
      </c>
      <c r="GQ22" s="248"/>
      <c r="GR22" s="248"/>
      <c r="GS22" s="248">
        <f>'PUSK ( RUMUS )'!HK40+'PUSK ( RUMUS )'!HK41+'PUSK ( RUMUS )'!HK42</f>
        <v>132</v>
      </c>
      <c r="GT22" s="248">
        <f>'PUSK ( RUMUS )'!HL40+'PUSK ( RUMUS )'!HL41+'PUSK ( RUMUS )'!HL42</f>
        <v>30</v>
      </c>
      <c r="GU22" s="491">
        <f t="shared" si="4"/>
        <v>102</v>
      </c>
      <c r="GV22" s="248">
        <f>'PUSK ( RUMUS )'!HN40+'PUSK ( RUMUS )'!HN41+'PUSK ( RUMUS )'!HN42</f>
        <v>0</v>
      </c>
      <c r="GW22" s="248">
        <f>'PUSK ( RUMUS )'!HO40+'PUSK ( RUMUS )'!HO41+'PUSK ( RUMUS )'!HO42</f>
        <v>1</v>
      </c>
      <c r="GX22" s="248">
        <f>'PUSK ( RUMUS )'!HP40+'PUSK ( RUMUS )'!HP41+'PUSK ( RUMUS )'!HP42</f>
        <v>25</v>
      </c>
      <c r="GY22" s="248">
        <f>'PUSK ( RUMUS )'!HQ40+'PUSK ( RUMUS )'!HQ41+'PUSK ( RUMUS )'!HQ42</f>
        <v>91</v>
      </c>
      <c r="GZ22" s="248">
        <f>'PUSK ( RUMUS )'!HR40+'PUSK ( RUMUS )'!HR41+'PUSK ( RUMUS )'!HR42</f>
        <v>2</v>
      </c>
      <c r="HA22" s="248">
        <f>'PUSK ( RUMUS )'!HS40+'PUSK ( RUMUS )'!HS41+'PUSK ( RUMUS )'!HS42</f>
        <v>0</v>
      </c>
      <c r="HB22" s="248">
        <f>'PUSK ( RUMUS )'!HT40+'PUSK ( RUMUS )'!HT41+'PUSK ( RUMUS )'!HT42</f>
        <v>2</v>
      </c>
      <c r="HC22" s="248">
        <f>'PUSK ( RUMUS )'!HU40+'PUSK ( RUMUS )'!HU41+'PUSK ( RUMUS )'!HU42</f>
        <v>11</v>
      </c>
      <c r="HD22" s="248">
        <f>'PUSK ( RUMUS )'!HV40+'PUSK ( RUMUS )'!HV41+'PUSK ( RUMUS )'!HV42</f>
        <v>0</v>
      </c>
      <c r="HE22" s="248">
        <f>'PUSK ( RUMUS )'!HW40+'PUSK ( RUMUS )'!HW41+'PUSK ( RUMUS )'!HW42</f>
        <v>1</v>
      </c>
      <c r="HF22" s="248">
        <f>'PUSK ( RUMUS )'!HX40+'PUSK ( RUMUS )'!HX41+'PUSK ( RUMUS )'!HX42</f>
        <v>1</v>
      </c>
      <c r="HG22" s="248">
        <f>'PUSK ( RUMUS )'!HY40+'PUSK ( RUMUS )'!HY41+'PUSK ( RUMUS )'!HY42</f>
        <v>5</v>
      </c>
      <c r="HH22" s="248">
        <f>'PUSK ( RUMUS )'!HZ40+'PUSK ( RUMUS )'!HZ41+'PUSK ( RUMUS )'!HZ42</f>
        <v>0</v>
      </c>
      <c r="HI22" s="248">
        <f>'PUSK ( RUMUS )'!IA40+'PUSK ( RUMUS )'!IA41+'PUSK ( RUMUS )'!IA42</f>
        <v>0</v>
      </c>
      <c r="HJ22" s="248">
        <f>'PUSK ( RUMUS )'!IB40+'PUSK ( RUMUS )'!IB41+'PUSK ( RUMUS )'!IB42</f>
        <v>0</v>
      </c>
      <c r="HK22" s="248">
        <f>'PUSK ( RUMUS )'!IC40+'PUSK ( RUMUS )'!IC41+'PUSK ( RUMUS )'!IC42</f>
        <v>0</v>
      </c>
      <c r="HL22" s="248">
        <f>'PUSK ( RUMUS )'!ID40+'PUSK ( RUMUS )'!ID41+'PUSK ( RUMUS )'!ID42</f>
        <v>0</v>
      </c>
      <c r="HM22" s="248">
        <f>'PUSK ( RUMUS )'!IE40+'PUSK ( RUMUS )'!IE41+'PUSK ( RUMUS )'!IE42</f>
        <v>0</v>
      </c>
      <c r="HN22" s="248">
        <f>'PUSK ( RUMUS )'!IF40+'PUSK ( RUMUS )'!IF41+'PUSK ( RUMUS )'!IF42</f>
        <v>0</v>
      </c>
      <c r="HO22" s="248">
        <f>'PUSK ( RUMUS )'!IG40+'PUSK ( RUMUS )'!IG41+'PUSK ( RUMUS )'!IG42</f>
        <v>0</v>
      </c>
      <c r="HR22" s="198">
        <f t="shared" si="5"/>
        <v>122</v>
      </c>
      <c r="HS22" s="198">
        <f t="shared" si="6"/>
        <v>234</v>
      </c>
      <c r="HT22" s="198">
        <f t="shared" si="7"/>
        <v>191</v>
      </c>
      <c r="HU22" s="198">
        <f t="shared" si="8"/>
        <v>118</v>
      </c>
      <c r="HV22" s="198">
        <f t="shared" si="9"/>
        <v>128</v>
      </c>
      <c r="HW22" s="198">
        <f t="shared" si="10"/>
        <v>143</v>
      </c>
      <c r="HX22" s="574">
        <f t="shared" si="11"/>
        <v>80</v>
      </c>
      <c r="HY22" s="574">
        <f t="shared" si="12"/>
        <v>106</v>
      </c>
      <c r="HZ22" s="634">
        <f t="shared" si="13"/>
        <v>126</v>
      </c>
      <c r="IA22" s="611">
        <f t="shared" si="14"/>
        <v>125</v>
      </c>
      <c r="IB22" s="611">
        <f t="shared" si="15"/>
        <v>125</v>
      </c>
      <c r="IC22" s="611">
        <f t="shared" si="16"/>
        <v>132</v>
      </c>
    </row>
    <row r="23" ht="14.25" customHeight="1">
      <c r="A23" s="158">
        <v>16.0</v>
      </c>
      <c r="B23" s="633" t="s">
        <v>347</v>
      </c>
      <c r="C23" s="253">
        <v>3374120.0</v>
      </c>
      <c r="D23" s="635"/>
      <c r="E23" s="635"/>
      <c r="F23" s="636">
        <f>'PUSK ( RUMUS )'!F43+'PUSK ( RUMUS )'!F44</f>
        <v>49</v>
      </c>
      <c r="G23" s="636">
        <f>'PUSK ( RUMUS )'!G43+'PUSK ( RUMUS )'!G44</f>
        <v>1229</v>
      </c>
      <c r="H23" s="637">
        <f>'PUSK ( RUMUS )'!H43+'PUSK ( RUMUS )'!H44</f>
        <v>42</v>
      </c>
      <c r="I23" s="638">
        <f>'PUSK ( RUMUS )'!K43+'PUSK ( RUMUS )'!K44</f>
        <v>1</v>
      </c>
      <c r="J23" s="638">
        <f>'PUSK ( RUMUS )'!L43+'PUSK ( RUMUS )'!L44</f>
        <v>2</v>
      </c>
      <c r="K23" s="638">
        <f>'PUSK ( RUMUS )'!M43+'PUSK ( RUMUS )'!M44</f>
        <v>6</v>
      </c>
      <c r="L23" s="638">
        <f>'PUSK ( RUMUS )'!N43+'PUSK ( RUMUS )'!N44</f>
        <v>33</v>
      </c>
      <c r="M23" s="638">
        <f>'PUSK ( RUMUS )'!O43+'PUSK ( RUMUS )'!O44</f>
        <v>3</v>
      </c>
      <c r="N23" s="638">
        <f>'PUSK ( RUMUS )'!P43+'PUSK ( RUMUS )'!P44</f>
        <v>0</v>
      </c>
      <c r="O23" s="638">
        <f>'PUSK ( RUMUS )'!Q43+'PUSK ( RUMUS )'!Q44</f>
        <v>39</v>
      </c>
      <c r="P23" s="638">
        <f>'PUSK ( RUMUS )'!R43+'PUSK ( RUMUS )'!R44</f>
        <v>47</v>
      </c>
      <c r="Q23" s="638">
        <f>'PUSK ( RUMUS )'!U43+'PUSK ( RUMUS )'!U44</f>
        <v>1</v>
      </c>
      <c r="R23" s="638">
        <f>'PUSK ( RUMUS )'!V43+'PUSK ( RUMUS )'!V44</f>
        <v>5</v>
      </c>
      <c r="S23" s="638">
        <f>'PUSK ( RUMUS )'!W43+'PUSK ( RUMUS )'!W44</f>
        <v>9</v>
      </c>
      <c r="T23" s="638">
        <f>'PUSK ( RUMUS )'!X43+'PUSK ( RUMUS )'!X44</f>
        <v>32</v>
      </c>
      <c r="U23" s="638">
        <f>'PUSK ( RUMUS )'!Y43+'PUSK ( RUMUS )'!Y44</f>
        <v>9</v>
      </c>
      <c r="V23" s="638">
        <f>'PUSK ( RUMUS )'!Z43+'PUSK ( RUMUS )'!Z44</f>
        <v>0</v>
      </c>
      <c r="W23" s="638">
        <f>'PUSK ( RUMUS )'!AA43+'PUSK ( RUMUS )'!AA44</f>
        <v>38</v>
      </c>
      <c r="X23" s="638">
        <f>'PUSK ( RUMUS )'!AB43+'PUSK ( RUMUS )'!AB44</f>
        <v>44</v>
      </c>
      <c r="Y23" s="638">
        <f>'PUSK ( RUMUS )'!AE43+'PUSK ( RUMUS )'!AE44</f>
        <v>1</v>
      </c>
      <c r="Z23" s="638">
        <f>'PUSK ( RUMUS )'!AF43+'PUSK ( RUMUS )'!AF44</f>
        <v>4</v>
      </c>
      <c r="AA23" s="638">
        <f>'PUSK ( RUMUS )'!AG43+'PUSK ( RUMUS )'!AG44</f>
        <v>10</v>
      </c>
      <c r="AB23" s="638">
        <f>'PUSK ( RUMUS )'!AH43+'PUSK ( RUMUS )'!AH44</f>
        <v>29</v>
      </c>
      <c r="AC23" s="638">
        <f>'PUSK ( RUMUS )'!AI43+'PUSK ( RUMUS )'!AI44</f>
        <v>8</v>
      </c>
      <c r="AD23" s="638">
        <f>'PUSK ( RUMUS )'!AJ43+'PUSK ( RUMUS )'!AJ44</f>
        <v>0</v>
      </c>
      <c r="AE23" s="638">
        <f>'PUSK ( RUMUS )'!AK43+'PUSK ( RUMUS )'!AK44</f>
        <v>36</v>
      </c>
      <c r="AF23" s="638">
        <f>'PUSK ( RUMUS )'!AL43+'PUSK ( RUMUS )'!AL44</f>
        <v>43</v>
      </c>
      <c r="AG23" s="638">
        <f>'PUSK ( RUMUS )'!AO43+'PUSK ( RUMUS )'!AO44</f>
        <v>1</v>
      </c>
      <c r="AH23" s="638">
        <f>'PUSK ( RUMUS )'!AP43+'PUSK ( RUMUS )'!AP44</f>
        <v>3</v>
      </c>
      <c r="AI23" s="638">
        <f>'PUSK ( RUMUS )'!AQ43+'PUSK ( RUMUS )'!AQ44</f>
        <v>5</v>
      </c>
      <c r="AJ23" s="638">
        <f>'PUSK ( RUMUS )'!AR43+'PUSK ( RUMUS )'!AR44</f>
        <v>34</v>
      </c>
      <c r="AK23" s="638">
        <f>'PUSK ( RUMUS )'!AS43+'PUSK ( RUMUS )'!AS44</f>
        <v>3</v>
      </c>
      <c r="AL23" s="638">
        <f>'PUSK ( RUMUS )'!AT43+'PUSK ( RUMUS )'!AT44</f>
        <v>1</v>
      </c>
      <c r="AM23" s="638">
        <f>'PUSK ( RUMUS )'!AU43+'PUSK ( RUMUS )'!AU44</f>
        <v>39</v>
      </c>
      <c r="AN23" s="638">
        <f>'PUSK ( RUMUS )'!AV43+'PUSK ( RUMUS )'!AV44</f>
        <v>45</v>
      </c>
      <c r="AO23" s="638">
        <f>'PUSK ( RUMUS )'!AY43+'PUSK ( RUMUS )'!AY44</f>
        <v>2</v>
      </c>
      <c r="AP23" s="638">
        <f>'PUSK ( RUMUS )'!AZ43+'PUSK ( RUMUS )'!AZ44</f>
        <v>2</v>
      </c>
      <c r="AQ23" s="638">
        <f>'PUSK ( RUMUS )'!BA43+'PUSK ( RUMUS )'!BA44</f>
        <v>8</v>
      </c>
      <c r="AR23" s="638">
        <f>'PUSK ( RUMUS )'!BB43+'PUSK ( RUMUS )'!BB44</f>
        <v>33</v>
      </c>
      <c r="AS23" s="638">
        <f>'PUSK ( RUMUS )'!BC43+'PUSK ( RUMUS )'!BC44</f>
        <v>7</v>
      </c>
      <c r="AT23" s="638">
        <f>'PUSK ( RUMUS )'!BD43+'PUSK ( RUMUS )'!BD44</f>
        <v>1</v>
      </c>
      <c r="AU23" s="638">
        <f>'PUSK ( RUMUS )'!BE43+'PUSK ( RUMUS )'!BE44</f>
        <v>37</v>
      </c>
      <c r="AV23" s="638">
        <f>'PUSK ( RUMUS )'!BF43+'PUSK ( RUMUS )'!BF44</f>
        <v>2320</v>
      </c>
      <c r="AW23" s="638">
        <f>'PUSK ( RUMUS )'!BG43+'PUSK ( RUMUS )'!BG44</f>
        <v>47</v>
      </c>
      <c r="AX23" s="638">
        <f>'PUSK ( RUMUS )'!BJ43+'PUSK ( RUMUS )'!BJ44</f>
        <v>1</v>
      </c>
      <c r="AY23" s="638">
        <f>'PUSK ( RUMUS )'!BK43+'PUSK ( RUMUS )'!BK44</f>
        <v>3</v>
      </c>
      <c r="AZ23" s="638">
        <f>'PUSK ( RUMUS )'!BL43+'PUSK ( RUMUS )'!BL44</f>
        <v>5</v>
      </c>
      <c r="BA23" s="638">
        <f>'PUSK ( RUMUS )'!BM43+'PUSK ( RUMUS )'!BM44</f>
        <v>34</v>
      </c>
      <c r="BB23" s="638">
        <f>'PUSK ( RUMUS )'!BN43+'PUSK ( RUMUS )'!BN44</f>
        <v>3</v>
      </c>
      <c r="BC23" s="638">
        <f>'PUSK ( RUMUS )'!BO43+'PUSK ( RUMUS )'!BO44</f>
        <v>0</v>
      </c>
      <c r="BD23" s="638">
        <f>'PUSK ( RUMUS )'!BP43+'PUSK ( RUMUS )'!BP44</f>
        <v>0</v>
      </c>
      <c r="BE23" s="638">
        <f>'PUSK ( RUMUS )'!BQ43+'PUSK ( RUMUS )'!BQ44</f>
        <v>1</v>
      </c>
      <c r="BF23" s="638">
        <f>'PUSK ( RUMUS )'!BR43+'PUSK ( RUMUS )'!BR44</f>
        <v>0</v>
      </c>
      <c r="BG23" s="638">
        <f>'PUSK ( RUMUS )'!BS43+'PUSK ( RUMUS )'!BS44</f>
        <v>0</v>
      </c>
      <c r="BH23" s="638">
        <f>'PUSK ( RUMUS )'!BT43+'PUSK ( RUMUS )'!BT44</f>
        <v>2</v>
      </c>
      <c r="BI23" s="638">
        <f>'PUSK ( RUMUS )'!BU43+'PUSK ( RUMUS )'!BU44</f>
        <v>0</v>
      </c>
      <c r="BJ23" s="638">
        <f>'PUSK ( RUMUS )'!BV43+'PUSK ( RUMUS )'!BV44</f>
        <v>0</v>
      </c>
      <c r="BK23" s="638">
        <f>'PUSK ( RUMUS )'!BW43+'PUSK ( RUMUS )'!BW44</f>
        <v>0</v>
      </c>
      <c r="BL23" s="638">
        <f>'PUSK ( RUMUS )'!BX43+'PUSK ( RUMUS )'!BX44</f>
        <v>0</v>
      </c>
      <c r="BM23" s="638">
        <f>'PUSK ( RUMUS )'!BY43+'PUSK ( RUMUS )'!BY44</f>
        <v>0</v>
      </c>
      <c r="BN23" s="638">
        <f>'PUSK ( RUMUS )'!BZ43+'PUSK ( RUMUS )'!BZ44</f>
        <v>0</v>
      </c>
      <c r="BO23" s="638">
        <f>'PUSK ( RUMUS )'!CA43+'PUSK ( RUMUS )'!CA44</f>
        <v>0</v>
      </c>
      <c r="BP23" s="638">
        <f>'PUSK ( RUMUS )'!CB43+'PUSK ( RUMUS )'!CB44</f>
        <v>2</v>
      </c>
      <c r="BQ23" s="638">
        <f>'PUSK ( RUMUS )'!CC43+'PUSK ( RUMUS )'!CC44</f>
        <v>2326</v>
      </c>
      <c r="BR23" s="638">
        <f>'PUSK ( RUMUS )'!CD43+'PUSK ( RUMUS )'!CD44</f>
        <v>43</v>
      </c>
      <c r="BS23" s="638">
        <f>'PUSK ( RUMUS )'!CG43+'PUSK ( RUMUS )'!CG44</f>
        <v>3</v>
      </c>
      <c r="BT23" s="638">
        <f>'PUSK ( RUMUS )'!CH43+'PUSK ( RUMUS )'!CH44</f>
        <v>1</v>
      </c>
      <c r="BU23" s="638">
        <f>'PUSK ( RUMUS )'!CI43+'PUSK ( RUMUS )'!CI44</f>
        <v>3</v>
      </c>
      <c r="BV23" s="638">
        <f>'PUSK ( RUMUS )'!CJ43+'PUSK ( RUMUS )'!CJ44</f>
        <v>28</v>
      </c>
      <c r="BW23" s="638">
        <f>'PUSK ( RUMUS )'!CK43+'PUSK ( RUMUS )'!CK44</f>
        <v>1</v>
      </c>
      <c r="BX23" s="638">
        <f>'PUSK ( RUMUS )'!CL43+'PUSK ( RUMUS )'!CL44</f>
        <v>2</v>
      </c>
      <c r="BY23" s="638">
        <f>'PUSK ( RUMUS )'!CM43+'PUSK ( RUMUS )'!CM44</f>
        <v>2</v>
      </c>
      <c r="BZ23" s="638">
        <f>'PUSK ( RUMUS )'!CN43+'PUSK ( RUMUS )'!CN44</f>
        <v>3</v>
      </c>
      <c r="CA23" s="638">
        <f>'PUSK ( RUMUS )'!CO43+'PUSK ( RUMUS )'!CO44</f>
        <v>0</v>
      </c>
      <c r="CB23" s="638">
        <f>'PUSK ( RUMUS )'!CP43+'PUSK ( RUMUS )'!CP44</f>
        <v>2</v>
      </c>
      <c r="CC23" s="638">
        <f>'PUSK ( RUMUS )'!CQ43+'PUSK ( RUMUS )'!CQ44</f>
        <v>1</v>
      </c>
      <c r="CD23" s="638">
        <f>'PUSK ( RUMUS )'!CR43+'PUSK ( RUMUS )'!CR44</f>
        <v>7</v>
      </c>
      <c r="CE23" s="638">
        <f>'PUSK ( RUMUS )'!CS43+'PUSK ( RUMUS )'!CS44</f>
        <v>1</v>
      </c>
      <c r="CF23" s="638">
        <f>'PUSK ( RUMUS )'!CT43+'PUSK ( RUMUS )'!CT44</f>
        <v>0</v>
      </c>
      <c r="CG23" s="638">
        <f>'PUSK ( RUMUS )'!CU43+'PUSK ( RUMUS )'!CU44</f>
        <v>1</v>
      </c>
      <c r="CH23" s="638">
        <f>'PUSK ( RUMUS )'!CV43+'PUSK ( RUMUS )'!CV44</f>
        <v>0</v>
      </c>
      <c r="CI23" s="638">
        <f>'PUSK ( RUMUS )'!CW43+'PUSK ( RUMUS )'!CW44</f>
        <v>0</v>
      </c>
      <c r="CJ23" s="638">
        <f>'PUSK ( RUMUS )'!CX43+'PUSK ( RUMUS )'!CX44</f>
        <v>0</v>
      </c>
      <c r="CK23" s="638">
        <f>'PUSK ( RUMUS )'!CY43+'PUSK ( RUMUS )'!CY44</f>
        <v>12</v>
      </c>
      <c r="CL23" s="638">
        <f>'PUSK ( RUMUS )'!CZ43+'PUSK ( RUMUS )'!CZ44</f>
        <v>2318</v>
      </c>
      <c r="CM23" s="638">
        <f>'PUSK ( RUMUS )'!DA43+'PUSK ( RUMUS )'!DA44</f>
        <v>880</v>
      </c>
      <c r="CN23" s="638">
        <f>'PUSK ( RUMUS )'!DB43+'PUSK ( RUMUS )'!DB44</f>
        <v>43</v>
      </c>
      <c r="CO23" s="638">
        <f>'PUSK ( RUMUS )'!DE43+'PUSK ( RUMUS )'!DE44</f>
        <v>3</v>
      </c>
      <c r="CP23" s="638">
        <f>'PUSK ( RUMUS )'!DF43+'PUSK ( RUMUS )'!DF44</f>
        <v>1</v>
      </c>
      <c r="CQ23" s="638">
        <f>'PUSK ( RUMUS )'!DG43+'PUSK ( RUMUS )'!DG44</f>
        <v>5</v>
      </c>
      <c r="CR23" s="638">
        <f>'PUSK ( RUMUS )'!DH43+'PUSK ( RUMUS )'!DH44</f>
        <v>32</v>
      </c>
      <c r="CS23" s="638">
        <f>'PUSK ( RUMUS )'!DI43+'PUSK ( RUMUS )'!DI44</f>
        <v>0</v>
      </c>
      <c r="CT23" s="638">
        <f>'PUSK ( RUMUS )'!DJ43+'PUSK ( RUMUS )'!DJ44</f>
        <v>0</v>
      </c>
      <c r="CU23" s="638">
        <f>'PUSK ( RUMUS )'!DK43+'PUSK ( RUMUS )'!DK44</f>
        <v>2</v>
      </c>
      <c r="CV23" s="638">
        <f>'PUSK ( RUMUS )'!DL43+'PUSK ( RUMUS )'!DL44</f>
        <v>0</v>
      </c>
      <c r="CW23" s="638">
        <f>'PUSK ( RUMUS )'!DM43+'PUSK ( RUMUS )'!DM44</f>
        <v>0</v>
      </c>
      <c r="CX23" s="638">
        <f>'PUSK ( RUMUS )'!DN43+'PUSK ( RUMUS )'!DN44</f>
        <v>0</v>
      </c>
      <c r="CY23" s="638">
        <f>'PUSK ( RUMUS )'!DO43+'PUSK ( RUMUS )'!DO44</f>
        <v>0</v>
      </c>
      <c r="CZ23" s="638">
        <f>'PUSK ( RUMUS )'!DP43+'PUSK ( RUMUS )'!DP44</f>
        <v>1</v>
      </c>
      <c r="DA23" s="638">
        <f>'PUSK ( RUMUS )'!DQ43+'PUSK ( RUMUS )'!DQ44</f>
        <v>0</v>
      </c>
      <c r="DB23" s="638">
        <f>'PUSK ( RUMUS )'!DR43+'PUSK ( RUMUS )'!DR44</f>
        <v>0</v>
      </c>
      <c r="DC23" s="638">
        <f>'PUSK ( RUMUS )'!DS43+'PUSK ( RUMUS )'!DS44</f>
        <v>0</v>
      </c>
      <c r="DD23" s="638">
        <f>'PUSK ( RUMUS )'!DT43+'PUSK ( RUMUS )'!DT44</f>
        <v>0</v>
      </c>
      <c r="DE23" s="638">
        <f>'PUSK ( RUMUS )'!DU43+'PUSK ( RUMUS )'!DU44</f>
        <v>0</v>
      </c>
      <c r="DF23" s="638">
        <f>'PUSK ( RUMUS )'!DV43+'PUSK ( RUMUS )'!DV44</f>
        <v>0</v>
      </c>
      <c r="DG23" s="638">
        <f>'PUSK ( RUMUS )'!DW43+'PUSK ( RUMUS )'!DW44</f>
        <v>1</v>
      </c>
      <c r="DH23" s="638">
        <f>'PUSK ( RUMUS )'!DX43+'PUSK ( RUMUS )'!DX44</f>
        <v>2112</v>
      </c>
      <c r="DI23" s="638">
        <f>'PUSK ( RUMUS )'!DY43+'PUSK ( RUMUS )'!DY44</f>
        <v>789</v>
      </c>
      <c r="DJ23" s="638">
        <f>'PUSK ( RUMUS )'!DZ43+'PUSK ( RUMUS )'!DZ44</f>
        <v>2062</v>
      </c>
      <c r="DK23" s="638">
        <f>'PUSK ( RUMUS )'!EA43+'PUSK ( RUMUS )'!EA44</f>
        <v>772</v>
      </c>
      <c r="DL23" s="638">
        <f>'PUSK ( RUMUS )'!EB43+'PUSK ( RUMUS )'!EB44</f>
        <v>43</v>
      </c>
      <c r="DM23" s="638">
        <f>'PUSK ( RUMUS )'!EC43+'PUSK ( RUMUS )'!EC44</f>
        <v>13</v>
      </c>
      <c r="DN23" s="491">
        <f t="shared" si="1"/>
        <v>30</v>
      </c>
      <c r="DO23" s="638">
        <f>'PUSK ( RUMUS )'!EE43+'PUSK ( RUMUS )'!EE44</f>
        <v>3</v>
      </c>
      <c r="DP23" s="638">
        <f>'PUSK ( RUMUS )'!EF43+'PUSK ( RUMUS )'!EF44</f>
        <v>1</v>
      </c>
      <c r="DQ23" s="638">
        <f>'PUSK ( RUMUS )'!EG43+'PUSK ( RUMUS )'!EG44</f>
        <v>7</v>
      </c>
      <c r="DR23" s="638">
        <f>'PUSK ( RUMUS )'!EH43+'PUSK ( RUMUS )'!EH44</f>
        <v>28</v>
      </c>
      <c r="DS23" s="638">
        <f>'PUSK ( RUMUS )'!EI43+'PUSK ( RUMUS )'!EI44</f>
        <v>0</v>
      </c>
      <c r="DT23" s="638">
        <f>'PUSK ( RUMUS )'!EJ43+'PUSK ( RUMUS )'!EJ44</f>
        <v>1</v>
      </c>
      <c r="DU23" s="638">
        <f>'PUSK ( RUMUS )'!EK43+'PUSK ( RUMUS )'!EK44</f>
        <v>1</v>
      </c>
      <c r="DV23" s="638">
        <f>'PUSK ( RUMUS )'!EL43+'PUSK ( RUMUS )'!EL44</f>
        <v>2</v>
      </c>
      <c r="DW23" s="638">
        <f>'PUSK ( RUMUS )'!EM43+'PUSK ( RUMUS )'!EM44</f>
        <v>0</v>
      </c>
      <c r="DX23" s="638">
        <f>'PUSK ( RUMUS )'!EN43+'PUSK ( RUMUS )'!EN44</f>
        <v>0</v>
      </c>
      <c r="DY23" s="638">
        <f>'PUSK ( RUMUS )'!EO43+'PUSK ( RUMUS )'!EO44</f>
        <v>0</v>
      </c>
      <c r="DZ23" s="638">
        <f>'PUSK ( RUMUS )'!EP43+'PUSK ( RUMUS )'!EP44</f>
        <v>3</v>
      </c>
      <c r="EA23" s="638">
        <f>'PUSK ( RUMUS )'!EQ43+'PUSK ( RUMUS )'!EQ44</f>
        <v>0</v>
      </c>
      <c r="EB23" s="638">
        <f>'PUSK ( RUMUS )'!ER43+'PUSK ( RUMUS )'!ER44</f>
        <v>0</v>
      </c>
      <c r="EC23" s="638">
        <f>'PUSK ( RUMUS )'!ES43+'PUSK ( RUMUS )'!ES44</f>
        <v>0</v>
      </c>
      <c r="ED23" s="638">
        <f>'PUSK ( RUMUS )'!ET43+'PUSK ( RUMUS )'!ET44</f>
        <v>0</v>
      </c>
      <c r="EE23" s="638">
        <f>'PUSK ( RUMUS )'!EU43+'PUSK ( RUMUS )'!EU44</f>
        <v>1</v>
      </c>
      <c r="EF23" s="638">
        <f>'PUSK ( RUMUS )'!EV43+'PUSK ( RUMUS )'!EV44</f>
        <v>0</v>
      </c>
      <c r="EG23" s="638">
        <f>'PUSK ( RUMUS )'!EW43+'PUSK ( RUMUS )'!EW44</f>
        <v>4</v>
      </c>
      <c r="EH23" s="638">
        <f>'PUSK ( RUMUS )'!EX43+'PUSK ( RUMUS )'!EX44</f>
        <v>1</v>
      </c>
      <c r="EI23" s="638">
        <f>'PUSK ( RUMUS )'!EY43+'PUSK ( RUMUS )'!EY44</f>
        <v>2071</v>
      </c>
      <c r="EJ23" s="638">
        <f>'PUSK ( RUMUS )'!EZ43+'PUSK ( RUMUS )'!EZ44</f>
        <v>808</v>
      </c>
      <c r="EK23" s="638">
        <f>'PUSK ( RUMUS )'!FA43+'PUSK ( RUMUS )'!FA44</f>
        <v>2024</v>
      </c>
      <c r="EL23" s="638">
        <f>'PUSK ( RUMUS )'!FB43+'PUSK ( RUMUS )'!FB44</f>
        <v>785</v>
      </c>
      <c r="EM23" s="638">
        <f>'PUSK ( RUMUS )'!FC43+'PUSK ( RUMUS )'!FC44</f>
        <v>44</v>
      </c>
      <c r="EN23" s="638">
        <f>'PUSK ( RUMUS )'!FD43+'PUSK ( RUMUS )'!FD44</f>
        <v>13</v>
      </c>
      <c r="EO23" s="491">
        <f t="shared" si="2"/>
        <v>31</v>
      </c>
      <c r="EP23" s="638">
        <f>'PUSK ( RUMUS )'!FF43+'PUSK ( RUMUS )'!FF44</f>
        <v>0</v>
      </c>
      <c r="EQ23" s="638">
        <f>'PUSK ( RUMUS )'!FG43+'PUSK ( RUMUS )'!FG44</f>
        <v>2</v>
      </c>
      <c r="ER23" s="638">
        <f>'PUSK ( RUMUS )'!FH43+'PUSK ( RUMUS )'!FH44</f>
        <v>7</v>
      </c>
      <c r="ES23" s="638">
        <f>'PUSK ( RUMUS )'!FI43+'PUSK ( RUMUS )'!FI44</f>
        <v>29</v>
      </c>
      <c r="ET23" s="638">
        <f>'PUSK ( RUMUS )'!FJ43+'PUSK ( RUMUS )'!FJ44</f>
        <v>1</v>
      </c>
      <c r="EU23" s="638">
        <f>'PUSK ( RUMUS )'!FK43+'PUSK ( RUMUS )'!FK44</f>
        <v>0</v>
      </c>
      <c r="EV23" s="638">
        <f>'PUSK ( RUMUS )'!FL43+'PUSK ( RUMUS )'!FL44</f>
        <v>3</v>
      </c>
      <c r="EW23" s="638">
        <f>'PUSK ( RUMUS )'!FM43+'PUSK ( RUMUS )'!FM44</f>
        <v>2</v>
      </c>
      <c r="EX23" s="638">
        <f>'PUSK ( RUMUS )'!FN43+'PUSK ( RUMUS )'!FN44</f>
        <v>1</v>
      </c>
      <c r="EY23" s="638">
        <f>'PUSK ( RUMUS )'!FO43+'PUSK ( RUMUS )'!FO44</f>
        <v>1</v>
      </c>
      <c r="EZ23" s="638">
        <f>'PUSK ( RUMUS )'!FP43+'PUSK ( RUMUS )'!FP44</f>
        <v>0</v>
      </c>
      <c r="FA23" s="638">
        <f>'PUSK ( RUMUS )'!FQ43+'PUSK ( RUMUS )'!FQ44</f>
        <v>1</v>
      </c>
      <c r="FB23" s="638">
        <f>'PUSK ( RUMUS )'!FR43+'PUSK ( RUMUS )'!FR44</f>
        <v>1</v>
      </c>
      <c r="FC23" s="638">
        <f>'PUSK ( RUMUS )'!FS43+'PUSK ( RUMUS )'!FS44</f>
        <v>0</v>
      </c>
      <c r="FD23" s="638">
        <f>'PUSK ( RUMUS )'!FT43+'PUSK ( RUMUS )'!FT44</f>
        <v>0</v>
      </c>
      <c r="FE23" s="638">
        <f>'PUSK ( RUMUS )'!FU43+'PUSK ( RUMUS )'!FU44</f>
        <v>0</v>
      </c>
      <c r="FF23" s="638">
        <f>'PUSK ( RUMUS )'!FV43+'PUSK ( RUMUS )'!FV44</f>
        <v>1</v>
      </c>
      <c r="FG23" s="638">
        <f>'PUSK ( RUMUS )'!FW43+'PUSK ( RUMUS )'!FW44</f>
        <v>0</v>
      </c>
      <c r="FH23" s="638">
        <f>'PUSK ( RUMUS )'!FX43+'PUSK ( RUMUS )'!FX44</f>
        <v>5</v>
      </c>
      <c r="FI23" s="638">
        <f>'PUSK ( RUMUS )'!FY43+'PUSK ( RUMUS )'!FY44</f>
        <v>3</v>
      </c>
      <c r="FJ23" s="638">
        <f>'PUSK ( RUMUS )'!FZ43+'PUSK ( RUMUS )'!FZ44</f>
        <v>2038</v>
      </c>
      <c r="FK23" s="638">
        <f>'PUSK ( RUMUS )'!GA43+'PUSK ( RUMUS )'!GA44</f>
        <v>783</v>
      </c>
      <c r="FL23" s="638">
        <f>'PUSK ( RUMUS )'!GB43+'PUSK ( RUMUS )'!GB44</f>
        <v>2014</v>
      </c>
      <c r="FM23" s="638">
        <f>'PUSK ( RUMUS )'!GC43+'PUSK ( RUMUS )'!GC44</f>
        <v>776</v>
      </c>
      <c r="FN23" s="638"/>
      <c r="FO23" s="638"/>
      <c r="FP23" s="638">
        <f>'PUSK ( RUMUS )'!GG43+'PUSK ( RUMUS )'!GG44</f>
        <v>42</v>
      </c>
      <c r="FQ23" s="638">
        <f>'PUSK ( RUMUS )'!GH43+'PUSK ( RUMUS )'!GH44</f>
        <v>10</v>
      </c>
      <c r="FR23" s="491">
        <f t="shared" si="3"/>
        <v>32</v>
      </c>
      <c r="FS23" s="638">
        <f>'PUSK ( RUMUS )'!GJ43+'PUSK ( RUMUS )'!GJ44</f>
        <v>1</v>
      </c>
      <c r="FT23" s="638">
        <f>'PUSK ( RUMUS )'!GK43+'PUSK ( RUMUS )'!GK44</f>
        <v>0</v>
      </c>
      <c r="FU23" s="638">
        <f>'PUSK ( RUMUS )'!GL43+'PUSK ( RUMUS )'!GL44</f>
        <v>9</v>
      </c>
      <c r="FV23" s="638">
        <f>'PUSK ( RUMUS )'!GM43+'PUSK ( RUMUS )'!GM44</f>
        <v>31</v>
      </c>
      <c r="FW23" s="638">
        <f>'PUSK ( RUMUS )'!GN43+'PUSK ( RUMUS )'!GN44</f>
        <v>0</v>
      </c>
      <c r="FX23" s="638">
        <f>'PUSK ( RUMUS )'!GO43+'PUSK ( RUMUS )'!GO44</f>
        <v>0</v>
      </c>
      <c r="FY23" s="638">
        <f>'PUSK ( RUMUS )'!GP43+'PUSK ( RUMUS )'!GP44</f>
        <v>0</v>
      </c>
      <c r="FZ23" s="638">
        <f>'PUSK ( RUMUS )'!GQ43+'PUSK ( RUMUS )'!GQ44</f>
        <v>1</v>
      </c>
      <c r="GA23" s="638">
        <f>'PUSK ( RUMUS )'!GR43+'PUSK ( RUMUS )'!GR44</f>
        <v>0</v>
      </c>
      <c r="GB23" s="638">
        <f>'PUSK ( RUMUS )'!GS43+'PUSK ( RUMUS )'!GS44</f>
        <v>0</v>
      </c>
      <c r="GC23" s="638">
        <f>'PUSK ( RUMUS )'!GT43+'PUSK ( RUMUS )'!GT44</f>
        <v>0</v>
      </c>
      <c r="GD23" s="638">
        <f>'PUSK ( RUMUS )'!GU43+'PUSK ( RUMUS )'!GU44</f>
        <v>2</v>
      </c>
      <c r="GE23" s="638">
        <f>'PUSK ( RUMUS )'!GV43+'PUSK ( RUMUS )'!GV44</f>
        <v>0</v>
      </c>
      <c r="GF23" s="638">
        <f>'PUSK ( RUMUS )'!GW43+'PUSK ( RUMUS )'!GW44</f>
        <v>0</v>
      </c>
      <c r="GG23" s="638">
        <f>'PUSK ( RUMUS )'!GX43+'PUSK ( RUMUS )'!GX44</f>
        <v>0</v>
      </c>
      <c r="GH23" s="638">
        <f>'PUSK ( RUMUS )'!GY43+'PUSK ( RUMUS )'!GY44</f>
        <v>0</v>
      </c>
      <c r="GI23" s="638">
        <f>'PUSK ( RUMUS )'!GZ43+'PUSK ( RUMUS )'!GZ44</f>
        <v>1</v>
      </c>
      <c r="GJ23" s="638">
        <f>'PUSK ( RUMUS )'!HA43+'PUSK ( RUMUS )'!HA44</f>
        <v>0</v>
      </c>
      <c r="GK23" s="638">
        <f>'PUSK ( RUMUS )'!HB43+'PUSK ( RUMUS )'!HB44</f>
        <v>3</v>
      </c>
      <c r="GL23" s="638">
        <f>'PUSK ( RUMUS )'!HC43+'PUSK ( RUMUS )'!HC44</f>
        <v>0</v>
      </c>
      <c r="GM23" s="638">
        <f>'PUSK ( RUMUS )'!HD43+'PUSK ( RUMUS )'!HD44</f>
        <v>2039</v>
      </c>
      <c r="GN23" s="638">
        <f>'PUSK ( RUMUS )'!HE43+'PUSK ( RUMUS )'!HE44</f>
        <v>780</v>
      </c>
      <c r="GO23" s="638">
        <f>'PUSK ( RUMUS )'!HF43+'PUSK ( RUMUS )'!HF44</f>
        <v>1967</v>
      </c>
      <c r="GP23" s="638">
        <f>'PUSK ( RUMUS )'!HG43+'PUSK ( RUMUS )'!HG44</f>
        <v>754</v>
      </c>
      <c r="GQ23" s="638"/>
      <c r="GR23" s="638"/>
      <c r="GS23" s="638">
        <f>'PUSK ( RUMUS )'!HK43+'PUSK ( RUMUS )'!HK44</f>
        <v>43</v>
      </c>
      <c r="GT23" s="638">
        <f>'PUSK ( RUMUS )'!HL43+'PUSK ( RUMUS )'!HL44</f>
        <v>9</v>
      </c>
      <c r="GU23" s="491">
        <f t="shared" si="4"/>
        <v>34</v>
      </c>
      <c r="GV23" s="638">
        <f>'PUSK ( RUMUS )'!HN43+'PUSK ( RUMUS )'!HN44</f>
        <v>0</v>
      </c>
      <c r="GW23" s="638">
        <f>'PUSK ( RUMUS )'!HO43+'PUSK ( RUMUS )'!HO44</f>
        <v>1</v>
      </c>
      <c r="GX23" s="638">
        <f>'PUSK ( RUMUS )'!HP43+'PUSK ( RUMUS )'!HP44</f>
        <v>6</v>
      </c>
      <c r="GY23" s="638">
        <f>'PUSK ( RUMUS )'!HQ43+'PUSK ( RUMUS )'!HQ44</f>
        <v>33</v>
      </c>
      <c r="GZ23" s="638">
        <f>'PUSK ( RUMUS )'!HR43+'PUSK ( RUMUS )'!HR44</f>
        <v>1</v>
      </c>
      <c r="HA23" s="638">
        <f>'PUSK ( RUMUS )'!HS43+'PUSK ( RUMUS )'!HS44</f>
        <v>0</v>
      </c>
      <c r="HB23" s="638">
        <f>'PUSK ( RUMUS )'!HT43+'PUSK ( RUMUS )'!HT44</f>
        <v>1</v>
      </c>
      <c r="HC23" s="638">
        <f>'PUSK ( RUMUS )'!HU43+'PUSK ( RUMUS )'!HU44</f>
        <v>1</v>
      </c>
      <c r="HD23" s="638">
        <f>'PUSK ( RUMUS )'!HV43+'PUSK ( RUMUS )'!HV44</f>
        <v>0</v>
      </c>
      <c r="HE23" s="638">
        <f>'PUSK ( RUMUS )'!HW43+'PUSK ( RUMUS )'!HW44</f>
        <v>0</v>
      </c>
      <c r="HF23" s="638">
        <f>'PUSK ( RUMUS )'!HX43+'PUSK ( RUMUS )'!HX44</f>
        <v>0</v>
      </c>
      <c r="HG23" s="638">
        <f>'PUSK ( RUMUS )'!HY43+'PUSK ( RUMUS )'!HY44</f>
        <v>2</v>
      </c>
      <c r="HH23" s="638">
        <f>'PUSK ( RUMUS )'!HZ43+'PUSK ( RUMUS )'!HZ44</f>
        <v>0</v>
      </c>
      <c r="HI23" s="638">
        <f>'PUSK ( RUMUS )'!IA43+'PUSK ( RUMUS )'!IA44</f>
        <v>0</v>
      </c>
      <c r="HJ23" s="638">
        <f>'PUSK ( RUMUS )'!IB43+'PUSK ( RUMUS )'!IB44</f>
        <v>0</v>
      </c>
      <c r="HK23" s="638">
        <f>'PUSK ( RUMUS )'!IC43+'PUSK ( RUMUS )'!IC44</f>
        <v>0</v>
      </c>
      <c r="HL23" s="638">
        <f>'PUSK ( RUMUS )'!ID43+'PUSK ( RUMUS )'!ID44</f>
        <v>0</v>
      </c>
      <c r="HM23" s="638">
        <f>'PUSK ( RUMUS )'!IE43+'PUSK ( RUMUS )'!IE44</f>
        <v>0</v>
      </c>
      <c r="HN23" s="638">
        <f>'PUSK ( RUMUS )'!IF43+'PUSK ( RUMUS )'!IF44</f>
        <v>0</v>
      </c>
      <c r="HO23" s="638">
        <f>'PUSK ( RUMUS )'!IG43+'PUSK ( RUMUS )'!IG44</f>
        <v>0</v>
      </c>
      <c r="HR23" s="198">
        <f t="shared" si="5"/>
        <v>42</v>
      </c>
      <c r="HS23" s="198">
        <f t="shared" si="6"/>
        <v>47</v>
      </c>
      <c r="HT23" s="198">
        <f t="shared" si="7"/>
        <v>44</v>
      </c>
      <c r="HU23" s="198">
        <f t="shared" si="8"/>
        <v>43</v>
      </c>
      <c r="HV23" s="198">
        <f t="shared" si="9"/>
        <v>45</v>
      </c>
      <c r="HW23" s="198">
        <f t="shared" si="10"/>
        <v>47</v>
      </c>
      <c r="HX23" s="574">
        <f t="shared" si="11"/>
        <v>43</v>
      </c>
      <c r="HY23" s="574">
        <f t="shared" si="12"/>
        <v>43</v>
      </c>
      <c r="HZ23" s="634">
        <f t="shared" si="13"/>
        <v>43</v>
      </c>
      <c r="IA23" s="611">
        <f t="shared" si="14"/>
        <v>44</v>
      </c>
      <c r="IB23" s="611">
        <f t="shared" si="15"/>
        <v>42</v>
      </c>
      <c r="IC23" s="611">
        <f t="shared" si="16"/>
        <v>43</v>
      </c>
    </row>
    <row r="24" ht="14.25" customHeight="1">
      <c r="A24" s="3"/>
      <c r="B24" s="3"/>
      <c r="C24" s="3"/>
      <c r="D24" s="3"/>
      <c r="E24" s="3"/>
      <c r="F24" s="639">
        <f t="shared" ref="F24:DM24" si="17">SUM(F8:F23)</f>
        <v>1622</v>
      </c>
      <c r="G24" s="639">
        <f t="shared" si="17"/>
        <v>91166</v>
      </c>
      <c r="H24" s="639">
        <f t="shared" si="17"/>
        <v>1735</v>
      </c>
      <c r="I24" s="640">
        <f t="shared" si="17"/>
        <v>93</v>
      </c>
      <c r="J24" s="640">
        <f t="shared" si="17"/>
        <v>95</v>
      </c>
      <c r="K24" s="640">
        <f t="shared" si="17"/>
        <v>372</v>
      </c>
      <c r="L24" s="640">
        <f t="shared" si="17"/>
        <v>1174</v>
      </c>
      <c r="M24" s="640">
        <f t="shared" si="17"/>
        <v>167</v>
      </c>
      <c r="N24" s="640">
        <f t="shared" si="17"/>
        <v>98</v>
      </c>
      <c r="O24" s="640">
        <f t="shared" si="17"/>
        <v>1471</v>
      </c>
      <c r="P24" s="640">
        <f t="shared" si="17"/>
        <v>1859</v>
      </c>
      <c r="Q24" s="640">
        <f t="shared" si="17"/>
        <v>60</v>
      </c>
      <c r="R24" s="640">
        <f t="shared" si="17"/>
        <v>82</v>
      </c>
      <c r="S24" s="640">
        <f t="shared" si="17"/>
        <v>429</v>
      </c>
      <c r="T24" s="640">
        <f t="shared" si="17"/>
        <v>1288</v>
      </c>
      <c r="U24" s="640">
        <f t="shared" si="17"/>
        <v>390</v>
      </c>
      <c r="V24" s="640">
        <f t="shared" si="17"/>
        <v>176</v>
      </c>
      <c r="W24" s="640">
        <f t="shared" si="17"/>
        <v>1281</v>
      </c>
      <c r="X24" s="640">
        <f t="shared" si="17"/>
        <v>1723</v>
      </c>
      <c r="Y24" s="640">
        <f t="shared" si="17"/>
        <v>62</v>
      </c>
      <c r="Z24" s="640">
        <f t="shared" si="17"/>
        <v>91</v>
      </c>
      <c r="AA24" s="640">
        <f t="shared" si="17"/>
        <v>371</v>
      </c>
      <c r="AB24" s="640">
        <f t="shared" si="17"/>
        <v>1199</v>
      </c>
      <c r="AC24" s="640">
        <f t="shared" si="17"/>
        <v>176</v>
      </c>
      <c r="AD24" s="640">
        <f t="shared" si="17"/>
        <v>256</v>
      </c>
      <c r="AE24" s="640">
        <f t="shared" si="17"/>
        <v>1280</v>
      </c>
      <c r="AF24" s="640">
        <f t="shared" si="17"/>
        <v>1538</v>
      </c>
      <c r="AG24" s="640">
        <f t="shared" si="17"/>
        <v>44</v>
      </c>
      <c r="AH24" s="640">
        <f t="shared" si="17"/>
        <v>81</v>
      </c>
      <c r="AI24" s="640">
        <f t="shared" si="17"/>
        <v>319</v>
      </c>
      <c r="AJ24" s="640">
        <f t="shared" si="17"/>
        <v>1093</v>
      </c>
      <c r="AK24" s="640">
        <f t="shared" si="17"/>
        <v>192</v>
      </c>
      <c r="AL24" s="640">
        <f t="shared" si="17"/>
        <v>228</v>
      </c>
      <c r="AM24" s="640">
        <f t="shared" si="17"/>
        <v>1119</v>
      </c>
      <c r="AN24" s="640">
        <f t="shared" si="17"/>
        <v>1505</v>
      </c>
      <c r="AO24" s="640">
        <f t="shared" si="17"/>
        <v>46</v>
      </c>
      <c r="AP24" s="640">
        <f t="shared" si="17"/>
        <v>82</v>
      </c>
      <c r="AQ24" s="640">
        <f t="shared" si="17"/>
        <v>318</v>
      </c>
      <c r="AR24" s="640">
        <f t="shared" si="17"/>
        <v>1059</v>
      </c>
      <c r="AS24" s="640">
        <f t="shared" si="17"/>
        <v>130</v>
      </c>
      <c r="AT24" s="640">
        <f t="shared" si="17"/>
        <v>140</v>
      </c>
      <c r="AU24" s="640">
        <f t="shared" si="17"/>
        <v>1237</v>
      </c>
      <c r="AV24" s="640">
        <f t="shared" si="17"/>
        <v>94251</v>
      </c>
      <c r="AW24" s="640">
        <f t="shared" si="17"/>
        <v>1487</v>
      </c>
      <c r="AX24" s="640">
        <f t="shared" si="17"/>
        <v>23</v>
      </c>
      <c r="AY24" s="640">
        <f t="shared" si="17"/>
        <v>63</v>
      </c>
      <c r="AZ24" s="640">
        <f t="shared" si="17"/>
        <v>261</v>
      </c>
      <c r="BA24" s="640">
        <f t="shared" si="17"/>
        <v>974</v>
      </c>
      <c r="BB24" s="640">
        <f t="shared" si="17"/>
        <v>17</v>
      </c>
      <c r="BC24" s="640">
        <f t="shared" si="17"/>
        <v>23</v>
      </c>
      <c r="BD24" s="640">
        <f t="shared" si="17"/>
        <v>52</v>
      </c>
      <c r="BE24" s="640">
        <f t="shared" si="17"/>
        <v>71</v>
      </c>
      <c r="BF24" s="640">
        <f t="shared" si="17"/>
        <v>5</v>
      </c>
      <c r="BG24" s="640">
        <f t="shared" si="17"/>
        <v>14</v>
      </c>
      <c r="BH24" s="640">
        <f t="shared" si="17"/>
        <v>28</v>
      </c>
      <c r="BI24" s="640">
        <f t="shared" si="17"/>
        <v>88</v>
      </c>
      <c r="BJ24" s="640">
        <f t="shared" si="17"/>
        <v>0</v>
      </c>
      <c r="BK24" s="640">
        <f t="shared" si="17"/>
        <v>0</v>
      </c>
      <c r="BL24" s="640">
        <f t="shared" si="17"/>
        <v>4</v>
      </c>
      <c r="BM24" s="640">
        <f t="shared" si="17"/>
        <v>7</v>
      </c>
      <c r="BN24" s="640">
        <f t="shared" si="17"/>
        <v>17</v>
      </c>
      <c r="BO24" s="640">
        <f t="shared" si="17"/>
        <v>0</v>
      </c>
      <c r="BP24" s="640">
        <f t="shared" si="17"/>
        <v>163</v>
      </c>
      <c r="BQ24" s="640">
        <f t="shared" si="17"/>
        <v>95057</v>
      </c>
      <c r="BR24" s="640">
        <f t="shared" si="17"/>
        <v>1292</v>
      </c>
      <c r="BS24" s="640">
        <f t="shared" si="17"/>
        <v>18</v>
      </c>
      <c r="BT24" s="640">
        <f t="shared" si="17"/>
        <v>47</v>
      </c>
      <c r="BU24" s="640">
        <f t="shared" si="17"/>
        <v>195</v>
      </c>
      <c r="BV24" s="640">
        <f t="shared" si="17"/>
        <v>902</v>
      </c>
      <c r="BW24" s="640">
        <f t="shared" si="17"/>
        <v>18</v>
      </c>
      <c r="BX24" s="640">
        <f t="shared" si="17"/>
        <v>13</v>
      </c>
      <c r="BY24" s="640">
        <f t="shared" si="17"/>
        <v>33</v>
      </c>
      <c r="BZ24" s="640">
        <f t="shared" si="17"/>
        <v>66</v>
      </c>
      <c r="CA24" s="640">
        <f t="shared" si="17"/>
        <v>10</v>
      </c>
      <c r="CB24" s="640">
        <f t="shared" si="17"/>
        <v>24</v>
      </c>
      <c r="CC24" s="640">
        <f t="shared" si="17"/>
        <v>63</v>
      </c>
      <c r="CD24" s="640">
        <f t="shared" si="17"/>
        <v>110</v>
      </c>
      <c r="CE24" s="640">
        <f t="shared" si="17"/>
        <v>1</v>
      </c>
      <c r="CF24" s="640">
        <f t="shared" si="17"/>
        <v>1</v>
      </c>
      <c r="CG24" s="640">
        <f t="shared" si="17"/>
        <v>5</v>
      </c>
      <c r="CH24" s="640">
        <f t="shared" si="17"/>
        <v>6</v>
      </c>
      <c r="CI24" s="640">
        <f t="shared" si="17"/>
        <v>33</v>
      </c>
      <c r="CJ24" s="640">
        <f t="shared" si="17"/>
        <v>0</v>
      </c>
      <c r="CK24" s="640">
        <f t="shared" si="17"/>
        <v>254</v>
      </c>
      <c r="CL24" s="640">
        <f t="shared" si="17"/>
        <v>95447</v>
      </c>
      <c r="CM24" s="640">
        <f t="shared" si="17"/>
        <v>33223</v>
      </c>
      <c r="CN24" s="640">
        <f t="shared" si="17"/>
        <v>1465</v>
      </c>
      <c r="CO24" s="640">
        <f t="shared" si="17"/>
        <v>22</v>
      </c>
      <c r="CP24" s="640">
        <f t="shared" si="17"/>
        <v>31</v>
      </c>
      <c r="CQ24" s="640">
        <f t="shared" si="17"/>
        <v>207</v>
      </c>
      <c r="CR24" s="640">
        <f t="shared" si="17"/>
        <v>876</v>
      </c>
      <c r="CS24" s="640">
        <f t="shared" si="17"/>
        <v>19</v>
      </c>
      <c r="CT24" s="640">
        <f t="shared" si="17"/>
        <v>20</v>
      </c>
      <c r="CU24" s="640">
        <f t="shared" si="17"/>
        <v>92</v>
      </c>
      <c r="CV24" s="640">
        <f t="shared" si="17"/>
        <v>198</v>
      </c>
      <c r="CW24" s="640">
        <f t="shared" si="17"/>
        <v>7</v>
      </c>
      <c r="CX24" s="640">
        <f t="shared" si="17"/>
        <v>19</v>
      </c>
      <c r="CY24" s="640">
        <f t="shared" si="17"/>
        <v>35</v>
      </c>
      <c r="CZ24" s="640">
        <f t="shared" si="17"/>
        <v>67</v>
      </c>
      <c r="DA24" s="640">
        <f t="shared" si="17"/>
        <v>0</v>
      </c>
      <c r="DB24" s="640">
        <f t="shared" si="17"/>
        <v>3</v>
      </c>
      <c r="DC24" s="640">
        <f t="shared" si="17"/>
        <v>1</v>
      </c>
      <c r="DD24" s="640">
        <f t="shared" si="17"/>
        <v>10</v>
      </c>
      <c r="DE24" s="640">
        <f t="shared" si="17"/>
        <v>9</v>
      </c>
      <c r="DF24" s="640" t="str">
        <f t="shared" si="17"/>
        <v>#REF!</v>
      </c>
      <c r="DG24" s="640">
        <f t="shared" si="17"/>
        <v>152</v>
      </c>
      <c r="DH24" s="640">
        <f t="shared" si="17"/>
        <v>89987</v>
      </c>
      <c r="DI24" s="640">
        <f t="shared" si="17"/>
        <v>28166</v>
      </c>
      <c r="DJ24" s="640">
        <f t="shared" si="17"/>
        <v>86211</v>
      </c>
      <c r="DK24" s="640">
        <f t="shared" si="17"/>
        <v>26615</v>
      </c>
      <c r="DL24" s="640">
        <f t="shared" si="17"/>
        <v>1448</v>
      </c>
      <c r="DM24" s="640">
        <f t="shared" si="17"/>
        <v>355</v>
      </c>
      <c r="DN24" s="491">
        <f t="shared" si="1"/>
        <v>1093</v>
      </c>
      <c r="DO24" s="640">
        <f t="shared" ref="DO24:EN24" si="18">SUM(DO8:DO23)</f>
        <v>14</v>
      </c>
      <c r="DP24" s="640">
        <f t="shared" si="18"/>
        <v>28</v>
      </c>
      <c r="DQ24" s="640">
        <f t="shared" si="18"/>
        <v>235</v>
      </c>
      <c r="DR24" s="640">
        <f t="shared" si="18"/>
        <v>982</v>
      </c>
      <c r="DS24" s="640">
        <f t="shared" si="18"/>
        <v>8</v>
      </c>
      <c r="DT24" s="640">
        <f t="shared" si="18"/>
        <v>14</v>
      </c>
      <c r="DU24" s="640">
        <f t="shared" si="18"/>
        <v>56</v>
      </c>
      <c r="DV24" s="640">
        <f t="shared" si="18"/>
        <v>111</v>
      </c>
      <c r="DW24" s="640">
        <f t="shared" si="18"/>
        <v>17</v>
      </c>
      <c r="DX24" s="640">
        <f t="shared" si="18"/>
        <v>20</v>
      </c>
      <c r="DY24" s="640">
        <f t="shared" si="18"/>
        <v>47</v>
      </c>
      <c r="DZ24" s="640">
        <f t="shared" si="18"/>
        <v>91</v>
      </c>
      <c r="EA24" s="640">
        <f t="shared" si="18"/>
        <v>0</v>
      </c>
      <c r="EB24" s="640">
        <f t="shared" si="18"/>
        <v>1</v>
      </c>
      <c r="EC24" s="640">
        <f t="shared" si="18"/>
        <v>2</v>
      </c>
      <c r="ED24" s="640">
        <f t="shared" si="18"/>
        <v>14</v>
      </c>
      <c r="EE24" s="640">
        <f t="shared" si="18"/>
        <v>14</v>
      </c>
      <c r="EF24" s="640">
        <f t="shared" si="18"/>
        <v>1</v>
      </c>
      <c r="EG24" s="640">
        <f t="shared" si="18"/>
        <v>207</v>
      </c>
      <c r="EH24" s="640">
        <f t="shared" si="18"/>
        <v>102</v>
      </c>
      <c r="EI24" s="640">
        <f t="shared" si="18"/>
        <v>89239</v>
      </c>
      <c r="EJ24" s="640">
        <f t="shared" si="18"/>
        <v>27667</v>
      </c>
      <c r="EK24" s="640">
        <f t="shared" si="18"/>
        <v>85691</v>
      </c>
      <c r="EL24" s="640">
        <f t="shared" si="18"/>
        <v>26321</v>
      </c>
      <c r="EM24" s="640">
        <f t="shared" si="18"/>
        <v>1423</v>
      </c>
      <c r="EN24" s="640">
        <f t="shared" si="18"/>
        <v>326</v>
      </c>
      <c r="EO24" s="491">
        <f t="shared" si="2"/>
        <v>1097</v>
      </c>
      <c r="EP24" s="640">
        <f t="shared" ref="EP24:FM24" si="19">SUM(EP8:EP23)</f>
        <v>8</v>
      </c>
      <c r="EQ24" s="640">
        <f t="shared" si="19"/>
        <v>29</v>
      </c>
      <c r="ER24" s="640">
        <f t="shared" si="19"/>
        <v>233</v>
      </c>
      <c r="ES24" s="640">
        <f t="shared" si="19"/>
        <v>1002</v>
      </c>
      <c r="ET24" s="640">
        <f t="shared" si="19"/>
        <v>10</v>
      </c>
      <c r="EU24" s="640">
        <f t="shared" si="19"/>
        <v>5</v>
      </c>
      <c r="EV24" s="640">
        <f t="shared" si="19"/>
        <v>42</v>
      </c>
      <c r="EW24" s="640">
        <f t="shared" si="19"/>
        <v>94</v>
      </c>
      <c r="EX24" s="640">
        <f t="shared" si="19"/>
        <v>5</v>
      </c>
      <c r="EY24" s="640">
        <f t="shared" si="19"/>
        <v>4</v>
      </c>
      <c r="EZ24" s="640">
        <f t="shared" si="19"/>
        <v>22</v>
      </c>
      <c r="FA24" s="640">
        <f t="shared" si="19"/>
        <v>94</v>
      </c>
      <c r="FB24" s="640">
        <f t="shared" si="19"/>
        <v>1</v>
      </c>
      <c r="FC24" s="640">
        <f t="shared" si="19"/>
        <v>3</v>
      </c>
      <c r="FD24" s="640">
        <f t="shared" si="19"/>
        <v>4</v>
      </c>
      <c r="FE24" s="640">
        <f t="shared" si="19"/>
        <v>5</v>
      </c>
      <c r="FF24" s="640">
        <f t="shared" si="19"/>
        <v>14</v>
      </c>
      <c r="FG24" s="640">
        <f t="shared" si="19"/>
        <v>0</v>
      </c>
      <c r="FH24" s="640">
        <f t="shared" si="19"/>
        <v>152</v>
      </c>
      <c r="FI24" s="640">
        <f t="shared" si="19"/>
        <v>39</v>
      </c>
      <c r="FJ24" s="640">
        <f t="shared" si="19"/>
        <v>88549</v>
      </c>
      <c r="FK24" s="640">
        <f t="shared" si="19"/>
        <v>26104</v>
      </c>
      <c r="FL24" s="640">
        <f t="shared" si="19"/>
        <v>85194</v>
      </c>
      <c r="FM24" s="640">
        <f t="shared" si="19"/>
        <v>24785</v>
      </c>
      <c r="FN24" s="640"/>
      <c r="FO24" s="640"/>
      <c r="FP24" s="640">
        <f t="shared" ref="FP24:FQ24" si="20">SUM(FP8:FP23)</f>
        <v>1410</v>
      </c>
      <c r="FQ24" s="640">
        <f t="shared" si="20"/>
        <v>316</v>
      </c>
      <c r="FR24" s="491">
        <f t="shared" si="3"/>
        <v>1094</v>
      </c>
      <c r="FS24" s="640">
        <f t="shared" ref="FS24:GP24" si="21">SUM(FS8:FS23)</f>
        <v>12</v>
      </c>
      <c r="FT24" s="640">
        <f t="shared" si="21"/>
        <v>19</v>
      </c>
      <c r="FU24" s="640">
        <f t="shared" si="21"/>
        <v>229</v>
      </c>
      <c r="FV24" s="640">
        <f t="shared" si="21"/>
        <v>1025</v>
      </c>
      <c r="FW24" s="640">
        <f t="shared" si="21"/>
        <v>10</v>
      </c>
      <c r="FX24" s="640">
        <f t="shared" si="21"/>
        <v>8</v>
      </c>
      <c r="FY24" s="640">
        <f t="shared" si="21"/>
        <v>38</v>
      </c>
      <c r="FZ24" s="640">
        <f t="shared" si="21"/>
        <v>69</v>
      </c>
      <c r="GA24" s="640">
        <f t="shared" si="21"/>
        <v>2</v>
      </c>
      <c r="GB24" s="640">
        <f t="shared" si="21"/>
        <v>5</v>
      </c>
      <c r="GC24" s="640">
        <f t="shared" si="21"/>
        <v>12</v>
      </c>
      <c r="GD24" s="640">
        <f t="shared" si="21"/>
        <v>73</v>
      </c>
      <c r="GE24" s="640">
        <f t="shared" si="21"/>
        <v>0</v>
      </c>
      <c r="GF24" s="640">
        <f t="shared" si="21"/>
        <v>1</v>
      </c>
      <c r="GG24" s="640">
        <f t="shared" si="21"/>
        <v>7</v>
      </c>
      <c r="GH24" s="640">
        <f t="shared" si="21"/>
        <v>12</v>
      </c>
      <c r="GI24" s="640">
        <f t="shared" si="21"/>
        <v>19</v>
      </c>
      <c r="GJ24" s="640">
        <f t="shared" si="21"/>
        <v>0</v>
      </c>
      <c r="GK24" s="640">
        <f t="shared" si="21"/>
        <v>131</v>
      </c>
      <c r="GL24" s="640">
        <f t="shared" si="21"/>
        <v>27</v>
      </c>
      <c r="GM24" s="640">
        <f t="shared" si="21"/>
        <v>88319</v>
      </c>
      <c r="GN24" s="640">
        <f t="shared" si="21"/>
        <v>26556</v>
      </c>
      <c r="GO24" s="640">
        <f t="shared" si="21"/>
        <v>85331</v>
      </c>
      <c r="GP24" s="640">
        <f t="shared" si="21"/>
        <v>24714</v>
      </c>
      <c r="GQ24" s="640"/>
      <c r="GR24" s="640"/>
      <c r="GS24" s="640">
        <f t="shared" ref="GS24:GT24" si="22">SUM(GS8:GS23)</f>
        <v>1416</v>
      </c>
      <c r="GT24" s="640">
        <f t="shared" si="22"/>
        <v>311</v>
      </c>
      <c r="GU24" s="491">
        <f t="shared" si="4"/>
        <v>1105</v>
      </c>
      <c r="GV24" s="640">
        <f t="shared" ref="GV24:HO24" si="23">SUM(GV8:GV23)</f>
        <v>9</v>
      </c>
      <c r="GW24" s="640">
        <f t="shared" si="23"/>
        <v>23</v>
      </c>
      <c r="GX24" s="640">
        <f t="shared" si="23"/>
        <v>214</v>
      </c>
      <c r="GY24" s="640">
        <f t="shared" si="23"/>
        <v>1039</v>
      </c>
      <c r="GZ24" s="640">
        <f t="shared" si="23"/>
        <v>10</v>
      </c>
      <c r="HA24" s="640">
        <f t="shared" si="23"/>
        <v>13</v>
      </c>
      <c r="HB24" s="640">
        <f t="shared" si="23"/>
        <v>42</v>
      </c>
      <c r="HC24" s="640">
        <f t="shared" si="23"/>
        <v>66</v>
      </c>
      <c r="HD24" s="640">
        <f t="shared" si="23"/>
        <v>4</v>
      </c>
      <c r="HE24" s="640">
        <f t="shared" si="23"/>
        <v>6</v>
      </c>
      <c r="HF24" s="640">
        <f t="shared" si="23"/>
        <v>24</v>
      </c>
      <c r="HG24" s="640">
        <f t="shared" si="23"/>
        <v>73</v>
      </c>
      <c r="HH24" s="640">
        <f t="shared" si="23"/>
        <v>0</v>
      </c>
      <c r="HI24" s="640">
        <f t="shared" si="23"/>
        <v>0</v>
      </c>
      <c r="HJ24" s="640">
        <f t="shared" si="23"/>
        <v>1</v>
      </c>
      <c r="HK24" s="640">
        <f t="shared" si="23"/>
        <v>2</v>
      </c>
      <c r="HL24" s="640">
        <f t="shared" si="23"/>
        <v>16</v>
      </c>
      <c r="HM24" s="640">
        <f t="shared" si="23"/>
        <v>0</v>
      </c>
      <c r="HN24" s="640">
        <f t="shared" si="23"/>
        <v>65</v>
      </c>
      <c r="HO24" s="640">
        <f t="shared" si="23"/>
        <v>23</v>
      </c>
      <c r="HR24" s="641">
        <f t="shared" si="5"/>
        <v>1735</v>
      </c>
      <c r="HS24" s="641">
        <f t="shared" si="6"/>
        <v>1859</v>
      </c>
      <c r="HT24" s="641">
        <f t="shared" si="7"/>
        <v>1723</v>
      </c>
      <c r="HU24" s="641">
        <f t="shared" si="8"/>
        <v>1538</v>
      </c>
      <c r="HV24" s="641">
        <f t="shared" si="9"/>
        <v>1505</v>
      </c>
      <c r="HW24" s="641">
        <f t="shared" si="10"/>
        <v>1487</v>
      </c>
      <c r="HX24" s="642">
        <f t="shared" si="11"/>
        <v>1292</v>
      </c>
      <c r="HY24" s="642">
        <f t="shared" si="12"/>
        <v>1465</v>
      </c>
      <c r="HZ24" s="643">
        <f t="shared" si="13"/>
        <v>1448</v>
      </c>
      <c r="IA24" s="643">
        <f t="shared" ref="IA24:IC24" si="24">SUM(IA8:IA23)</f>
        <v>1423</v>
      </c>
      <c r="IB24" s="643">
        <f t="shared" si="24"/>
        <v>1410</v>
      </c>
      <c r="IC24" s="643">
        <f t="shared" si="24"/>
        <v>1416</v>
      </c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HO25" s="644"/>
      <c r="HP25" s="644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CO26" s="611">
        <f>SUM(CO24:CR24)</f>
        <v>1136</v>
      </c>
      <c r="CS26" s="611">
        <f>SUM(CS24:CV24)</f>
        <v>329</v>
      </c>
      <c r="DL26" s="611">
        <f>DO24+DP24+DQ24+DR24+DS24+DT24+DU24+DV24</f>
        <v>1448</v>
      </c>
      <c r="DM26" s="611">
        <f>DO24+DP24+DQ24+DS24+DT24+DU24</f>
        <v>355</v>
      </c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X4:AE4"/>
    <mergeCell ref="Y5:AB5"/>
    <mergeCell ref="AK5:AK6"/>
    <mergeCell ref="AL5:AL6"/>
    <mergeCell ref="AM5:AM6"/>
    <mergeCell ref="AO5:AR5"/>
    <mergeCell ref="AS5:AS6"/>
    <mergeCell ref="AT5:AT6"/>
    <mergeCell ref="AU5:AU6"/>
    <mergeCell ref="AV5:AV6"/>
    <mergeCell ref="AW5:AW6"/>
    <mergeCell ref="AX5:BA5"/>
    <mergeCell ref="BB5:BE5"/>
    <mergeCell ref="BF5:BI5"/>
    <mergeCell ref="AF4:AM4"/>
    <mergeCell ref="AN4:AU4"/>
    <mergeCell ref="P5:P6"/>
    <mergeCell ref="Q5:T5"/>
    <mergeCell ref="U5:U6"/>
    <mergeCell ref="V5:V6"/>
    <mergeCell ref="P4:W4"/>
    <mergeCell ref="H5:H7"/>
    <mergeCell ref="I5:L5"/>
    <mergeCell ref="M5:M6"/>
    <mergeCell ref="N5:N6"/>
    <mergeCell ref="O5:O6"/>
    <mergeCell ref="W5:W6"/>
    <mergeCell ref="AC5:AC6"/>
    <mergeCell ref="AD5:AD6"/>
    <mergeCell ref="AE5:AE6"/>
    <mergeCell ref="AG5:AJ5"/>
    <mergeCell ref="BR5:BR6"/>
    <mergeCell ref="BS5:BV5"/>
    <mergeCell ref="BW5:BZ5"/>
    <mergeCell ref="CA5:CD5"/>
    <mergeCell ref="CE5:CH5"/>
    <mergeCell ref="GZ5:HC5"/>
    <mergeCell ref="HD5:HG5"/>
    <mergeCell ref="HH5:HK5"/>
    <mergeCell ref="HN5:HN6"/>
    <mergeCell ref="HO5:HO6"/>
    <mergeCell ref="AV4:BP4"/>
    <mergeCell ref="BQ4:CK4"/>
    <mergeCell ref="CL4:DG4"/>
    <mergeCell ref="DH4:EH4"/>
    <mergeCell ref="EI4:FI4"/>
    <mergeCell ref="FJ4:GL4"/>
    <mergeCell ref="GM4:HO4"/>
    <mergeCell ref="BJ5:BM5"/>
    <mergeCell ref="BQ5:BQ6"/>
    <mergeCell ref="A2:A6"/>
    <mergeCell ref="B2:B6"/>
    <mergeCell ref="C2:C6"/>
    <mergeCell ref="F2:F6"/>
    <mergeCell ref="G2:G6"/>
    <mergeCell ref="BQ3:CK3"/>
    <mergeCell ref="H4:O4"/>
    <mergeCell ref="DH5:DH6"/>
    <mergeCell ref="DI5:DI6"/>
    <mergeCell ref="CL5:CL6"/>
    <mergeCell ref="CM5:CM6"/>
    <mergeCell ref="CN5:CN6"/>
    <mergeCell ref="CO5:CR5"/>
    <mergeCell ref="CS5:CV5"/>
    <mergeCell ref="CW5:CZ5"/>
    <mergeCell ref="DA5:DD5"/>
    <mergeCell ref="DW5:DZ5"/>
    <mergeCell ref="EA5:ED5"/>
    <mergeCell ref="DJ5:DJ6"/>
    <mergeCell ref="DK5:DK6"/>
    <mergeCell ref="DL5:DL6"/>
    <mergeCell ref="DM5:DM6"/>
    <mergeCell ref="DN5:DN6"/>
    <mergeCell ref="DO5:DR5"/>
    <mergeCell ref="DS5:DV5"/>
    <mergeCell ref="EN5:EN6"/>
    <mergeCell ref="EO5:EO6"/>
    <mergeCell ref="EG5:EG6"/>
    <mergeCell ref="EH5:EH6"/>
    <mergeCell ref="EI5:EI6"/>
    <mergeCell ref="EJ5:EJ6"/>
    <mergeCell ref="EK5:EK6"/>
    <mergeCell ref="EL5:EL6"/>
    <mergeCell ref="EM5:EM6"/>
    <mergeCell ref="FK5:FK6"/>
    <mergeCell ref="FL5:FL6"/>
    <mergeCell ref="EP5:ES5"/>
    <mergeCell ref="ET5:EW5"/>
    <mergeCell ref="EX5:FA5"/>
    <mergeCell ref="FB5:FE5"/>
    <mergeCell ref="FH5:FH6"/>
    <mergeCell ref="FI5:FI6"/>
    <mergeCell ref="FJ5:FJ6"/>
    <mergeCell ref="GE5:GH5"/>
    <mergeCell ref="GK5:GK6"/>
    <mergeCell ref="FM5:FM6"/>
    <mergeCell ref="FP5:FP6"/>
    <mergeCell ref="FQ5:FQ6"/>
    <mergeCell ref="FR5:FR6"/>
    <mergeCell ref="FS5:FV5"/>
    <mergeCell ref="FW5:FZ5"/>
    <mergeCell ref="GA5:GD5"/>
    <mergeCell ref="GU5:GU6"/>
    <mergeCell ref="GV5:GY5"/>
    <mergeCell ref="GL5:GL6"/>
    <mergeCell ref="GM5:GM6"/>
    <mergeCell ref="GN5:GN6"/>
    <mergeCell ref="GO5:GO6"/>
    <mergeCell ref="GP5:GP6"/>
    <mergeCell ref="GS5:GS6"/>
    <mergeCell ref="GT5:GT6"/>
  </mergeCells>
  <printOptions/>
  <pageMargins bottom="0.75" footer="0.0" header="0.0" left="0.7" right="0.7" top="0.75"/>
  <pageSetup orientation="landscape"/>
  <drawing r:id="rId1"/>
</worksheet>
</file>